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45822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45822</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45822</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45822</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45822</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57942-2021</t>
        </is>
      </c>
      <c r="B16" s="1" t="n">
        <v>44487</v>
      </c>
      <c r="C16" s="1" t="n">
        <v>45822</v>
      </c>
      <c r="D16" t="inlineStr">
        <is>
          <t>VÄSTERNORRLANDS LÄN</t>
        </is>
      </c>
      <c r="E16" t="inlineStr">
        <is>
          <t>SOLLEFTEÅ</t>
        </is>
      </c>
      <c r="F16" t="inlineStr">
        <is>
          <t>Holmen skog AB</t>
        </is>
      </c>
      <c r="G16" t="n">
        <v>14.2</v>
      </c>
      <c r="H16" t="n">
        <v>5</v>
      </c>
      <c r="I16" t="n">
        <v>4</v>
      </c>
      <c r="J16" t="n">
        <v>11</v>
      </c>
      <c r="K16" t="n">
        <v>4</v>
      </c>
      <c r="L16" t="n">
        <v>0</v>
      </c>
      <c r="M16" t="n">
        <v>0</v>
      </c>
      <c r="N16" t="n">
        <v>0</v>
      </c>
      <c r="O16" t="n">
        <v>15</v>
      </c>
      <c r="P16" t="n">
        <v>4</v>
      </c>
      <c r="Q16" t="n">
        <v>19</v>
      </c>
      <c r="R16" s="2" t="inlineStr">
        <is>
          <t>Blackticka
Doftticka
Knärot
Ulltickeporing
Garnlav
Granticka
Kolflarnlav
Lunglav
Rosenticka
Tallticka
Talltita
Tretåig hackspett
Ullticka
Vedflikmossa
Vedtrappmossa
Luddlav
Plattlummer
Stuplav
Vedticka</t>
        </is>
      </c>
      <c r="S16">
        <f>HYPERLINK("https://klasma.github.io/Logging_2283/artfynd/A 57942-2021 artfynd.xlsx", "A 57942-2021")</f>
        <v/>
      </c>
      <c r="T16">
        <f>HYPERLINK("https://klasma.github.io/Logging_2283/kartor/A 57942-2021 karta.png", "A 57942-2021")</f>
        <v/>
      </c>
      <c r="U16">
        <f>HYPERLINK("https://klasma.github.io/Logging_2283/knärot/A 57942-2021 karta knärot.png", "A 57942-2021")</f>
        <v/>
      </c>
      <c r="V16">
        <f>HYPERLINK("https://klasma.github.io/Logging_2283/klagomål/A 57942-2021 FSC-klagomål.docx", "A 57942-2021")</f>
        <v/>
      </c>
      <c r="W16">
        <f>HYPERLINK("https://klasma.github.io/Logging_2283/klagomålsmail/A 57942-2021 FSC-klagomål mail.docx", "A 57942-2021")</f>
        <v/>
      </c>
      <c r="X16">
        <f>HYPERLINK("https://klasma.github.io/Logging_2283/tillsyn/A 57942-2021 tillsynsbegäran.docx", "A 57942-2021")</f>
        <v/>
      </c>
      <c r="Y16">
        <f>HYPERLINK("https://klasma.github.io/Logging_2283/tillsynsmail/A 57942-2021 tillsynsbegäran mail.docx", "A 57942-2021")</f>
        <v/>
      </c>
      <c r="Z16">
        <f>HYPERLINK("https://klasma.github.io/Logging_2283/fåglar/A 57942-2021 prioriterade fågelarter.docx", "A 57942-2021")</f>
        <v/>
      </c>
    </row>
    <row r="17" ht="15" customHeight="1">
      <c r="A17" t="inlineStr">
        <is>
          <t>A 13896-2023</t>
        </is>
      </c>
      <c r="B17" s="1" t="n">
        <v>45008</v>
      </c>
      <c r="C17" s="1" t="n">
        <v>45822</v>
      </c>
      <c r="D17" t="inlineStr">
        <is>
          <t>VÄSTERNORRLANDS LÄN</t>
        </is>
      </c>
      <c r="E17" t="inlineStr">
        <is>
          <t>SOLLEFTEÅ</t>
        </is>
      </c>
      <c r="F17" t="inlineStr">
        <is>
          <t>SCA</t>
        </is>
      </c>
      <c r="G17" t="n">
        <v>20.3</v>
      </c>
      <c r="H17" t="n">
        <v>5</v>
      </c>
      <c r="I17" t="n">
        <v>5</v>
      </c>
      <c r="J17" t="n">
        <v>11</v>
      </c>
      <c r="K17" t="n">
        <v>2</v>
      </c>
      <c r="L17" t="n">
        <v>0</v>
      </c>
      <c r="M17" t="n">
        <v>0</v>
      </c>
      <c r="N17" t="n">
        <v>0</v>
      </c>
      <c r="O17" t="n">
        <v>13</v>
      </c>
      <c r="P17" t="n">
        <v>2</v>
      </c>
      <c r="Q17" t="n">
        <v>19</v>
      </c>
      <c r="R17" s="2" t="inlineStr">
        <is>
          <t>Knärot
Ulltickeporing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1672-2024</t>
        </is>
      </c>
      <c r="B18" s="1" t="n">
        <v>45306</v>
      </c>
      <c r="C18" s="1" t="n">
        <v>45822</v>
      </c>
      <c r="D18" t="inlineStr">
        <is>
          <t>VÄSTERNORRLANDS LÄN</t>
        </is>
      </c>
      <c r="E18" t="inlineStr">
        <is>
          <t>SOLLEFTEÅ</t>
        </is>
      </c>
      <c r="F18" t="inlineStr">
        <is>
          <t>SCA</t>
        </is>
      </c>
      <c r="G18" t="n">
        <v>7.1</v>
      </c>
      <c r="H18" t="n">
        <v>3</v>
      </c>
      <c r="I18" t="n">
        <v>2</v>
      </c>
      <c r="J18" t="n">
        <v>13</v>
      </c>
      <c r="K18" t="n">
        <v>3</v>
      </c>
      <c r="L18" t="n">
        <v>0</v>
      </c>
      <c r="M18" t="n">
        <v>0</v>
      </c>
      <c r="N18" t="n">
        <v>0</v>
      </c>
      <c r="O18" t="n">
        <v>16</v>
      </c>
      <c r="P18" t="n">
        <v>3</v>
      </c>
      <c r="Q18" t="n">
        <v>19</v>
      </c>
      <c r="R18" s="2" t="inlineStr">
        <is>
          <t>Rynkskinn
Sprickporing
Ulltickeporing
Dvärgbägarlav
Gammelgransskål
Garnlav
Granticka
Järpe
Kolflarnlav
Motaggsvamp
Nordtagging
Rosenticka
Tallticka
Tretåig hackspett
Ullticka
Vedskivlav
Dropptaggsvamp
Vedticka
Tjäder</t>
        </is>
      </c>
      <c r="S18">
        <f>HYPERLINK("https://klasma.github.io/Logging_2283/artfynd/A 1672-2024 artfynd.xlsx", "A 1672-2024")</f>
        <v/>
      </c>
      <c r="T18">
        <f>HYPERLINK("https://klasma.github.io/Logging_2283/kartor/A 1672-2024 karta.png", "A 1672-2024")</f>
        <v/>
      </c>
      <c r="V18">
        <f>HYPERLINK("https://klasma.github.io/Logging_2283/klagomål/A 1672-2024 FSC-klagomål.docx", "A 1672-2024")</f>
        <v/>
      </c>
      <c r="W18">
        <f>HYPERLINK("https://klasma.github.io/Logging_2283/klagomålsmail/A 1672-2024 FSC-klagomål mail.docx", "A 1672-2024")</f>
        <v/>
      </c>
      <c r="X18">
        <f>HYPERLINK("https://klasma.github.io/Logging_2283/tillsyn/A 1672-2024 tillsynsbegäran.docx", "A 1672-2024")</f>
        <v/>
      </c>
      <c r="Y18">
        <f>HYPERLINK("https://klasma.github.io/Logging_2283/tillsynsmail/A 1672-2024 tillsynsbegäran mail.docx", "A 1672-2024")</f>
        <v/>
      </c>
      <c r="Z18">
        <f>HYPERLINK("https://klasma.github.io/Logging_2283/fåglar/A 1672-2024 prioriterade fågelarter.docx", "A 1672-2024")</f>
        <v/>
      </c>
    </row>
    <row r="19" ht="15" customHeight="1">
      <c r="A19" t="inlineStr">
        <is>
          <t>A 8659-2024</t>
        </is>
      </c>
      <c r="B19" s="1" t="n">
        <v>45356</v>
      </c>
      <c r="C19" s="1" t="n">
        <v>45822</v>
      </c>
      <c r="D19" t="inlineStr">
        <is>
          <t>VÄSTERNORRLANDS LÄN</t>
        </is>
      </c>
      <c r="E19" t="inlineStr">
        <is>
          <t>SOLLEFTEÅ</t>
        </is>
      </c>
      <c r="G19" t="n">
        <v>15.9</v>
      </c>
      <c r="H19" t="n">
        <v>5</v>
      </c>
      <c r="I19" t="n">
        <v>4</v>
      </c>
      <c r="J19" t="n">
        <v>10</v>
      </c>
      <c r="K19" t="n">
        <v>4</v>
      </c>
      <c r="L19" t="n">
        <v>0</v>
      </c>
      <c r="M19" t="n">
        <v>0</v>
      </c>
      <c r="N19" t="n">
        <v>0</v>
      </c>
      <c r="O19" t="n">
        <v>14</v>
      </c>
      <c r="P19" t="n">
        <v>4</v>
      </c>
      <c r="Q19" t="n">
        <v>19</v>
      </c>
      <c r="R19" s="2" t="inlineStr">
        <is>
          <t>Fläckporing
Knärot
Lappticka
Rynkskinn
Gammelgransskål
Garnlav
Granticka
Gränsticka
Harticka
Rosenticka
Spillkråka
Tallticka
Tretåig hackspett
Ullticka
Fjällig taggsvamp s.str.
Plattlummer
Trådticka
Vedticka
Revlummer</t>
        </is>
      </c>
      <c r="S19">
        <f>HYPERLINK("https://klasma.github.io/Logging_2283/artfynd/A 8659-2024 artfynd.xlsx", "A 8659-2024")</f>
        <v/>
      </c>
      <c r="T19">
        <f>HYPERLINK("https://klasma.github.io/Logging_2283/kartor/A 8659-2024 karta.png", "A 8659-2024")</f>
        <v/>
      </c>
      <c r="U19">
        <f>HYPERLINK("https://klasma.github.io/Logging_2283/knärot/A 8659-2024 karta knärot.png", "A 8659-2024")</f>
        <v/>
      </c>
      <c r="V19">
        <f>HYPERLINK("https://klasma.github.io/Logging_2283/klagomål/A 8659-2024 FSC-klagomål.docx", "A 8659-2024")</f>
        <v/>
      </c>
      <c r="W19">
        <f>HYPERLINK("https://klasma.github.io/Logging_2283/klagomålsmail/A 8659-2024 FSC-klagomål mail.docx", "A 8659-2024")</f>
        <v/>
      </c>
      <c r="X19">
        <f>HYPERLINK("https://klasma.github.io/Logging_2283/tillsyn/A 8659-2024 tillsynsbegäran.docx", "A 8659-2024")</f>
        <v/>
      </c>
      <c r="Y19">
        <f>HYPERLINK("https://klasma.github.io/Logging_2283/tillsynsmail/A 8659-2024 tillsynsbegäran mail.docx", "A 8659-2024")</f>
        <v/>
      </c>
      <c r="Z19">
        <f>HYPERLINK("https://klasma.github.io/Logging_2283/fåglar/A 8659-2024 prioriterade fågelarter.docx", "A 8659-2024")</f>
        <v/>
      </c>
    </row>
    <row r="20" ht="15" customHeight="1">
      <c r="A20" t="inlineStr">
        <is>
          <t>A 18055-2023</t>
        </is>
      </c>
      <c r="B20" s="1" t="n">
        <v>45040</v>
      </c>
      <c r="C20" s="1" t="n">
        <v>45822</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45822</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45822</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45822</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45822</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45822</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45822</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23630-2025</t>
        </is>
      </c>
      <c r="B27" s="1" t="n">
        <v>45792</v>
      </c>
      <c r="C27" s="1" t="n">
        <v>45822</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45822</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45822</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45822</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45822</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45822</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45822</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45822</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45822</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45822</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45822</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45822</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45822</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45822</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45822</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45822</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45822</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45822</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45822</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45822</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45822</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45822</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45822</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45822</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45822</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45822</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45822</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45822</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45822</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45822</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45822</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45822</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45822</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45822</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45822</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45822</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45822</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45822</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45822</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45822</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45822</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45822</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45822</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45822</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45822</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45822</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45822</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45822</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45822</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45822</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45822</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45822</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45822</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45822</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45822</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45822</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45822</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45822</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45822</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45822</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45822</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45822</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45822</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45822</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45822</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45822</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45822</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45822</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45822</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45822</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45822</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45822</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45822</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45822</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73845-2021</t>
        </is>
      </c>
      <c r="B101" s="1" t="n">
        <v>44553</v>
      </c>
      <c r="C101" s="1" t="n">
        <v>45822</v>
      </c>
      <c r="D101" t="inlineStr">
        <is>
          <t>VÄSTERNORRLANDS LÄN</t>
        </is>
      </c>
      <c r="E101" t="inlineStr">
        <is>
          <t>SOLLEFTEÅ</t>
        </is>
      </c>
      <c r="F101" t="inlineStr">
        <is>
          <t>Övriga Aktiebolag</t>
        </is>
      </c>
      <c r="G101" t="n">
        <v>25.2</v>
      </c>
      <c r="H101" t="n">
        <v>2</v>
      </c>
      <c r="I101" t="n">
        <v>2</v>
      </c>
      <c r="J101" t="n">
        <v>7</v>
      </c>
      <c r="K101" t="n">
        <v>0</v>
      </c>
      <c r="L101" t="n">
        <v>0</v>
      </c>
      <c r="M101" t="n">
        <v>0</v>
      </c>
      <c r="N101" t="n">
        <v>0</v>
      </c>
      <c r="O101" t="n">
        <v>7</v>
      </c>
      <c r="P101" t="n">
        <v>0</v>
      </c>
      <c r="Q101" t="n">
        <v>9</v>
      </c>
      <c r="R101" s="2" t="inlineStr">
        <is>
          <t>Garnlav
Granticka
Lunglav
Rosenticka
Talltita
Tretåig hackspett
Ullticka
Skinnlav
Vedticka</t>
        </is>
      </c>
      <c r="S101">
        <f>HYPERLINK("https://klasma.github.io/Logging_2283/artfynd/A 73845-2021 artfynd.xlsx", "A 73845-2021")</f>
        <v/>
      </c>
      <c r="T101">
        <f>HYPERLINK("https://klasma.github.io/Logging_2283/kartor/A 73845-2021 karta.png", "A 73845-2021")</f>
        <v/>
      </c>
      <c r="V101">
        <f>HYPERLINK("https://klasma.github.io/Logging_2283/klagomål/A 73845-2021 FSC-klagomål.docx", "A 73845-2021")</f>
        <v/>
      </c>
      <c r="W101">
        <f>HYPERLINK("https://klasma.github.io/Logging_2283/klagomålsmail/A 73845-2021 FSC-klagomål mail.docx", "A 73845-2021")</f>
        <v/>
      </c>
      <c r="X101">
        <f>HYPERLINK("https://klasma.github.io/Logging_2283/tillsyn/A 73845-2021 tillsynsbegäran.docx", "A 73845-2021")</f>
        <v/>
      </c>
      <c r="Y101">
        <f>HYPERLINK("https://klasma.github.io/Logging_2283/tillsynsmail/A 73845-2021 tillsynsbegäran mail.docx", "A 73845-2021")</f>
        <v/>
      </c>
      <c r="Z101">
        <f>HYPERLINK("https://klasma.github.io/Logging_2283/fåglar/A 73845-2021 prioriterade fågelarter.docx", "A 73845-2021")</f>
        <v/>
      </c>
    </row>
    <row r="102" ht="15" customHeight="1">
      <c r="A102" t="inlineStr">
        <is>
          <t>A 40274-2022</t>
        </is>
      </c>
      <c r="B102" s="1" t="n">
        <v>44820</v>
      </c>
      <c r="C102" s="1" t="n">
        <v>45822</v>
      </c>
      <c r="D102" t="inlineStr">
        <is>
          <t>VÄSTERNORRLANDS LÄN</t>
        </is>
      </c>
      <c r="E102" t="inlineStr">
        <is>
          <t>SOLLEFTEÅ</t>
        </is>
      </c>
      <c r="F102" t="inlineStr">
        <is>
          <t>SCA</t>
        </is>
      </c>
      <c r="G102" t="n">
        <v>2.1</v>
      </c>
      <c r="H102" t="n">
        <v>3</v>
      </c>
      <c r="I102" t="n">
        <v>0</v>
      </c>
      <c r="J102" t="n">
        <v>7</v>
      </c>
      <c r="K102" t="n">
        <v>2</v>
      </c>
      <c r="L102" t="n">
        <v>0</v>
      </c>
      <c r="M102" t="n">
        <v>0</v>
      </c>
      <c r="N102" t="n">
        <v>0</v>
      </c>
      <c r="O102" t="n">
        <v>9</v>
      </c>
      <c r="P102" t="n">
        <v>2</v>
      </c>
      <c r="Q102" t="n">
        <v>9</v>
      </c>
      <c r="R102" s="2" t="inlineStr">
        <is>
          <t>Knärot
Rynkskinn
Garnlav
Kolflarnlav
Lunglav
Rosenticka
Talltita
Tretåig hackspett
Ullticka</t>
        </is>
      </c>
      <c r="S102">
        <f>HYPERLINK("https://klasma.github.io/Logging_2283/artfynd/A 40274-2022 artfynd.xlsx", "A 40274-2022")</f>
        <v/>
      </c>
      <c r="T102">
        <f>HYPERLINK("https://klasma.github.io/Logging_2283/kartor/A 40274-2022 karta.png", "A 40274-2022")</f>
        <v/>
      </c>
      <c r="U102">
        <f>HYPERLINK("https://klasma.github.io/Logging_2283/knärot/A 40274-2022 karta knärot.png", "A 40274-2022")</f>
        <v/>
      </c>
      <c r="V102">
        <f>HYPERLINK("https://klasma.github.io/Logging_2283/klagomål/A 40274-2022 FSC-klagomål.docx", "A 40274-2022")</f>
        <v/>
      </c>
      <c r="W102">
        <f>HYPERLINK("https://klasma.github.io/Logging_2283/klagomålsmail/A 40274-2022 FSC-klagomål mail.docx", "A 40274-2022")</f>
        <v/>
      </c>
      <c r="X102">
        <f>HYPERLINK("https://klasma.github.io/Logging_2283/tillsyn/A 40274-2022 tillsynsbegäran.docx", "A 40274-2022")</f>
        <v/>
      </c>
      <c r="Y102">
        <f>HYPERLINK("https://klasma.github.io/Logging_2283/tillsynsmail/A 40274-2022 tillsynsbegäran mail.docx", "A 40274-2022")</f>
        <v/>
      </c>
      <c r="Z102">
        <f>HYPERLINK("https://klasma.github.io/Logging_2283/fåglar/A 40274-2022 prioriterade fågelarter.docx", "A 40274-2022")</f>
        <v/>
      </c>
    </row>
    <row r="103" ht="15" customHeight="1">
      <c r="A103" t="inlineStr">
        <is>
          <t>A 43131-2022</t>
        </is>
      </c>
      <c r="B103" s="1" t="n">
        <v>44833</v>
      </c>
      <c r="C103" s="1" t="n">
        <v>45822</v>
      </c>
      <c r="D103" t="inlineStr">
        <is>
          <t>VÄSTERNORRLANDS LÄN</t>
        </is>
      </c>
      <c r="E103" t="inlineStr">
        <is>
          <t>SOLLEFTEÅ</t>
        </is>
      </c>
      <c r="F103" t="inlineStr">
        <is>
          <t>SCA</t>
        </is>
      </c>
      <c r="G103" t="n">
        <v>2.6</v>
      </c>
      <c r="H103" t="n">
        <v>4</v>
      </c>
      <c r="I103" t="n">
        <v>1</v>
      </c>
      <c r="J103" t="n">
        <v>6</v>
      </c>
      <c r="K103" t="n">
        <v>1</v>
      </c>
      <c r="L103" t="n">
        <v>0</v>
      </c>
      <c r="M103" t="n">
        <v>0</v>
      </c>
      <c r="N103" t="n">
        <v>0</v>
      </c>
      <c r="O103" t="n">
        <v>7</v>
      </c>
      <c r="P103" t="n">
        <v>1</v>
      </c>
      <c r="Q103" t="n">
        <v>9</v>
      </c>
      <c r="R103" s="2" t="inlineStr">
        <is>
          <t>Knärot
Gammelgransskål
Garnlav
Harticka
Lunglav
Talltita
Tretåig hackspett
Luddlav
Revlummer</t>
        </is>
      </c>
      <c r="S103">
        <f>HYPERLINK("https://klasma.github.io/Logging_2283/artfynd/A 43131-2022 artfynd.xlsx", "A 43131-2022")</f>
        <v/>
      </c>
      <c r="T103">
        <f>HYPERLINK("https://klasma.github.io/Logging_2283/kartor/A 43131-2022 karta.png", "A 43131-2022")</f>
        <v/>
      </c>
      <c r="U103">
        <f>HYPERLINK("https://klasma.github.io/Logging_2283/knärot/A 43131-2022 karta knärot.png", "A 43131-2022")</f>
        <v/>
      </c>
      <c r="V103">
        <f>HYPERLINK("https://klasma.github.io/Logging_2283/klagomål/A 43131-2022 FSC-klagomål.docx", "A 43131-2022")</f>
        <v/>
      </c>
      <c r="W103">
        <f>HYPERLINK("https://klasma.github.io/Logging_2283/klagomålsmail/A 43131-2022 FSC-klagomål mail.docx", "A 43131-2022")</f>
        <v/>
      </c>
      <c r="X103">
        <f>HYPERLINK("https://klasma.github.io/Logging_2283/tillsyn/A 43131-2022 tillsynsbegäran.docx", "A 43131-2022")</f>
        <v/>
      </c>
      <c r="Y103">
        <f>HYPERLINK("https://klasma.github.io/Logging_2283/tillsynsmail/A 43131-2022 tillsynsbegäran mail.docx", "A 43131-2022")</f>
        <v/>
      </c>
      <c r="Z103">
        <f>HYPERLINK("https://klasma.github.io/Logging_2283/fåglar/A 43131-2022 prioriterade fågelarter.docx", "A 43131-2022")</f>
        <v/>
      </c>
    </row>
    <row r="104" ht="15" customHeight="1">
      <c r="A104" t="inlineStr">
        <is>
          <t>A 55727-2022</t>
        </is>
      </c>
      <c r="B104" s="1" t="n">
        <v>44883</v>
      </c>
      <c r="C104" s="1" t="n">
        <v>45822</v>
      </c>
      <c r="D104" t="inlineStr">
        <is>
          <t>VÄSTERNORRLANDS LÄN</t>
        </is>
      </c>
      <c r="E104" t="inlineStr">
        <is>
          <t>SOLLEFTEÅ</t>
        </is>
      </c>
      <c r="G104" t="n">
        <v>16.7</v>
      </c>
      <c r="H104" t="n">
        <v>5</v>
      </c>
      <c r="I104" t="n">
        <v>2</v>
      </c>
      <c r="J104" t="n">
        <v>5</v>
      </c>
      <c r="K104" t="n">
        <v>1</v>
      </c>
      <c r="L104" t="n">
        <v>0</v>
      </c>
      <c r="M104" t="n">
        <v>0</v>
      </c>
      <c r="N104" t="n">
        <v>0</v>
      </c>
      <c r="O104" t="n">
        <v>6</v>
      </c>
      <c r="P104" t="n">
        <v>1</v>
      </c>
      <c r="Q104" t="n">
        <v>9</v>
      </c>
      <c r="R104" s="2" t="inlineStr">
        <is>
          <t>Knärot
Garnlav
Järpe
Rosenticka
Tretåig hackspett
Ullticka
Spindelblomster
Vanlig flatbagge
Tjäder</t>
        </is>
      </c>
      <c r="S104">
        <f>HYPERLINK("https://klasma.github.io/Logging_2283/artfynd/A 55727-2022 artfynd.xlsx", "A 55727-2022")</f>
        <v/>
      </c>
      <c r="T104">
        <f>HYPERLINK("https://klasma.github.io/Logging_2283/kartor/A 55727-2022 karta.png", "A 55727-2022")</f>
        <v/>
      </c>
      <c r="U104">
        <f>HYPERLINK("https://klasma.github.io/Logging_2283/knärot/A 55727-2022 karta knärot.png", "A 55727-2022")</f>
        <v/>
      </c>
      <c r="V104">
        <f>HYPERLINK("https://klasma.github.io/Logging_2283/klagomål/A 55727-2022 FSC-klagomål.docx", "A 55727-2022")</f>
        <v/>
      </c>
      <c r="W104">
        <f>HYPERLINK("https://klasma.github.io/Logging_2283/klagomålsmail/A 55727-2022 FSC-klagomål mail.docx", "A 55727-2022")</f>
        <v/>
      </c>
      <c r="X104">
        <f>HYPERLINK("https://klasma.github.io/Logging_2283/tillsyn/A 55727-2022 tillsynsbegäran.docx", "A 55727-2022")</f>
        <v/>
      </c>
      <c r="Y104">
        <f>HYPERLINK("https://klasma.github.io/Logging_2283/tillsynsmail/A 55727-2022 tillsynsbegäran mail.docx", "A 55727-2022")</f>
        <v/>
      </c>
      <c r="Z104">
        <f>HYPERLINK("https://klasma.github.io/Logging_2283/fåglar/A 55727-2022 prioriterade fågelarter.docx", "A 55727-2022")</f>
        <v/>
      </c>
    </row>
    <row r="105" ht="15" customHeight="1">
      <c r="A105" t="inlineStr">
        <is>
          <t>A 15983-2023</t>
        </is>
      </c>
      <c r="B105" s="1" t="n">
        <v>45022</v>
      </c>
      <c r="C105" s="1" t="n">
        <v>45822</v>
      </c>
      <c r="D105" t="inlineStr">
        <is>
          <t>VÄSTERNORRLANDS LÄN</t>
        </is>
      </c>
      <c r="E105" t="inlineStr">
        <is>
          <t>SOLLEFTEÅ</t>
        </is>
      </c>
      <c r="F105" t="inlineStr">
        <is>
          <t>SCA</t>
        </is>
      </c>
      <c r="G105" t="n">
        <v>4.7</v>
      </c>
      <c r="H105" t="n">
        <v>1</v>
      </c>
      <c r="I105" t="n">
        <v>0</v>
      </c>
      <c r="J105" t="n">
        <v>9</v>
      </c>
      <c r="K105" t="n">
        <v>0</v>
      </c>
      <c r="L105" t="n">
        <v>0</v>
      </c>
      <c r="M105" t="n">
        <v>0</v>
      </c>
      <c r="N105" t="n">
        <v>0</v>
      </c>
      <c r="O105" t="n">
        <v>9</v>
      </c>
      <c r="P105" t="n">
        <v>0</v>
      </c>
      <c r="Q105" t="n">
        <v>9</v>
      </c>
      <c r="R105" s="2" t="inlineStr">
        <is>
          <t>Dvärgbägarlav
Lunglav
Rosenticka
Skrovlig taggsvamp
Tretåig hackspett
Vedskivlav
Violmussling
Vitgrynig nållav
Vitplätt</t>
        </is>
      </c>
      <c r="S105">
        <f>HYPERLINK("https://klasma.github.io/Logging_2283/artfynd/A 15983-2023 artfynd.xlsx", "A 15983-2023")</f>
        <v/>
      </c>
      <c r="T105">
        <f>HYPERLINK("https://klasma.github.io/Logging_2283/kartor/A 15983-2023 karta.png", "A 15983-2023")</f>
        <v/>
      </c>
      <c r="V105">
        <f>HYPERLINK("https://klasma.github.io/Logging_2283/klagomål/A 15983-2023 FSC-klagomål.docx", "A 15983-2023")</f>
        <v/>
      </c>
      <c r="W105">
        <f>HYPERLINK("https://klasma.github.io/Logging_2283/klagomålsmail/A 15983-2023 FSC-klagomål mail.docx", "A 15983-2023")</f>
        <v/>
      </c>
      <c r="X105">
        <f>HYPERLINK("https://klasma.github.io/Logging_2283/tillsyn/A 15983-2023 tillsynsbegäran.docx", "A 15983-2023")</f>
        <v/>
      </c>
      <c r="Y105">
        <f>HYPERLINK("https://klasma.github.io/Logging_2283/tillsynsmail/A 15983-2023 tillsynsbegäran mail.docx", "A 15983-2023")</f>
        <v/>
      </c>
      <c r="Z105">
        <f>HYPERLINK("https://klasma.github.io/Logging_2283/fåglar/A 15983-2023 prioriterade fågelarter.docx", "A 15983-2023")</f>
        <v/>
      </c>
    </row>
    <row r="106" ht="15" customHeight="1">
      <c r="A106" t="inlineStr">
        <is>
          <t>A 38687-2023</t>
        </is>
      </c>
      <c r="B106" s="1" t="n">
        <v>45162</v>
      </c>
      <c r="C106" s="1" t="n">
        <v>45822</v>
      </c>
      <c r="D106" t="inlineStr">
        <is>
          <t>VÄSTERNORRLANDS LÄN</t>
        </is>
      </c>
      <c r="E106" t="inlineStr">
        <is>
          <t>SOLLEFTEÅ</t>
        </is>
      </c>
      <c r="F106" t="inlineStr">
        <is>
          <t>SCA</t>
        </is>
      </c>
      <c r="G106" t="n">
        <v>9.4</v>
      </c>
      <c r="H106" t="n">
        <v>0</v>
      </c>
      <c r="I106" t="n">
        <v>5</v>
      </c>
      <c r="J106" t="n">
        <v>4</v>
      </c>
      <c r="K106" t="n">
        <v>0</v>
      </c>
      <c r="L106" t="n">
        <v>0</v>
      </c>
      <c r="M106" t="n">
        <v>0</v>
      </c>
      <c r="N106" t="n">
        <v>0</v>
      </c>
      <c r="O106" t="n">
        <v>4</v>
      </c>
      <c r="P106" t="n">
        <v>0</v>
      </c>
      <c r="Q106" t="n">
        <v>9</v>
      </c>
      <c r="R106" s="2" t="inlineStr">
        <is>
          <t>Garnlav
Granticka
Lunglav
Stiftgelélav
Bårdlav
Norrlandslav
Skinnlav
Stuplav
Vedticka</t>
        </is>
      </c>
      <c r="S106">
        <f>HYPERLINK("https://klasma.github.io/Logging_2283/artfynd/A 38687-2023 artfynd.xlsx", "A 38687-2023")</f>
        <v/>
      </c>
      <c r="T106">
        <f>HYPERLINK("https://klasma.github.io/Logging_2283/kartor/A 38687-2023 karta.png", "A 38687-2023")</f>
        <v/>
      </c>
      <c r="V106">
        <f>HYPERLINK("https://klasma.github.io/Logging_2283/klagomål/A 38687-2023 FSC-klagomål.docx", "A 38687-2023")</f>
        <v/>
      </c>
      <c r="W106">
        <f>HYPERLINK("https://klasma.github.io/Logging_2283/klagomålsmail/A 38687-2023 FSC-klagomål mail.docx", "A 38687-2023")</f>
        <v/>
      </c>
      <c r="X106">
        <f>HYPERLINK("https://klasma.github.io/Logging_2283/tillsyn/A 38687-2023 tillsynsbegäran.docx", "A 38687-2023")</f>
        <v/>
      </c>
      <c r="Y106">
        <f>HYPERLINK("https://klasma.github.io/Logging_2283/tillsynsmail/A 38687-2023 tillsynsbegäran mail.docx", "A 38687-2023")</f>
        <v/>
      </c>
    </row>
    <row r="107" ht="15" customHeight="1">
      <c r="A107" t="inlineStr">
        <is>
          <t>A 40418-2023</t>
        </is>
      </c>
      <c r="B107" s="1" t="n">
        <v>45169</v>
      </c>
      <c r="C107" s="1" t="n">
        <v>45822</v>
      </c>
      <c r="D107" t="inlineStr">
        <is>
          <t>VÄSTERNORRLANDS LÄN</t>
        </is>
      </c>
      <c r="E107" t="inlineStr">
        <is>
          <t>SOLLEFTEÅ</t>
        </is>
      </c>
      <c r="F107" t="inlineStr">
        <is>
          <t>SCA</t>
        </is>
      </c>
      <c r="G107" t="n">
        <v>10.9</v>
      </c>
      <c r="H107" t="n">
        <v>5</v>
      </c>
      <c r="I107" t="n">
        <v>0</v>
      </c>
      <c r="J107" t="n">
        <v>7</v>
      </c>
      <c r="K107" t="n">
        <v>2</v>
      </c>
      <c r="L107" t="n">
        <v>0</v>
      </c>
      <c r="M107" t="n">
        <v>0</v>
      </c>
      <c r="N107" t="n">
        <v>0</v>
      </c>
      <c r="O107" t="n">
        <v>9</v>
      </c>
      <c r="P107" t="n">
        <v>2</v>
      </c>
      <c r="Q107" t="n">
        <v>9</v>
      </c>
      <c r="R107" s="2" t="inlineStr">
        <is>
          <t>Doftticka
Knärot
Harticka
Kolflarnlav
Lunglav
Spillkråka
Talltita
Tretåig hackspett
Ullticka</t>
        </is>
      </c>
      <c r="S107">
        <f>HYPERLINK("https://klasma.github.io/Logging_2283/artfynd/A 40418-2023 artfynd.xlsx", "A 40418-2023")</f>
        <v/>
      </c>
      <c r="T107">
        <f>HYPERLINK("https://klasma.github.io/Logging_2283/kartor/A 40418-2023 karta.png", "A 40418-2023")</f>
        <v/>
      </c>
      <c r="U107">
        <f>HYPERLINK("https://klasma.github.io/Logging_2283/knärot/A 40418-2023 karta knärot.png", "A 40418-2023")</f>
        <v/>
      </c>
      <c r="V107">
        <f>HYPERLINK("https://klasma.github.io/Logging_2283/klagomål/A 40418-2023 FSC-klagomål.docx", "A 40418-2023")</f>
        <v/>
      </c>
      <c r="W107">
        <f>HYPERLINK("https://klasma.github.io/Logging_2283/klagomålsmail/A 40418-2023 FSC-klagomål mail.docx", "A 40418-2023")</f>
        <v/>
      </c>
      <c r="X107">
        <f>HYPERLINK("https://klasma.github.io/Logging_2283/tillsyn/A 40418-2023 tillsynsbegäran.docx", "A 40418-2023")</f>
        <v/>
      </c>
      <c r="Y107">
        <f>HYPERLINK("https://klasma.github.io/Logging_2283/tillsynsmail/A 40418-2023 tillsynsbegäran mail.docx", "A 40418-2023")</f>
        <v/>
      </c>
      <c r="Z107">
        <f>HYPERLINK("https://klasma.github.io/Logging_2283/fåglar/A 40418-2023 prioriterade fågelarter.docx", "A 40418-2023")</f>
        <v/>
      </c>
    </row>
    <row r="108" ht="15" customHeight="1">
      <c r="A108" t="inlineStr">
        <is>
          <t>A 24755-2024</t>
        </is>
      </c>
      <c r="B108" s="1" t="n">
        <v>45460</v>
      </c>
      <c r="C108" s="1" t="n">
        <v>45822</v>
      </c>
      <c r="D108" t="inlineStr">
        <is>
          <t>VÄSTERNORRLANDS LÄN</t>
        </is>
      </c>
      <c r="E108" t="inlineStr">
        <is>
          <t>SOLLEFTEÅ</t>
        </is>
      </c>
      <c r="G108" t="n">
        <v>14</v>
      </c>
      <c r="H108" t="n">
        <v>4</v>
      </c>
      <c r="I108" t="n">
        <v>3</v>
      </c>
      <c r="J108" t="n">
        <v>4</v>
      </c>
      <c r="K108" t="n">
        <v>1</v>
      </c>
      <c r="L108" t="n">
        <v>0</v>
      </c>
      <c r="M108" t="n">
        <v>0</v>
      </c>
      <c r="N108" t="n">
        <v>0</v>
      </c>
      <c r="O108" t="n">
        <v>5</v>
      </c>
      <c r="P108" t="n">
        <v>1</v>
      </c>
      <c r="Q108" t="n">
        <v>9</v>
      </c>
      <c r="R108" s="2" t="inlineStr">
        <is>
          <t>Rynkskinn
Rosenticka
Spillkråka
Tretåig hackspett
Ullticka
Plattlummer
Tallfingersvamp
Vedticka
Revlummer</t>
        </is>
      </c>
      <c r="S108">
        <f>HYPERLINK("https://klasma.github.io/Logging_2283/artfynd/A 24755-2024 artfynd.xlsx", "A 24755-2024")</f>
        <v/>
      </c>
      <c r="T108">
        <f>HYPERLINK("https://klasma.github.io/Logging_2283/kartor/A 24755-2024 karta.png", "A 24755-2024")</f>
        <v/>
      </c>
      <c r="V108">
        <f>HYPERLINK("https://klasma.github.io/Logging_2283/klagomål/A 24755-2024 FSC-klagomål.docx", "A 24755-2024")</f>
        <v/>
      </c>
      <c r="W108">
        <f>HYPERLINK("https://klasma.github.io/Logging_2283/klagomålsmail/A 24755-2024 FSC-klagomål mail.docx", "A 24755-2024")</f>
        <v/>
      </c>
      <c r="X108">
        <f>HYPERLINK("https://klasma.github.io/Logging_2283/tillsyn/A 24755-2024 tillsynsbegäran.docx", "A 24755-2024")</f>
        <v/>
      </c>
      <c r="Y108">
        <f>HYPERLINK("https://klasma.github.io/Logging_2283/tillsynsmail/A 24755-2024 tillsynsbegäran mail.docx", "A 24755-2024")</f>
        <v/>
      </c>
      <c r="Z108">
        <f>HYPERLINK("https://klasma.github.io/Logging_2283/fåglar/A 24755-2024 prioriterade fågelarter.docx", "A 24755-2024")</f>
        <v/>
      </c>
    </row>
    <row r="109" ht="15" customHeight="1">
      <c r="A109" t="inlineStr">
        <is>
          <t>A 28875-2024</t>
        </is>
      </c>
      <c r="B109" s="1" t="n">
        <v>45478</v>
      </c>
      <c r="C109" s="1" t="n">
        <v>45822</v>
      </c>
      <c r="D109" t="inlineStr">
        <is>
          <t>VÄSTERNORRLANDS LÄN</t>
        </is>
      </c>
      <c r="E109" t="inlineStr">
        <is>
          <t>SOLLEFTEÅ</t>
        </is>
      </c>
      <c r="F109" t="inlineStr">
        <is>
          <t>SCA</t>
        </is>
      </c>
      <c r="G109" t="n">
        <v>14.2</v>
      </c>
      <c r="H109" t="n">
        <v>2</v>
      </c>
      <c r="I109" t="n">
        <v>2</v>
      </c>
      <c r="J109" t="n">
        <v>7</v>
      </c>
      <c r="K109" t="n">
        <v>0</v>
      </c>
      <c r="L109" t="n">
        <v>0</v>
      </c>
      <c r="M109" t="n">
        <v>0</v>
      </c>
      <c r="N109" t="n">
        <v>0</v>
      </c>
      <c r="O109" t="n">
        <v>7</v>
      </c>
      <c r="P109" t="n">
        <v>0</v>
      </c>
      <c r="Q109" t="n">
        <v>9</v>
      </c>
      <c r="R109" s="2" t="inlineStr">
        <is>
          <t>Brunpudrad nållav
Doftskinn
Garnlav
Lunglav
Skrovellav
Talltita
Tretåig hackspett
Bårdlav
Gulnål</t>
        </is>
      </c>
      <c r="S109">
        <f>HYPERLINK("https://klasma.github.io/Logging_2283/artfynd/A 28875-2024 artfynd.xlsx", "A 28875-2024")</f>
        <v/>
      </c>
      <c r="T109">
        <f>HYPERLINK("https://klasma.github.io/Logging_2283/kartor/A 28875-2024 karta.png", "A 28875-2024")</f>
        <v/>
      </c>
      <c r="V109">
        <f>HYPERLINK("https://klasma.github.io/Logging_2283/klagomål/A 28875-2024 FSC-klagomål.docx", "A 28875-2024")</f>
        <v/>
      </c>
      <c r="W109">
        <f>HYPERLINK("https://klasma.github.io/Logging_2283/klagomålsmail/A 28875-2024 FSC-klagomål mail.docx", "A 28875-2024")</f>
        <v/>
      </c>
      <c r="X109">
        <f>HYPERLINK("https://klasma.github.io/Logging_2283/tillsyn/A 28875-2024 tillsynsbegäran.docx", "A 28875-2024")</f>
        <v/>
      </c>
      <c r="Y109">
        <f>HYPERLINK("https://klasma.github.io/Logging_2283/tillsynsmail/A 28875-2024 tillsynsbegäran mail.docx", "A 28875-2024")</f>
        <v/>
      </c>
      <c r="Z109">
        <f>HYPERLINK("https://klasma.github.io/Logging_2283/fåglar/A 28875-2024 prioriterade fågelarter.docx", "A 28875-2024")</f>
        <v/>
      </c>
    </row>
    <row r="110" ht="15" customHeight="1">
      <c r="A110" t="inlineStr">
        <is>
          <t>A 30571-2024</t>
        </is>
      </c>
      <c r="B110" s="1" t="n">
        <v>45493</v>
      </c>
      <c r="C110" s="1" t="n">
        <v>45822</v>
      </c>
      <c r="D110" t="inlineStr">
        <is>
          <t>VÄSTERNORRLANDS LÄN</t>
        </is>
      </c>
      <c r="E110" t="inlineStr">
        <is>
          <t>SOLLEFTEÅ</t>
        </is>
      </c>
      <c r="F110" t="inlineStr">
        <is>
          <t>SCA</t>
        </is>
      </c>
      <c r="G110" t="n">
        <v>3.1</v>
      </c>
      <c r="H110" t="n">
        <v>3</v>
      </c>
      <c r="I110" t="n">
        <v>1</v>
      </c>
      <c r="J110" t="n">
        <v>7</v>
      </c>
      <c r="K110" t="n">
        <v>1</v>
      </c>
      <c r="L110" t="n">
        <v>0</v>
      </c>
      <c r="M110" t="n">
        <v>0</v>
      </c>
      <c r="N110" t="n">
        <v>0</v>
      </c>
      <c r="O110" t="n">
        <v>8</v>
      </c>
      <c r="P110" t="n">
        <v>1</v>
      </c>
      <c r="Q110" t="n">
        <v>9</v>
      </c>
      <c r="R110" s="2" t="inlineStr">
        <is>
          <t>Knärot
Gammelgransskål
Garnlav
Kolflarnlav
Lunglav
Spillkråka
Tretåig hackspett
Ullticka
Dropptaggsvamp</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40216-2024</t>
        </is>
      </c>
      <c r="B111" s="1" t="n">
        <v>45554</v>
      </c>
      <c r="C111" s="1" t="n">
        <v>45822</v>
      </c>
      <c r="D111" t="inlineStr">
        <is>
          <t>VÄSTERNORRLANDS LÄN</t>
        </is>
      </c>
      <c r="E111" t="inlineStr">
        <is>
          <t>SOLLEFTEÅ</t>
        </is>
      </c>
      <c r="F111" t="inlineStr">
        <is>
          <t>SCA</t>
        </is>
      </c>
      <c r="G111" t="n">
        <v>11.2</v>
      </c>
      <c r="H111" t="n">
        <v>1</v>
      </c>
      <c r="I111" t="n">
        <v>3</v>
      </c>
      <c r="J111" t="n">
        <v>5</v>
      </c>
      <c r="K111" t="n">
        <v>1</v>
      </c>
      <c r="L111" t="n">
        <v>0</v>
      </c>
      <c r="M111" t="n">
        <v>0</v>
      </c>
      <c r="N111" t="n">
        <v>0</v>
      </c>
      <c r="O111" t="n">
        <v>6</v>
      </c>
      <c r="P111" t="n">
        <v>1</v>
      </c>
      <c r="Q111" t="n">
        <v>9</v>
      </c>
      <c r="R111" s="2" t="inlineStr">
        <is>
          <t>Knärot
Garnlav
Kolflarnlav
Lunglav
Skrovlig taggsvamp
Vaddporing
Dropptaggsvamp
Norrlandslav
Skarp dropptaggsvamp</t>
        </is>
      </c>
      <c r="S111">
        <f>HYPERLINK("https://klasma.github.io/Logging_2283/artfynd/A 40216-2024 artfynd.xlsx", "A 40216-2024")</f>
        <v/>
      </c>
      <c r="T111">
        <f>HYPERLINK("https://klasma.github.io/Logging_2283/kartor/A 40216-2024 karta.png", "A 40216-2024")</f>
        <v/>
      </c>
      <c r="U111">
        <f>HYPERLINK("https://klasma.github.io/Logging_2283/knärot/A 40216-2024 karta knärot.png", "A 40216-2024")</f>
        <v/>
      </c>
      <c r="V111">
        <f>HYPERLINK("https://klasma.github.io/Logging_2283/klagomål/A 40216-2024 FSC-klagomål.docx", "A 40216-2024")</f>
        <v/>
      </c>
      <c r="W111">
        <f>HYPERLINK("https://klasma.github.io/Logging_2283/klagomålsmail/A 40216-2024 FSC-klagomål mail.docx", "A 40216-2024")</f>
        <v/>
      </c>
      <c r="X111">
        <f>HYPERLINK("https://klasma.github.io/Logging_2283/tillsyn/A 40216-2024 tillsynsbegäran.docx", "A 40216-2024")</f>
        <v/>
      </c>
      <c r="Y111">
        <f>HYPERLINK("https://klasma.github.io/Logging_2283/tillsynsmail/A 40216-2024 tillsynsbegäran mail.docx", "A 40216-2024")</f>
        <v/>
      </c>
    </row>
    <row r="112" ht="15" customHeight="1">
      <c r="A112" t="inlineStr">
        <is>
          <t>A 57790-2024</t>
        </is>
      </c>
      <c r="B112" s="1" t="n">
        <v>45631</v>
      </c>
      <c r="C112" s="1" t="n">
        <v>45822</v>
      </c>
      <c r="D112" t="inlineStr">
        <is>
          <t>VÄSTERNORRLANDS LÄN</t>
        </is>
      </c>
      <c r="E112" t="inlineStr">
        <is>
          <t>SOLLEFTEÅ</t>
        </is>
      </c>
      <c r="G112" t="n">
        <v>4.7</v>
      </c>
      <c r="H112" t="n">
        <v>4</v>
      </c>
      <c r="I112" t="n">
        <v>2</v>
      </c>
      <c r="J112" t="n">
        <v>6</v>
      </c>
      <c r="K112" t="n">
        <v>1</v>
      </c>
      <c r="L112" t="n">
        <v>0</v>
      </c>
      <c r="M112" t="n">
        <v>0</v>
      </c>
      <c r="N112" t="n">
        <v>0</v>
      </c>
      <c r="O112" t="n">
        <v>7</v>
      </c>
      <c r="P112" t="n">
        <v>1</v>
      </c>
      <c r="Q112" t="n">
        <v>9</v>
      </c>
      <c r="R112" s="2" t="inlineStr">
        <is>
          <t>Knärot
Garnlav
Rosenticka
Spillkråka
Talltita
Tretåig hackspett
Ullticka
Norrlandslav
Vedticka</t>
        </is>
      </c>
      <c r="S112">
        <f>HYPERLINK("https://klasma.github.io/Logging_2283/artfynd/A 57790-2024 artfynd.xlsx", "A 57790-2024")</f>
        <v/>
      </c>
      <c r="T112">
        <f>HYPERLINK("https://klasma.github.io/Logging_2283/kartor/A 57790-2024 karta.png", "A 57790-2024")</f>
        <v/>
      </c>
      <c r="U112">
        <f>HYPERLINK("https://klasma.github.io/Logging_2283/knärot/A 57790-2024 karta knärot.png", "A 57790-2024")</f>
        <v/>
      </c>
      <c r="V112">
        <f>HYPERLINK("https://klasma.github.io/Logging_2283/klagomål/A 57790-2024 FSC-klagomål.docx", "A 57790-2024")</f>
        <v/>
      </c>
      <c r="W112">
        <f>HYPERLINK("https://klasma.github.io/Logging_2283/klagomålsmail/A 57790-2024 FSC-klagomål mail.docx", "A 57790-2024")</f>
        <v/>
      </c>
      <c r="X112">
        <f>HYPERLINK("https://klasma.github.io/Logging_2283/tillsyn/A 57790-2024 tillsynsbegäran.docx", "A 57790-2024")</f>
        <v/>
      </c>
      <c r="Y112">
        <f>HYPERLINK("https://klasma.github.io/Logging_2283/tillsynsmail/A 57790-2024 tillsynsbegäran mail.docx", "A 57790-2024")</f>
        <v/>
      </c>
      <c r="Z112">
        <f>HYPERLINK("https://klasma.github.io/Logging_2283/fåglar/A 57790-2024 prioriterade fågelarter.docx", "A 57790-2024")</f>
        <v/>
      </c>
    </row>
    <row r="113" ht="15" customHeight="1">
      <c r="A113" t="inlineStr">
        <is>
          <t>A 12146-2025</t>
        </is>
      </c>
      <c r="B113" s="1" t="n">
        <v>45729</v>
      </c>
      <c r="C113" s="1" t="n">
        <v>45822</v>
      </c>
      <c r="D113" t="inlineStr">
        <is>
          <t>VÄSTERNORRLANDS LÄN</t>
        </is>
      </c>
      <c r="E113" t="inlineStr">
        <is>
          <t>SOLLEFTEÅ</t>
        </is>
      </c>
      <c r="F113" t="inlineStr">
        <is>
          <t>SCA</t>
        </is>
      </c>
      <c r="G113" t="n">
        <v>7.4</v>
      </c>
      <c r="H113" t="n">
        <v>4</v>
      </c>
      <c r="I113" t="n">
        <v>1</v>
      </c>
      <c r="J113" t="n">
        <v>7</v>
      </c>
      <c r="K113" t="n">
        <v>0</v>
      </c>
      <c r="L113" t="n">
        <v>0</v>
      </c>
      <c r="M113" t="n">
        <v>0</v>
      </c>
      <c r="N113" t="n">
        <v>0</v>
      </c>
      <c r="O113" t="n">
        <v>7</v>
      </c>
      <c r="P113" t="n">
        <v>0</v>
      </c>
      <c r="Q113" t="n">
        <v>9</v>
      </c>
      <c r="R113" s="2" t="inlineStr">
        <is>
          <t>Gammelgransskål
Garnlav
Granticka
Harticka
Lunglav
Talltita
Tretåig hackspett
Lappranunkel
Tjäder</t>
        </is>
      </c>
      <c r="S113">
        <f>HYPERLINK("https://klasma.github.io/Logging_222283/artfynd/A 12146-2025 artfynd.xlsx", "A 12146-2025")</f>
        <v/>
      </c>
      <c r="T113">
        <f>HYPERLINK("https://klasma.github.io/Logging_222283/kartor/A 12146-2025 karta.png", "A 12146-2025")</f>
        <v/>
      </c>
      <c r="V113">
        <f>HYPERLINK("https://klasma.github.io/Logging_222283/klagomål/A 12146-2025 FSC-klagomål.docx", "A 12146-2025")</f>
        <v/>
      </c>
      <c r="W113">
        <f>HYPERLINK("https://klasma.github.io/Logging_222283/klagomålsmail/A 12146-2025 FSC-klagomål mail.docx", "A 12146-2025")</f>
        <v/>
      </c>
      <c r="X113">
        <f>HYPERLINK("https://klasma.github.io/Logging_222283/tillsyn/A 12146-2025 tillsynsbegäran.docx", "A 12146-2025")</f>
        <v/>
      </c>
      <c r="Y113">
        <f>HYPERLINK("https://klasma.github.io/Logging_222283/tillsynsmail/A 12146-2025 tillsynsbegäran mail.docx", "A 12146-2025")</f>
        <v/>
      </c>
      <c r="Z113">
        <f>HYPERLINK("https://klasma.github.io/Logging_222283/fåglar/A 12146-2025 prioriterade fågelarter.docx", "A 12146-2025")</f>
        <v/>
      </c>
    </row>
    <row r="114" ht="15" customHeight="1">
      <c r="A114" t="inlineStr">
        <is>
          <t>A 26655-2022</t>
        </is>
      </c>
      <c r="B114" s="1" t="n">
        <v>44739</v>
      </c>
      <c r="C114" s="1" t="n">
        <v>45822</v>
      </c>
      <c r="D114" t="inlineStr">
        <is>
          <t>VÄSTERNORRLANDS LÄN</t>
        </is>
      </c>
      <c r="E114" t="inlineStr">
        <is>
          <t>SOLLEFTEÅ</t>
        </is>
      </c>
      <c r="F114" t="inlineStr">
        <is>
          <t>Holmen skog AB</t>
        </is>
      </c>
      <c r="G114" t="n">
        <v>5.8</v>
      </c>
      <c r="H114" t="n">
        <v>2</v>
      </c>
      <c r="I114" t="n">
        <v>1</v>
      </c>
      <c r="J114" t="n">
        <v>5</v>
      </c>
      <c r="K114" t="n">
        <v>2</v>
      </c>
      <c r="L114" t="n">
        <v>0</v>
      </c>
      <c r="M114" t="n">
        <v>0</v>
      </c>
      <c r="N114" t="n">
        <v>0</v>
      </c>
      <c r="O114" t="n">
        <v>7</v>
      </c>
      <c r="P114" t="n">
        <v>2</v>
      </c>
      <c r="Q114" t="n">
        <v>8</v>
      </c>
      <c r="R114" s="2" t="inlineStr">
        <is>
          <t>Knärot
Ulltickeporing
Garnlav
Lunglav
Rosenticka
Talltita
Ullticka
Vedticka</t>
        </is>
      </c>
      <c r="S114">
        <f>HYPERLINK("https://klasma.github.io/Logging_2283/artfynd/A 26655-2022 artfynd.xlsx", "A 26655-2022")</f>
        <v/>
      </c>
      <c r="T114">
        <f>HYPERLINK("https://klasma.github.io/Logging_2283/kartor/A 26655-2022 karta.png", "A 26655-2022")</f>
        <v/>
      </c>
      <c r="U114">
        <f>HYPERLINK("https://klasma.github.io/Logging_2283/knärot/A 26655-2022 karta knärot.png", "A 26655-2022")</f>
        <v/>
      </c>
      <c r="V114">
        <f>HYPERLINK("https://klasma.github.io/Logging_2283/klagomål/A 26655-2022 FSC-klagomål.docx", "A 26655-2022")</f>
        <v/>
      </c>
      <c r="W114">
        <f>HYPERLINK("https://klasma.github.io/Logging_2283/klagomålsmail/A 26655-2022 FSC-klagomål mail.docx", "A 26655-2022")</f>
        <v/>
      </c>
      <c r="X114">
        <f>HYPERLINK("https://klasma.github.io/Logging_2283/tillsyn/A 26655-2022 tillsynsbegäran.docx", "A 26655-2022")</f>
        <v/>
      </c>
      <c r="Y114">
        <f>HYPERLINK("https://klasma.github.io/Logging_2283/tillsynsmail/A 26655-2022 tillsynsbegäran mail.docx", "A 26655-2022")</f>
        <v/>
      </c>
      <c r="Z114">
        <f>HYPERLINK("https://klasma.github.io/Logging_2283/fåglar/A 26655-2022 prioriterade fågelarter.docx", "A 26655-2022")</f>
        <v/>
      </c>
    </row>
    <row r="115" ht="15" customHeight="1">
      <c r="A115" t="inlineStr">
        <is>
          <t>A 21345-2023</t>
        </is>
      </c>
      <c r="B115" s="1" t="n">
        <v>45062</v>
      </c>
      <c r="C115" s="1" t="n">
        <v>45822</v>
      </c>
      <c r="D115" t="inlineStr">
        <is>
          <t>VÄSTERNORRLANDS LÄN</t>
        </is>
      </c>
      <c r="E115" t="inlineStr">
        <is>
          <t>SOLLEFTEÅ</t>
        </is>
      </c>
      <c r="F115" t="inlineStr">
        <is>
          <t>SCA</t>
        </is>
      </c>
      <c r="G115" t="n">
        <v>3.3</v>
      </c>
      <c r="H115" t="n">
        <v>2</v>
      </c>
      <c r="I115" t="n">
        <v>2</v>
      </c>
      <c r="J115" t="n">
        <v>6</v>
      </c>
      <c r="K115" t="n">
        <v>0</v>
      </c>
      <c r="L115" t="n">
        <v>0</v>
      </c>
      <c r="M115" t="n">
        <v>0</v>
      </c>
      <c r="N115" t="n">
        <v>0</v>
      </c>
      <c r="O115" t="n">
        <v>6</v>
      </c>
      <c r="P115" t="n">
        <v>0</v>
      </c>
      <c r="Q115" t="n">
        <v>8</v>
      </c>
      <c r="R115" s="2" t="inlineStr">
        <is>
          <t>Gammelgransskål
Kolflarnlav
Lunglav
Mörk kolflarnlav
Talltita
Ullticka
Korallrot
Stuplav</t>
        </is>
      </c>
      <c r="S115">
        <f>HYPERLINK("https://klasma.github.io/Logging_2283/artfynd/A 21345-2023 artfynd.xlsx", "A 21345-2023")</f>
        <v/>
      </c>
      <c r="T115">
        <f>HYPERLINK("https://klasma.github.io/Logging_2283/kartor/A 21345-2023 karta.png", "A 21345-2023")</f>
        <v/>
      </c>
      <c r="V115">
        <f>HYPERLINK("https://klasma.github.io/Logging_2283/klagomål/A 21345-2023 FSC-klagomål.docx", "A 21345-2023")</f>
        <v/>
      </c>
      <c r="W115">
        <f>HYPERLINK("https://klasma.github.io/Logging_2283/klagomålsmail/A 21345-2023 FSC-klagomål mail.docx", "A 21345-2023")</f>
        <v/>
      </c>
      <c r="X115">
        <f>HYPERLINK("https://klasma.github.io/Logging_2283/tillsyn/A 21345-2023 tillsynsbegäran.docx", "A 21345-2023")</f>
        <v/>
      </c>
      <c r="Y115">
        <f>HYPERLINK("https://klasma.github.io/Logging_2283/tillsynsmail/A 21345-2023 tillsynsbegäran mail.docx", "A 21345-2023")</f>
        <v/>
      </c>
      <c r="Z115">
        <f>HYPERLINK("https://klasma.github.io/Logging_2283/fåglar/A 21345-2023 prioriterade fågelarter.docx", "A 21345-2023")</f>
        <v/>
      </c>
    </row>
    <row r="116" ht="15" customHeight="1">
      <c r="A116" t="inlineStr">
        <is>
          <t>A 29620-2023</t>
        </is>
      </c>
      <c r="B116" s="1" t="n">
        <v>45106</v>
      </c>
      <c r="C116" s="1" t="n">
        <v>45822</v>
      </c>
      <c r="D116" t="inlineStr">
        <is>
          <t>VÄSTERNORRLANDS LÄN</t>
        </is>
      </c>
      <c r="E116" t="inlineStr">
        <is>
          <t>SOLLEFTEÅ</t>
        </is>
      </c>
      <c r="F116" t="inlineStr">
        <is>
          <t>SCA</t>
        </is>
      </c>
      <c r="G116" t="n">
        <v>8.300000000000001</v>
      </c>
      <c r="H116" t="n">
        <v>4</v>
      </c>
      <c r="I116" t="n">
        <v>3</v>
      </c>
      <c r="J116" t="n">
        <v>3</v>
      </c>
      <c r="K116" t="n">
        <v>0</v>
      </c>
      <c r="L116" t="n">
        <v>0</v>
      </c>
      <c r="M116" t="n">
        <v>0</v>
      </c>
      <c r="N116" t="n">
        <v>0</v>
      </c>
      <c r="O116" t="n">
        <v>3</v>
      </c>
      <c r="P116" t="n">
        <v>0</v>
      </c>
      <c r="Q116" t="n">
        <v>8</v>
      </c>
      <c r="R116" s="2" t="inlineStr">
        <is>
          <t>Granticka
Rosenticka
Ullticka
Korallrot
Skinnlav
Spindelblomster
Fläcknycklar
Revlummer</t>
        </is>
      </c>
      <c r="S116">
        <f>HYPERLINK("https://klasma.github.io/Logging_2283/artfynd/A 29620-2023 artfynd.xlsx", "A 29620-2023")</f>
        <v/>
      </c>
      <c r="T116">
        <f>HYPERLINK("https://klasma.github.io/Logging_2283/kartor/A 29620-2023 karta.png", "A 29620-2023")</f>
        <v/>
      </c>
      <c r="V116">
        <f>HYPERLINK("https://klasma.github.io/Logging_2283/klagomål/A 29620-2023 FSC-klagomål.docx", "A 29620-2023")</f>
        <v/>
      </c>
      <c r="W116">
        <f>HYPERLINK("https://klasma.github.io/Logging_2283/klagomålsmail/A 29620-2023 FSC-klagomål mail.docx", "A 29620-2023")</f>
        <v/>
      </c>
      <c r="X116">
        <f>HYPERLINK("https://klasma.github.io/Logging_2283/tillsyn/A 29620-2023 tillsynsbegäran.docx", "A 29620-2023")</f>
        <v/>
      </c>
      <c r="Y116">
        <f>HYPERLINK("https://klasma.github.io/Logging_2283/tillsynsmail/A 29620-2023 tillsynsbegäran mail.docx", "A 29620-2023")</f>
        <v/>
      </c>
    </row>
    <row r="117" ht="15" customHeight="1">
      <c r="A117" t="inlineStr">
        <is>
          <t>A 32200-2023</t>
        </is>
      </c>
      <c r="B117" s="1" t="n">
        <v>45119</v>
      </c>
      <c r="C117" s="1" t="n">
        <v>45822</v>
      </c>
      <c r="D117" t="inlineStr">
        <is>
          <t>VÄSTERNORRLANDS LÄN</t>
        </is>
      </c>
      <c r="E117" t="inlineStr">
        <is>
          <t>SOLLEFTEÅ</t>
        </is>
      </c>
      <c r="G117" t="n">
        <v>1.5</v>
      </c>
      <c r="H117" t="n">
        <v>3</v>
      </c>
      <c r="I117" t="n">
        <v>2</v>
      </c>
      <c r="J117" t="n">
        <v>5</v>
      </c>
      <c r="K117" t="n">
        <v>1</v>
      </c>
      <c r="L117" t="n">
        <v>0</v>
      </c>
      <c r="M117" t="n">
        <v>0</v>
      </c>
      <c r="N117" t="n">
        <v>0</v>
      </c>
      <c r="O117" t="n">
        <v>6</v>
      </c>
      <c r="P117" t="n">
        <v>1</v>
      </c>
      <c r="Q117" t="n">
        <v>8</v>
      </c>
      <c r="R117" s="2" t="inlineStr">
        <is>
          <t>Knärot
Garnlav
Rosenticka
Spillkråka
Tretåig hackspett
Ullticka
Grönpyrola
Vedticka</t>
        </is>
      </c>
      <c r="S117">
        <f>HYPERLINK("https://klasma.github.io/Logging_2283/artfynd/A 32200-2023 artfynd.xlsx", "A 32200-2023")</f>
        <v/>
      </c>
      <c r="T117">
        <f>HYPERLINK("https://klasma.github.io/Logging_2283/kartor/A 32200-2023 karta.png", "A 32200-2023")</f>
        <v/>
      </c>
      <c r="U117">
        <f>HYPERLINK("https://klasma.github.io/Logging_2283/knärot/A 32200-2023 karta knärot.png", "A 32200-2023")</f>
        <v/>
      </c>
      <c r="V117">
        <f>HYPERLINK("https://klasma.github.io/Logging_2283/klagomål/A 32200-2023 FSC-klagomål.docx", "A 32200-2023")</f>
        <v/>
      </c>
      <c r="W117">
        <f>HYPERLINK("https://klasma.github.io/Logging_2283/klagomålsmail/A 32200-2023 FSC-klagomål mail.docx", "A 32200-2023")</f>
        <v/>
      </c>
      <c r="X117">
        <f>HYPERLINK("https://klasma.github.io/Logging_2283/tillsyn/A 32200-2023 tillsynsbegäran.docx", "A 32200-2023")</f>
        <v/>
      </c>
      <c r="Y117">
        <f>HYPERLINK("https://klasma.github.io/Logging_2283/tillsynsmail/A 32200-2023 tillsynsbegäran mail.docx", "A 32200-2023")</f>
        <v/>
      </c>
      <c r="Z117">
        <f>HYPERLINK("https://klasma.github.io/Logging_2283/fåglar/A 32200-2023 prioriterade fågelarter.docx", "A 32200-2023")</f>
        <v/>
      </c>
    </row>
    <row r="118" ht="15" customHeight="1">
      <c r="A118" t="inlineStr">
        <is>
          <t>A 39071-2023</t>
        </is>
      </c>
      <c r="B118" s="1" t="n">
        <v>45163</v>
      </c>
      <c r="C118" s="1" t="n">
        <v>45822</v>
      </c>
      <c r="D118" t="inlineStr">
        <is>
          <t>VÄSTERNORRLANDS LÄN</t>
        </is>
      </c>
      <c r="E118" t="inlineStr">
        <is>
          <t>SOLLEFTEÅ</t>
        </is>
      </c>
      <c r="F118" t="inlineStr">
        <is>
          <t>SCA</t>
        </is>
      </c>
      <c r="G118" t="n">
        <v>16.5</v>
      </c>
      <c r="H118" t="n">
        <v>1</v>
      </c>
      <c r="I118" t="n">
        <v>1</v>
      </c>
      <c r="J118" t="n">
        <v>6</v>
      </c>
      <c r="K118" t="n">
        <v>1</v>
      </c>
      <c r="L118" t="n">
        <v>0</v>
      </c>
      <c r="M118" t="n">
        <v>0</v>
      </c>
      <c r="N118" t="n">
        <v>0</v>
      </c>
      <c r="O118" t="n">
        <v>7</v>
      </c>
      <c r="P118" t="n">
        <v>1</v>
      </c>
      <c r="Q118" t="n">
        <v>8</v>
      </c>
      <c r="R118" s="2" t="inlineStr">
        <is>
          <t>Rynkskinn
Gammelgransskål
Granticka
Leptoporus mollis
Rosenticka
Spillkråka
Ullticka
Vedticka</t>
        </is>
      </c>
      <c r="S118">
        <f>HYPERLINK("https://klasma.github.io/Logging_2283/artfynd/A 39071-2023 artfynd.xlsx", "A 39071-2023")</f>
        <v/>
      </c>
      <c r="T118">
        <f>HYPERLINK("https://klasma.github.io/Logging_2283/kartor/A 39071-2023 karta.png", "A 39071-2023")</f>
        <v/>
      </c>
      <c r="V118">
        <f>HYPERLINK("https://klasma.github.io/Logging_2283/klagomål/A 39071-2023 FSC-klagomål.docx", "A 39071-2023")</f>
        <v/>
      </c>
      <c r="W118">
        <f>HYPERLINK("https://klasma.github.io/Logging_2283/klagomålsmail/A 39071-2023 FSC-klagomål mail.docx", "A 39071-2023")</f>
        <v/>
      </c>
      <c r="X118">
        <f>HYPERLINK("https://klasma.github.io/Logging_2283/tillsyn/A 39071-2023 tillsynsbegäran.docx", "A 39071-2023")</f>
        <v/>
      </c>
      <c r="Y118">
        <f>HYPERLINK("https://klasma.github.io/Logging_2283/tillsynsmail/A 39071-2023 tillsynsbegäran mail.docx", "A 39071-2023")</f>
        <v/>
      </c>
      <c r="Z118">
        <f>HYPERLINK("https://klasma.github.io/Logging_2283/fåglar/A 39071-2023 prioriterade fågelarter.docx", "A 39071-2023")</f>
        <v/>
      </c>
    </row>
    <row r="119" ht="15" customHeight="1">
      <c r="A119" t="inlineStr">
        <is>
          <t>A 64131-2023</t>
        </is>
      </c>
      <c r="B119" s="1" t="n">
        <v>45279</v>
      </c>
      <c r="C119" s="1" t="n">
        <v>45822</v>
      </c>
      <c r="D119" t="inlineStr">
        <is>
          <t>VÄSTERNORRLANDS LÄN</t>
        </is>
      </c>
      <c r="E119" t="inlineStr">
        <is>
          <t>SOLLEFTEÅ</t>
        </is>
      </c>
      <c r="G119" t="n">
        <v>12.9</v>
      </c>
      <c r="H119" t="n">
        <v>2</v>
      </c>
      <c r="I119" t="n">
        <v>2</v>
      </c>
      <c r="J119" t="n">
        <v>4</v>
      </c>
      <c r="K119" t="n">
        <v>2</v>
      </c>
      <c r="L119" t="n">
        <v>0</v>
      </c>
      <c r="M119" t="n">
        <v>0</v>
      </c>
      <c r="N119" t="n">
        <v>0</v>
      </c>
      <c r="O119" t="n">
        <v>6</v>
      </c>
      <c r="P119" t="n">
        <v>2</v>
      </c>
      <c r="Q119" t="n">
        <v>8</v>
      </c>
      <c r="R119" s="2" t="inlineStr">
        <is>
          <t>Knärot
Rynkskinn
Lunglav
Rosenticka
Talltita
Ullticka
Grönpyrola
Vedticka</t>
        </is>
      </c>
      <c r="S119">
        <f>HYPERLINK("https://klasma.github.io/Logging_2283/artfynd/A 64131-2023 artfynd.xlsx", "A 64131-2023")</f>
        <v/>
      </c>
      <c r="T119">
        <f>HYPERLINK("https://klasma.github.io/Logging_2283/kartor/A 64131-2023 karta.png", "A 64131-2023")</f>
        <v/>
      </c>
      <c r="U119">
        <f>HYPERLINK("https://klasma.github.io/Logging_2283/knärot/A 64131-2023 karta knärot.png", "A 64131-2023")</f>
        <v/>
      </c>
      <c r="V119">
        <f>HYPERLINK("https://klasma.github.io/Logging_2283/klagomål/A 64131-2023 FSC-klagomål.docx", "A 64131-2023")</f>
        <v/>
      </c>
      <c r="W119">
        <f>HYPERLINK("https://klasma.github.io/Logging_2283/klagomålsmail/A 64131-2023 FSC-klagomål mail.docx", "A 64131-2023")</f>
        <v/>
      </c>
      <c r="X119">
        <f>HYPERLINK("https://klasma.github.io/Logging_2283/tillsyn/A 64131-2023 tillsynsbegäran.docx", "A 64131-2023")</f>
        <v/>
      </c>
      <c r="Y119">
        <f>HYPERLINK("https://klasma.github.io/Logging_2283/tillsynsmail/A 64131-2023 tillsynsbegäran mail.docx", "A 64131-2023")</f>
        <v/>
      </c>
      <c r="Z119">
        <f>HYPERLINK("https://klasma.github.io/Logging_2283/fåglar/A 64131-2023 prioriterade fågelarter.docx", "A 64131-2023")</f>
        <v/>
      </c>
    </row>
    <row r="120" ht="15" customHeight="1">
      <c r="A120" t="inlineStr">
        <is>
          <t>A 5310-2024</t>
        </is>
      </c>
      <c r="B120" s="1" t="n">
        <v>45331</v>
      </c>
      <c r="C120" s="1" t="n">
        <v>45822</v>
      </c>
      <c r="D120" t="inlineStr">
        <is>
          <t>VÄSTERNORRLANDS LÄN</t>
        </is>
      </c>
      <c r="E120" t="inlineStr">
        <is>
          <t>SOLLEFTEÅ</t>
        </is>
      </c>
      <c r="G120" t="n">
        <v>8.5</v>
      </c>
      <c r="H120" t="n">
        <v>2</v>
      </c>
      <c r="I120" t="n">
        <v>3</v>
      </c>
      <c r="J120" t="n">
        <v>4</v>
      </c>
      <c r="K120" t="n">
        <v>1</v>
      </c>
      <c r="L120" t="n">
        <v>0</v>
      </c>
      <c r="M120" t="n">
        <v>0</v>
      </c>
      <c r="N120" t="n">
        <v>0</v>
      </c>
      <c r="O120" t="n">
        <v>5</v>
      </c>
      <c r="P120" t="n">
        <v>1</v>
      </c>
      <c r="Q120" t="n">
        <v>8</v>
      </c>
      <c r="R120" s="2" t="inlineStr">
        <is>
          <t>Knärot
Garnlav
Kortskaftad ärgspik
Rosenticka
Talltita
Barkticka
Bronshjon
Luddlav</t>
        </is>
      </c>
      <c r="S120">
        <f>HYPERLINK("https://klasma.github.io/Logging_2283/artfynd/A 5310-2024 artfynd.xlsx", "A 5310-2024")</f>
        <v/>
      </c>
      <c r="T120">
        <f>HYPERLINK("https://klasma.github.io/Logging_2283/kartor/A 5310-2024 karta.png", "A 5310-2024")</f>
        <v/>
      </c>
      <c r="U120">
        <f>HYPERLINK("https://klasma.github.io/Logging_2283/knärot/A 5310-2024 karta knärot.png", "A 5310-2024")</f>
        <v/>
      </c>
      <c r="V120">
        <f>HYPERLINK("https://klasma.github.io/Logging_2283/klagomål/A 5310-2024 FSC-klagomål.docx", "A 5310-2024")</f>
        <v/>
      </c>
      <c r="W120">
        <f>HYPERLINK("https://klasma.github.io/Logging_2283/klagomålsmail/A 5310-2024 FSC-klagomål mail.docx", "A 5310-2024")</f>
        <v/>
      </c>
      <c r="X120">
        <f>HYPERLINK("https://klasma.github.io/Logging_2283/tillsyn/A 5310-2024 tillsynsbegäran.docx", "A 5310-2024")</f>
        <v/>
      </c>
      <c r="Y120">
        <f>HYPERLINK("https://klasma.github.io/Logging_2283/tillsynsmail/A 5310-2024 tillsynsbegäran mail.docx", "A 5310-2024")</f>
        <v/>
      </c>
      <c r="Z120">
        <f>HYPERLINK("https://klasma.github.io/Logging_2283/fåglar/A 5310-2024 prioriterade fågelarter.docx", "A 5310-2024")</f>
        <v/>
      </c>
    </row>
    <row r="121" ht="15" customHeight="1">
      <c r="A121" t="inlineStr">
        <is>
          <t>A 11540-2024</t>
        </is>
      </c>
      <c r="B121" s="1" t="n">
        <v>45372</v>
      </c>
      <c r="C121" s="1" t="n">
        <v>45822</v>
      </c>
      <c r="D121" t="inlineStr">
        <is>
          <t>VÄSTERNORRLANDS LÄN</t>
        </is>
      </c>
      <c r="E121" t="inlineStr">
        <is>
          <t>SOLLEFTEÅ</t>
        </is>
      </c>
      <c r="F121" t="inlineStr">
        <is>
          <t>SCA</t>
        </is>
      </c>
      <c r="G121" t="n">
        <v>2.2</v>
      </c>
      <c r="H121" t="n">
        <v>8</v>
      </c>
      <c r="I121" t="n">
        <v>1</v>
      </c>
      <c r="J121" t="n">
        <v>2</v>
      </c>
      <c r="K121" t="n">
        <v>1</v>
      </c>
      <c r="L121" t="n">
        <v>0</v>
      </c>
      <c r="M121" t="n">
        <v>0</v>
      </c>
      <c r="N121" t="n">
        <v>0</v>
      </c>
      <c r="O121" t="n">
        <v>3</v>
      </c>
      <c r="P121" t="n">
        <v>1</v>
      </c>
      <c r="Q121" t="n">
        <v>8</v>
      </c>
      <c r="R121" s="2" t="inlineStr">
        <is>
          <t>Knärot
Björktrast
Tretåig hackspett
Plattlummer
Grönsiska
Kungsfågel
Tjäder
Revlummer</t>
        </is>
      </c>
      <c r="S121">
        <f>HYPERLINK("https://klasma.github.io/Logging_2283/artfynd/A 11540-2024 artfynd.xlsx", "A 11540-2024")</f>
        <v/>
      </c>
      <c r="T121">
        <f>HYPERLINK("https://klasma.github.io/Logging_2283/kartor/A 11540-2024 karta.png", "A 11540-2024")</f>
        <v/>
      </c>
      <c r="U121">
        <f>HYPERLINK("https://klasma.github.io/Logging_2283/knärot/A 11540-2024 karta knärot.png", "A 11540-2024")</f>
        <v/>
      </c>
      <c r="V121">
        <f>HYPERLINK("https://klasma.github.io/Logging_2283/klagomål/A 11540-2024 FSC-klagomål.docx", "A 11540-2024")</f>
        <v/>
      </c>
      <c r="W121">
        <f>HYPERLINK("https://klasma.github.io/Logging_2283/klagomålsmail/A 11540-2024 FSC-klagomål mail.docx", "A 11540-2024")</f>
        <v/>
      </c>
      <c r="X121">
        <f>HYPERLINK("https://klasma.github.io/Logging_2283/tillsyn/A 11540-2024 tillsynsbegäran.docx", "A 11540-2024")</f>
        <v/>
      </c>
      <c r="Y121">
        <f>HYPERLINK("https://klasma.github.io/Logging_2283/tillsynsmail/A 11540-2024 tillsynsbegäran mail.docx", "A 11540-2024")</f>
        <v/>
      </c>
      <c r="Z121">
        <f>HYPERLINK("https://klasma.github.io/Logging_2283/fåglar/A 11540-2024 prioriterade fågelarter.docx", "A 11540-2024")</f>
        <v/>
      </c>
    </row>
    <row r="122" ht="15" customHeight="1">
      <c r="A122" t="inlineStr">
        <is>
          <t>A 24459-2024</t>
        </is>
      </c>
      <c r="B122" s="1" t="n">
        <v>45458</v>
      </c>
      <c r="C122" s="1" t="n">
        <v>45822</v>
      </c>
      <c r="D122" t="inlineStr">
        <is>
          <t>VÄSTERNORRLANDS LÄN</t>
        </is>
      </c>
      <c r="E122" t="inlineStr">
        <is>
          <t>SOLLEFTEÅ</t>
        </is>
      </c>
      <c r="F122" t="inlineStr">
        <is>
          <t>SCA</t>
        </is>
      </c>
      <c r="G122" t="n">
        <v>6.1</v>
      </c>
      <c r="H122" t="n">
        <v>0</v>
      </c>
      <c r="I122" t="n">
        <v>2</v>
      </c>
      <c r="J122" t="n">
        <v>6</v>
      </c>
      <c r="K122" t="n">
        <v>0</v>
      </c>
      <c r="L122" t="n">
        <v>0</v>
      </c>
      <c r="M122" t="n">
        <v>0</v>
      </c>
      <c r="N122" t="n">
        <v>0</v>
      </c>
      <c r="O122" t="n">
        <v>6</v>
      </c>
      <c r="P122" t="n">
        <v>0</v>
      </c>
      <c r="Q122" t="n">
        <v>8</v>
      </c>
      <c r="R122" s="2" t="inlineStr">
        <is>
          <t>Garnlav
Granticka
Lunglav
Rosenticka
Rödbrun blekspik
Ullticka
Luddlav
Vedticka</t>
        </is>
      </c>
      <c r="S122">
        <f>HYPERLINK("https://klasma.github.io/Logging_2283/artfynd/A 24459-2024 artfynd.xlsx", "A 24459-2024")</f>
        <v/>
      </c>
      <c r="T122">
        <f>HYPERLINK("https://klasma.github.io/Logging_2283/kartor/A 24459-2024 karta.png", "A 24459-2024")</f>
        <v/>
      </c>
      <c r="V122">
        <f>HYPERLINK("https://klasma.github.io/Logging_2283/klagomål/A 24459-2024 FSC-klagomål.docx", "A 24459-2024")</f>
        <v/>
      </c>
      <c r="W122">
        <f>HYPERLINK("https://klasma.github.io/Logging_2283/klagomålsmail/A 24459-2024 FSC-klagomål mail.docx", "A 24459-2024")</f>
        <v/>
      </c>
      <c r="X122">
        <f>HYPERLINK("https://klasma.github.io/Logging_2283/tillsyn/A 24459-2024 tillsynsbegäran.docx", "A 24459-2024")</f>
        <v/>
      </c>
      <c r="Y122">
        <f>HYPERLINK("https://klasma.github.io/Logging_2283/tillsynsmail/A 24459-2024 tillsynsbegäran mail.docx", "A 24459-2024")</f>
        <v/>
      </c>
    </row>
    <row r="123" ht="15" customHeight="1">
      <c r="A123" t="inlineStr">
        <is>
          <t>A 26946-2024</t>
        </is>
      </c>
      <c r="B123" s="1" t="n">
        <v>45471</v>
      </c>
      <c r="C123" s="1" t="n">
        <v>45822</v>
      </c>
      <c r="D123" t="inlineStr">
        <is>
          <t>VÄSTERNORRLANDS LÄN</t>
        </is>
      </c>
      <c r="E123" t="inlineStr">
        <is>
          <t>SOLLEFTEÅ</t>
        </is>
      </c>
      <c r="F123" t="inlineStr">
        <is>
          <t>SCA</t>
        </is>
      </c>
      <c r="G123" t="n">
        <v>11</v>
      </c>
      <c r="H123" t="n">
        <v>5</v>
      </c>
      <c r="I123" t="n">
        <v>0</v>
      </c>
      <c r="J123" t="n">
        <v>6</v>
      </c>
      <c r="K123" t="n">
        <v>1</v>
      </c>
      <c r="L123" t="n">
        <v>0</v>
      </c>
      <c r="M123" t="n">
        <v>0</v>
      </c>
      <c r="N123" t="n">
        <v>0</v>
      </c>
      <c r="O123" t="n">
        <v>7</v>
      </c>
      <c r="P123" t="n">
        <v>1</v>
      </c>
      <c r="Q123" t="n">
        <v>8</v>
      </c>
      <c r="R123" s="2" t="inlineStr">
        <is>
          <t>Knärot
Järpe
Kolflarnlav
Lunglav
Skrovellav
Talltita
Tretåig hackspett
Orre</t>
        </is>
      </c>
      <c r="S123">
        <f>HYPERLINK("https://klasma.github.io/Logging_2283/artfynd/A 26946-2024 artfynd.xlsx", "A 26946-2024")</f>
        <v/>
      </c>
      <c r="T123">
        <f>HYPERLINK("https://klasma.github.io/Logging_2283/kartor/A 26946-2024 karta.png", "A 26946-2024")</f>
        <v/>
      </c>
      <c r="U123">
        <f>HYPERLINK("https://klasma.github.io/Logging_2283/knärot/A 26946-2024 karta knärot.png", "A 26946-2024")</f>
        <v/>
      </c>
      <c r="V123">
        <f>HYPERLINK("https://klasma.github.io/Logging_2283/klagomål/A 26946-2024 FSC-klagomål.docx", "A 26946-2024")</f>
        <v/>
      </c>
      <c r="W123">
        <f>HYPERLINK("https://klasma.github.io/Logging_2283/klagomålsmail/A 26946-2024 FSC-klagomål mail.docx", "A 26946-2024")</f>
        <v/>
      </c>
      <c r="X123">
        <f>HYPERLINK("https://klasma.github.io/Logging_2283/tillsyn/A 26946-2024 tillsynsbegäran.docx", "A 26946-2024")</f>
        <v/>
      </c>
      <c r="Y123">
        <f>HYPERLINK("https://klasma.github.io/Logging_2283/tillsynsmail/A 26946-2024 tillsynsbegäran mail.docx", "A 26946-2024")</f>
        <v/>
      </c>
      <c r="Z123">
        <f>HYPERLINK("https://klasma.github.io/Logging_2283/fåglar/A 26946-2024 prioriterade fågelarter.docx", "A 26946-2024")</f>
        <v/>
      </c>
    </row>
    <row r="124" ht="15" customHeight="1">
      <c r="A124" t="inlineStr">
        <is>
          <t>A 38294-2024</t>
        </is>
      </c>
      <c r="B124" s="1" t="n">
        <v>45545</v>
      </c>
      <c r="C124" s="1" t="n">
        <v>45822</v>
      </c>
      <c r="D124" t="inlineStr">
        <is>
          <t>VÄSTERNORRLANDS LÄN</t>
        </is>
      </c>
      <c r="E124" t="inlineStr">
        <is>
          <t>SOLLEFTEÅ</t>
        </is>
      </c>
      <c r="F124" t="inlineStr">
        <is>
          <t>Kommuner</t>
        </is>
      </c>
      <c r="G124" t="n">
        <v>18.8</v>
      </c>
      <c r="H124" t="n">
        <v>5</v>
      </c>
      <c r="I124" t="n">
        <v>0</v>
      </c>
      <c r="J124" t="n">
        <v>6</v>
      </c>
      <c r="K124" t="n">
        <v>1</v>
      </c>
      <c r="L124" t="n">
        <v>0</v>
      </c>
      <c r="M124" t="n">
        <v>0</v>
      </c>
      <c r="N124" t="n">
        <v>0</v>
      </c>
      <c r="O124" t="n">
        <v>7</v>
      </c>
      <c r="P124" t="n">
        <v>1</v>
      </c>
      <c r="Q124" t="n">
        <v>8</v>
      </c>
      <c r="R124" s="2" t="inlineStr">
        <is>
          <t>Knärot
Garnlav
Granticka
Spillkråka
Talltita
Tretåig hackspett
Ullticka
Revlummer</t>
        </is>
      </c>
      <c r="S124">
        <f>HYPERLINK("https://klasma.github.io/Logging_2283/artfynd/A 38294-2024 artfynd.xlsx", "A 38294-2024")</f>
        <v/>
      </c>
      <c r="T124">
        <f>HYPERLINK("https://klasma.github.io/Logging_2283/kartor/A 38294-2024 karta.png", "A 38294-2024")</f>
        <v/>
      </c>
      <c r="U124">
        <f>HYPERLINK("https://klasma.github.io/Logging_2283/knärot/A 38294-2024 karta knärot.png", "A 38294-2024")</f>
        <v/>
      </c>
      <c r="V124">
        <f>HYPERLINK("https://klasma.github.io/Logging_2283/klagomål/A 38294-2024 FSC-klagomål.docx", "A 38294-2024")</f>
        <v/>
      </c>
      <c r="W124">
        <f>HYPERLINK("https://klasma.github.io/Logging_2283/klagomålsmail/A 38294-2024 FSC-klagomål mail.docx", "A 38294-2024")</f>
        <v/>
      </c>
      <c r="X124">
        <f>HYPERLINK("https://klasma.github.io/Logging_2283/tillsyn/A 38294-2024 tillsynsbegäran.docx", "A 38294-2024")</f>
        <v/>
      </c>
      <c r="Y124">
        <f>HYPERLINK("https://klasma.github.io/Logging_2283/tillsynsmail/A 38294-2024 tillsynsbegäran mail.docx", "A 38294-2024")</f>
        <v/>
      </c>
      <c r="Z124">
        <f>HYPERLINK("https://klasma.github.io/Logging_2283/fåglar/A 38294-2024 prioriterade fågelarter.docx", "A 38294-2024")</f>
        <v/>
      </c>
    </row>
    <row r="125" ht="15" customHeight="1">
      <c r="A125" t="inlineStr">
        <is>
          <t>A 40075-2024</t>
        </is>
      </c>
      <c r="B125" s="1" t="n">
        <v>45554</v>
      </c>
      <c r="C125" s="1" t="n">
        <v>45822</v>
      </c>
      <c r="D125" t="inlineStr">
        <is>
          <t>VÄSTERNORRLANDS LÄN</t>
        </is>
      </c>
      <c r="E125" t="inlineStr">
        <is>
          <t>SOLLEFTEÅ</t>
        </is>
      </c>
      <c r="F125" t="inlineStr">
        <is>
          <t>SCA</t>
        </is>
      </c>
      <c r="G125" t="n">
        <v>12.1</v>
      </c>
      <c r="H125" t="n">
        <v>3</v>
      </c>
      <c r="I125" t="n">
        <v>0</v>
      </c>
      <c r="J125" t="n">
        <v>7</v>
      </c>
      <c r="K125" t="n">
        <v>1</v>
      </c>
      <c r="L125" t="n">
        <v>0</v>
      </c>
      <c r="M125" t="n">
        <v>0</v>
      </c>
      <c r="N125" t="n">
        <v>0</v>
      </c>
      <c r="O125" t="n">
        <v>8</v>
      </c>
      <c r="P125" t="n">
        <v>1</v>
      </c>
      <c r="Q125" t="n">
        <v>8</v>
      </c>
      <c r="R125" s="2" t="inlineStr">
        <is>
          <t>Knärot
Gammelgransskål
Granticka
Järpe
Koralltaggsvamp
Lunglav
Tretåig hackspett
Ullticka</t>
        </is>
      </c>
      <c r="S125">
        <f>HYPERLINK("https://klasma.github.io/Logging_2283/artfynd/A 40075-2024 artfynd.xlsx", "A 40075-2024")</f>
        <v/>
      </c>
      <c r="T125">
        <f>HYPERLINK("https://klasma.github.io/Logging_2283/kartor/A 40075-2024 karta.png", "A 40075-2024")</f>
        <v/>
      </c>
      <c r="U125">
        <f>HYPERLINK("https://klasma.github.io/Logging_2283/knärot/A 40075-2024 karta knärot.png", "A 40075-2024")</f>
        <v/>
      </c>
      <c r="V125">
        <f>HYPERLINK("https://klasma.github.io/Logging_2283/klagomål/A 40075-2024 FSC-klagomål.docx", "A 40075-2024")</f>
        <v/>
      </c>
      <c r="W125">
        <f>HYPERLINK("https://klasma.github.io/Logging_2283/klagomålsmail/A 40075-2024 FSC-klagomål mail.docx", "A 40075-2024")</f>
        <v/>
      </c>
      <c r="X125">
        <f>HYPERLINK("https://klasma.github.io/Logging_2283/tillsyn/A 40075-2024 tillsynsbegäran.docx", "A 40075-2024")</f>
        <v/>
      </c>
      <c r="Y125">
        <f>HYPERLINK("https://klasma.github.io/Logging_2283/tillsynsmail/A 40075-2024 tillsynsbegäran mail.docx", "A 40075-2024")</f>
        <v/>
      </c>
      <c r="Z125">
        <f>HYPERLINK("https://klasma.github.io/Logging_2283/fåglar/A 40075-2024 prioriterade fågelarter.docx", "A 40075-2024")</f>
        <v/>
      </c>
    </row>
    <row r="126" ht="15" customHeight="1">
      <c r="A126" t="inlineStr">
        <is>
          <t>A 57317-2024</t>
        </is>
      </c>
      <c r="B126" s="1" t="n">
        <v>45629</v>
      </c>
      <c r="C126" s="1" t="n">
        <v>45822</v>
      </c>
      <c r="D126" t="inlineStr">
        <is>
          <t>VÄSTERNORRLANDS LÄN</t>
        </is>
      </c>
      <c r="E126" t="inlineStr">
        <is>
          <t>SOLLEFTEÅ</t>
        </is>
      </c>
      <c r="F126" t="inlineStr">
        <is>
          <t>SCA</t>
        </is>
      </c>
      <c r="G126" t="n">
        <v>4</v>
      </c>
      <c r="H126" t="n">
        <v>3</v>
      </c>
      <c r="I126" t="n">
        <v>0</v>
      </c>
      <c r="J126" t="n">
        <v>7</v>
      </c>
      <c r="K126" t="n">
        <v>1</v>
      </c>
      <c r="L126" t="n">
        <v>0</v>
      </c>
      <c r="M126" t="n">
        <v>0</v>
      </c>
      <c r="N126" t="n">
        <v>0</v>
      </c>
      <c r="O126" t="n">
        <v>8</v>
      </c>
      <c r="P126" t="n">
        <v>1</v>
      </c>
      <c r="Q126" t="n">
        <v>8</v>
      </c>
      <c r="R126" s="2" t="inlineStr">
        <is>
          <t>Knärot
Gammelgransskål
Garnlav
Granticka
Lunglav
Spillkråka
Tretåig hackspett
Ullticka</t>
        </is>
      </c>
      <c r="S126">
        <f>HYPERLINK("https://klasma.github.io/Logging_2283/artfynd/A 57317-2024 artfynd.xlsx", "A 57317-2024")</f>
        <v/>
      </c>
      <c r="T126">
        <f>HYPERLINK("https://klasma.github.io/Logging_2283/kartor/A 57317-2024 karta.png", "A 57317-2024")</f>
        <v/>
      </c>
      <c r="U126">
        <f>HYPERLINK("https://klasma.github.io/Logging_2283/knärot/A 57317-2024 karta knärot.png", "A 57317-2024")</f>
        <v/>
      </c>
      <c r="V126">
        <f>HYPERLINK("https://klasma.github.io/Logging_2283/klagomål/A 57317-2024 FSC-klagomål.docx", "A 57317-2024")</f>
        <v/>
      </c>
      <c r="W126">
        <f>HYPERLINK("https://klasma.github.io/Logging_2283/klagomålsmail/A 57317-2024 FSC-klagomål mail.docx", "A 57317-2024")</f>
        <v/>
      </c>
      <c r="X126">
        <f>HYPERLINK("https://klasma.github.io/Logging_2283/tillsyn/A 57317-2024 tillsynsbegäran.docx", "A 57317-2024")</f>
        <v/>
      </c>
      <c r="Y126">
        <f>HYPERLINK("https://klasma.github.io/Logging_2283/tillsynsmail/A 57317-2024 tillsynsbegäran mail.docx", "A 57317-2024")</f>
        <v/>
      </c>
      <c r="Z126">
        <f>HYPERLINK("https://klasma.github.io/Logging_2283/fåglar/A 57317-2024 prioriterade fågelarter.docx", "A 57317-2024")</f>
        <v/>
      </c>
    </row>
    <row r="127" ht="15" customHeight="1">
      <c r="A127" t="inlineStr">
        <is>
          <t>A 4930-2025</t>
        </is>
      </c>
      <c r="B127" s="1" t="n">
        <v>45688</v>
      </c>
      <c r="C127" s="1" t="n">
        <v>45822</v>
      </c>
      <c r="D127" t="inlineStr">
        <is>
          <t>VÄSTERNORRLANDS LÄN</t>
        </is>
      </c>
      <c r="E127" t="inlineStr">
        <is>
          <t>SOLLEFTEÅ</t>
        </is>
      </c>
      <c r="F127" t="inlineStr">
        <is>
          <t>Övriga statliga verk och myndigheter</t>
        </is>
      </c>
      <c r="G127" t="n">
        <v>15.3</v>
      </c>
      <c r="H127" t="n">
        <v>4</v>
      </c>
      <c r="I127" t="n">
        <v>1</v>
      </c>
      <c r="J127" t="n">
        <v>5</v>
      </c>
      <c r="K127" t="n">
        <v>2</v>
      </c>
      <c r="L127" t="n">
        <v>0</v>
      </c>
      <c r="M127" t="n">
        <v>0</v>
      </c>
      <c r="N127" t="n">
        <v>0</v>
      </c>
      <c r="O127" t="n">
        <v>7</v>
      </c>
      <c r="P127" t="n">
        <v>2</v>
      </c>
      <c r="Q127" t="n">
        <v>8</v>
      </c>
      <c r="R127" s="2" t="inlineStr">
        <is>
          <t>Doftticka
Rynkskinn
Björktrast
Rosenticka
Spillkråka
Tretåig hackspett
Ullticka
Underviol</t>
        </is>
      </c>
      <c r="S127">
        <f>HYPERLINK("https://klasma.github.io/Logging_2283/artfynd/A 4930-2025 artfynd.xlsx", "A 4930-2025")</f>
        <v/>
      </c>
      <c r="T127">
        <f>HYPERLINK("https://klasma.github.io/Logging_2283/kartor/A 4930-2025 karta.png", "A 4930-2025")</f>
        <v/>
      </c>
      <c r="V127">
        <f>HYPERLINK("https://klasma.github.io/Logging_2283/klagomål/A 4930-2025 FSC-klagomål.docx", "A 4930-2025")</f>
        <v/>
      </c>
      <c r="W127">
        <f>HYPERLINK("https://klasma.github.io/Logging_2283/klagomålsmail/A 4930-2025 FSC-klagomål mail.docx", "A 4930-2025")</f>
        <v/>
      </c>
      <c r="X127">
        <f>HYPERLINK("https://klasma.github.io/Logging_2283/tillsyn/A 4930-2025 tillsynsbegäran.docx", "A 4930-2025")</f>
        <v/>
      </c>
      <c r="Y127">
        <f>HYPERLINK("https://klasma.github.io/Logging_2283/tillsynsmail/A 4930-2025 tillsynsbegäran mail.docx", "A 4930-2025")</f>
        <v/>
      </c>
      <c r="Z127">
        <f>HYPERLINK("https://klasma.github.io/Logging_2283/fåglar/A 4930-2025 prioriterade fågelarter.docx", "A 4930-2025")</f>
        <v/>
      </c>
    </row>
    <row r="128" ht="15" customHeight="1">
      <c r="A128" t="inlineStr">
        <is>
          <t>A 11132-2025</t>
        </is>
      </c>
      <c r="B128" s="1" t="n">
        <v>45723</v>
      </c>
      <c r="C128" s="1" t="n">
        <v>45822</v>
      </c>
      <c r="D128" t="inlineStr">
        <is>
          <t>VÄSTERNORRLANDS LÄN</t>
        </is>
      </c>
      <c r="E128" t="inlineStr">
        <is>
          <t>SOLLEFTEÅ</t>
        </is>
      </c>
      <c r="G128" t="n">
        <v>18.2</v>
      </c>
      <c r="H128" t="n">
        <v>2</v>
      </c>
      <c r="I128" t="n">
        <v>0</v>
      </c>
      <c r="J128" t="n">
        <v>6</v>
      </c>
      <c r="K128" t="n">
        <v>1</v>
      </c>
      <c r="L128" t="n">
        <v>0</v>
      </c>
      <c r="M128" t="n">
        <v>0</v>
      </c>
      <c r="N128" t="n">
        <v>0</v>
      </c>
      <c r="O128" t="n">
        <v>7</v>
      </c>
      <c r="P128" t="n">
        <v>1</v>
      </c>
      <c r="Q128" t="n">
        <v>8</v>
      </c>
      <c r="R128" s="2" t="inlineStr">
        <is>
          <t>Knärot
Gropig brunbagge
Mörk kolflarnlav
Olisthaerus substriatus
Rosenticka
Ullticka
Vedskivlav
Vanlig padda</t>
        </is>
      </c>
      <c r="S128">
        <f>HYPERLINK("https://klasma.github.io/Logging_222283/artfynd/A 11132-2025 artfynd.xlsx", "A 11132-2025")</f>
        <v/>
      </c>
      <c r="T128">
        <f>HYPERLINK("https://klasma.github.io/Logging_222283/kartor/A 11132-2025 karta.png", "A 11132-2025")</f>
        <v/>
      </c>
      <c r="U128">
        <f>HYPERLINK("https://klasma.github.io/Logging_222283/knärot/A 11132-2025 karta knärot.png", "A 11132-2025")</f>
        <v/>
      </c>
      <c r="V128">
        <f>HYPERLINK("https://klasma.github.io/Logging_222283/klagomål/A 11132-2025 FSC-klagomål.docx", "A 11132-2025")</f>
        <v/>
      </c>
      <c r="W128">
        <f>HYPERLINK("https://klasma.github.io/Logging_222283/klagomålsmail/A 11132-2025 FSC-klagomål mail.docx", "A 11132-2025")</f>
        <v/>
      </c>
      <c r="X128">
        <f>HYPERLINK("https://klasma.github.io/Logging_222283/tillsyn/A 11132-2025 tillsynsbegäran.docx", "A 11132-2025")</f>
        <v/>
      </c>
      <c r="Y128">
        <f>HYPERLINK("https://klasma.github.io/Logging_222283/tillsynsmail/A 11132-2025 tillsynsbegäran mail.docx", "A 11132-2025")</f>
        <v/>
      </c>
    </row>
    <row r="129" ht="15" customHeight="1">
      <c r="A129" t="inlineStr">
        <is>
          <t>A 25521-2025</t>
        </is>
      </c>
      <c r="B129" s="1" t="n">
        <v>45803</v>
      </c>
      <c r="C129" s="1" t="n">
        <v>45822</v>
      </c>
      <c r="D129" t="inlineStr">
        <is>
          <t>VÄSTERNORRLANDS LÄN</t>
        </is>
      </c>
      <c r="E129" t="inlineStr">
        <is>
          <t>SOLLEFTEÅ</t>
        </is>
      </c>
      <c r="F129" t="inlineStr">
        <is>
          <t>SCA</t>
        </is>
      </c>
      <c r="G129" t="n">
        <v>7.8</v>
      </c>
      <c r="H129" t="n">
        <v>2</v>
      </c>
      <c r="I129" t="n">
        <v>1</v>
      </c>
      <c r="J129" t="n">
        <v>6</v>
      </c>
      <c r="K129" t="n">
        <v>0</v>
      </c>
      <c r="L129" t="n">
        <v>0</v>
      </c>
      <c r="M129" t="n">
        <v>0</v>
      </c>
      <c r="N129" t="n">
        <v>0</v>
      </c>
      <c r="O129" t="n">
        <v>6</v>
      </c>
      <c r="P129" t="n">
        <v>0</v>
      </c>
      <c r="Q129" t="n">
        <v>8</v>
      </c>
      <c r="R129" s="2" t="inlineStr">
        <is>
          <t>Gammelgransskål
Garnlav
Granticka
Rödbrun blekspik
Tretåig hackspett
Vitgrynig nållav
Trådticka
Revlummer</t>
        </is>
      </c>
      <c r="S129">
        <f>HYPERLINK("https://klasma.github.io/Logging_222283/artfynd/A 25521-2025 artfynd.xlsx", "A 25521-2025")</f>
        <v/>
      </c>
      <c r="T129">
        <f>HYPERLINK("https://klasma.github.io/Logging_222283/kartor/A 25521-2025 karta.png", "A 25521-2025")</f>
        <v/>
      </c>
      <c r="V129">
        <f>HYPERLINK("https://klasma.github.io/Logging_222283/klagomål/A 25521-2025 FSC-klagomål.docx", "A 25521-2025")</f>
        <v/>
      </c>
      <c r="W129">
        <f>HYPERLINK("https://klasma.github.io/Logging_222283/klagomålsmail/A 25521-2025 FSC-klagomål mail.docx", "A 25521-2025")</f>
        <v/>
      </c>
      <c r="X129">
        <f>HYPERLINK("https://klasma.github.io/Logging_222283/tillsyn/A 25521-2025 tillsynsbegäran.docx", "A 25521-2025")</f>
        <v/>
      </c>
      <c r="Y129">
        <f>HYPERLINK("https://klasma.github.io/Logging_222283/tillsynsmail/A 25521-2025 tillsynsbegäran mail.docx", "A 25521-2025")</f>
        <v/>
      </c>
      <c r="Z129">
        <f>HYPERLINK("https://klasma.github.io/Logging_222283/fåglar/A 25521-2025 prioriterade fågelarter.docx", "A 25521-2025")</f>
        <v/>
      </c>
    </row>
    <row r="130" ht="15" customHeight="1">
      <c r="A130" t="inlineStr">
        <is>
          <t>A 11392-2020</t>
        </is>
      </c>
      <c r="B130" s="1" t="n">
        <v>43892</v>
      </c>
      <c r="C130" s="1" t="n">
        <v>45822</v>
      </c>
      <c r="D130" t="inlineStr">
        <is>
          <t>VÄSTERNORRLANDS LÄN</t>
        </is>
      </c>
      <c r="E130" t="inlineStr">
        <is>
          <t>SOLLEFTEÅ</t>
        </is>
      </c>
      <c r="G130" t="n">
        <v>3.5</v>
      </c>
      <c r="H130" t="n">
        <v>3</v>
      </c>
      <c r="I130" t="n">
        <v>1</v>
      </c>
      <c r="J130" t="n">
        <v>4</v>
      </c>
      <c r="K130" t="n">
        <v>1</v>
      </c>
      <c r="L130" t="n">
        <v>0</v>
      </c>
      <c r="M130" t="n">
        <v>0</v>
      </c>
      <c r="N130" t="n">
        <v>0</v>
      </c>
      <c r="O130" t="n">
        <v>5</v>
      </c>
      <c r="P130" t="n">
        <v>1</v>
      </c>
      <c r="Q130" t="n">
        <v>7</v>
      </c>
      <c r="R130" s="2" t="inlineStr">
        <is>
          <t>Rynkskinn
Rosenticka
Spillkråka
Tretåig hackspett
Ullticka
Mörk husmossa
Revlummer</t>
        </is>
      </c>
      <c r="S130">
        <f>HYPERLINK("https://klasma.github.io/Logging_2283/artfynd/A 11392-2020 artfynd.xlsx", "A 11392-2020")</f>
        <v/>
      </c>
      <c r="T130">
        <f>HYPERLINK("https://klasma.github.io/Logging_2283/kartor/A 11392-2020 karta.png", "A 11392-2020")</f>
        <v/>
      </c>
      <c r="V130">
        <f>HYPERLINK("https://klasma.github.io/Logging_2283/klagomål/A 11392-2020 FSC-klagomål.docx", "A 11392-2020")</f>
        <v/>
      </c>
      <c r="W130">
        <f>HYPERLINK("https://klasma.github.io/Logging_2283/klagomålsmail/A 11392-2020 FSC-klagomål mail.docx", "A 11392-2020")</f>
        <v/>
      </c>
      <c r="X130">
        <f>HYPERLINK("https://klasma.github.io/Logging_2283/tillsyn/A 11392-2020 tillsynsbegäran.docx", "A 11392-2020")</f>
        <v/>
      </c>
      <c r="Y130">
        <f>HYPERLINK("https://klasma.github.io/Logging_2283/tillsynsmail/A 11392-2020 tillsynsbegäran mail.docx", "A 11392-2020")</f>
        <v/>
      </c>
      <c r="Z130">
        <f>HYPERLINK("https://klasma.github.io/Logging_2283/fåglar/A 11392-2020 prioriterade fågelarter.docx", "A 11392-2020")</f>
        <v/>
      </c>
    </row>
    <row r="131" ht="15" customHeight="1">
      <c r="A131" t="inlineStr">
        <is>
          <t>A 33208-2020</t>
        </is>
      </c>
      <c r="B131" s="1" t="n">
        <v>44021</v>
      </c>
      <c r="C131" s="1" t="n">
        <v>45822</v>
      </c>
      <c r="D131" t="inlineStr">
        <is>
          <t>VÄSTERNORRLANDS LÄN</t>
        </is>
      </c>
      <c r="E131" t="inlineStr">
        <is>
          <t>SOLLEFTEÅ</t>
        </is>
      </c>
      <c r="F131" t="inlineStr">
        <is>
          <t>SCA</t>
        </is>
      </c>
      <c r="G131" t="n">
        <v>3.7</v>
      </c>
      <c r="H131" t="n">
        <v>4</v>
      </c>
      <c r="I131" t="n">
        <v>1</v>
      </c>
      <c r="J131" t="n">
        <v>4</v>
      </c>
      <c r="K131" t="n">
        <v>0</v>
      </c>
      <c r="L131" t="n">
        <v>0</v>
      </c>
      <c r="M131" t="n">
        <v>0</v>
      </c>
      <c r="N131" t="n">
        <v>0</v>
      </c>
      <c r="O131" t="n">
        <v>4</v>
      </c>
      <c r="P131" t="n">
        <v>0</v>
      </c>
      <c r="Q131" t="n">
        <v>7</v>
      </c>
      <c r="R131" s="2" t="inlineStr">
        <is>
          <t>Gammelgransskål
Granticka
Tretåig hackspett
Ullticka
Korallrot
Vanlig padda
Fläcknycklar</t>
        </is>
      </c>
      <c r="S131">
        <f>HYPERLINK("https://klasma.github.io/Logging_2283/artfynd/A 33208-2020 artfynd.xlsx", "A 33208-2020")</f>
        <v/>
      </c>
      <c r="T131">
        <f>HYPERLINK("https://klasma.github.io/Logging_2283/kartor/A 33208-2020 karta.png", "A 33208-2020")</f>
        <v/>
      </c>
      <c r="V131">
        <f>HYPERLINK("https://klasma.github.io/Logging_2283/klagomål/A 33208-2020 FSC-klagomål.docx", "A 33208-2020")</f>
        <v/>
      </c>
      <c r="W131">
        <f>HYPERLINK("https://klasma.github.io/Logging_2283/klagomålsmail/A 33208-2020 FSC-klagomål mail.docx", "A 33208-2020")</f>
        <v/>
      </c>
      <c r="X131">
        <f>HYPERLINK("https://klasma.github.io/Logging_2283/tillsyn/A 33208-2020 tillsynsbegäran.docx", "A 33208-2020")</f>
        <v/>
      </c>
      <c r="Y131">
        <f>HYPERLINK("https://klasma.github.io/Logging_2283/tillsynsmail/A 33208-2020 tillsynsbegäran mail.docx", "A 33208-2020")</f>
        <v/>
      </c>
      <c r="Z131">
        <f>HYPERLINK("https://klasma.github.io/Logging_2283/fåglar/A 33208-2020 prioriterade fågelarter.docx", "A 33208-2020")</f>
        <v/>
      </c>
    </row>
    <row r="132" ht="15" customHeight="1">
      <c r="A132" t="inlineStr">
        <is>
          <t>A 66843-2020</t>
        </is>
      </c>
      <c r="B132" s="1" t="n">
        <v>44179</v>
      </c>
      <c r="C132" s="1" t="n">
        <v>45822</v>
      </c>
      <c r="D132" t="inlineStr">
        <is>
          <t>VÄSTERNORRLANDS LÄN</t>
        </is>
      </c>
      <c r="E132" t="inlineStr">
        <is>
          <t>SOLLEFTEÅ</t>
        </is>
      </c>
      <c r="F132" t="inlineStr">
        <is>
          <t>SCA</t>
        </is>
      </c>
      <c r="G132" t="n">
        <v>5</v>
      </c>
      <c r="H132" t="n">
        <v>0</v>
      </c>
      <c r="I132" t="n">
        <v>0</v>
      </c>
      <c r="J132" t="n">
        <v>4</v>
      </c>
      <c r="K132" t="n">
        <v>3</v>
      </c>
      <c r="L132" t="n">
        <v>0</v>
      </c>
      <c r="M132" t="n">
        <v>0</v>
      </c>
      <c r="N132" t="n">
        <v>0</v>
      </c>
      <c r="O132" t="n">
        <v>7</v>
      </c>
      <c r="P132" t="n">
        <v>3</v>
      </c>
      <c r="Q132" t="n">
        <v>7</v>
      </c>
      <c r="R132" s="2" t="inlineStr">
        <is>
          <t>Blackticka
Liten hornflikmossa
Rynkskinn
Granticka
Gränsticka
Rosenticka
Ullticka</t>
        </is>
      </c>
      <c r="S132">
        <f>HYPERLINK("https://klasma.github.io/Logging_2283/artfynd/A 66843-2020 artfynd.xlsx", "A 66843-2020")</f>
        <v/>
      </c>
      <c r="T132">
        <f>HYPERLINK("https://klasma.github.io/Logging_2283/kartor/A 66843-2020 karta.png", "A 66843-2020")</f>
        <v/>
      </c>
      <c r="V132">
        <f>HYPERLINK("https://klasma.github.io/Logging_2283/klagomål/A 66843-2020 FSC-klagomål.docx", "A 66843-2020")</f>
        <v/>
      </c>
      <c r="W132">
        <f>HYPERLINK("https://klasma.github.io/Logging_2283/klagomålsmail/A 66843-2020 FSC-klagomål mail.docx", "A 66843-2020")</f>
        <v/>
      </c>
      <c r="X132">
        <f>HYPERLINK("https://klasma.github.io/Logging_2283/tillsyn/A 66843-2020 tillsynsbegäran.docx", "A 66843-2020")</f>
        <v/>
      </c>
      <c r="Y132">
        <f>HYPERLINK("https://klasma.github.io/Logging_2283/tillsynsmail/A 66843-2020 tillsynsbegäran mail.docx", "A 66843-2020")</f>
        <v/>
      </c>
    </row>
    <row r="133" ht="15" customHeight="1">
      <c r="A133" t="inlineStr">
        <is>
          <t>A 18014-2022</t>
        </is>
      </c>
      <c r="B133" s="1" t="n">
        <v>44684</v>
      </c>
      <c r="C133" s="1" t="n">
        <v>45822</v>
      </c>
      <c r="D133" t="inlineStr">
        <is>
          <t>VÄSTERNORRLANDS LÄN</t>
        </is>
      </c>
      <c r="E133" t="inlineStr">
        <is>
          <t>SOLLEFTEÅ</t>
        </is>
      </c>
      <c r="F133" t="inlineStr">
        <is>
          <t>SCA</t>
        </is>
      </c>
      <c r="G133" t="n">
        <v>2.5</v>
      </c>
      <c r="H133" t="n">
        <v>2</v>
      </c>
      <c r="I133" t="n">
        <v>0</v>
      </c>
      <c r="J133" t="n">
        <v>5</v>
      </c>
      <c r="K133" t="n">
        <v>2</v>
      </c>
      <c r="L133" t="n">
        <v>0</v>
      </c>
      <c r="M133" t="n">
        <v>0</v>
      </c>
      <c r="N133" t="n">
        <v>0</v>
      </c>
      <c r="O133" t="n">
        <v>7</v>
      </c>
      <c r="P133" t="n">
        <v>2</v>
      </c>
      <c r="Q133" t="n">
        <v>7</v>
      </c>
      <c r="R133" s="2" t="inlineStr">
        <is>
          <t>Goliatmusseron
Läderdoftande fingersvamp
Granticka
Gultoppig fingersvamp
Svart taggsvamp
Talltita
Tretåig hackspett</t>
        </is>
      </c>
      <c r="S133">
        <f>HYPERLINK("https://klasma.github.io/Logging_2283/artfynd/A 18014-2022 artfynd.xlsx", "A 18014-2022")</f>
        <v/>
      </c>
      <c r="T133">
        <f>HYPERLINK("https://klasma.github.io/Logging_2283/kartor/A 18014-2022 karta.png", "A 18014-2022")</f>
        <v/>
      </c>
      <c r="U133">
        <f>HYPERLINK("https://klasma.github.io/Logging_2283/knärot/A 18014-2022 karta knärot.png", "A 18014-2022")</f>
        <v/>
      </c>
      <c r="V133">
        <f>HYPERLINK("https://klasma.github.io/Logging_2283/klagomål/A 18014-2022 FSC-klagomål.docx", "A 18014-2022")</f>
        <v/>
      </c>
      <c r="W133">
        <f>HYPERLINK("https://klasma.github.io/Logging_2283/klagomålsmail/A 18014-2022 FSC-klagomål mail.docx", "A 18014-2022")</f>
        <v/>
      </c>
      <c r="X133">
        <f>HYPERLINK("https://klasma.github.io/Logging_2283/tillsyn/A 18014-2022 tillsynsbegäran.docx", "A 18014-2022")</f>
        <v/>
      </c>
      <c r="Y133">
        <f>HYPERLINK("https://klasma.github.io/Logging_2283/tillsynsmail/A 18014-2022 tillsynsbegäran mail.docx", "A 18014-2022")</f>
        <v/>
      </c>
      <c r="Z133">
        <f>HYPERLINK("https://klasma.github.io/Logging_2283/fåglar/A 18014-2022 prioriterade fågelarter.docx", "A 18014-2022")</f>
        <v/>
      </c>
    </row>
    <row r="134" ht="15" customHeight="1">
      <c r="A134" t="inlineStr">
        <is>
          <t>A 43779-2022</t>
        </is>
      </c>
      <c r="B134" s="1" t="n">
        <v>44837</v>
      </c>
      <c r="C134" s="1" t="n">
        <v>45822</v>
      </c>
      <c r="D134" t="inlineStr">
        <is>
          <t>VÄSTERNORRLANDS LÄN</t>
        </is>
      </c>
      <c r="E134" t="inlineStr">
        <is>
          <t>SOLLEFTEÅ</t>
        </is>
      </c>
      <c r="F134" t="inlineStr">
        <is>
          <t>SCA</t>
        </is>
      </c>
      <c r="G134" t="n">
        <v>10.8</v>
      </c>
      <c r="H134" t="n">
        <v>2</v>
      </c>
      <c r="I134" t="n">
        <v>1</v>
      </c>
      <c r="J134" t="n">
        <v>4</v>
      </c>
      <c r="K134" t="n">
        <v>2</v>
      </c>
      <c r="L134" t="n">
        <v>0</v>
      </c>
      <c r="M134" t="n">
        <v>0</v>
      </c>
      <c r="N134" t="n">
        <v>0</v>
      </c>
      <c r="O134" t="n">
        <v>6</v>
      </c>
      <c r="P134" t="n">
        <v>2</v>
      </c>
      <c r="Q134" t="n">
        <v>7</v>
      </c>
      <c r="R134" s="2" t="inlineStr">
        <is>
          <t>Knärot
Rynkskinn
Garnlav
Lunglav
Talltita
Ullticka
Vedticka</t>
        </is>
      </c>
      <c r="S134">
        <f>HYPERLINK("https://klasma.github.io/Logging_2283/artfynd/A 43779-2022 artfynd.xlsx", "A 43779-2022")</f>
        <v/>
      </c>
      <c r="T134">
        <f>HYPERLINK("https://klasma.github.io/Logging_2283/kartor/A 43779-2022 karta.png", "A 43779-2022")</f>
        <v/>
      </c>
      <c r="U134">
        <f>HYPERLINK("https://klasma.github.io/Logging_2283/knärot/A 43779-2022 karta knärot.png", "A 43779-2022")</f>
        <v/>
      </c>
      <c r="V134">
        <f>HYPERLINK("https://klasma.github.io/Logging_2283/klagomål/A 43779-2022 FSC-klagomål.docx", "A 43779-2022")</f>
        <v/>
      </c>
      <c r="W134">
        <f>HYPERLINK("https://klasma.github.io/Logging_2283/klagomålsmail/A 43779-2022 FSC-klagomål mail.docx", "A 43779-2022")</f>
        <v/>
      </c>
      <c r="X134">
        <f>HYPERLINK("https://klasma.github.io/Logging_2283/tillsyn/A 43779-2022 tillsynsbegäran.docx", "A 43779-2022")</f>
        <v/>
      </c>
      <c r="Y134">
        <f>HYPERLINK("https://klasma.github.io/Logging_2283/tillsynsmail/A 43779-2022 tillsynsbegäran mail.docx", "A 43779-2022")</f>
        <v/>
      </c>
      <c r="Z134">
        <f>HYPERLINK("https://klasma.github.io/Logging_2283/fåglar/A 43779-2022 prioriterade fågelarter.docx", "A 43779-2022")</f>
        <v/>
      </c>
    </row>
    <row r="135" ht="15" customHeight="1">
      <c r="A135" t="inlineStr">
        <is>
          <t>A 47647-2022</t>
        </is>
      </c>
      <c r="B135" s="1" t="n">
        <v>44852</v>
      </c>
      <c r="C135" s="1" t="n">
        <v>45822</v>
      </c>
      <c r="D135" t="inlineStr">
        <is>
          <t>VÄSTERNORRLANDS LÄN</t>
        </is>
      </c>
      <c r="E135" t="inlineStr">
        <is>
          <t>SOLLEFTEÅ</t>
        </is>
      </c>
      <c r="G135" t="n">
        <v>5.3</v>
      </c>
      <c r="H135" t="n">
        <v>2</v>
      </c>
      <c r="I135" t="n">
        <v>0</v>
      </c>
      <c r="J135" t="n">
        <v>5</v>
      </c>
      <c r="K135" t="n">
        <v>1</v>
      </c>
      <c r="L135" t="n">
        <v>1</v>
      </c>
      <c r="M135" t="n">
        <v>0</v>
      </c>
      <c r="N135" t="n">
        <v>0</v>
      </c>
      <c r="O135" t="n">
        <v>7</v>
      </c>
      <c r="P135" t="n">
        <v>2</v>
      </c>
      <c r="Q135" t="n">
        <v>7</v>
      </c>
      <c r="R135" s="2" t="inlineStr">
        <is>
          <t>Större barkplattbagge
Rynkskinn
Garnlav
Rosenticka
Stjärntagging
Talltita
Ullticka</t>
        </is>
      </c>
      <c r="S135">
        <f>HYPERLINK("https://klasma.github.io/Logging_2283/artfynd/A 47647-2022 artfynd.xlsx", "A 47647-2022")</f>
        <v/>
      </c>
      <c r="T135">
        <f>HYPERLINK("https://klasma.github.io/Logging_2283/kartor/A 47647-2022 karta.png", "A 47647-2022")</f>
        <v/>
      </c>
      <c r="V135">
        <f>HYPERLINK("https://klasma.github.io/Logging_2283/klagomål/A 47647-2022 FSC-klagomål.docx", "A 47647-2022")</f>
        <v/>
      </c>
      <c r="W135">
        <f>HYPERLINK("https://klasma.github.io/Logging_2283/klagomålsmail/A 47647-2022 FSC-klagomål mail.docx", "A 47647-2022")</f>
        <v/>
      </c>
      <c r="X135">
        <f>HYPERLINK("https://klasma.github.io/Logging_2283/tillsyn/A 47647-2022 tillsynsbegäran.docx", "A 47647-2022")</f>
        <v/>
      </c>
      <c r="Y135">
        <f>HYPERLINK("https://klasma.github.io/Logging_2283/tillsynsmail/A 47647-2022 tillsynsbegäran mail.docx", "A 47647-2022")</f>
        <v/>
      </c>
      <c r="Z135">
        <f>HYPERLINK("https://klasma.github.io/Logging_2283/fåglar/A 47647-2022 prioriterade fågelarter.docx", "A 47647-2022")</f>
        <v/>
      </c>
    </row>
    <row r="136" ht="15" customHeight="1">
      <c r="A136" t="inlineStr">
        <is>
          <t>A 53121-2022</t>
        </is>
      </c>
      <c r="B136" s="1" t="n">
        <v>44873</v>
      </c>
      <c r="C136" s="1" t="n">
        <v>45822</v>
      </c>
      <c r="D136" t="inlineStr">
        <is>
          <t>VÄSTERNORRLANDS LÄN</t>
        </is>
      </c>
      <c r="E136" t="inlineStr">
        <is>
          <t>SOLLEFTEÅ</t>
        </is>
      </c>
      <c r="G136" t="n">
        <v>3.6</v>
      </c>
      <c r="H136" t="n">
        <v>1</v>
      </c>
      <c r="I136" t="n">
        <v>1</v>
      </c>
      <c r="J136" t="n">
        <v>5</v>
      </c>
      <c r="K136" t="n">
        <v>1</v>
      </c>
      <c r="L136" t="n">
        <v>0</v>
      </c>
      <c r="M136" t="n">
        <v>0</v>
      </c>
      <c r="N136" t="n">
        <v>0</v>
      </c>
      <c r="O136" t="n">
        <v>6</v>
      </c>
      <c r="P136" t="n">
        <v>1</v>
      </c>
      <c r="Q136" t="n">
        <v>7</v>
      </c>
      <c r="R136" s="2" t="inlineStr">
        <is>
          <t>Rynkskinn
Garnlav
Lunglav
Rosenticka
Tretåig hackspett
Ullticka
Stuplav</t>
        </is>
      </c>
      <c r="S136">
        <f>HYPERLINK("https://klasma.github.io/Logging_2283/artfynd/A 53121-2022 artfynd.xlsx", "A 53121-2022")</f>
        <v/>
      </c>
      <c r="T136">
        <f>HYPERLINK("https://klasma.github.io/Logging_2283/kartor/A 53121-2022 karta.png", "A 53121-2022")</f>
        <v/>
      </c>
      <c r="V136">
        <f>HYPERLINK("https://klasma.github.io/Logging_2283/klagomål/A 53121-2022 FSC-klagomål.docx", "A 53121-2022")</f>
        <v/>
      </c>
      <c r="W136">
        <f>HYPERLINK("https://klasma.github.io/Logging_2283/klagomålsmail/A 53121-2022 FSC-klagomål mail.docx", "A 53121-2022")</f>
        <v/>
      </c>
      <c r="X136">
        <f>HYPERLINK("https://klasma.github.io/Logging_2283/tillsyn/A 53121-2022 tillsynsbegäran.docx", "A 53121-2022")</f>
        <v/>
      </c>
      <c r="Y136">
        <f>HYPERLINK("https://klasma.github.io/Logging_2283/tillsynsmail/A 53121-2022 tillsynsbegäran mail.docx", "A 53121-2022")</f>
        <v/>
      </c>
      <c r="Z136">
        <f>HYPERLINK("https://klasma.github.io/Logging_2283/fåglar/A 53121-2022 prioriterade fågelarter.docx", "A 53121-2022")</f>
        <v/>
      </c>
    </row>
    <row r="137" ht="15" customHeight="1">
      <c r="A137" t="inlineStr">
        <is>
          <t>A 59045-2022</t>
        </is>
      </c>
      <c r="B137" s="1" t="n">
        <v>44903</v>
      </c>
      <c r="C137" s="1" t="n">
        <v>45822</v>
      </c>
      <c r="D137" t="inlineStr">
        <is>
          <t>VÄSTERNORRLANDS LÄN</t>
        </is>
      </c>
      <c r="E137" t="inlineStr">
        <is>
          <t>SOLLEFTEÅ</t>
        </is>
      </c>
      <c r="F137" t="inlineStr">
        <is>
          <t>SCA</t>
        </is>
      </c>
      <c r="G137" t="n">
        <v>23.4</v>
      </c>
      <c r="H137" t="n">
        <v>1</v>
      </c>
      <c r="I137" t="n">
        <v>1</v>
      </c>
      <c r="J137" t="n">
        <v>6</v>
      </c>
      <c r="K137" t="n">
        <v>0</v>
      </c>
      <c r="L137" t="n">
        <v>0</v>
      </c>
      <c r="M137" t="n">
        <v>0</v>
      </c>
      <c r="N137" t="n">
        <v>0</v>
      </c>
      <c r="O137" t="n">
        <v>6</v>
      </c>
      <c r="P137" t="n">
        <v>0</v>
      </c>
      <c r="Q137" t="n">
        <v>7</v>
      </c>
      <c r="R137" s="2" t="inlineStr">
        <is>
          <t>Gammelgransskål
Garnlav
Granticka
Lunglav
Tretåig hackspett
Ullticka
Strutbräken</t>
        </is>
      </c>
      <c r="S137">
        <f>HYPERLINK("https://klasma.github.io/Logging_2283/artfynd/A 59045-2022 artfynd.xlsx", "A 59045-2022")</f>
        <v/>
      </c>
      <c r="T137">
        <f>HYPERLINK("https://klasma.github.io/Logging_2283/kartor/A 59045-2022 karta.png", "A 59045-2022")</f>
        <v/>
      </c>
      <c r="V137">
        <f>HYPERLINK("https://klasma.github.io/Logging_2283/klagomål/A 59045-2022 FSC-klagomål.docx", "A 59045-2022")</f>
        <v/>
      </c>
      <c r="W137">
        <f>HYPERLINK("https://klasma.github.io/Logging_2283/klagomålsmail/A 59045-2022 FSC-klagomål mail.docx", "A 59045-2022")</f>
        <v/>
      </c>
      <c r="X137">
        <f>HYPERLINK("https://klasma.github.io/Logging_2283/tillsyn/A 59045-2022 tillsynsbegäran.docx", "A 59045-2022")</f>
        <v/>
      </c>
      <c r="Y137">
        <f>HYPERLINK("https://klasma.github.io/Logging_2283/tillsynsmail/A 59045-2022 tillsynsbegäran mail.docx", "A 59045-2022")</f>
        <v/>
      </c>
      <c r="Z137">
        <f>HYPERLINK("https://klasma.github.io/Logging_2283/fåglar/A 59045-2022 prioriterade fågelarter.docx", "A 59045-2022")</f>
        <v/>
      </c>
    </row>
    <row r="138" ht="15" customHeight="1">
      <c r="A138" t="inlineStr">
        <is>
          <t>A 715-2023</t>
        </is>
      </c>
      <c r="B138" s="1" t="n">
        <v>44930</v>
      </c>
      <c r="C138" s="1" t="n">
        <v>45822</v>
      </c>
      <c r="D138" t="inlineStr">
        <is>
          <t>VÄSTERNORRLANDS LÄN</t>
        </is>
      </c>
      <c r="E138" t="inlineStr">
        <is>
          <t>SOLLEFTEÅ</t>
        </is>
      </c>
      <c r="G138" t="n">
        <v>7.7</v>
      </c>
      <c r="H138" t="n">
        <v>0</v>
      </c>
      <c r="I138" t="n">
        <v>1</v>
      </c>
      <c r="J138" t="n">
        <v>3</v>
      </c>
      <c r="K138" t="n">
        <v>3</v>
      </c>
      <c r="L138" t="n">
        <v>0</v>
      </c>
      <c r="M138" t="n">
        <v>0</v>
      </c>
      <c r="N138" t="n">
        <v>0</v>
      </c>
      <c r="O138" t="n">
        <v>6</v>
      </c>
      <c r="P138" t="n">
        <v>3</v>
      </c>
      <c r="Q138" t="n">
        <v>7</v>
      </c>
      <c r="R138" s="2" t="inlineStr">
        <is>
          <t>Gräddporing
Gräddticka
Rynkskinn
Granticka
Rosenticka
Ullticka
Skinnlav</t>
        </is>
      </c>
      <c r="S138">
        <f>HYPERLINK("https://klasma.github.io/Logging_2283/artfynd/A 715-2023 artfynd.xlsx", "A 715-2023")</f>
        <v/>
      </c>
      <c r="T138">
        <f>HYPERLINK("https://klasma.github.io/Logging_2283/kartor/A 715-2023 karta.png", "A 715-2023")</f>
        <v/>
      </c>
      <c r="V138">
        <f>HYPERLINK("https://klasma.github.io/Logging_2283/klagomål/A 715-2023 FSC-klagomål.docx", "A 715-2023")</f>
        <v/>
      </c>
      <c r="W138">
        <f>HYPERLINK("https://klasma.github.io/Logging_2283/klagomålsmail/A 715-2023 FSC-klagomål mail.docx", "A 715-2023")</f>
        <v/>
      </c>
      <c r="X138">
        <f>HYPERLINK("https://klasma.github.io/Logging_2283/tillsyn/A 715-2023 tillsynsbegäran.docx", "A 715-2023")</f>
        <v/>
      </c>
      <c r="Y138">
        <f>HYPERLINK("https://klasma.github.io/Logging_2283/tillsynsmail/A 715-2023 tillsynsbegäran mail.docx", "A 715-2023")</f>
        <v/>
      </c>
    </row>
    <row r="139" ht="15" customHeight="1">
      <c r="A139" t="inlineStr">
        <is>
          <t>A 36116-2023</t>
        </is>
      </c>
      <c r="B139" s="1" t="n">
        <v>45148</v>
      </c>
      <c r="C139" s="1" t="n">
        <v>45822</v>
      </c>
      <c r="D139" t="inlineStr">
        <is>
          <t>VÄSTERNORRLANDS LÄN</t>
        </is>
      </c>
      <c r="E139" t="inlineStr">
        <is>
          <t>SOLLEFTEÅ</t>
        </is>
      </c>
      <c r="G139" t="n">
        <v>8.4</v>
      </c>
      <c r="H139" t="n">
        <v>2</v>
      </c>
      <c r="I139" t="n">
        <v>1</v>
      </c>
      <c r="J139" t="n">
        <v>3</v>
      </c>
      <c r="K139" t="n">
        <v>2</v>
      </c>
      <c r="L139" t="n">
        <v>0</v>
      </c>
      <c r="M139" t="n">
        <v>0</v>
      </c>
      <c r="N139" t="n">
        <v>0</v>
      </c>
      <c r="O139" t="n">
        <v>5</v>
      </c>
      <c r="P139" t="n">
        <v>2</v>
      </c>
      <c r="Q139" t="n">
        <v>7</v>
      </c>
      <c r="R139" s="2" t="inlineStr">
        <is>
          <t>Knärot
Rynkskinn
Garnlav
Lunglav
Ullticka
Skinnlav
Revlummer</t>
        </is>
      </c>
      <c r="S139">
        <f>HYPERLINK("https://klasma.github.io/Logging_2283/artfynd/A 36116-2023 artfynd.xlsx", "A 36116-2023")</f>
        <v/>
      </c>
      <c r="T139">
        <f>HYPERLINK("https://klasma.github.io/Logging_2283/kartor/A 36116-2023 karta.png", "A 36116-2023")</f>
        <v/>
      </c>
      <c r="U139">
        <f>HYPERLINK("https://klasma.github.io/Logging_2283/knärot/A 36116-2023 karta knärot.png", "A 36116-2023")</f>
        <v/>
      </c>
      <c r="V139">
        <f>HYPERLINK("https://klasma.github.io/Logging_2283/klagomål/A 36116-2023 FSC-klagomål.docx", "A 36116-2023")</f>
        <v/>
      </c>
      <c r="W139">
        <f>HYPERLINK("https://klasma.github.io/Logging_2283/klagomålsmail/A 36116-2023 FSC-klagomål mail.docx", "A 36116-2023")</f>
        <v/>
      </c>
      <c r="X139">
        <f>HYPERLINK("https://klasma.github.io/Logging_2283/tillsyn/A 36116-2023 tillsynsbegäran.docx", "A 36116-2023")</f>
        <v/>
      </c>
      <c r="Y139">
        <f>HYPERLINK("https://klasma.github.io/Logging_2283/tillsynsmail/A 36116-2023 tillsynsbegäran mail.docx", "A 36116-2023")</f>
        <v/>
      </c>
    </row>
    <row r="140" ht="15" customHeight="1">
      <c r="A140" t="inlineStr">
        <is>
          <t>A 38376-2023</t>
        </is>
      </c>
      <c r="B140" s="1" t="n">
        <v>45161</v>
      </c>
      <c r="C140" s="1" t="n">
        <v>45822</v>
      </c>
      <c r="D140" t="inlineStr">
        <is>
          <t>VÄSTERNORRLANDS LÄN</t>
        </is>
      </c>
      <c r="E140" t="inlineStr">
        <is>
          <t>SOLLEFTEÅ</t>
        </is>
      </c>
      <c r="F140" t="inlineStr">
        <is>
          <t>SCA</t>
        </is>
      </c>
      <c r="G140" t="n">
        <v>7.3</v>
      </c>
      <c r="H140" t="n">
        <v>2</v>
      </c>
      <c r="I140" t="n">
        <v>3</v>
      </c>
      <c r="J140" t="n">
        <v>2</v>
      </c>
      <c r="K140" t="n">
        <v>1</v>
      </c>
      <c r="L140" t="n">
        <v>0</v>
      </c>
      <c r="M140" t="n">
        <v>0</v>
      </c>
      <c r="N140" t="n">
        <v>0</v>
      </c>
      <c r="O140" t="n">
        <v>3</v>
      </c>
      <c r="P140" t="n">
        <v>1</v>
      </c>
      <c r="Q140" t="n">
        <v>7</v>
      </c>
      <c r="R140" s="2" t="inlineStr">
        <is>
          <t>Doftticka
Garnlav
Lunglav
Barkkornlav
Bårdlav
Stuplav
Revlummer</t>
        </is>
      </c>
      <c r="S140">
        <f>HYPERLINK("https://klasma.github.io/Logging_2283/artfynd/A 38376-2023 artfynd.xlsx", "A 38376-2023")</f>
        <v/>
      </c>
      <c r="T140">
        <f>HYPERLINK("https://klasma.github.io/Logging_2283/kartor/A 38376-2023 karta.png", "A 38376-2023")</f>
        <v/>
      </c>
      <c r="V140">
        <f>HYPERLINK("https://klasma.github.io/Logging_2283/klagomål/A 38376-2023 FSC-klagomål.docx", "A 38376-2023")</f>
        <v/>
      </c>
      <c r="W140">
        <f>HYPERLINK("https://klasma.github.io/Logging_2283/klagomålsmail/A 38376-2023 FSC-klagomål mail.docx", "A 38376-2023")</f>
        <v/>
      </c>
      <c r="X140">
        <f>HYPERLINK("https://klasma.github.io/Logging_2283/tillsyn/A 38376-2023 tillsynsbegäran.docx", "A 38376-2023")</f>
        <v/>
      </c>
      <c r="Y140">
        <f>HYPERLINK("https://klasma.github.io/Logging_2283/tillsynsmail/A 38376-2023 tillsynsbegäran mail.docx", "A 38376-2023")</f>
        <v/>
      </c>
    </row>
    <row r="141" ht="15" customHeight="1">
      <c r="A141" t="inlineStr">
        <is>
          <t>A 54049-2023</t>
        </is>
      </c>
      <c r="B141" s="1" t="n">
        <v>45231</v>
      </c>
      <c r="C141" s="1" t="n">
        <v>45822</v>
      </c>
      <c r="D141" t="inlineStr">
        <is>
          <t>VÄSTERNORRLANDS LÄN</t>
        </is>
      </c>
      <c r="E141" t="inlineStr">
        <is>
          <t>SOLLEFTEÅ</t>
        </is>
      </c>
      <c r="F141" t="inlineStr">
        <is>
          <t>SCA</t>
        </is>
      </c>
      <c r="G141" t="n">
        <v>9.800000000000001</v>
      </c>
      <c r="H141" t="n">
        <v>0</v>
      </c>
      <c r="I141" t="n">
        <v>1</v>
      </c>
      <c r="J141" t="n">
        <v>6</v>
      </c>
      <c r="K141" t="n">
        <v>0</v>
      </c>
      <c r="L141" t="n">
        <v>0</v>
      </c>
      <c r="M141" t="n">
        <v>0</v>
      </c>
      <c r="N141" t="n">
        <v>0</v>
      </c>
      <c r="O141" t="n">
        <v>6</v>
      </c>
      <c r="P141" t="n">
        <v>0</v>
      </c>
      <c r="Q141" t="n">
        <v>7</v>
      </c>
      <c r="R141" s="2" t="inlineStr">
        <is>
          <t>Doftskinn
Gammelgransskål
Garnlav
Rosenticka
Ullticka
Violettgrå tagellav
Vedticka</t>
        </is>
      </c>
      <c r="S141">
        <f>HYPERLINK("https://klasma.github.io/Logging_2283/artfynd/A 54049-2023 artfynd.xlsx", "A 54049-2023")</f>
        <v/>
      </c>
      <c r="T141">
        <f>HYPERLINK("https://klasma.github.io/Logging_2283/kartor/A 54049-2023 karta.png", "A 54049-2023")</f>
        <v/>
      </c>
      <c r="V141">
        <f>HYPERLINK("https://klasma.github.io/Logging_2283/klagomål/A 54049-2023 FSC-klagomål.docx", "A 54049-2023")</f>
        <v/>
      </c>
      <c r="W141">
        <f>HYPERLINK("https://klasma.github.io/Logging_2283/klagomålsmail/A 54049-2023 FSC-klagomål mail.docx", "A 54049-2023")</f>
        <v/>
      </c>
      <c r="X141">
        <f>HYPERLINK("https://klasma.github.io/Logging_2283/tillsyn/A 54049-2023 tillsynsbegäran.docx", "A 54049-2023")</f>
        <v/>
      </c>
      <c r="Y141">
        <f>HYPERLINK("https://klasma.github.io/Logging_2283/tillsynsmail/A 54049-2023 tillsynsbegäran mail.docx", "A 54049-2023")</f>
        <v/>
      </c>
    </row>
    <row r="142" ht="15" customHeight="1">
      <c r="A142" t="inlineStr">
        <is>
          <t>A 62992-2023</t>
        </is>
      </c>
      <c r="B142" s="1" t="n">
        <v>45272</v>
      </c>
      <c r="C142" s="1" t="n">
        <v>45822</v>
      </c>
      <c r="D142" t="inlineStr">
        <is>
          <t>VÄSTERNORRLANDS LÄN</t>
        </is>
      </c>
      <c r="E142" t="inlineStr">
        <is>
          <t>SOLLEFTEÅ</t>
        </is>
      </c>
      <c r="F142" t="inlineStr">
        <is>
          <t>Övriga Aktiebolag</t>
        </is>
      </c>
      <c r="G142" t="n">
        <v>16.7</v>
      </c>
      <c r="H142" t="n">
        <v>2</v>
      </c>
      <c r="I142" t="n">
        <v>2</v>
      </c>
      <c r="J142" t="n">
        <v>5</v>
      </c>
      <c r="K142" t="n">
        <v>0</v>
      </c>
      <c r="L142" t="n">
        <v>0</v>
      </c>
      <c r="M142" t="n">
        <v>0</v>
      </c>
      <c r="N142" t="n">
        <v>0</v>
      </c>
      <c r="O142" t="n">
        <v>5</v>
      </c>
      <c r="P142" t="n">
        <v>0</v>
      </c>
      <c r="Q142" t="n">
        <v>7</v>
      </c>
      <c r="R142" s="2" t="inlineStr">
        <is>
          <t>Gammelgransskål
Garnlav
Harticka
Rosenticka
Tretåig hackspett
Mörk husmossa
Spindelblomster</t>
        </is>
      </c>
      <c r="S142">
        <f>HYPERLINK("https://klasma.github.io/Logging_2283/artfynd/A 62992-2023 artfynd.xlsx", "A 62992-2023")</f>
        <v/>
      </c>
      <c r="T142">
        <f>HYPERLINK("https://klasma.github.io/Logging_2283/kartor/A 62992-2023 karta.png", "A 62992-2023")</f>
        <v/>
      </c>
      <c r="V142">
        <f>HYPERLINK("https://klasma.github.io/Logging_2283/klagomål/A 62992-2023 FSC-klagomål.docx", "A 62992-2023")</f>
        <v/>
      </c>
      <c r="W142">
        <f>HYPERLINK("https://klasma.github.io/Logging_2283/klagomålsmail/A 62992-2023 FSC-klagomål mail.docx", "A 62992-2023")</f>
        <v/>
      </c>
      <c r="X142">
        <f>HYPERLINK("https://klasma.github.io/Logging_2283/tillsyn/A 62992-2023 tillsynsbegäran.docx", "A 62992-2023")</f>
        <v/>
      </c>
      <c r="Y142">
        <f>HYPERLINK("https://klasma.github.io/Logging_2283/tillsynsmail/A 62992-2023 tillsynsbegäran mail.docx", "A 62992-2023")</f>
        <v/>
      </c>
      <c r="Z142">
        <f>HYPERLINK("https://klasma.github.io/Logging_2283/fåglar/A 62992-2023 prioriterade fågelarter.docx", "A 62992-2023")</f>
        <v/>
      </c>
    </row>
    <row r="143" ht="15" customHeight="1">
      <c r="A143" t="inlineStr">
        <is>
          <t>A 14580-2024</t>
        </is>
      </c>
      <c r="B143" s="1" t="n">
        <v>45394</v>
      </c>
      <c r="C143" s="1" t="n">
        <v>45822</v>
      </c>
      <c r="D143" t="inlineStr">
        <is>
          <t>VÄSTERNORRLANDS LÄN</t>
        </is>
      </c>
      <c r="E143" t="inlineStr">
        <is>
          <t>SOLLEFTEÅ</t>
        </is>
      </c>
      <c r="F143" t="inlineStr">
        <is>
          <t>SCA</t>
        </is>
      </c>
      <c r="G143" t="n">
        <v>4.1</v>
      </c>
      <c r="H143" t="n">
        <v>2</v>
      </c>
      <c r="I143" t="n">
        <v>1</v>
      </c>
      <c r="J143" t="n">
        <v>6</v>
      </c>
      <c r="K143" t="n">
        <v>0</v>
      </c>
      <c r="L143" t="n">
        <v>0</v>
      </c>
      <c r="M143" t="n">
        <v>0</v>
      </c>
      <c r="N143" t="n">
        <v>0</v>
      </c>
      <c r="O143" t="n">
        <v>6</v>
      </c>
      <c r="P143" t="n">
        <v>0</v>
      </c>
      <c r="Q143" t="n">
        <v>7</v>
      </c>
      <c r="R143" s="2" t="inlineStr">
        <is>
          <t>Garnlav
Lunglav
Rosenticka
Talltita
Tretåig hackspett
Ullticka
Vedticka</t>
        </is>
      </c>
      <c r="S143">
        <f>HYPERLINK("https://klasma.github.io/Logging_2283/artfynd/A 14580-2024 artfynd.xlsx", "A 14580-2024")</f>
        <v/>
      </c>
      <c r="T143">
        <f>HYPERLINK("https://klasma.github.io/Logging_2283/kartor/A 14580-2024 karta.png", "A 14580-2024")</f>
        <v/>
      </c>
      <c r="V143">
        <f>HYPERLINK("https://klasma.github.io/Logging_2283/klagomål/A 14580-2024 FSC-klagomål.docx", "A 14580-2024")</f>
        <v/>
      </c>
      <c r="W143">
        <f>HYPERLINK("https://klasma.github.io/Logging_2283/klagomålsmail/A 14580-2024 FSC-klagomål mail.docx", "A 14580-2024")</f>
        <v/>
      </c>
      <c r="X143">
        <f>HYPERLINK("https://klasma.github.io/Logging_2283/tillsyn/A 14580-2024 tillsynsbegäran.docx", "A 14580-2024")</f>
        <v/>
      </c>
      <c r="Y143">
        <f>HYPERLINK("https://klasma.github.io/Logging_2283/tillsynsmail/A 14580-2024 tillsynsbegäran mail.docx", "A 14580-2024")</f>
        <v/>
      </c>
      <c r="Z143">
        <f>HYPERLINK("https://klasma.github.io/Logging_2283/fåglar/A 14580-2024 prioriterade fågelarter.docx", "A 14580-2024")</f>
        <v/>
      </c>
    </row>
    <row r="144" ht="15" customHeight="1">
      <c r="A144" t="inlineStr">
        <is>
          <t>A 26654-2024</t>
        </is>
      </c>
      <c r="B144" s="1" t="n">
        <v>45469</v>
      </c>
      <c r="C144" s="1" t="n">
        <v>45822</v>
      </c>
      <c r="D144" t="inlineStr">
        <is>
          <t>VÄSTERNORRLANDS LÄN</t>
        </is>
      </c>
      <c r="E144" t="inlineStr">
        <is>
          <t>SOLLEFTEÅ</t>
        </is>
      </c>
      <c r="F144" t="inlineStr">
        <is>
          <t>SCA</t>
        </is>
      </c>
      <c r="G144" t="n">
        <v>7</v>
      </c>
      <c r="H144" t="n">
        <v>1</v>
      </c>
      <c r="I144" t="n">
        <v>2</v>
      </c>
      <c r="J144" t="n">
        <v>3</v>
      </c>
      <c r="K144" t="n">
        <v>2</v>
      </c>
      <c r="L144" t="n">
        <v>0</v>
      </c>
      <c r="M144" t="n">
        <v>0</v>
      </c>
      <c r="N144" t="n">
        <v>0</v>
      </c>
      <c r="O144" t="n">
        <v>5</v>
      </c>
      <c r="P144" t="n">
        <v>2</v>
      </c>
      <c r="Q144" t="n">
        <v>7</v>
      </c>
      <c r="R144" s="2" t="inlineStr">
        <is>
          <t>Knärot
Ulltickeporing
Garnlav
Harticka
Ullticka
Bårdlav
Skinnlav</t>
        </is>
      </c>
      <c r="S144">
        <f>HYPERLINK("https://klasma.github.io/Logging_2283/artfynd/A 26654-2024 artfynd.xlsx", "A 26654-2024")</f>
        <v/>
      </c>
      <c r="T144">
        <f>HYPERLINK("https://klasma.github.io/Logging_2283/kartor/A 26654-2024 karta.png", "A 26654-2024")</f>
        <v/>
      </c>
      <c r="U144">
        <f>HYPERLINK("https://klasma.github.io/Logging_2283/knärot/A 26654-2024 karta knärot.png", "A 26654-2024")</f>
        <v/>
      </c>
      <c r="V144">
        <f>HYPERLINK("https://klasma.github.io/Logging_2283/klagomål/A 26654-2024 FSC-klagomål.docx", "A 26654-2024")</f>
        <v/>
      </c>
      <c r="W144">
        <f>HYPERLINK("https://klasma.github.io/Logging_2283/klagomålsmail/A 26654-2024 FSC-klagomål mail.docx", "A 26654-2024")</f>
        <v/>
      </c>
      <c r="X144">
        <f>HYPERLINK("https://klasma.github.io/Logging_2283/tillsyn/A 26654-2024 tillsynsbegäran.docx", "A 26654-2024")</f>
        <v/>
      </c>
      <c r="Y144">
        <f>HYPERLINK("https://klasma.github.io/Logging_2283/tillsynsmail/A 26654-2024 tillsynsbegäran mail.docx", "A 26654-2024")</f>
        <v/>
      </c>
    </row>
    <row r="145" ht="15" customHeight="1">
      <c r="A145" t="inlineStr">
        <is>
          <t>A 29101-2024</t>
        </is>
      </c>
      <c r="B145" s="1" t="n">
        <v>45482</v>
      </c>
      <c r="C145" s="1" t="n">
        <v>45822</v>
      </c>
      <c r="D145" t="inlineStr">
        <is>
          <t>VÄSTERNORRLANDS LÄN</t>
        </is>
      </c>
      <c r="E145" t="inlineStr">
        <is>
          <t>SOLLEFTEÅ</t>
        </is>
      </c>
      <c r="F145" t="inlineStr">
        <is>
          <t>SCA</t>
        </is>
      </c>
      <c r="G145" t="n">
        <v>2.2</v>
      </c>
      <c r="H145" t="n">
        <v>2</v>
      </c>
      <c r="I145" t="n">
        <v>1</v>
      </c>
      <c r="J145" t="n">
        <v>4</v>
      </c>
      <c r="K145" t="n">
        <v>2</v>
      </c>
      <c r="L145" t="n">
        <v>0</v>
      </c>
      <c r="M145" t="n">
        <v>0</v>
      </c>
      <c r="N145" t="n">
        <v>0</v>
      </c>
      <c r="O145" t="n">
        <v>6</v>
      </c>
      <c r="P145" t="n">
        <v>2</v>
      </c>
      <c r="Q145" t="n">
        <v>7</v>
      </c>
      <c r="R145" s="2" t="inlineStr">
        <is>
          <t>Knärot
Rynkskinn
Garnlav
Rosenticka
Talltita
Ullticka
Vedticka</t>
        </is>
      </c>
      <c r="S145">
        <f>HYPERLINK("https://klasma.github.io/Logging_2283/artfynd/A 29101-2024 artfynd.xlsx", "A 29101-2024")</f>
        <v/>
      </c>
      <c r="T145">
        <f>HYPERLINK("https://klasma.github.io/Logging_2283/kartor/A 29101-2024 karta.png", "A 29101-2024")</f>
        <v/>
      </c>
      <c r="U145">
        <f>HYPERLINK("https://klasma.github.io/Logging_2283/knärot/A 29101-2024 karta knärot.png", "A 29101-2024")</f>
        <v/>
      </c>
      <c r="V145">
        <f>HYPERLINK("https://klasma.github.io/Logging_2283/klagomål/A 29101-2024 FSC-klagomål.docx", "A 29101-2024")</f>
        <v/>
      </c>
      <c r="W145">
        <f>HYPERLINK("https://klasma.github.io/Logging_2283/klagomålsmail/A 29101-2024 FSC-klagomål mail.docx", "A 29101-2024")</f>
        <v/>
      </c>
      <c r="X145">
        <f>HYPERLINK("https://klasma.github.io/Logging_2283/tillsyn/A 29101-2024 tillsynsbegäran.docx", "A 29101-2024")</f>
        <v/>
      </c>
      <c r="Y145">
        <f>HYPERLINK("https://klasma.github.io/Logging_2283/tillsynsmail/A 29101-2024 tillsynsbegäran mail.docx", "A 29101-2024")</f>
        <v/>
      </c>
      <c r="Z145">
        <f>HYPERLINK("https://klasma.github.io/Logging_2283/fåglar/A 29101-2024 prioriterade fågelarter.docx", "A 29101-2024")</f>
        <v/>
      </c>
    </row>
    <row r="146" ht="15" customHeight="1">
      <c r="A146" t="inlineStr">
        <is>
          <t>A 36499-2024</t>
        </is>
      </c>
      <c r="B146" s="1" t="n">
        <v>45537</v>
      </c>
      <c r="C146" s="1" t="n">
        <v>45822</v>
      </c>
      <c r="D146" t="inlineStr">
        <is>
          <t>VÄSTERNORRLANDS LÄN</t>
        </is>
      </c>
      <c r="E146" t="inlineStr">
        <is>
          <t>SOLLEFTEÅ</t>
        </is>
      </c>
      <c r="F146" t="inlineStr">
        <is>
          <t>SCA</t>
        </is>
      </c>
      <c r="G146" t="n">
        <v>18.2</v>
      </c>
      <c r="H146" t="n">
        <v>5</v>
      </c>
      <c r="I146" t="n">
        <v>0</v>
      </c>
      <c r="J146" t="n">
        <v>4</v>
      </c>
      <c r="K146" t="n">
        <v>2</v>
      </c>
      <c r="L146" t="n">
        <v>0</v>
      </c>
      <c r="M146" t="n">
        <v>0</v>
      </c>
      <c r="N146" t="n">
        <v>0</v>
      </c>
      <c r="O146" t="n">
        <v>6</v>
      </c>
      <c r="P146" t="n">
        <v>2</v>
      </c>
      <c r="Q146" t="n">
        <v>7</v>
      </c>
      <c r="R146" s="2" t="inlineStr">
        <is>
          <t>Doftticka
Knärot
Garnlav
Lunglav
Talltita
Tretåig hackspett
Tjäder</t>
        </is>
      </c>
      <c r="S146">
        <f>HYPERLINK("https://klasma.github.io/Logging_2283/artfynd/A 36499-2024 artfynd.xlsx", "A 36499-2024")</f>
        <v/>
      </c>
      <c r="T146">
        <f>HYPERLINK("https://klasma.github.io/Logging_2283/kartor/A 36499-2024 karta.png", "A 36499-2024")</f>
        <v/>
      </c>
      <c r="U146">
        <f>HYPERLINK("https://klasma.github.io/Logging_2283/knärot/A 36499-2024 karta knärot.png", "A 36499-2024")</f>
        <v/>
      </c>
      <c r="V146">
        <f>HYPERLINK("https://klasma.github.io/Logging_2283/klagomål/A 36499-2024 FSC-klagomål.docx", "A 36499-2024")</f>
        <v/>
      </c>
      <c r="W146">
        <f>HYPERLINK("https://klasma.github.io/Logging_2283/klagomålsmail/A 36499-2024 FSC-klagomål mail.docx", "A 36499-2024")</f>
        <v/>
      </c>
      <c r="X146">
        <f>HYPERLINK("https://klasma.github.io/Logging_2283/tillsyn/A 36499-2024 tillsynsbegäran.docx", "A 36499-2024")</f>
        <v/>
      </c>
      <c r="Y146">
        <f>HYPERLINK("https://klasma.github.io/Logging_2283/tillsynsmail/A 36499-2024 tillsynsbegäran mail.docx", "A 36499-2024")</f>
        <v/>
      </c>
      <c r="Z146">
        <f>HYPERLINK("https://klasma.github.io/Logging_2283/fåglar/A 36499-2024 prioriterade fågelarter.docx", "A 36499-2024")</f>
        <v/>
      </c>
    </row>
    <row r="147" ht="15" customHeight="1">
      <c r="A147" t="inlineStr">
        <is>
          <t>A 41506-2024</t>
        </is>
      </c>
      <c r="B147" s="1" t="n">
        <v>45560</v>
      </c>
      <c r="C147" s="1" t="n">
        <v>45822</v>
      </c>
      <c r="D147" t="inlineStr">
        <is>
          <t>VÄSTERNORRLANDS LÄN</t>
        </is>
      </c>
      <c r="E147" t="inlineStr">
        <is>
          <t>SOLLEFTEÅ</t>
        </is>
      </c>
      <c r="F147" t="inlineStr">
        <is>
          <t>SCA</t>
        </is>
      </c>
      <c r="G147" t="n">
        <v>8.1</v>
      </c>
      <c r="H147" t="n">
        <v>3</v>
      </c>
      <c r="I147" t="n">
        <v>0</v>
      </c>
      <c r="J147" t="n">
        <v>5</v>
      </c>
      <c r="K147" t="n">
        <v>1</v>
      </c>
      <c r="L147" t="n">
        <v>0</v>
      </c>
      <c r="M147" t="n">
        <v>0</v>
      </c>
      <c r="N147" t="n">
        <v>0</v>
      </c>
      <c r="O147" t="n">
        <v>6</v>
      </c>
      <c r="P147" t="n">
        <v>1</v>
      </c>
      <c r="Q147" t="n">
        <v>7</v>
      </c>
      <c r="R147" s="2" t="inlineStr">
        <is>
          <t>Knärot
Garnlav
Kolflarnlav
Lunglav
Tretåig hackspett
Ullticka
Revlummer</t>
        </is>
      </c>
      <c r="S147">
        <f>HYPERLINK("https://klasma.github.io/Logging_2283/artfynd/A 41506-2024 artfynd.xlsx", "A 41506-2024")</f>
        <v/>
      </c>
      <c r="T147">
        <f>HYPERLINK("https://klasma.github.io/Logging_2283/kartor/A 41506-2024 karta.png", "A 41506-2024")</f>
        <v/>
      </c>
      <c r="U147">
        <f>HYPERLINK("https://klasma.github.io/Logging_2283/knärot/A 41506-2024 karta knärot.png", "A 41506-2024")</f>
        <v/>
      </c>
      <c r="V147">
        <f>HYPERLINK("https://klasma.github.io/Logging_2283/klagomål/A 41506-2024 FSC-klagomål.docx", "A 41506-2024")</f>
        <v/>
      </c>
      <c r="W147">
        <f>HYPERLINK("https://klasma.github.io/Logging_2283/klagomålsmail/A 41506-2024 FSC-klagomål mail.docx", "A 41506-2024")</f>
        <v/>
      </c>
      <c r="X147">
        <f>HYPERLINK("https://klasma.github.io/Logging_2283/tillsyn/A 41506-2024 tillsynsbegäran.docx", "A 41506-2024")</f>
        <v/>
      </c>
      <c r="Y147">
        <f>HYPERLINK("https://klasma.github.io/Logging_2283/tillsynsmail/A 41506-2024 tillsynsbegäran mail.docx", "A 41506-2024")</f>
        <v/>
      </c>
      <c r="Z147">
        <f>HYPERLINK("https://klasma.github.io/Logging_2283/fåglar/A 41506-2024 prioriterade fågelarter.docx", "A 41506-2024")</f>
        <v/>
      </c>
    </row>
    <row r="148" ht="15" customHeight="1">
      <c r="A148" t="inlineStr">
        <is>
          <t>A 41666-2024</t>
        </is>
      </c>
      <c r="B148" s="1" t="n">
        <v>45560</v>
      </c>
      <c r="C148" s="1" t="n">
        <v>45822</v>
      </c>
      <c r="D148" t="inlineStr">
        <is>
          <t>VÄSTERNORRLANDS LÄN</t>
        </is>
      </c>
      <c r="E148" t="inlineStr">
        <is>
          <t>SOLLEFTEÅ</t>
        </is>
      </c>
      <c r="G148" t="n">
        <v>1</v>
      </c>
      <c r="H148" t="n">
        <v>1</v>
      </c>
      <c r="I148" t="n">
        <v>1</v>
      </c>
      <c r="J148" t="n">
        <v>4</v>
      </c>
      <c r="K148" t="n">
        <v>1</v>
      </c>
      <c r="L148" t="n">
        <v>0</v>
      </c>
      <c r="M148" t="n">
        <v>0</v>
      </c>
      <c r="N148" t="n">
        <v>0</v>
      </c>
      <c r="O148" t="n">
        <v>5</v>
      </c>
      <c r="P148" t="n">
        <v>1</v>
      </c>
      <c r="Q148" t="n">
        <v>7</v>
      </c>
      <c r="R148" s="2" t="inlineStr">
        <is>
          <t>Rynkskinn
Granticka
Lunglav
Rosenticka
Vedtrappmossa
Stor aspticka
Revlummer</t>
        </is>
      </c>
      <c r="S148">
        <f>HYPERLINK("https://klasma.github.io/Logging_2283/artfynd/A 41666-2024 artfynd.xlsx", "A 41666-2024")</f>
        <v/>
      </c>
      <c r="T148">
        <f>HYPERLINK("https://klasma.github.io/Logging_2283/kartor/A 41666-2024 karta.png", "A 41666-2024")</f>
        <v/>
      </c>
      <c r="V148">
        <f>HYPERLINK("https://klasma.github.io/Logging_2283/klagomål/A 41666-2024 FSC-klagomål.docx", "A 41666-2024")</f>
        <v/>
      </c>
      <c r="W148">
        <f>HYPERLINK("https://klasma.github.io/Logging_2283/klagomålsmail/A 41666-2024 FSC-klagomål mail.docx", "A 41666-2024")</f>
        <v/>
      </c>
      <c r="X148">
        <f>HYPERLINK("https://klasma.github.io/Logging_2283/tillsyn/A 41666-2024 tillsynsbegäran.docx", "A 41666-2024")</f>
        <v/>
      </c>
      <c r="Y148">
        <f>HYPERLINK("https://klasma.github.io/Logging_2283/tillsynsmail/A 41666-2024 tillsynsbegäran mail.docx", "A 41666-2024")</f>
        <v/>
      </c>
    </row>
    <row r="149" ht="15" customHeight="1">
      <c r="A149" t="inlineStr">
        <is>
          <t>A 43289-2024</t>
        </is>
      </c>
      <c r="B149" s="1" t="n">
        <v>45568</v>
      </c>
      <c r="C149" s="1" t="n">
        <v>45822</v>
      </c>
      <c r="D149" t="inlineStr">
        <is>
          <t>VÄSTERNORRLANDS LÄN</t>
        </is>
      </c>
      <c r="E149" t="inlineStr">
        <is>
          <t>SOLLEFTEÅ</t>
        </is>
      </c>
      <c r="F149" t="inlineStr">
        <is>
          <t>Kommuner</t>
        </is>
      </c>
      <c r="G149" t="n">
        <v>3.4</v>
      </c>
      <c r="H149" t="n">
        <v>2</v>
      </c>
      <c r="I149" t="n">
        <v>1</v>
      </c>
      <c r="J149" t="n">
        <v>5</v>
      </c>
      <c r="K149" t="n">
        <v>1</v>
      </c>
      <c r="L149" t="n">
        <v>0</v>
      </c>
      <c r="M149" t="n">
        <v>0</v>
      </c>
      <c r="N149" t="n">
        <v>0</v>
      </c>
      <c r="O149" t="n">
        <v>6</v>
      </c>
      <c r="P149" t="n">
        <v>1</v>
      </c>
      <c r="Q149" t="n">
        <v>7</v>
      </c>
      <c r="R149" s="2" t="inlineStr">
        <is>
          <t>Knärot
Garnlav
Granticka
Kolflarnlav
Svart taggsvamp
Tretåig hackspett
Dropptaggsvamp</t>
        </is>
      </c>
      <c r="S149">
        <f>HYPERLINK("https://klasma.github.io/Logging_2283/artfynd/A 43289-2024 artfynd.xlsx", "A 43289-2024")</f>
        <v/>
      </c>
      <c r="T149">
        <f>HYPERLINK("https://klasma.github.io/Logging_2283/kartor/A 43289-2024 karta.png", "A 43289-2024")</f>
        <v/>
      </c>
      <c r="U149">
        <f>HYPERLINK("https://klasma.github.io/Logging_2283/knärot/A 43289-2024 karta knärot.png", "A 43289-2024")</f>
        <v/>
      </c>
      <c r="V149">
        <f>HYPERLINK("https://klasma.github.io/Logging_2283/klagomål/A 43289-2024 FSC-klagomål.docx", "A 43289-2024")</f>
        <v/>
      </c>
      <c r="W149">
        <f>HYPERLINK("https://klasma.github.io/Logging_2283/klagomålsmail/A 43289-2024 FSC-klagomål mail.docx", "A 43289-2024")</f>
        <v/>
      </c>
      <c r="X149">
        <f>HYPERLINK("https://klasma.github.io/Logging_2283/tillsyn/A 43289-2024 tillsynsbegäran.docx", "A 43289-2024")</f>
        <v/>
      </c>
      <c r="Y149">
        <f>HYPERLINK("https://klasma.github.io/Logging_2283/tillsynsmail/A 43289-2024 tillsynsbegäran mail.docx", "A 43289-2024")</f>
        <v/>
      </c>
      <c r="Z149">
        <f>HYPERLINK("https://klasma.github.io/Logging_2283/fåglar/A 43289-2024 prioriterade fågelarter.docx", "A 43289-2024")</f>
        <v/>
      </c>
    </row>
    <row r="150" ht="15" customHeight="1">
      <c r="A150" t="inlineStr">
        <is>
          <t>A 55422-2024</t>
        </is>
      </c>
      <c r="B150" s="1" t="n">
        <v>45622</v>
      </c>
      <c r="C150" s="1" t="n">
        <v>45822</v>
      </c>
      <c r="D150" t="inlineStr">
        <is>
          <t>VÄSTERNORRLANDS LÄN</t>
        </is>
      </c>
      <c r="E150" t="inlineStr">
        <is>
          <t>SOLLEFTEÅ</t>
        </is>
      </c>
      <c r="F150" t="inlineStr">
        <is>
          <t>SCA</t>
        </is>
      </c>
      <c r="G150" t="n">
        <v>1.8</v>
      </c>
      <c r="H150" t="n">
        <v>2</v>
      </c>
      <c r="I150" t="n">
        <v>0</v>
      </c>
      <c r="J150" t="n">
        <v>7</v>
      </c>
      <c r="K150" t="n">
        <v>0</v>
      </c>
      <c r="L150" t="n">
        <v>0</v>
      </c>
      <c r="M150" t="n">
        <v>0</v>
      </c>
      <c r="N150" t="n">
        <v>0</v>
      </c>
      <c r="O150" t="n">
        <v>7</v>
      </c>
      <c r="P150" t="n">
        <v>0</v>
      </c>
      <c r="Q150" t="n">
        <v>7</v>
      </c>
      <c r="R150" s="2" t="inlineStr">
        <is>
          <t>Garnlav
Järpe
Lunglav
Rosenticka
Spillkråka
Tallticka
Ullticka</t>
        </is>
      </c>
      <c r="S150">
        <f>HYPERLINK("https://klasma.github.io/Logging_2283/artfynd/A 55422-2024 artfynd.xlsx", "A 55422-2024")</f>
        <v/>
      </c>
      <c r="T150">
        <f>HYPERLINK("https://klasma.github.io/Logging_2283/kartor/A 55422-2024 karta.png", "A 55422-2024")</f>
        <v/>
      </c>
      <c r="V150">
        <f>HYPERLINK("https://klasma.github.io/Logging_2283/klagomål/A 55422-2024 FSC-klagomål.docx", "A 55422-2024")</f>
        <v/>
      </c>
      <c r="W150">
        <f>HYPERLINK("https://klasma.github.io/Logging_2283/klagomålsmail/A 55422-2024 FSC-klagomål mail.docx", "A 55422-2024")</f>
        <v/>
      </c>
      <c r="X150">
        <f>HYPERLINK("https://klasma.github.io/Logging_2283/tillsyn/A 55422-2024 tillsynsbegäran.docx", "A 55422-2024")</f>
        <v/>
      </c>
      <c r="Y150">
        <f>HYPERLINK("https://klasma.github.io/Logging_2283/tillsynsmail/A 55422-2024 tillsynsbegäran mail.docx", "A 55422-2024")</f>
        <v/>
      </c>
      <c r="Z150">
        <f>HYPERLINK("https://klasma.github.io/Logging_2283/fåglar/A 55422-2024 prioriterade fågelarter.docx", "A 55422-2024")</f>
        <v/>
      </c>
    </row>
    <row r="151" ht="15" customHeight="1">
      <c r="A151" t="inlineStr">
        <is>
          <t>A 59982-2024</t>
        </is>
      </c>
      <c r="B151" s="1" t="n">
        <v>45642</v>
      </c>
      <c r="C151" s="1" t="n">
        <v>45822</v>
      </c>
      <c r="D151" t="inlineStr">
        <is>
          <t>VÄSTERNORRLANDS LÄN</t>
        </is>
      </c>
      <c r="E151" t="inlineStr">
        <is>
          <t>SOLLEFTEÅ</t>
        </is>
      </c>
      <c r="G151" t="n">
        <v>12.1</v>
      </c>
      <c r="H151" t="n">
        <v>3</v>
      </c>
      <c r="I151" t="n">
        <v>2</v>
      </c>
      <c r="J151" t="n">
        <v>3</v>
      </c>
      <c r="K151" t="n">
        <v>1</v>
      </c>
      <c r="L151" t="n">
        <v>0</v>
      </c>
      <c r="M151" t="n">
        <v>0</v>
      </c>
      <c r="N151" t="n">
        <v>0</v>
      </c>
      <c r="O151" t="n">
        <v>4</v>
      </c>
      <c r="P151" t="n">
        <v>1</v>
      </c>
      <c r="Q151" t="n">
        <v>7</v>
      </c>
      <c r="R151" s="2" t="inlineStr">
        <is>
          <t>Knärot
Garnlav
Rosenticka
Ullticka
Korallrot
Vedticka
Fläcknycklar</t>
        </is>
      </c>
      <c r="S151">
        <f>HYPERLINK("https://klasma.github.io/Logging_2283/artfynd/A 59982-2024 artfynd.xlsx", "A 59982-2024")</f>
        <v/>
      </c>
      <c r="T151">
        <f>HYPERLINK("https://klasma.github.io/Logging_2283/kartor/A 59982-2024 karta.png", "A 59982-2024")</f>
        <v/>
      </c>
      <c r="U151">
        <f>HYPERLINK("https://klasma.github.io/Logging_2283/knärot/A 59982-2024 karta knärot.png", "A 59982-2024")</f>
        <v/>
      </c>
      <c r="V151">
        <f>HYPERLINK("https://klasma.github.io/Logging_2283/klagomål/A 59982-2024 FSC-klagomål.docx", "A 59982-2024")</f>
        <v/>
      </c>
      <c r="W151">
        <f>HYPERLINK("https://klasma.github.io/Logging_2283/klagomålsmail/A 59982-2024 FSC-klagomål mail.docx", "A 59982-2024")</f>
        <v/>
      </c>
      <c r="X151">
        <f>HYPERLINK("https://klasma.github.io/Logging_2283/tillsyn/A 59982-2024 tillsynsbegäran.docx", "A 59982-2024")</f>
        <v/>
      </c>
      <c r="Y151">
        <f>HYPERLINK("https://klasma.github.io/Logging_2283/tillsynsmail/A 59982-2024 tillsynsbegäran mail.docx", "A 59982-2024")</f>
        <v/>
      </c>
    </row>
    <row r="152" ht="15" customHeight="1">
      <c r="A152" t="inlineStr">
        <is>
          <t>A 60956-2024</t>
        </is>
      </c>
      <c r="B152" s="1" t="n">
        <v>45645</v>
      </c>
      <c r="C152" s="1" t="n">
        <v>45822</v>
      </c>
      <c r="D152" t="inlineStr">
        <is>
          <t>VÄSTERNORRLANDS LÄN</t>
        </is>
      </c>
      <c r="E152" t="inlineStr">
        <is>
          <t>SOLLEFTEÅ</t>
        </is>
      </c>
      <c r="F152" t="inlineStr">
        <is>
          <t>SCA</t>
        </is>
      </c>
      <c r="G152" t="n">
        <v>14</v>
      </c>
      <c r="H152" t="n">
        <v>2</v>
      </c>
      <c r="I152" t="n">
        <v>2</v>
      </c>
      <c r="J152" t="n">
        <v>5</v>
      </c>
      <c r="K152" t="n">
        <v>0</v>
      </c>
      <c r="L152" t="n">
        <v>0</v>
      </c>
      <c r="M152" t="n">
        <v>0</v>
      </c>
      <c r="N152" t="n">
        <v>0</v>
      </c>
      <c r="O152" t="n">
        <v>5</v>
      </c>
      <c r="P152" t="n">
        <v>0</v>
      </c>
      <c r="Q152" t="n">
        <v>7</v>
      </c>
      <c r="R152" s="2" t="inlineStr">
        <is>
          <t>Garnlav
Lunglav
Talltita
Tretåig hackspett
Ullticka
Korallblylav
Skinnlav</t>
        </is>
      </c>
      <c r="S152">
        <f>HYPERLINK("https://klasma.github.io/Logging_2283/artfynd/A 60956-2024 artfynd.xlsx", "A 60956-2024")</f>
        <v/>
      </c>
      <c r="T152">
        <f>HYPERLINK("https://klasma.github.io/Logging_2283/kartor/A 60956-2024 karta.png", "A 60956-2024")</f>
        <v/>
      </c>
      <c r="V152">
        <f>HYPERLINK("https://klasma.github.io/Logging_2283/klagomål/A 60956-2024 FSC-klagomål.docx", "A 60956-2024")</f>
        <v/>
      </c>
      <c r="W152">
        <f>HYPERLINK("https://klasma.github.io/Logging_2283/klagomålsmail/A 60956-2024 FSC-klagomål mail.docx", "A 60956-2024")</f>
        <v/>
      </c>
      <c r="X152">
        <f>HYPERLINK("https://klasma.github.io/Logging_2283/tillsyn/A 60956-2024 tillsynsbegäran.docx", "A 60956-2024")</f>
        <v/>
      </c>
      <c r="Y152">
        <f>HYPERLINK("https://klasma.github.io/Logging_2283/tillsynsmail/A 60956-2024 tillsynsbegäran mail.docx", "A 60956-2024")</f>
        <v/>
      </c>
      <c r="Z152">
        <f>HYPERLINK("https://klasma.github.io/Logging_2283/fåglar/A 60956-2024 prioriterade fågelarter.docx", "A 60956-2024")</f>
        <v/>
      </c>
    </row>
    <row r="153" ht="15" customHeight="1">
      <c r="A153" t="inlineStr">
        <is>
          <t>A 12174-2025</t>
        </is>
      </c>
      <c r="B153" s="1" t="n">
        <v>45729</v>
      </c>
      <c r="C153" s="1" t="n">
        <v>45822</v>
      </c>
      <c r="D153" t="inlineStr">
        <is>
          <t>VÄSTERNORRLANDS LÄN</t>
        </is>
      </c>
      <c r="E153" t="inlineStr">
        <is>
          <t>SOLLEFTEÅ</t>
        </is>
      </c>
      <c r="F153" t="inlineStr">
        <is>
          <t>SCA</t>
        </is>
      </c>
      <c r="G153" t="n">
        <v>1.8</v>
      </c>
      <c r="H153" t="n">
        <v>4</v>
      </c>
      <c r="I153" t="n">
        <v>0</v>
      </c>
      <c r="J153" t="n">
        <v>5</v>
      </c>
      <c r="K153" t="n">
        <v>0</v>
      </c>
      <c r="L153" t="n">
        <v>0</v>
      </c>
      <c r="M153" t="n">
        <v>0</v>
      </c>
      <c r="N153" t="n">
        <v>0</v>
      </c>
      <c r="O153" t="n">
        <v>5</v>
      </c>
      <c r="P153" t="n">
        <v>0</v>
      </c>
      <c r="Q153" t="n">
        <v>7</v>
      </c>
      <c r="R153" s="2" t="inlineStr">
        <is>
          <t>Garnlav
Lunglav
Mörk kolflarnlav
Spillkråka
Tretåig hackspett
Tjäder
Revlummer</t>
        </is>
      </c>
      <c r="S153">
        <f>HYPERLINK("https://klasma.github.io/Logging_222283/artfynd/A 12174-2025 artfynd.xlsx", "A 12174-2025")</f>
        <v/>
      </c>
      <c r="T153">
        <f>HYPERLINK("https://klasma.github.io/Logging_222283/kartor/A 12174-2025 karta.png", "A 12174-2025")</f>
        <v/>
      </c>
      <c r="V153">
        <f>HYPERLINK("https://klasma.github.io/Logging_222283/klagomål/A 12174-2025 FSC-klagomål.docx", "A 12174-2025")</f>
        <v/>
      </c>
      <c r="W153">
        <f>HYPERLINK("https://klasma.github.io/Logging_222283/klagomålsmail/A 12174-2025 FSC-klagomål mail.docx", "A 12174-2025")</f>
        <v/>
      </c>
      <c r="X153">
        <f>HYPERLINK("https://klasma.github.io/Logging_222283/tillsyn/A 12174-2025 tillsynsbegäran.docx", "A 12174-2025")</f>
        <v/>
      </c>
      <c r="Y153">
        <f>HYPERLINK("https://klasma.github.io/Logging_222283/tillsynsmail/A 12174-2025 tillsynsbegäran mail.docx", "A 12174-2025")</f>
        <v/>
      </c>
      <c r="Z153">
        <f>HYPERLINK("https://klasma.github.io/Logging_222283/fåglar/A 12174-2025 prioriterade fågelarter.docx", "A 12174-2025")</f>
        <v/>
      </c>
    </row>
    <row r="154" ht="15" customHeight="1">
      <c r="A154" t="inlineStr">
        <is>
          <t>A 21253-2025</t>
        </is>
      </c>
      <c r="B154" s="1" t="n">
        <v>45779</v>
      </c>
      <c r="C154" s="1" t="n">
        <v>45822</v>
      </c>
      <c r="D154" t="inlineStr">
        <is>
          <t>VÄSTERNORRLANDS LÄN</t>
        </is>
      </c>
      <c r="E154" t="inlineStr">
        <is>
          <t>SOLLEFTEÅ</t>
        </is>
      </c>
      <c r="G154" t="n">
        <v>10.2</v>
      </c>
      <c r="H154" t="n">
        <v>2</v>
      </c>
      <c r="I154" t="n">
        <v>1</v>
      </c>
      <c r="J154" t="n">
        <v>3</v>
      </c>
      <c r="K154" t="n">
        <v>1</v>
      </c>
      <c r="L154" t="n">
        <v>0</v>
      </c>
      <c r="M154" t="n">
        <v>0</v>
      </c>
      <c r="N154" t="n">
        <v>0</v>
      </c>
      <c r="O154" t="n">
        <v>4</v>
      </c>
      <c r="P154" t="n">
        <v>1</v>
      </c>
      <c r="Q154" t="n">
        <v>7</v>
      </c>
      <c r="R154" s="2" t="inlineStr">
        <is>
          <t>Rynkskinn
Doftskinn
Rosenticka
Ullticka
Stor aspticka
Fläcknycklar
Revlummer</t>
        </is>
      </c>
      <c r="S154">
        <f>HYPERLINK("https://klasma.github.io/Logging_222283/artfynd/A 21253-2025 artfynd.xlsx", "A 21253-2025")</f>
        <v/>
      </c>
      <c r="T154">
        <f>HYPERLINK("https://klasma.github.io/Logging_222283/kartor/A 21253-2025 karta.png", "A 21253-2025")</f>
        <v/>
      </c>
      <c r="V154">
        <f>HYPERLINK("https://klasma.github.io/Logging_222283/klagomål/A 21253-2025 FSC-klagomål.docx", "A 21253-2025")</f>
        <v/>
      </c>
      <c r="W154">
        <f>HYPERLINK("https://klasma.github.io/Logging_222283/klagomålsmail/A 21253-2025 FSC-klagomål mail.docx", "A 21253-2025")</f>
        <v/>
      </c>
      <c r="X154">
        <f>HYPERLINK("https://klasma.github.io/Logging_222283/tillsyn/A 21253-2025 tillsynsbegäran.docx", "A 21253-2025")</f>
        <v/>
      </c>
      <c r="Y154">
        <f>HYPERLINK("https://klasma.github.io/Logging_222283/tillsynsmail/A 21253-2025 tillsynsbegäran mail.docx", "A 21253-2025")</f>
        <v/>
      </c>
    </row>
    <row r="155" ht="15" customHeight="1">
      <c r="A155" t="inlineStr">
        <is>
          <t>A 22783-2025</t>
        </is>
      </c>
      <c r="B155" s="1" t="n">
        <v>45789</v>
      </c>
      <c r="C155" s="1" t="n">
        <v>45822</v>
      </c>
      <c r="D155" t="inlineStr">
        <is>
          <t>VÄSTERNORRLANDS LÄN</t>
        </is>
      </c>
      <c r="E155" t="inlineStr">
        <is>
          <t>SOLLEFTEÅ</t>
        </is>
      </c>
      <c r="G155" t="n">
        <v>27.7</v>
      </c>
      <c r="H155" t="n">
        <v>3</v>
      </c>
      <c r="I155" t="n">
        <v>2</v>
      </c>
      <c r="J155" t="n">
        <v>3</v>
      </c>
      <c r="K155" t="n">
        <v>0</v>
      </c>
      <c r="L155" t="n">
        <v>0</v>
      </c>
      <c r="M155" t="n">
        <v>0</v>
      </c>
      <c r="N155" t="n">
        <v>0</v>
      </c>
      <c r="O155" t="n">
        <v>3</v>
      </c>
      <c r="P155" t="n">
        <v>0</v>
      </c>
      <c r="Q155" t="n">
        <v>7</v>
      </c>
      <c r="R155" s="2" t="inlineStr">
        <is>
          <t>Lunglav
Nordfladdermus
Skrovellav
Bårdlav
Stuplav
Lavskrika
Vattenfladdermus</t>
        </is>
      </c>
      <c r="S155">
        <f>HYPERLINK("https://klasma.github.io/Logging_222283/artfynd/A 22783-2025 artfynd.xlsx", "A 22783-2025")</f>
        <v/>
      </c>
      <c r="T155">
        <f>HYPERLINK("https://klasma.github.io/Logging_222283/kartor/A 22783-2025 karta.png", "A 22783-2025")</f>
        <v/>
      </c>
      <c r="V155">
        <f>HYPERLINK("https://klasma.github.io/Logging_222283/klagomål/A 22783-2025 FSC-klagomål.docx", "A 22783-2025")</f>
        <v/>
      </c>
      <c r="W155">
        <f>HYPERLINK("https://klasma.github.io/Logging_222283/klagomålsmail/A 22783-2025 FSC-klagomål mail.docx", "A 22783-2025")</f>
        <v/>
      </c>
      <c r="X155">
        <f>HYPERLINK("https://klasma.github.io/Logging_222283/tillsyn/A 22783-2025 tillsynsbegäran.docx", "A 22783-2025")</f>
        <v/>
      </c>
      <c r="Y155">
        <f>HYPERLINK("https://klasma.github.io/Logging_222283/tillsynsmail/A 22783-2025 tillsynsbegäran mail.docx", "A 22783-2025")</f>
        <v/>
      </c>
      <c r="Z155">
        <f>HYPERLINK("https://klasma.github.io/Logging_222283/fåglar/A 22783-2025 prioriterade fågelarter.docx", "A 22783-2025")</f>
        <v/>
      </c>
    </row>
    <row r="156" ht="15" customHeight="1">
      <c r="A156" t="inlineStr">
        <is>
          <t>A 24359-2025</t>
        </is>
      </c>
      <c r="B156" s="1" t="n">
        <v>45797</v>
      </c>
      <c r="C156" s="1" t="n">
        <v>45822</v>
      </c>
      <c r="D156" t="inlineStr">
        <is>
          <t>VÄSTERNORRLANDS LÄN</t>
        </is>
      </c>
      <c r="E156" t="inlineStr">
        <is>
          <t>SOLLEFTEÅ</t>
        </is>
      </c>
      <c r="F156" t="inlineStr">
        <is>
          <t>SCA</t>
        </is>
      </c>
      <c r="G156" t="n">
        <v>4.9</v>
      </c>
      <c r="H156" t="n">
        <v>2</v>
      </c>
      <c r="I156" t="n">
        <v>0</v>
      </c>
      <c r="J156" t="n">
        <v>6</v>
      </c>
      <c r="K156" t="n">
        <v>0</v>
      </c>
      <c r="L156" t="n">
        <v>0</v>
      </c>
      <c r="M156" t="n">
        <v>0</v>
      </c>
      <c r="N156" t="n">
        <v>0</v>
      </c>
      <c r="O156" t="n">
        <v>6</v>
      </c>
      <c r="P156" t="n">
        <v>0</v>
      </c>
      <c r="Q156" t="n">
        <v>7</v>
      </c>
      <c r="R156" s="2" t="inlineStr">
        <is>
          <t>Dvärgbägarlav
Garnlav
Järpe
Rosenticka
Ullticka
Vedskivlav
Tjäder</t>
        </is>
      </c>
      <c r="S156">
        <f>HYPERLINK("https://klasma.github.io/Logging_222283/artfynd/A 24359-2025 artfynd.xlsx", "A 24359-2025")</f>
        <v/>
      </c>
      <c r="T156">
        <f>HYPERLINK("https://klasma.github.io/Logging_222283/kartor/A 24359-2025 karta.png", "A 24359-2025")</f>
        <v/>
      </c>
      <c r="V156">
        <f>HYPERLINK("https://klasma.github.io/Logging_222283/klagomål/A 24359-2025 FSC-klagomål.docx", "A 24359-2025")</f>
        <v/>
      </c>
      <c r="W156">
        <f>HYPERLINK("https://klasma.github.io/Logging_222283/klagomålsmail/A 24359-2025 FSC-klagomål mail.docx", "A 24359-2025")</f>
        <v/>
      </c>
      <c r="X156">
        <f>HYPERLINK("https://klasma.github.io/Logging_222283/tillsyn/A 24359-2025 tillsynsbegäran.docx", "A 24359-2025")</f>
        <v/>
      </c>
      <c r="Y156">
        <f>HYPERLINK("https://klasma.github.io/Logging_222283/tillsynsmail/A 24359-2025 tillsynsbegäran mail.docx", "A 24359-2025")</f>
        <v/>
      </c>
      <c r="Z156">
        <f>HYPERLINK("https://klasma.github.io/Logging_222283/fåglar/A 24359-2025 prioriterade fågelarter.docx", "A 24359-2025")</f>
        <v/>
      </c>
    </row>
    <row r="157" ht="15" customHeight="1">
      <c r="A157" t="inlineStr">
        <is>
          <t>A 26633-2019</t>
        </is>
      </c>
      <c r="B157" s="1" t="n">
        <v>43612</v>
      </c>
      <c r="C157" s="1" t="n">
        <v>45822</v>
      </c>
      <c r="D157" t="inlineStr">
        <is>
          <t>VÄSTERNORRLANDS LÄN</t>
        </is>
      </c>
      <c r="E157" t="inlineStr">
        <is>
          <t>SOLLEFTEÅ</t>
        </is>
      </c>
      <c r="F157" t="inlineStr">
        <is>
          <t>SCA</t>
        </is>
      </c>
      <c r="G157" t="n">
        <v>20.5</v>
      </c>
      <c r="H157" t="n">
        <v>1</v>
      </c>
      <c r="I157" t="n">
        <v>1</v>
      </c>
      <c r="J157" t="n">
        <v>5</v>
      </c>
      <c r="K157" t="n">
        <v>0</v>
      </c>
      <c r="L157" t="n">
        <v>0</v>
      </c>
      <c r="M157" t="n">
        <v>0</v>
      </c>
      <c r="N157" t="n">
        <v>0</v>
      </c>
      <c r="O157" t="n">
        <v>5</v>
      </c>
      <c r="P157" t="n">
        <v>0</v>
      </c>
      <c r="Q157" t="n">
        <v>6</v>
      </c>
      <c r="R157" s="2" t="inlineStr">
        <is>
          <t>Grantaggsvamp
Knölgrynna
Slät tallkapuschongbagge
Tallriska
Tretåig hackspett
Dropptaggsvamp</t>
        </is>
      </c>
      <c r="S157">
        <f>HYPERLINK("https://klasma.github.io/Logging_2283/artfynd/A 26633-2019 artfynd.xlsx", "A 26633-2019")</f>
        <v/>
      </c>
      <c r="T157">
        <f>HYPERLINK("https://klasma.github.io/Logging_2283/kartor/A 26633-2019 karta.png", "A 26633-2019")</f>
        <v/>
      </c>
      <c r="V157">
        <f>HYPERLINK("https://klasma.github.io/Logging_2283/klagomål/A 26633-2019 FSC-klagomål.docx", "A 26633-2019")</f>
        <v/>
      </c>
      <c r="W157">
        <f>HYPERLINK("https://klasma.github.io/Logging_2283/klagomålsmail/A 26633-2019 FSC-klagomål mail.docx", "A 26633-2019")</f>
        <v/>
      </c>
      <c r="X157">
        <f>HYPERLINK("https://klasma.github.io/Logging_2283/tillsyn/A 26633-2019 tillsynsbegäran.docx", "A 26633-2019")</f>
        <v/>
      </c>
      <c r="Y157">
        <f>HYPERLINK("https://klasma.github.io/Logging_2283/tillsynsmail/A 26633-2019 tillsynsbegäran mail.docx", "A 26633-2019")</f>
        <v/>
      </c>
      <c r="Z157">
        <f>HYPERLINK("https://klasma.github.io/Logging_2283/fåglar/A 26633-2019 prioriterade fågelarter.docx", "A 26633-2019")</f>
        <v/>
      </c>
    </row>
    <row r="158" ht="15" customHeight="1">
      <c r="A158" t="inlineStr">
        <is>
          <t>A 59075-2019</t>
        </is>
      </c>
      <c r="B158" s="1" t="n">
        <v>43774</v>
      </c>
      <c r="C158" s="1" t="n">
        <v>45822</v>
      </c>
      <c r="D158" t="inlineStr">
        <is>
          <t>VÄSTERNORRLANDS LÄN</t>
        </is>
      </c>
      <c r="E158" t="inlineStr">
        <is>
          <t>SOLLEFTEÅ</t>
        </is>
      </c>
      <c r="G158" t="n">
        <v>1.6</v>
      </c>
      <c r="H158" t="n">
        <v>2</v>
      </c>
      <c r="I158" t="n">
        <v>2</v>
      </c>
      <c r="J158" t="n">
        <v>3</v>
      </c>
      <c r="K158" t="n">
        <v>0</v>
      </c>
      <c r="L158" t="n">
        <v>0</v>
      </c>
      <c r="M158" t="n">
        <v>0</v>
      </c>
      <c r="N158" t="n">
        <v>0</v>
      </c>
      <c r="O158" t="n">
        <v>3</v>
      </c>
      <c r="P158" t="n">
        <v>0</v>
      </c>
      <c r="Q158" t="n">
        <v>6</v>
      </c>
      <c r="R158" s="2" t="inlineStr">
        <is>
          <t>Lunglav
Mindre hackspett
Rosenticka
Skinnlav
Svart trolldruva
Revlummer</t>
        </is>
      </c>
      <c r="S158">
        <f>HYPERLINK("https://klasma.github.io/Logging_2283/artfynd/A 59075-2019 artfynd.xlsx", "A 59075-2019")</f>
        <v/>
      </c>
      <c r="T158">
        <f>HYPERLINK("https://klasma.github.io/Logging_2283/kartor/A 59075-2019 karta.png", "A 59075-2019")</f>
        <v/>
      </c>
      <c r="V158">
        <f>HYPERLINK("https://klasma.github.io/Logging_2283/klagomål/A 59075-2019 FSC-klagomål.docx", "A 59075-2019")</f>
        <v/>
      </c>
      <c r="W158">
        <f>HYPERLINK("https://klasma.github.io/Logging_2283/klagomålsmail/A 59075-2019 FSC-klagomål mail.docx", "A 59075-2019")</f>
        <v/>
      </c>
      <c r="X158">
        <f>HYPERLINK("https://klasma.github.io/Logging_2283/tillsyn/A 59075-2019 tillsynsbegäran.docx", "A 59075-2019")</f>
        <v/>
      </c>
      <c r="Y158">
        <f>HYPERLINK("https://klasma.github.io/Logging_2283/tillsynsmail/A 59075-2019 tillsynsbegäran mail.docx", "A 59075-2019")</f>
        <v/>
      </c>
      <c r="Z158">
        <f>HYPERLINK("https://klasma.github.io/Logging_2283/fåglar/A 59075-2019 prioriterade fågelarter.docx", "A 59075-2019")</f>
        <v/>
      </c>
    </row>
    <row r="159" ht="15" customHeight="1">
      <c r="A159" t="inlineStr">
        <is>
          <t>A 4528-2022</t>
        </is>
      </c>
      <c r="B159" s="1" t="n">
        <v>44589</v>
      </c>
      <c r="C159" s="1" t="n">
        <v>45822</v>
      </c>
      <c r="D159" t="inlineStr">
        <is>
          <t>VÄSTERNORRLANDS LÄN</t>
        </is>
      </c>
      <c r="E159" t="inlineStr">
        <is>
          <t>SOLLEFTEÅ</t>
        </is>
      </c>
      <c r="G159" t="n">
        <v>2.6</v>
      </c>
      <c r="H159" t="n">
        <v>2</v>
      </c>
      <c r="I159" t="n">
        <v>1</v>
      </c>
      <c r="J159" t="n">
        <v>4</v>
      </c>
      <c r="K159" t="n">
        <v>0</v>
      </c>
      <c r="L159" t="n">
        <v>0</v>
      </c>
      <c r="M159" t="n">
        <v>0</v>
      </c>
      <c r="N159" t="n">
        <v>0</v>
      </c>
      <c r="O159" t="n">
        <v>4</v>
      </c>
      <c r="P159" t="n">
        <v>0</v>
      </c>
      <c r="Q159" t="n">
        <v>6</v>
      </c>
      <c r="R159" s="2" t="inlineStr">
        <is>
          <t>Garnlav
Tallticka
Tretåig hackspett
Ullticka
Vedticka
Revlummer</t>
        </is>
      </c>
      <c r="S159">
        <f>HYPERLINK("https://klasma.github.io/Logging_2283/artfynd/A 4528-2022 artfynd.xlsx", "A 4528-2022")</f>
        <v/>
      </c>
      <c r="T159">
        <f>HYPERLINK("https://klasma.github.io/Logging_2283/kartor/A 4528-2022 karta.png", "A 4528-2022")</f>
        <v/>
      </c>
      <c r="V159">
        <f>HYPERLINK("https://klasma.github.io/Logging_2283/klagomål/A 4528-2022 FSC-klagomål.docx", "A 4528-2022")</f>
        <v/>
      </c>
      <c r="W159">
        <f>HYPERLINK("https://klasma.github.io/Logging_2283/klagomålsmail/A 4528-2022 FSC-klagomål mail.docx", "A 4528-2022")</f>
        <v/>
      </c>
      <c r="X159">
        <f>HYPERLINK("https://klasma.github.io/Logging_2283/tillsyn/A 4528-2022 tillsynsbegäran.docx", "A 4528-2022")</f>
        <v/>
      </c>
      <c r="Y159">
        <f>HYPERLINK("https://klasma.github.io/Logging_2283/tillsynsmail/A 4528-2022 tillsynsbegäran mail.docx", "A 4528-2022")</f>
        <v/>
      </c>
      <c r="Z159">
        <f>HYPERLINK("https://klasma.github.io/Logging_2283/fåglar/A 4528-2022 prioriterade fågelarter.docx", "A 4528-2022")</f>
        <v/>
      </c>
    </row>
    <row r="160" ht="15" customHeight="1">
      <c r="A160" t="inlineStr">
        <is>
          <t>A 16087-2022</t>
        </is>
      </c>
      <c r="B160" s="1" t="n">
        <v>44665</v>
      </c>
      <c r="C160" s="1" t="n">
        <v>45822</v>
      </c>
      <c r="D160" t="inlineStr">
        <is>
          <t>VÄSTERNORRLANDS LÄN</t>
        </is>
      </c>
      <c r="E160" t="inlineStr">
        <is>
          <t>SOLLEFTEÅ</t>
        </is>
      </c>
      <c r="F160" t="inlineStr">
        <is>
          <t>Holmen skog AB</t>
        </is>
      </c>
      <c r="G160" t="n">
        <v>7.5</v>
      </c>
      <c r="H160" t="n">
        <v>0</v>
      </c>
      <c r="I160" t="n">
        <v>1</v>
      </c>
      <c r="J160" t="n">
        <v>3</v>
      </c>
      <c r="K160" t="n">
        <v>2</v>
      </c>
      <c r="L160" t="n">
        <v>0</v>
      </c>
      <c r="M160" t="n">
        <v>0</v>
      </c>
      <c r="N160" t="n">
        <v>0</v>
      </c>
      <c r="O160" t="n">
        <v>5</v>
      </c>
      <c r="P160" t="n">
        <v>2</v>
      </c>
      <c r="Q160" t="n">
        <v>6</v>
      </c>
      <c r="R160" s="2" t="inlineStr">
        <is>
          <t>Bitter taggsvamp
Goliatmusseron
Blå taggsvamp
Orange taggsvamp
Skrovlig taggsvamp
Skarp dropptaggsvamp</t>
        </is>
      </c>
      <c r="S160">
        <f>HYPERLINK("https://klasma.github.io/Logging_2283/artfynd/A 16087-2022 artfynd.xlsx", "A 16087-2022")</f>
        <v/>
      </c>
      <c r="T160">
        <f>HYPERLINK("https://klasma.github.io/Logging_2283/kartor/A 16087-2022 karta.png", "A 16087-2022")</f>
        <v/>
      </c>
      <c r="V160">
        <f>HYPERLINK("https://klasma.github.io/Logging_2283/klagomål/A 16087-2022 FSC-klagomål.docx", "A 16087-2022")</f>
        <v/>
      </c>
      <c r="W160">
        <f>HYPERLINK("https://klasma.github.io/Logging_2283/klagomålsmail/A 16087-2022 FSC-klagomål mail.docx", "A 16087-2022")</f>
        <v/>
      </c>
      <c r="X160">
        <f>HYPERLINK("https://klasma.github.io/Logging_2283/tillsyn/A 16087-2022 tillsynsbegäran.docx", "A 16087-2022")</f>
        <v/>
      </c>
      <c r="Y160">
        <f>HYPERLINK("https://klasma.github.io/Logging_2283/tillsynsmail/A 16087-2022 tillsynsbegäran mail.docx", "A 16087-2022")</f>
        <v/>
      </c>
    </row>
    <row r="161" ht="15" customHeight="1">
      <c r="A161" t="inlineStr">
        <is>
          <t>A 24887-2022</t>
        </is>
      </c>
      <c r="B161" s="1" t="n">
        <v>44728</v>
      </c>
      <c r="C161" s="1" t="n">
        <v>45822</v>
      </c>
      <c r="D161" t="inlineStr">
        <is>
          <t>VÄSTERNORRLANDS LÄN</t>
        </is>
      </c>
      <c r="E161" t="inlineStr">
        <is>
          <t>SOLLEFTEÅ</t>
        </is>
      </c>
      <c r="G161" t="n">
        <v>11.4</v>
      </c>
      <c r="H161" t="n">
        <v>2</v>
      </c>
      <c r="I161" t="n">
        <v>0</v>
      </c>
      <c r="J161" t="n">
        <v>5</v>
      </c>
      <c r="K161" t="n">
        <v>1</v>
      </c>
      <c r="L161" t="n">
        <v>0</v>
      </c>
      <c r="M161" t="n">
        <v>0</v>
      </c>
      <c r="N161" t="n">
        <v>0</v>
      </c>
      <c r="O161" t="n">
        <v>6</v>
      </c>
      <c r="P161" t="n">
        <v>1</v>
      </c>
      <c r="Q161" t="n">
        <v>6</v>
      </c>
      <c r="R161" s="2" t="inlineStr">
        <is>
          <t>Knärot
Garnlav
Gränsticka
Järpe
Rosenticka
Ullticka</t>
        </is>
      </c>
      <c r="S161">
        <f>HYPERLINK("https://klasma.github.io/Logging_2283/artfynd/A 24887-2022 artfynd.xlsx", "A 24887-2022")</f>
        <v/>
      </c>
      <c r="T161">
        <f>HYPERLINK("https://klasma.github.io/Logging_2283/kartor/A 24887-2022 karta.png", "A 24887-2022")</f>
        <v/>
      </c>
      <c r="U161">
        <f>HYPERLINK("https://klasma.github.io/Logging_2283/knärot/A 24887-2022 karta knärot.png", "A 24887-2022")</f>
        <v/>
      </c>
      <c r="V161">
        <f>HYPERLINK("https://klasma.github.io/Logging_2283/klagomål/A 24887-2022 FSC-klagomål.docx", "A 24887-2022")</f>
        <v/>
      </c>
      <c r="W161">
        <f>HYPERLINK("https://klasma.github.io/Logging_2283/klagomålsmail/A 24887-2022 FSC-klagomål mail.docx", "A 24887-2022")</f>
        <v/>
      </c>
      <c r="X161">
        <f>HYPERLINK("https://klasma.github.io/Logging_2283/tillsyn/A 24887-2022 tillsynsbegäran.docx", "A 24887-2022")</f>
        <v/>
      </c>
      <c r="Y161">
        <f>HYPERLINK("https://klasma.github.io/Logging_2283/tillsynsmail/A 24887-2022 tillsynsbegäran mail.docx", "A 24887-2022")</f>
        <v/>
      </c>
      <c r="Z161">
        <f>HYPERLINK("https://klasma.github.io/Logging_2283/fåglar/A 24887-2022 prioriterade fågelarter.docx", "A 24887-2022")</f>
        <v/>
      </c>
    </row>
    <row r="162" ht="15" customHeight="1">
      <c r="A162" t="inlineStr">
        <is>
          <t>A 26594-2022</t>
        </is>
      </c>
      <c r="B162" s="1" t="n">
        <v>44739</v>
      </c>
      <c r="C162" s="1" t="n">
        <v>45822</v>
      </c>
      <c r="D162" t="inlineStr">
        <is>
          <t>VÄSTERNORRLANDS LÄN</t>
        </is>
      </c>
      <c r="E162" t="inlineStr">
        <is>
          <t>SOLLEFTEÅ</t>
        </is>
      </c>
      <c r="F162" t="inlineStr">
        <is>
          <t>Holmen skog AB</t>
        </is>
      </c>
      <c r="G162" t="n">
        <v>1.6</v>
      </c>
      <c r="H162" t="n">
        <v>4</v>
      </c>
      <c r="I162" t="n">
        <v>0</v>
      </c>
      <c r="J162" t="n">
        <v>4</v>
      </c>
      <c r="K162" t="n">
        <v>1</v>
      </c>
      <c r="L162" t="n">
        <v>0</v>
      </c>
      <c r="M162" t="n">
        <v>0</v>
      </c>
      <c r="N162" t="n">
        <v>0</v>
      </c>
      <c r="O162" t="n">
        <v>5</v>
      </c>
      <c r="P162" t="n">
        <v>1</v>
      </c>
      <c r="Q162" t="n">
        <v>6</v>
      </c>
      <c r="R162" s="2" t="inlineStr">
        <is>
          <t>Knärot
Garnlav
Granticka
Spillkråka
Talltita
Tjäder</t>
        </is>
      </c>
      <c r="S162">
        <f>HYPERLINK("https://klasma.github.io/Logging_2283/artfynd/A 26594-2022 artfynd.xlsx", "A 26594-2022")</f>
        <v/>
      </c>
      <c r="T162">
        <f>HYPERLINK("https://klasma.github.io/Logging_2283/kartor/A 26594-2022 karta.png", "A 26594-2022")</f>
        <v/>
      </c>
      <c r="U162">
        <f>HYPERLINK("https://klasma.github.io/Logging_2283/knärot/A 26594-2022 karta knärot.png", "A 26594-2022")</f>
        <v/>
      </c>
      <c r="V162">
        <f>HYPERLINK("https://klasma.github.io/Logging_2283/klagomål/A 26594-2022 FSC-klagomål.docx", "A 26594-2022")</f>
        <v/>
      </c>
      <c r="W162">
        <f>HYPERLINK("https://klasma.github.io/Logging_2283/klagomålsmail/A 26594-2022 FSC-klagomål mail.docx", "A 26594-2022")</f>
        <v/>
      </c>
      <c r="X162">
        <f>HYPERLINK("https://klasma.github.io/Logging_2283/tillsyn/A 26594-2022 tillsynsbegäran.docx", "A 26594-2022")</f>
        <v/>
      </c>
      <c r="Y162">
        <f>HYPERLINK("https://klasma.github.io/Logging_2283/tillsynsmail/A 26594-2022 tillsynsbegäran mail.docx", "A 26594-2022")</f>
        <v/>
      </c>
      <c r="Z162">
        <f>HYPERLINK("https://klasma.github.io/Logging_2283/fåglar/A 26594-2022 prioriterade fågelarter.docx", "A 26594-2022")</f>
        <v/>
      </c>
    </row>
    <row r="163" ht="15" customHeight="1">
      <c r="A163" t="inlineStr">
        <is>
          <t>A 61377-2022</t>
        </is>
      </c>
      <c r="B163" s="1" t="n">
        <v>44915</v>
      </c>
      <c r="C163" s="1" t="n">
        <v>45822</v>
      </c>
      <c r="D163" t="inlineStr">
        <is>
          <t>VÄSTERNORRLANDS LÄN</t>
        </is>
      </c>
      <c r="E163" t="inlineStr">
        <is>
          <t>SOLLEFTEÅ</t>
        </is>
      </c>
      <c r="G163" t="n">
        <v>10.5</v>
      </c>
      <c r="H163" t="n">
        <v>0</v>
      </c>
      <c r="I163" t="n">
        <v>1</v>
      </c>
      <c r="J163" t="n">
        <v>5</v>
      </c>
      <c r="K163" t="n">
        <v>0</v>
      </c>
      <c r="L163" t="n">
        <v>0</v>
      </c>
      <c r="M163" t="n">
        <v>0</v>
      </c>
      <c r="N163" t="n">
        <v>0</v>
      </c>
      <c r="O163" t="n">
        <v>5</v>
      </c>
      <c r="P163" t="n">
        <v>0</v>
      </c>
      <c r="Q163" t="n">
        <v>6</v>
      </c>
      <c r="R163" s="2" t="inlineStr">
        <is>
          <t>Gammelgransskål
Garnlav
Granticka
Lunglav
Stjärntagging
Spädstarr</t>
        </is>
      </c>
      <c r="S163">
        <f>HYPERLINK("https://klasma.github.io/Logging_2283/artfynd/A 61377-2022 artfynd.xlsx", "A 61377-2022")</f>
        <v/>
      </c>
      <c r="T163">
        <f>HYPERLINK("https://klasma.github.io/Logging_2283/kartor/A 61377-2022 karta.png", "A 61377-2022")</f>
        <v/>
      </c>
      <c r="V163">
        <f>HYPERLINK("https://klasma.github.io/Logging_2283/klagomål/A 61377-2022 FSC-klagomål.docx", "A 61377-2022")</f>
        <v/>
      </c>
      <c r="W163">
        <f>HYPERLINK("https://klasma.github.io/Logging_2283/klagomålsmail/A 61377-2022 FSC-klagomål mail.docx", "A 61377-2022")</f>
        <v/>
      </c>
      <c r="X163">
        <f>HYPERLINK("https://klasma.github.io/Logging_2283/tillsyn/A 61377-2022 tillsynsbegäran.docx", "A 61377-2022")</f>
        <v/>
      </c>
      <c r="Y163">
        <f>HYPERLINK("https://klasma.github.io/Logging_2283/tillsynsmail/A 61377-2022 tillsynsbegäran mail.docx", "A 61377-2022")</f>
        <v/>
      </c>
    </row>
    <row r="164" ht="15" customHeight="1">
      <c r="A164" t="inlineStr">
        <is>
          <t>A 14860-2023</t>
        </is>
      </c>
      <c r="B164" s="1" t="n">
        <v>45015</v>
      </c>
      <c r="C164" s="1" t="n">
        <v>45822</v>
      </c>
      <c r="D164" t="inlineStr">
        <is>
          <t>VÄSTERNORRLANDS LÄN</t>
        </is>
      </c>
      <c r="E164" t="inlineStr">
        <is>
          <t>SOLLEFTEÅ</t>
        </is>
      </c>
      <c r="F164" t="inlineStr">
        <is>
          <t>SCA</t>
        </is>
      </c>
      <c r="G164" t="n">
        <v>5.8</v>
      </c>
      <c r="H164" t="n">
        <v>1</v>
      </c>
      <c r="I164" t="n">
        <v>2</v>
      </c>
      <c r="J164" t="n">
        <v>3</v>
      </c>
      <c r="K164" t="n">
        <v>1</v>
      </c>
      <c r="L164" t="n">
        <v>0</v>
      </c>
      <c r="M164" t="n">
        <v>0</v>
      </c>
      <c r="N164" t="n">
        <v>0</v>
      </c>
      <c r="O164" t="n">
        <v>4</v>
      </c>
      <c r="P164" t="n">
        <v>1</v>
      </c>
      <c r="Q164" t="n">
        <v>6</v>
      </c>
      <c r="R164" s="2" t="inlineStr">
        <is>
          <t>Knärot
Granticka
Lunglav
Ullticka
Skinnlav
Stuplav</t>
        </is>
      </c>
      <c r="S164">
        <f>HYPERLINK("https://klasma.github.io/Logging_2283/artfynd/A 14860-2023 artfynd.xlsx", "A 14860-2023")</f>
        <v/>
      </c>
      <c r="T164">
        <f>HYPERLINK("https://klasma.github.io/Logging_2283/kartor/A 14860-2023 karta.png", "A 14860-2023")</f>
        <v/>
      </c>
      <c r="U164">
        <f>HYPERLINK("https://klasma.github.io/Logging_2283/knärot/A 14860-2023 karta knärot.png", "A 14860-2023")</f>
        <v/>
      </c>
      <c r="V164">
        <f>HYPERLINK("https://klasma.github.io/Logging_2283/klagomål/A 14860-2023 FSC-klagomål.docx", "A 14860-2023")</f>
        <v/>
      </c>
      <c r="W164">
        <f>HYPERLINK("https://klasma.github.io/Logging_2283/klagomålsmail/A 14860-2023 FSC-klagomål mail.docx", "A 14860-2023")</f>
        <v/>
      </c>
      <c r="X164">
        <f>HYPERLINK("https://klasma.github.io/Logging_2283/tillsyn/A 14860-2023 tillsynsbegäran.docx", "A 14860-2023")</f>
        <v/>
      </c>
      <c r="Y164">
        <f>HYPERLINK("https://klasma.github.io/Logging_2283/tillsynsmail/A 14860-2023 tillsynsbegäran mail.docx", "A 14860-2023")</f>
        <v/>
      </c>
    </row>
    <row r="165" ht="15" customHeight="1">
      <c r="A165" t="inlineStr">
        <is>
          <t>A 39198-2023</t>
        </is>
      </c>
      <c r="B165" s="1" t="n">
        <v>45166</v>
      </c>
      <c r="C165" s="1" t="n">
        <v>45822</v>
      </c>
      <c r="D165" t="inlineStr">
        <is>
          <t>VÄSTERNORRLANDS LÄN</t>
        </is>
      </c>
      <c r="E165" t="inlineStr">
        <is>
          <t>SOLLEFTEÅ</t>
        </is>
      </c>
      <c r="G165" t="n">
        <v>11</v>
      </c>
      <c r="H165" t="n">
        <v>0</v>
      </c>
      <c r="I165" t="n">
        <v>2</v>
      </c>
      <c r="J165" t="n">
        <v>4</v>
      </c>
      <c r="K165" t="n">
        <v>0</v>
      </c>
      <c r="L165" t="n">
        <v>0</v>
      </c>
      <c r="M165" t="n">
        <v>0</v>
      </c>
      <c r="N165" t="n">
        <v>0</v>
      </c>
      <c r="O165" t="n">
        <v>4</v>
      </c>
      <c r="P165" t="n">
        <v>0</v>
      </c>
      <c r="Q165" t="n">
        <v>6</v>
      </c>
      <c r="R165" s="2" t="inlineStr">
        <is>
          <t>Garnlav
Lunglav
Rosenticka
Ullticka
Stor aspticka
Vedticka</t>
        </is>
      </c>
      <c r="S165">
        <f>HYPERLINK("https://klasma.github.io/Logging_2283/artfynd/A 39198-2023 artfynd.xlsx", "A 39198-2023")</f>
        <v/>
      </c>
      <c r="T165">
        <f>HYPERLINK("https://klasma.github.io/Logging_2283/kartor/A 39198-2023 karta.png", "A 39198-2023")</f>
        <v/>
      </c>
      <c r="U165">
        <f>HYPERLINK("https://klasma.github.io/Logging_2283/knärot/A 39198-2023 karta knärot.png", "A 39198-2023")</f>
        <v/>
      </c>
      <c r="V165">
        <f>HYPERLINK("https://klasma.github.io/Logging_2283/klagomål/A 39198-2023 FSC-klagomål.docx", "A 39198-2023")</f>
        <v/>
      </c>
      <c r="W165">
        <f>HYPERLINK("https://klasma.github.io/Logging_2283/klagomålsmail/A 39198-2023 FSC-klagomål mail.docx", "A 39198-2023")</f>
        <v/>
      </c>
      <c r="X165">
        <f>HYPERLINK("https://klasma.github.io/Logging_2283/tillsyn/A 39198-2023 tillsynsbegäran.docx", "A 39198-2023")</f>
        <v/>
      </c>
      <c r="Y165">
        <f>HYPERLINK("https://klasma.github.io/Logging_2283/tillsynsmail/A 39198-2023 tillsynsbegäran mail.docx", "A 39198-2023")</f>
        <v/>
      </c>
    </row>
    <row r="166" ht="15" customHeight="1">
      <c r="A166" t="inlineStr">
        <is>
          <t>A 40420-2023</t>
        </is>
      </c>
      <c r="B166" s="1" t="n">
        <v>45169</v>
      </c>
      <c r="C166" s="1" t="n">
        <v>45822</v>
      </c>
      <c r="D166" t="inlineStr">
        <is>
          <t>VÄSTERNORRLANDS LÄN</t>
        </is>
      </c>
      <c r="E166" t="inlineStr">
        <is>
          <t>SOLLEFTEÅ</t>
        </is>
      </c>
      <c r="F166" t="inlineStr">
        <is>
          <t>SCA</t>
        </is>
      </c>
      <c r="G166" t="n">
        <v>10</v>
      </c>
      <c r="H166" t="n">
        <v>2</v>
      </c>
      <c r="I166" t="n">
        <v>0</v>
      </c>
      <c r="J166" t="n">
        <v>3</v>
      </c>
      <c r="K166" t="n">
        <v>2</v>
      </c>
      <c r="L166" t="n">
        <v>0</v>
      </c>
      <c r="M166" t="n">
        <v>0</v>
      </c>
      <c r="N166" t="n">
        <v>0</v>
      </c>
      <c r="O166" t="n">
        <v>5</v>
      </c>
      <c r="P166" t="n">
        <v>2</v>
      </c>
      <c r="Q166" t="n">
        <v>6</v>
      </c>
      <c r="R166" s="2" t="inlineStr">
        <is>
          <t>Knärot
Rynkskinn
Lunglav
Rosenticka
Ullticka
Tjäder</t>
        </is>
      </c>
      <c r="S166">
        <f>HYPERLINK("https://klasma.github.io/Logging_2283/artfynd/A 40420-2023 artfynd.xlsx", "A 40420-2023")</f>
        <v/>
      </c>
      <c r="T166">
        <f>HYPERLINK("https://klasma.github.io/Logging_2283/kartor/A 40420-2023 karta.png", "A 40420-2023")</f>
        <v/>
      </c>
      <c r="U166">
        <f>HYPERLINK("https://klasma.github.io/Logging_2283/knärot/A 40420-2023 karta knärot.png", "A 40420-2023")</f>
        <v/>
      </c>
      <c r="V166">
        <f>HYPERLINK("https://klasma.github.io/Logging_2283/klagomål/A 40420-2023 FSC-klagomål.docx", "A 40420-2023")</f>
        <v/>
      </c>
      <c r="W166">
        <f>HYPERLINK("https://klasma.github.io/Logging_2283/klagomålsmail/A 40420-2023 FSC-klagomål mail.docx", "A 40420-2023")</f>
        <v/>
      </c>
      <c r="X166">
        <f>HYPERLINK("https://klasma.github.io/Logging_2283/tillsyn/A 40420-2023 tillsynsbegäran.docx", "A 40420-2023")</f>
        <v/>
      </c>
      <c r="Y166">
        <f>HYPERLINK("https://klasma.github.io/Logging_2283/tillsynsmail/A 40420-2023 tillsynsbegäran mail.docx", "A 40420-2023")</f>
        <v/>
      </c>
      <c r="Z166">
        <f>HYPERLINK("https://klasma.github.io/Logging_2283/fåglar/A 40420-2023 prioriterade fågelarter.docx", "A 40420-2023")</f>
        <v/>
      </c>
    </row>
    <row r="167" ht="15" customHeight="1">
      <c r="A167" t="inlineStr">
        <is>
          <t>A 40417-2023</t>
        </is>
      </c>
      <c r="B167" s="1" t="n">
        <v>45169</v>
      </c>
      <c r="C167" s="1" t="n">
        <v>45822</v>
      </c>
      <c r="D167" t="inlineStr">
        <is>
          <t>VÄSTERNORRLANDS LÄN</t>
        </is>
      </c>
      <c r="E167" t="inlineStr">
        <is>
          <t>SOLLEFTEÅ</t>
        </is>
      </c>
      <c r="F167" t="inlineStr">
        <is>
          <t>SCA</t>
        </is>
      </c>
      <c r="G167" t="n">
        <v>10.6</v>
      </c>
      <c r="H167" t="n">
        <v>2</v>
      </c>
      <c r="I167" t="n">
        <v>0</v>
      </c>
      <c r="J167" t="n">
        <v>4</v>
      </c>
      <c r="K167" t="n">
        <v>1</v>
      </c>
      <c r="L167" t="n">
        <v>0</v>
      </c>
      <c r="M167" t="n">
        <v>0</v>
      </c>
      <c r="N167" t="n">
        <v>0</v>
      </c>
      <c r="O167" t="n">
        <v>5</v>
      </c>
      <c r="P167" t="n">
        <v>1</v>
      </c>
      <c r="Q167" t="n">
        <v>6</v>
      </c>
      <c r="R167" s="2" t="inlineStr">
        <is>
          <t>Knärot
Kolflarnlav
Lunglav
Motaggsvamp
Mörk kolflarnlav
Tjäder</t>
        </is>
      </c>
      <c r="S167">
        <f>HYPERLINK("https://klasma.github.io/Logging_2283/artfynd/A 40417-2023 artfynd.xlsx", "A 40417-2023")</f>
        <v/>
      </c>
      <c r="T167">
        <f>HYPERLINK("https://klasma.github.io/Logging_2283/kartor/A 40417-2023 karta.png", "A 40417-2023")</f>
        <v/>
      </c>
      <c r="U167">
        <f>HYPERLINK("https://klasma.github.io/Logging_2283/knärot/A 40417-2023 karta knärot.png", "A 40417-2023")</f>
        <v/>
      </c>
      <c r="V167">
        <f>HYPERLINK("https://klasma.github.io/Logging_2283/klagomål/A 40417-2023 FSC-klagomål.docx", "A 40417-2023")</f>
        <v/>
      </c>
      <c r="W167">
        <f>HYPERLINK("https://klasma.github.io/Logging_2283/klagomålsmail/A 40417-2023 FSC-klagomål mail.docx", "A 40417-2023")</f>
        <v/>
      </c>
      <c r="X167">
        <f>HYPERLINK("https://klasma.github.io/Logging_2283/tillsyn/A 40417-2023 tillsynsbegäran.docx", "A 40417-2023")</f>
        <v/>
      </c>
      <c r="Y167">
        <f>HYPERLINK("https://klasma.github.io/Logging_2283/tillsynsmail/A 40417-2023 tillsynsbegäran mail.docx", "A 40417-2023")</f>
        <v/>
      </c>
      <c r="Z167">
        <f>HYPERLINK("https://klasma.github.io/Logging_2283/fåglar/A 40417-2023 prioriterade fågelarter.docx", "A 40417-2023")</f>
        <v/>
      </c>
    </row>
    <row r="168" ht="15" customHeight="1">
      <c r="A168" t="inlineStr">
        <is>
          <t>A 2068-2024</t>
        </is>
      </c>
      <c r="B168" s="1" t="n">
        <v>45308</v>
      </c>
      <c r="C168" s="1" t="n">
        <v>45822</v>
      </c>
      <c r="D168" t="inlineStr">
        <is>
          <t>VÄSTERNORRLANDS LÄN</t>
        </is>
      </c>
      <c r="E168" t="inlineStr">
        <is>
          <t>SOLLEFTEÅ</t>
        </is>
      </c>
      <c r="F168" t="inlineStr">
        <is>
          <t>SCA</t>
        </is>
      </c>
      <c r="G168" t="n">
        <v>5.7</v>
      </c>
      <c r="H168" t="n">
        <v>1</v>
      </c>
      <c r="I168" t="n">
        <v>2</v>
      </c>
      <c r="J168" t="n">
        <v>4</v>
      </c>
      <c r="K168" t="n">
        <v>0</v>
      </c>
      <c r="L168" t="n">
        <v>0</v>
      </c>
      <c r="M168" t="n">
        <v>0</v>
      </c>
      <c r="N168" t="n">
        <v>0</v>
      </c>
      <c r="O168" t="n">
        <v>4</v>
      </c>
      <c r="P168" t="n">
        <v>0</v>
      </c>
      <c r="Q168" t="n">
        <v>6</v>
      </c>
      <c r="R168" s="2" t="inlineStr">
        <is>
          <t>Garnlav
Lunglav
Tretåig hackspett
Ullticka
Bollvitmossa
Bårdlav</t>
        </is>
      </c>
      <c r="S168">
        <f>HYPERLINK("https://klasma.github.io/Logging_2283/artfynd/A 2068-2024 artfynd.xlsx", "A 2068-2024")</f>
        <v/>
      </c>
      <c r="T168">
        <f>HYPERLINK("https://klasma.github.io/Logging_2283/kartor/A 2068-2024 karta.png", "A 2068-2024")</f>
        <v/>
      </c>
      <c r="V168">
        <f>HYPERLINK("https://klasma.github.io/Logging_2283/klagomål/A 2068-2024 FSC-klagomål.docx", "A 2068-2024")</f>
        <v/>
      </c>
      <c r="W168">
        <f>HYPERLINK("https://klasma.github.io/Logging_2283/klagomålsmail/A 2068-2024 FSC-klagomål mail.docx", "A 2068-2024")</f>
        <v/>
      </c>
      <c r="X168">
        <f>HYPERLINK("https://klasma.github.io/Logging_2283/tillsyn/A 2068-2024 tillsynsbegäran.docx", "A 2068-2024")</f>
        <v/>
      </c>
      <c r="Y168">
        <f>HYPERLINK("https://klasma.github.io/Logging_2283/tillsynsmail/A 2068-2024 tillsynsbegäran mail.docx", "A 2068-2024")</f>
        <v/>
      </c>
      <c r="Z168">
        <f>HYPERLINK("https://klasma.github.io/Logging_2283/fåglar/A 2068-2024 prioriterade fågelarter.docx", "A 2068-2024")</f>
        <v/>
      </c>
    </row>
    <row r="169" ht="15" customHeight="1">
      <c r="A169" t="inlineStr">
        <is>
          <t>A 7114-2024</t>
        </is>
      </c>
      <c r="B169" s="1" t="n">
        <v>45343</v>
      </c>
      <c r="C169" s="1" t="n">
        <v>45822</v>
      </c>
      <c r="D169" t="inlineStr">
        <is>
          <t>VÄSTERNORRLANDS LÄN</t>
        </is>
      </c>
      <c r="E169" t="inlineStr">
        <is>
          <t>SOLLEFTEÅ</t>
        </is>
      </c>
      <c r="F169" t="inlineStr">
        <is>
          <t>SCA</t>
        </is>
      </c>
      <c r="G169" t="n">
        <v>2.9</v>
      </c>
      <c r="H169" t="n">
        <v>3</v>
      </c>
      <c r="I169" t="n">
        <v>0</v>
      </c>
      <c r="J169" t="n">
        <v>6</v>
      </c>
      <c r="K169" t="n">
        <v>0</v>
      </c>
      <c r="L169" t="n">
        <v>0</v>
      </c>
      <c r="M169" t="n">
        <v>0</v>
      </c>
      <c r="N169" t="n">
        <v>0</v>
      </c>
      <c r="O169" t="n">
        <v>6</v>
      </c>
      <c r="P169" t="n">
        <v>0</v>
      </c>
      <c r="Q169" t="n">
        <v>6</v>
      </c>
      <c r="R169" s="2" t="inlineStr">
        <is>
          <t>Garnlav
Järpe
Rosenticka
Spillkråka
Tretåig hackspett
Ullticka</t>
        </is>
      </c>
      <c r="S169">
        <f>HYPERLINK("https://klasma.github.io/Logging_2283/artfynd/A 7114-2024 artfynd.xlsx", "A 7114-2024")</f>
        <v/>
      </c>
      <c r="T169">
        <f>HYPERLINK("https://klasma.github.io/Logging_2283/kartor/A 7114-2024 karta.png", "A 7114-2024")</f>
        <v/>
      </c>
      <c r="V169">
        <f>HYPERLINK("https://klasma.github.io/Logging_2283/klagomål/A 7114-2024 FSC-klagomål.docx", "A 7114-2024")</f>
        <v/>
      </c>
      <c r="W169">
        <f>HYPERLINK("https://klasma.github.io/Logging_2283/klagomålsmail/A 7114-2024 FSC-klagomål mail.docx", "A 7114-2024")</f>
        <v/>
      </c>
      <c r="X169">
        <f>HYPERLINK("https://klasma.github.io/Logging_2283/tillsyn/A 7114-2024 tillsynsbegäran.docx", "A 7114-2024")</f>
        <v/>
      </c>
      <c r="Y169">
        <f>HYPERLINK("https://klasma.github.io/Logging_2283/tillsynsmail/A 7114-2024 tillsynsbegäran mail.docx", "A 7114-2024")</f>
        <v/>
      </c>
      <c r="Z169">
        <f>HYPERLINK("https://klasma.github.io/Logging_2283/fåglar/A 7114-2024 prioriterade fågelarter.docx", "A 7114-2024")</f>
        <v/>
      </c>
    </row>
    <row r="170" ht="15" customHeight="1">
      <c r="A170" t="inlineStr">
        <is>
          <t>A 11552-2024</t>
        </is>
      </c>
      <c r="B170" s="1" t="n">
        <v>45372</v>
      </c>
      <c r="C170" s="1" t="n">
        <v>45822</v>
      </c>
      <c r="D170" t="inlineStr">
        <is>
          <t>VÄSTERNORRLANDS LÄN</t>
        </is>
      </c>
      <c r="E170" t="inlineStr">
        <is>
          <t>SOLLEFTEÅ</t>
        </is>
      </c>
      <c r="F170" t="inlineStr">
        <is>
          <t>SCA</t>
        </is>
      </c>
      <c r="G170" t="n">
        <v>2.5</v>
      </c>
      <c r="H170" t="n">
        <v>1</v>
      </c>
      <c r="I170" t="n">
        <v>0</v>
      </c>
      <c r="J170" t="n">
        <v>6</v>
      </c>
      <c r="K170" t="n">
        <v>0</v>
      </c>
      <c r="L170" t="n">
        <v>0</v>
      </c>
      <c r="M170" t="n">
        <v>0</v>
      </c>
      <c r="N170" t="n">
        <v>0</v>
      </c>
      <c r="O170" t="n">
        <v>6</v>
      </c>
      <c r="P170" t="n">
        <v>0</v>
      </c>
      <c r="Q170" t="n">
        <v>6</v>
      </c>
      <c r="R170" s="2" t="inlineStr">
        <is>
          <t>Garnlav
Lunglav
Rosenticka
Tallticka
Tretåig hackspett
Ullticka</t>
        </is>
      </c>
      <c r="S170">
        <f>HYPERLINK("https://klasma.github.io/Logging_2283/artfynd/A 11552-2024 artfynd.xlsx", "A 11552-2024")</f>
        <v/>
      </c>
      <c r="T170">
        <f>HYPERLINK("https://klasma.github.io/Logging_2283/kartor/A 11552-2024 karta.png", "A 11552-2024")</f>
        <v/>
      </c>
      <c r="V170">
        <f>HYPERLINK("https://klasma.github.io/Logging_2283/klagomål/A 11552-2024 FSC-klagomål.docx", "A 11552-2024")</f>
        <v/>
      </c>
      <c r="W170">
        <f>HYPERLINK("https://klasma.github.io/Logging_2283/klagomålsmail/A 11552-2024 FSC-klagomål mail.docx", "A 11552-2024")</f>
        <v/>
      </c>
      <c r="X170">
        <f>HYPERLINK("https://klasma.github.io/Logging_2283/tillsyn/A 11552-2024 tillsynsbegäran.docx", "A 11552-2024")</f>
        <v/>
      </c>
      <c r="Y170">
        <f>HYPERLINK("https://klasma.github.io/Logging_2283/tillsynsmail/A 11552-2024 tillsynsbegäran mail.docx", "A 11552-2024")</f>
        <v/>
      </c>
      <c r="Z170">
        <f>HYPERLINK("https://klasma.github.io/Logging_2283/fåglar/A 11552-2024 prioriterade fågelarter.docx", "A 11552-2024")</f>
        <v/>
      </c>
    </row>
    <row r="171" ht="15" customHeight="1">
      <c r="A171" t="inlineStr">
        <is>
          <t>A 29250-2024</t>
        </is>
      </c>
      <c r="B171" s="1" t="n">
        <v>45482</v>
      </c>
      <c r="C171" s="1" t="n">
        <v>45822</v>
      </c>
      <c r="D171" t="inlineStr">
        <is>
          <t>VÄSTERNORRLANDS LÄN</t>
        </is>
      </c>
      <c r="E171" t="inlineStr">
        <is>
          <t>SOLLEFTEÅ</t>
        </is>
      </c>
      <c r="F171" t="inlineStr">
        <is>
          <t>SCA</t>
        </is>
      </c>
      <c r="G171" t="n">
        <v>14.4</v>
      </c>
      <c r="H171" t="n">
        <v>4</v>
      </c>
      <c r="I171" t="n">
        <v>1</v>
      </c>
      <c r="J171" t="n">
        <v>4</v>
      </c>
      <c r="K171" t="n">
        <v>1</v>
      </c>
      <c r="L171" t="n">
        <v>0</v>
      </c>
      <c r="M171" t="n">
        <v>0</v>
      </c>
      <c r="N171" t="n">
        <v>0</v>
      </c>
      <c r="O171" t="n">
        <v>5</v>
      </c>
      <c r="P171" t="n">
        <v>1</v>
      </c>
      <c r="Q171" t="n">
        <v>6</v>
      </c>
      <c r="R171" s="2" t="inlineStr">
        <is>
          <t>Knärot
Granticka
Harticka
Järpe
Tretåig hackspett
Lappranunkel</t>
        </is>
      </c>
      <c r="S171">
        <f>HYPERLINK("https://klasma.github.io/Logging_2283/artfynd/A 29250-2024 artfynd.xlsx", "A 29250-2024")</f>
        <v/>
      </c>
      <c r="T171">
        <f>HYPERLINK("https://klasma.github.io/Logging_2283/kartor/A 29250-2024 karta.png", "A 29250-2024")</f>
        <v/>
      </c>
      <c r="U171">
        <f>HYPERLINK("https://klasma.github.io/Logging_2283/knärot/A 29250-2024 karta knärot.png", "A 29250-2024")</f>
        <v/>
      </c>
      <c r="V171">
        <f>HYPERLINK("https://klasma.github.io/Logging_2283/klagomål/A 29250-2024 FSC-klagomål.docx", "A 29250-2024")</f>
        <v/>
      </c>
      <c r="W171">
        <f>HYPERLINK("https://klasma.github.io/Logging_2283/klagomålsmail/A 29250-2024 FSC-klagomål mail.docx", "A 29250-2024")</f>
        <v/>
      </c>
      <c r="X171">
        <f>HYPERLINK("https://klasma.github.io/Logging_2283/tillsyn/A 29250-2024 tillsynsbegäran.docx", "A 29250-2024")</f>
        <v/>
      </c>
      <c r="Y171">
        <f>HYPERLINK("https://klasma.github.io/Logging_2283/tillsynsmail/A 29250-2024 tillsynsbegäran mail.docx", "A 29250-2024")</f>
        <v/>
      </c>
      <c r="Z171">
        <f>HYPERLINK("https://klasma.github.io/Logging_2283/fåglar/A 29250-2024 prioriterade fågelarter.docx", "A 29250-2024")</f>
        <v/>
      </c>
    </row>
    <row r="172" ht="15" customHeight="1">
      <c r="A172" t="inlineStr">
        <is>
          <t>A 29871-2024</t>
        </is>
      </c>
      <c r="B172" s="1" t="n">
        <v>45486</v>
      </c>
      <c r="C172" s="1" t="n">
        <v>45822</v>
      </c>
      <c r="D172" t="inlineStr">
        <is>
          <t>VÄSTERNORRLANDS LÄN</t>
        </is>
      </c>
      <c r="E172" t="inlineStr">
        <is>
          <t>SOLLEFTEÅ</t>
        </is>
      </c>
      <c r="F172" t="inlineStr">
        <is>
          <t>SCA</t>
        </is>
      </c>
      <c r="G172" t="n">
        <v>6</v>
      </c>
      <c r="H172" t="n">
        <v>0</v>
      </c>
      <c r="I172" t="n">
        <v>1</v>
      </c>
      <c r="J172" t="n">
        <v>5</v>
      </c>
      <c r="K172" t="n">
        <v>0</v>
      </c>
      <c r="L172" t="n">
        <v>0</v>
      </c>
      <c r="M172" t="n">
        <v>0</v>
      </c>
      <c r="N172" t="n">
        <v>0</v>
      </c>
      <c r="O172" t="n">
        <v>5</v>
      </c>
      <c r="P172" t="n">
        <v>0</v>
      </c>
      <c r="Q172" t="n">
        <v>6</v>
      </c>
      <c r="R172" s="2" t="inlineStr">
        <is>
          <t>Dvärgbägarlav
Garnlav
Lunglav
Nordtagging
Tallticka
Dropptaggsvamp</t>
        </is>
      </c>
      <c r="S172">
        <f>HYPERLINK("https://klasma.github.io/Logging_2283/artfynd/A 29871-2024 artfynd.xlsx", "A 29871-2024")</f>
        <v/>
      </c>
      <c r="T172">
        <f>HYPERLINK("https://klasma.github.io/Logging_2283/kartor/A 29871-2024 karta.png", "A 29871-2024")</f>
        <v/>
      </c>
      <c r="V172">
        <f>HYPERLINK("https://klasma.github.io/Logging_2283/klagomål/A 29871-2024 FSC-klagomål.docx", "A 29871-2024")</f>
        <v/>
      </c>
      <c r="W172">
        <f>HYPERLINK("https://klasma.github.io/Logging_2283/klagomålsmail/A 29871-2024 FSC-klagomål mail.docx", "A 29871-2024")</f>
        <v/>
      </c>
      <c r="X172">
        <f>HYPERLINK("https://klasma.github.io/Logging_2283/tillsyn/A 29871-2024 tillsynsbegäran.docx", "A 29871-2024")</f>
        <v/>
      </c>
      <c r="Y172">
        <f>HYPERLINK("https://klasma.github.io/Logging_2283/tillsynsmail/A 29871-2024 tillsynsbegäran mail.docx", "A 29871-2024")</f>
        <v/>
      </c>
    </row>
    <row r="173" ht="15" customHeight="1">
      <c r="A173" t="inlineStr">
        <is>
          <t>A 31885-2024</t>
        </is>
      </c>
      <c r="B173" s="1" t="n">
        <v>45510</v>
      </c>
      <c r="C173" s="1" t="n">
        <v>45822</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31885-2024 artfynd.xlsx", "A 31885-2024")</f>
        <v/>
      </c>
      <c r="T173">
        <f>HYPERLINK("https://klasma.github.io/Logging_2283/kartor/A 31885-2024 karta.png", "A 31885-2024")</f>
        <v/>
      </c>
      <c r="U173">
        <f>HYPERLINK("https://klasma.github.io/Logging_2283/knärot/A 31885-2024 karta knärot.png", "A 31885-2024")</f>
        <v/>
      </c>
      <c r="V173">
        <f>HYPERLINK("https://klasma.github.io/Logging_2283/klagomål/A 31885-2024 FSC-klagomål.docx", "A 31885-2024")</f>
        <v/>
      </c>
      <c r="W173">
        <f>HYPERLINK("https://klasma.github.io/Logging_2283/klagomålsmail/A 31885-2024 FSC-klagomål mail.docx", "A 31885-2024")</f>
        <v/>
      </c>
      <c r="X173">
        <f>HYPERLINK("https://klasma.github.io/Logging_2283/tillsyn/A 31885-2024 tillsynsbegäran.docx", "A 31885-2024")</f>
        <v/>
      </c>
      <c r="Y173">
        <f>HYPERLINK("https://klasma.github.io/Logging_2283/tillsynsmail/A 31885-2024 tillsynsbegäran mail.docx", "A 31885-2024")</f>
        <v/>
      </c>
      <c r="Z173">
        <f>HYPERLINK("https://klasma.github.io/Logging_2283/fåglar/A 31885-2024 prioriterade fågelarter.docx", "A 31885-2024")</f>
        <v/>
      </c>
    </row>
    <row r="174" ht="15" customHeight="1">
      <c r="A174" t="inlineStr">
        <is>
          <t>A 32448-2024</t>
        </is>
      </c>
      <c r="B174" s="1" t="n">
        <v>45512</v>
      </c>
      <c r="C174" s="1" t="n">
        <v>45822</v>
      </c>
      <c r="D174" t="inlineStr">
        <is>
          <t>VÄSTERNORRLANDS LÄN</t>
        </is>
      </c>
      <c r="E174" t="inlineStr">
        <is>
          <t>SOLLEFTEÅ</t>
        </is>
      </c>
      <c r="F174" t="inlineStr">
        <is>
          <t>SCA</t>
        </is>
      </c>
      <c r="G174" t="n">
        <v>6</v>
      </c>
      <c r="H174" t="n">
        <v>1</v>
      </c>
      <c r="I174" t="n">
        <v>1</v>
      </c>
      <c r="J174" t="n">
        <v>3</v>
      </c>
      <c r="K174" t="n">
        <v>1</v>
      </c>
      <c r="L174" t="n">
        <v>0</v>
      </c>
      <c r="M174" t="n">
        <v>0</v>
      </c>
      <c r="N174" t="n">
        <v>0</v>
      </c>
      <c r="O174" t="n">
        <v>4</v>
      </c>
      <c r="P174" t="n">
        <v>1</v>
      </c>
      <c r="Q174" t="n">
        <v>6</v>
      </c>
      <c r="R174" s="2" t="inlineStr">
        <is>
          <t>Rynkskinn
Garnlav
Rosenticka
Ullticka
Vedticka
Revlummer</t>
        </is>
      </c>
      <c r="S174">
        <f>HYPERLINK("https://klasma.github.io/Logging_2283/artfynd/A 32448-2024 artfynd.xlsx", "A 32448-2024")</f>
        <v/>
      </c>
      <c r="T174">
        <f>HYPERLINK("https://klasma.github.io/Logging_2283/kartor/A 32448-2024 karta.png", "A 32448-2024")</f>
        <v/>
      </c>
      <c r="V174">
        <f>HYPERLINK("https://klasma.github.io/Logging_2283/klagomål/A 32448-2024 FSC-klagomål.docx", "A 32448-2024")</f>
        <v/>
      </c>
      <c r="W174">
        <f>HYPERLINK("https://klasma.github.io/Logging_2283/klagomålsmail/A 32448-2024 FSC-klagomål mail.docx", "A 32448-2024")</f>
        <v/>
      </c>
      <c r="X174">
        <f>HYPERLINK("https://klasma.github.io/Logging_2283/tillsyn/A 32448-2024 tillsynsbegäran.docx", "A 32448-2024")</f>
        <v/>
      </c>
      <c r="Y174">
        <f>HYPERLINK("https://klasma.github.io/Logging_2283/tillsynsmail/A 32448-2024 tillsynsbegäran mail.docx", "A 32448-2024")</f>
        <v/>
      </c>
    </row>
    <row r="175" ht="15" customHeight="1">
      <c r="A175" t="inlineStr">
        <is>
          <t>A 35406-2024</t>
        </is>
      </c>
      <c r="B175" s="1" t="n">
        <v>45531</v>
      </c>
      <c r="C175" s="1" t="n">
        <v>45822</v>
      </c>
      <c r="D175" t="inlineStr">
        <is>
          <t>VÄSTERNORRLANDS LÄN</t>
        </is>
      </c>
      <c r="E175" t="inlineStr">
        <is>
          <t>SOLLEFTEÅ</t>
        </is>
      </c>
      <c r="F175" t="inlineStr">
        <is>
          <t>SCA</t>
        </is>
      </c>
      <c r="G175" t="n">
        <v>3.5</v>
      </c>
      <c r="H175" t="n">
        <v>0</v>
      </c>
      <c r="I175" t="n">
        <v>2</v>
      </c>
      <c r="J175" t="n">
        <v>4</v>
      </c>
      <c r="K175" t="n">
        <v>0</v>
      </c>
      <c r="L175" t="n">
        <v>0</v>
      </c>
      <c r="M175" t="n">
        <v>0</v>
      </c>
      <c r="N175" t="n">
        <v>0</v>
      </c>
      <c r="O175" t="n">
        <v>4</v>
      </c>
      <c r="P175" t="n">
        <v>0</v>
      </c>
      <c r="Q175" t="n">
        <v>6</v>
      </c>
      <c r="R175" s="2" t="inlineStr">
        <is>
          <t>Blå taggsvamp
Kolflarnlav
Orange taggsvamp
Skrovlig taggsvamp
Dropptaggsvamp
Skarp dropptaggsvamp</t>
        </is>
      </c>
      <c r="S175">
        <f>HYPERLINK("https://klasma.github.io/Logging_2283/artfynd/A 35406-2024 artfynd.xlsx", "A 35406-2024")</f>
        <v/>
      </c>
      <c r="T175">
        <f>HYPERLINK("https://klasma.github.io/Logging_2283/kartor/A 35406-2024 karta.png", "A 35406-2024")</f>
        <v/>
      </c>
      <c r="V175">
        <f>HYPERLINK("https://klasma.github.io/Logging_2283/klagomål/A 35406-2024 FSC-klagomål.docx", "A 35406-2024")</f>
        <v/>
      </c>
      <c r="W175">
        <f>HYPERLINK("https://klasma.github.io/Logging_2283/klagomålsmail/A 35406-2024 FSC-klagomål mail.docx", "A 35406-2024")</f>
        <v/>
      </c>
      <c r="X175">
        <f>HYPERLINK("https://klasma.github.io/Logging_2283/tillsyn/A 35406-2024 tillsynsbegäran.docx", "A 35406-2024")</f>
        <v/>
      </c>
      <c r="Y175">
        <f>HYPERLINK("https://klasma.github.io/Logging_2283/tillsynsmail/A 35406-2024 tillsynsbegäran mail.docx", "A 35406-2024")</f>
        <v/>
      </c>
    </row>
    <row r="176" ht="15" customHeight="1">
      <c r="A176" t="inlineStr">
        <is>
          <t>A 36470-2024</t>
        </is>
      </c>
      <c r="B176" s="1" t="n">
        <v>45537</v>
      </c>
      <c r="C176" s="1" t="n">
        <v>45822</v>
      </c>
      <c r="D176" t="inlineStr">
        <is>
          <t>VÄSTERNORRLANDS LÄN</t>
        </is>
      </c>
      <c r="E176" t="inlineStr">
        <is>
          <t>SOLLEFTEÅ</t>
        </is>
      </c>
      <c r="F176" t="inlineStr">
        <is>
          <t>SCA</t>
        </is>
      </c>
      <c r="G176" t="n">
        <v>10.3</v>
      </c>
      <c r="H176" t="n">
        <v>3</v>
      </c>
      <c r="I176" t="n">
        <v>0</v>
      </c>
      <c r="J176" t="n">
        <v>6</v>
      </c>
      <c r="K176" t="n">
        <v>0</v>
      </c>
      <c r="L176" t="n">
        <v>0</v>
      </c>
      <c r="M176" t="n">
        <v>0</v>
      </c>
      <c r="N176" t="n">
        <v>0</v>
      </c>
      <c r="O176" t="n">
        <v>6</v>
      </c>
      <c r="P176" t="n">
        <v>0</v>
      </c>
      <c r="Q176" t="n">
        <v>6</v>
      </c>
      <c r="R176" s="2" t="inlineStr">
        <is>
          <t>Gammelgransskål
Granticka
Harticka
Spillkråka
Talltita
Tretåig hackspett</t>
        </is>
      </c>
      <c r="S176">
        <f>HYPERLINK("https://klasma.github.io/Logging_2283/artfynd/A 36470-2024 artfynd.xlsx", "A 36470-2024")</f>
        <v/>
      </c>
      <c r="T176">
        <f>HYPERLINK("https://klasma.github.io/Logging_2283/kartor/A 36470-2024 karta.png", "A 36470-2024")</f>
        <v/>
      </c>
      <c r="V176">
        <f>HYPERLINK("https://klasma.github.io/Logging_2283/klagomål/A 36470-2024 FSC-klagomål.docx", "A 36470-2024")</f>
        <v/>
      </c>
      <c r="W176">
        <f>HYPERLINK("https://klasma.github.io/Logging_2283/klagomålsmail/A 36470-2024 FSC-klagomål mail.docx", "A 36470-2024")</f>
        <v/>
      </c>
      <c r="X176">
        <f>HYPERLINK("https://klasma.github.io/Logging_2283/tillsyn/A 36470-2024 tillsynsbegäran.docx", "A 36470-2024")</f>
        <v/>
      </c>
      <c r="Y176">
        <f>HYPERLINK("https://klasma.github.io/Logging_2283/tillsynsmail/A 36470-2024 tillsynsbegäran mail.docx", "A 36470-2024")</f>
        <v/>
      </c>
      <c r="Z176">
        <f>HYPERLINK("https://klasma.github.io/Logging_2283/fåglar/A 36470-2024 prioriterade fågelarter.docx", "A 36470-2024")</f>
        <v/>
      </c>
    </row>
    <row r="177" ht="15" customHeight="1">
      <c r="A177" t="inlineStr">
        <is>
          <t>A 40094-2024</t>
        </is>
      </c>
      <c r="B177" s="1" t="n">
        <v>45554</v>
      </c>
      <c r="C177" s="1" t="n">
        <v>45822</v>
      </c>
      <c r="D177" t="inlineStr">
        <is>
          <t>VÄSTERNORRLANDS LÄN</t>
        </is>
      </c>
      <c r="E177" t="inlineStr">
        <is>
          <t>SOLLEFTEÅ</t>
        </is>
      </c>
      <c r="F177" t="inlineStr">
        <is>
          <t>SCA</t>
        </is>
      </c>
      <c r="G177" t="n">
        <v>7.9</v>
      </c>
      <c r="H177" t="n">
        <v>2</v>
      </c>
      <c r="I177" t="n">
        <v>0</v>
      </c>
      <c r="J177" t="n">
        <v>6</v>
      </c>
      <c r="K177" t="n">
        <v>0</v>
      </c>
      <c r="L177" t="n">
        <v>0</v>
      </c>
      <c r="M177" t="n">
        <v>0</v>
      </c>
      <c r="N177" t="n">
        <v>0</v>
      </c>
      <c r="O177" t="n">
        <v>6</v>
      </c>
      <c r="P177" t="n">
        <v>0</v>
      </c>
      <c r="Q177" t="n">
        <v>6</v>
      </c>
      <c r="R177" s="2" t="inlineStr">
        <is>
          <t>Granticka
Lunglav
Skogshare
Skrovellav
Talltita
Tretåig hackspett</t>
        </is>
      </c>
      <c r="S177">
        <f>HYPERLINK("https://klasma.github.io/Logging_2283/artfynd/A 40094-2024 artfynd.xlsx", "A 40094-2024")</f>
        <v/>
      </c>
      <c r="T177">
        <f>HYPERLINK("https://klasma.github.io/Logging_2283/kartor/A 40094-2024 karta.png", "A 40094-2024")</f>
        <v/>
      </c>
      <c r="V177">
        <f>HYPERLINK("https://klasma.github.io/Logging_2283/klagomål/A 40094-2024 FSC-klagomål.docx", "A 40094-2024")</f>
        <v/>
      </c>
      <c r="W177">
        <f>HYPERLINK("https://klasma.github.io/Logging_2283/klagomålsmail/A 40094-2024 FSC-klagomål mail.docx", "A 40094-2024")</f>
        <v/>
      </c>
      <c r="X177">
        <f>HYPERLINK("https://klasma.github.io/Logging_2283/tillsyn/A 40094-2024 tillsynsbegäran.docx", "A 40094-2024")</f>
        <v/>
      </c>
      <c r="Y177">
        <f>HYPERLINK("https://klasma.github.io/Logging_2283/tillsynsmail/A 40094-2024 tillsynsbegäran mail.docx", "A 40094-2024")</f>
        <v/>
      </c>
      <c r="Z177">
        <f>HYPERLINK("https://klasma.github.io/Logging_2283/fåglar/A 40094-2024 prioriterade fågelarter.docx", "A 40094-2024")</f>
        <v/>
      </c>
    </row>
    <row r="178" ht="15" customHeight="1">
      <c r="A178" t="inlineStr">
        <is>
          <t>A 41904-2024</t>
        </is>
      </c>
      <c r="B178" s="1" t="n">
        <v>45561</v>
      </c>
      <c r="C178" s="1" t="n">
        <v>45822</v>
      </c>
      <c r="D178" t="inlineStr">
        <is>
          <t>VÄSTERNORRLANDS LÄN</t>
        </is>
      </c>
      <c r="E178" t="inlineStr">
        <is>
          <t>SOLLEFTEÅ</t>
        </is>
      </c>
      <c r="F178" t="inlineStr">
        <is>
          <t>SCA</t>
        </is>
      </c>
      <c r="G178" t="n">
        <v>6.7</v>
      </c>
      <c r="H178" t="n">
        <v>2</v>
      </c>
      <c r="I178" t="n">
        <v>0</v>
      </c>
      <c r="J178" t="n">
        <v>6</v>
      </c>
      <c r="K178" t="n">
        <v>0</v>
      </c>
      <c r="L178" t="n">
        <v>0</v>
      </c>
      <c r="M178" t="n">
        <v>0</v>
      </c>
      <c r="N178" t="n">
        <v>0</v>
      </c>
      <c r="O178" t="n">
        <v>6</v>
      </c>
      <c r="P178" t="n">
        <v>0</v>
      </c>
      <c r="Q178" t="n">
        <v>6</v>
      </c>
      <c r="R178" s="2" t="inlineStr">
        <is>
          <t>Garnlav
Granticka
Harticka
Järpe
Tretåig hackspett
Ullticka</t>
        </is>
      </c>
      <c r="S178">
        <f>HYPERLINK("https://klasma.github.io/Logging_2283/artfynd/A 41904-2024 artfynd.xlsx", "A 41904-2024")</f>
        <v/>
      </c>
      <c r="T178">
        <f>HYPERLINK("https://klasma.github.io/Logging_2283/kartor/A 41904-2024 karta.png", "A 41904-2024")</f>
        <v/>
      </c>
      <c r="V178">
        <f>HYPERLINK("https://klasma.github.io/Logging_2283/klagomål/A 41904-2024 FSC-klagomål.docx", "A 41904-2024")</f>
        <v/>
      </c>
      <c r="W178">
        <f>HYPERLINK("https://klasma.github.io/Logging_2283/klagomålsmail/A 41904-2024 FSC-klagomål mail.docx", "A 41904-2024")</f>
        <v/>
      </c>
      <c r="X178">
        <f>HYPERLINK("https://klasma.github.io/Logging_2283/tillsyn/A 41904-2024 tillsynsbegäran.docx", "A 41904-2024")</f>
        <v/>
      </c>
      <c r="Y178">
        <f>HYPERLINK("https://klasma.github.io/Logging_2283/tillsynsmail/A 41904-2024 tillsynsbegäran mail.docx", "A 41904-2024")</f>
        <v/>
      </c>
      <c r="Z178">
        <f>HYPERLINK("https://klasma.github.io/Logging_2283/fåglar/A 41904-2024 prioriterade fågelarter.docx", "A 41904-2024")</f>
        <v/>
      </c>
    </row>
    <row r="179" ht="15" customHeight="1">
      <c r="A179" t="inlineStr">
        <is>
          <t>A 41788-2024</t>
        </is>
      </c>
      <c r="B179" s="1" t="n">
        <v>45561</v>
      </c>
      <c r="C179" s="1" t="n">
        <v>45822</v>
      </c>
      <c r="D179" t="inlineStr">
        <is>
          <t>VÄSTERNORRLANDS LÄN</t>
        </is>
      </c>
      <c r="E179" t="inlineStr">
        <is>
          <t>SOLLEFTEÅ</t>
        </is>
      </c>
      <c r="F179" t="inlineStr">
        <is>
          <t>SCA</t>
        </is>
      </c>
      <c r="G179" t="n">
        <v>4.1</v>
      </c>
      <c r="H179" t="n">
        <v>3</v>
      </c>
      <c r="I179" t="n">
        <v>1</v>
      </c>
      <c r="J179" t="n">
        <v>4</v>
      </c>
      <c r="K179" t="n">
        <v>1</v>
      </c>
      <c r="L179" t="n">
        <v>0</v>
      </c>
      <c r="M179" t="n">
        <v>0</v>
      </c>
      <c r="N179" t="n">
        <v>0</v>
      </c>
      <c r="O179" t="n">
        <v>5</v>
      </c>
      <c r="P179" t="n">
        <v>1</v>
      </c>
      <c r="Q179" t="n">
        <v>6</v>
      </c>
      <c r="R179" s="2" t="inlineStr">
        <is>
          <t>Knärot
Garnlav
Lunglav
Spillkråka
Talltita
Luddlav</t>
        </is>
      </c>
      <c r="S179">
        <f>HYPERLINK("https://klasma.github.io/Logging_2283/artfynd/A 41788-2024 artfynd.xlsx", "A 41788-2024")</f>
        <v/>
      </c>
      <c r="T179">
        <f>HYPERLINK("https://klasma.github.io/Logging_2283/kartor/A 41788-2024 karta.png", "A 41788-2024")</f>
        <v/>
      </c>
      <c r="U179">
        <f>HYPERLINK("https://klasma.github.io/Logging_2283/knärot/A 41788-2024 karta knärot.png", "A 41788-2024")</f>
        <v/>
      </c>
      <c r="V179">
        <f>HYPERLINK("https://klasma.github.io/Logging_2283/klagomål/A 41788-2024 FSC-klagomål.docx", "A 41788-2024")</f>
        <v/>
      </c>
      <c r="W179">
        <f>HYPERLINK("https://klasma.github.io/Logging_2283/klagomålsmail/A 41788-2024 FSC-klagomål mail.docx", "A 41788-2024")</f>
        <v/>
      </c>
      <c r="X179">
        <f>HYPERLINK("https://klasma.github.io/Logging_2283/tillsyn/A 41788-2024 tillsynsbegäran.docx", "A 41788-2024")</f>
        <v/>
      </c>
      <c r="Y179">
        <f>HYPERLINK("https://klasma.github.io/Logging_2283/tillsynsmail/A 41788-2024 tillsynsbegäran mail.docx", "A 41788-2024")</f>
        <v/>
      </c>
      <c r="Z179">
        <f>HYPERLINK("https://klasma.github.io/Logging_2283/fåglar/A 41788-2024 prioriterade fågelarter.docx", "A 41788-2024")</f>
        <v/>
      </c>
    </row>
    <row r="180" ht="15" customHeight="1">
      <c r="A180" t="inlineStr">
        <is>
          <t>A 52357-2024</t>
        </is>
      </c>
      <c r="B180" s="1" t="n">
        <v>45609</v>
      </c>
      <c r="C180" s="1" t="n">
        <v>45822</v>
      </c>
      <c r="D180" t="inlineStr">
        <is>
          <t>VÄSTERNORRLANDS LÄN</t>
        </is>
      </c>
      <c r="E180" t="inlineStr">
        <is>
          <t>SOLLEFTEÅ</t>
        </is>
      </c>
      <c r="F180" t="inlineStr">
        <is>
          <t>SCA</t>
        </is>
      </c>
      <c r="G180" t="n">
        <v>9</v>
      </c>
      <c r="H180" t="n">
        <v>0</v>
      </c>
      <c r="I180" t="n">
        <v>3</v>
      </c>
      <c r="J180" t="n">
        <v>2</v>
      </c>
      <c r="K180" t="n">
        <v>1</v>
      </c>
      <c r="L180" t="n">
        <v>0</v>
      </c>
      <c r="M180" t="n">
        <v>0</v>
      </c>
      <c r="N180" t="n">
        <v>0</v>
      </c>
      <c r="O180" t="n">
        <v>3</v>
      </c>
      <c r="P180" t="n">
        <v>1</v>
      </c>
      <c r="Q180" t="n">
        <v>6</v>
      </c>
      <c r="R180" s="2" t="inlineStr">
        <is>
          <t>Rynkskinn
Garnlav
Lunglav
Bårdlav
Mörk husmossa
Stuplav</t>
        </is>
      </c>
      <c r="S180">
        <f>HYPERLINK("https://klasma.github.io/Logging_2283/artfynd/A 52357-2024 artfynd.xlsx", "A 52357-2024")</f>
        <v/>
      </c>
      <c r="T180">
        <f>HYPERLINK("https://klasma.github.io/Logging_2283/kartor/A 52357-2024 karta.png", "A 52357-2024")</f>
        <v/>
      </c>
      <c r="V180">
        <f>HYPERLINK("https://klasma.github.io/Logging_2283/klagomål/A 52357-2024 FSC-klagomål.docx", "A 52357-2024")</f>
        <v/>
      </c>
      <c r="W180">
        <f>HYPERLINK("https://klasma.github.io/Logging_2283/klagomålsmail/A 52357-2024 FSC-klagomål mail.docx", "A 52357-2024")</f>
        <v/>
      </c>
      <c r="X180">
        <f>HYPERLINK("https://klasma.github.io/Logging_2283/tillsyn/A 52357-2024 tillsynsbegäran.docx", "A 52357-2024")</f>
        <v/>
      </c>
      <c r="Y180">
        <f>HYPERLINK("https://klasma.github.io/Logging_2283/tillsynsmail/A 52357-2024 tillsynsbegäran mail.docx", "A 52357-2024")</f>
        <v/>
      </c>
    </row>
    <row r="181" ht="15" customHeight="1">
      <c r="A181" t="inlineStr">
        <is>
          <t>A 53829-2024</t>
        </is>
      </c>
      <c r="B181" s="1" t="n">
        <v>45615</v>
      </c>
      <c r="C181" s="1" t="n">
        <v>45822</v>
      </c>
      <c r="D181" t="inlineStr">
        <is>
          <t>VÄSTERNORRLANDS LÄN</t>
        </is>
      </c>
      <c r="E181" t="inlineStr">
        <is>
          <t>SOLLEFTEÅ</t>
        </is>
      </c>
      <c r="F181" t="inlineStr">
        <is>
          <t>SCA</t>
        </is>
      </c>
      <c r="G181" t="n">
        <v>12</v>
      </c>
      <c r="H181" t="n">
        <v>0</v>
      </c>
      <c r="I181" t="n">
        <v>1</v>
      </c>
      <c r="J181" t="n">
        <v>5</v>
      </c>
      <c r="K181" t="n">
        <v>0</v>
      </c>
      <c r="L181" t="n">
        <v>0</v>
      </c>
      <c r="M181" t="n">
        <v>0</v>
      </c>
      <c r="N181" t="n">
        <v>0</v>
      </c>
      <c r="O181" t="n">
        <v>5</v>
      </c>
      <c r="P181" t="n">
        <v>0</v>
      </c>
      <c r="Q181" t="n">
        <v>6</v>
      </c>
      <c r="R181" s="2" t="inlineStr">
        <is>
          <t>Blå taggsvamp
Granticka
Lunglav
Orange taggsvamp
Tallticka
Dropptaggsvamp</t>
        </is>
      </c>
      <c r="S181">
        <f>HYPERLINK("https://klasma.github.io/Logging_2283/artfynd/A 53829-2024 artfynd.xlsx", "A 53829-2024")</f>
        <v/>
      </c>
      <c r="T181">
        <f>HYPERLINK("https://klasma.github.io/Logging_2283/kartor/A 53829-2024 karta.png", "A 53829-2024")</f>
        <v/>
      </c>
      <c r="V181">
        <f>HYPERLINK("https://klasma.github.io/Logging_2283/klagomål/A 53829-2024 FSC-klagomål.docx", "A 53829-2024")</f>
        <v/>
      </c>
      <c r="W181">
        <f>HYPERLINK("https://klasma.github.io/Logging_2283/klagomålsmail/A 53829-2024 FSC-klagomål mail.docx", "A 53829-2024")</f>
        <v/>
      </c>
      <c r="X181">
        <f>HYPERLINK("https://klasma.github.io/Logging_2283/tillsyn/A 53829-2024 tillsynsbegäran.docx", "A 53829-2024")</f>
        <v/>
      </c>
      <c r="Y181">
        <f>HYPERLINK("https://klasma.github.io/Logging_2283/tillsynsmail/A 53829-2024 tillsynsbegäran mail.docx", "A 53829-2024")</f>
        <v/>
      </c>
    </row>
    <row r="182" ht="15" customHeight="1">
      <c r="A182" t="inlineStr">
        <is>
          <t>A 57791-2024</t>
        </is>
      </c>
      <c r="B182" s="1" t="n">
        <v>45631</v>
      </c>
      <c r="C182" s="1" t="n">
        <v>45822</v>
      </c>
      <c r="D182" t="inlineStr">
        <is>
          <t>VÄSTERNORRLANDS LÄN</t>
        </is>
      </c>
      <c r="E182" t="inlineStr">
        <is>
          <t>SOLLEFTEÅ</t>
        </is>
      </c>
      <c r="G182" t="n">
        <v>4.9</v>
      </c>
      <c r="H182" t="n">
        <v>2</v>
      </c>
      <c r="I182" t="n">
        <v>2</v>
      </c>
      <c r="J182" t="n">
        <v>2</v>
      </c>
      <c r="K182" t="n">
        <v>1</v>
      </c>
      <c r="L182" t="n">
        <v>0</v>
      </c>
      <c r="M182" t="n">
        <v>0</v>
      </c>
      <c r="N182" t="n">
        <v>0</v>
      </c>
      <c r="O182" t="n">
        <v>3</v>
      </c>
      <c r="P182" t="n">
        <v>1</v>
      </c>
      <c r="Q182" t="n">
        <v>6</v>
      </c>
      <c r="R182" s="2" t="inlineStr">
        <is>
          <t>Knärot
Rosenticka
Ullticka
Gytterlav
Vedticka
Fläcknycklar</t>
        </is>
      </c>
      <c r="S182">
        <f>HYPERLINK("https://klasma.github.io/Logging_2283/artfynd/A 57791-2024 artfynd.xlsx", "A 57791-2024")</f>
        <v/>
      </c>
      <c r="T182">
        <f>HYPERLINK("https://klasma.github.io/Logging_2283/kartor/A 57791-2024 karta.png", "A 57791-2024")</f>
        <v/>
      </c>
      <c r="U182">
        <f>HYPERLINK("https://klasma.github.io/Logging_2283/knärot/A 57791-2024 karta knärot.png", "A 57791-2024")</f>
        <v/>
      </c>
      <c r="V182">
        <f>HYPERLINK("https://klasma.github.io/Logging_2283/klagomål/A 57791-2024 FSC-klagomål.docx", "A 57791-2024")</f>
        <v/>
      </c>
      <c r="W182">
        <f>HYPERLINK("https://klasma.github.io/Logging_2283/klagomålsmail/A 57791-2024 FSC-klagomål mail.docx", "A 57791-2024")</f>
        <v/>
      </c>
      <c r="X182">
        <f>HYPERLINK("https://klasma.github.io/Logging_2283/tillsyn/A 57791-2024 tillsynsbegäran.docx", "A 57791-2024")</f>
        <v/>
      </c>
      <c r="Y182">
        <f>HYPERLINK("https://klasma.github.io/Logging_2283/tillsynsmail/A 57791-2024 tillsynsbegäran mail.docx", "A 57791-2024")</f>
        <v/>
      </c>
    </row>
    <row r="183" ht="15" customHeight="1">
      <c r="A183" t="inlineStr">
        <is>
          <t>A 61323-2024</t>
        </is>
      </c>
      <c r="B183" s="1" t="n">
        <v>45646</v>
      </c>
      <c r="C183" s="1" t="n">
        <v>45822</v>
      </c>
      <c r="D183" t="inlineStr">
        <is>
          <t>VÄSTERNORRLANDS LÄN</t>
        </is>
      </c>
      <c r="E183" t="inlineStr">
        <is>
          <t>SOLLEFTEÅ</t>
        </is>
      </c>
      <c r="F183" t="inlineStr">
        <is>
          <t>SCA</t>
        </is>
      </c>
      <c r="G183" t="n">
        <v>5.2</v>
      </c>
      <c r="H183" t="n">
        <v>0</v>
      </c>
      <c r="I183" t="n">
        <v>0</v>
      </c>
      <c r="J183" t="n">
        <v>5</v>
      </c>
      <c r="K183" t="n">
        <v>1</v>
      </c>
      <c r="L183" t="n">
        <v>0</v>
      </c>
      <c r="M183" t="n">
        <v>0</v>
      </c>
      <c r="N183" t="n">
        <v>0</v>
      </c>
      <c r="O183" t="n">
        <v>6</v>
      </c>
      <c r="P183" t="n">
        <v>1</v>
      </c>
      <c r="Q183" t="n">
        <v>6</v>
      </c>
      <c r="R183" s="2" t="inlineStr">
        <is>
          <t>Ulltickeporing
Garnlav
Harticka
Rosenticka
Ullticka
Vitgrynig nållav</t>
        </is>
      </c>
      <c r="S183">
        <f>HYPERLINK("https://klasma.github.io/Logging_2283/artfynd/A 61323-2024 artfynd.xlsx", "A 61323-2024")</f>
        <v/>
      </c>
      <c r="T183">
        <f>HYPERLINK("https://klasma.github.io/Logging_2283/kartor/A 61323-2024 karta.png", "A 61323-2024")</f>
        <v/>
      </c>
      <c r="V183">
        <f>HYPERLINK("https://klasma.github.io/Logging_2283/klagomål/A 61323-2024 FSC-klagomål.docx", "A 61323-2024")</f>
        <v/>
      </c>
      <c r="W183">
        <f>HYPERLINK("https://klasma.github.io/Logging_2283/klagomålsmail/A 61323-2024 FSC-klagomål mail.docx", "A 61323-2024")</f>
        <v/>
      </c>
      <c r="X183">
        <f>HYPERLINK("https://klasma.github.io/Logging_2283/tillsyn/A 61323-2024 tillsynsbegäran.docx", "A 61323-2024")</f>
        <v/>
      </c>
      <c r="Y183">
        <f>HYPERLINK("https://klasma.github.io/Logging_2283/tillsynsmail/A 61323-2024 tillsynsbegäran mail.docx", "A 61323-2024")</f>
        <v/>
      </c>
    </row>
    <row r="184" ht="15" customHeight="1">
      <c r="A184" t="inlineStr">
        <is>
          <t>A 61541-2024</t>
        </is>
      </c>
      <c r="B184" s="1" t="n">
        <v>45646</v>
      </c>
      <c r="C184" s="1" t="n">
        <v>45822</v>
      </c>
      <c r="D184" t="inlineStr">
        <is>
          <t>VÄSTERNORRLANDS LÄN</t>
        </is>
      </c>
      <c r="E184" t="inlineStr">
        <is>
          <t>SOLLEFTEÅ</t>
        </is>
      </c>
      <c r="F184" t="inlineStr">
        <is>
          <t>SCA</t>
        </is>
      </c>
      <c r="G184" t="n">
        <v>6.8</v>
      </c>
      <c r="H184" t="n">
        <v>1</v>
      </c>
      <c r="I184" t="n">
        <v>0</v>
      </c>
      <c r="J184" t="n">
        <v>6</v>
      </c>
      <c r="K184" t="n">
        <v>0</v>
      </c>
      <c r="L184" t="n">
        <v>0</v>
      </c>
      <c r="M184" t="n">
        <v>0</v>
      </c>
      <c r="N184" t="n">
        <v>0</v>
      </c>
      <c r="O184" t="n">
        <v>6</v>
      </c>
      <c r="P184" t="n">
        <v>0</v>
      </c>
      <c r="Q184" t="n">
        <v>6</v>
      </c>
      <c r="R184" s="2" t="inlineStr">
        <is>
          <t>Gammelgransskål
Garnlav
Skogshare
Tretåig hackspett
Ullticka
Vitgrynig nållav</t>
        </is>
      </c>
      <c r="S184">
        <f>HYPERLINK("https://klasma.github.io/Logging_2283/artfynd/A 61541-2024 artfynd.xlsx", "A 61541-2024")</f>
        <v/>
      </c>
      <c r="T184">
        <f>HYPERLINK("https://klasma.github.io/Logging_2283/kartor/A 61541-2024 karta.png", "A 61541-2024")</f>
        <v/>
      </c>
      <c r="V184">
        <f>HYPERLINK("https://klasma.github.io/Logging_2283/klagomål/A 61541-2024 FSC-klagomål.docx", "A 61541-2024")</f>
        <v/>
      </c>
      <c r="W184">
        <f>HYPERLINK("https://klasma.github.io/Logging_2283/klagomålsmail/A 61541-2024 FSC-klagomål mail.docx", "A 61541-2024")</f>
        <v/>
      </c>
      <c r="X184">
        <f>HYPERLINK("https://klasma.github.io/Logging_2283/tillsyn/A 61541-2024 tillsynsbegäran.docx", "A 61541-2024")</f>
        <v/>
      </c>
      <c r="Y184">
        <f>HYPERLINK("https://klasma.github.io/Logging_2283/tillsynsmail/A 61541-2024 tillsynsbegäran mail.docx", "A 61541-2024")</f>
        <v/>
      </c>
      <c r="Z184">
        <f>HYPERLINK("https://klasma.github.io/Logging_2283/fåglar/A 61541-2024 prioriterade fågelarter.docx", "A 61541-2024")</f>
        <v/>
      </c>
    </row>
    <row r="185" ht="15" customHeight="1">
      <c r="A185" t="inlineStr">
        <is>
          <t>A 3056-2025</t>
        </is>
      </c>
      <c r="B185" s="1" t="n">
        <v>45678</v>
      </c>
      <c r="C185" s="1" t="n">
        <v>45822</v>
      </c>
      <c r="D185" t="inlineStr">
        <is>
          <t>VÄSTERNORRLANDS LÄN</t>
        </is>
      </c>
      <c r="E185" t="inlineStr">
        <is>
          <t>SOLLEFTEÅ</t>
        </is>
      </c>
      <c r="F185" t="inlineStr">
        <is>
          <t>SCA</t>
        </is>
      </c>
      <c r="G185" t="n">
        <v>9.800000000000001</v>
      </c>
      <c r="H185" t="n">
        <v>3</v>
      </c>
      <c r="I185" t="n">
        <v>0</v>
      </c>
      <c r="J185" t="n">
        <v>5</v>
      </c>
      <c r="K185" t="n">
        <v>0</v>
      </c>
      <c r="L185" t="n">
        <v>0</v>
      </c>
      <c r="M185" t="n">
        <v>0</v>
      </c>
      <c r="N185" t="n">
        <v>0</v>
      </c>
      <c r="O185" t="n">
        <v>5</v>
      </c>
      <c r="P185" t="n">
        <v>0</v>
      </c>
      <c r="Q185" t="n">
        <v>6</v>
      </c>
      <c r="R185" s="2" t="inlineStr">
        <is>
          <t>Garnlav
Granticka
Lunglav
Talltita
Tretåig hackspett
Tjäder</t>
        </is>
      </c>
      <c r="S185">
        <f>HYPERLINK("https://klasma.github.io/Logging_2283/artfynd/A 3056-2025 artfynd.xlsx", "A 3056-2025")</f>
        <v/>
      </c>
      <c r="T185">
        <f>HYPERLINK("https://klasma.github.io/Logging_2283/kartor/A 3056-2025 karta.png", "A 3056-2025")</f>
        <v/>
      </c>
      <c r="V185">
        <f>HYPERLINK("https://klasma.github.io/Logging_2283/klagomål/A 3056-2025 FSC-klagomål.docx", "A 3056-2025")</f>
        <v/>
      </c>
      <c r="W185">
        <f>HYPERLINK("https://klasma.github.io/Logging_2283/klagomålsmail/A 3056-2025 FSC-klagomål mail.docx", "A 3056-2025")</f>
        <v/>
      </c>
      <c r="X185">
        <f>HYPERLINK("https://klasma.github.io/Logging_2283/tillsyn/A 3056-2025 tillsynsbegäran.docx", "A 3056-2025")</f>
        <v/>
      </c>
      <c r="Y185">
        <f>HYPERLINK("https://klasma.github.io/Logging_2283/tillsynsmail/A 3056-2025 tillsynsbegäran mail.docx", "A 3056-2025")</f>
        <v/>
      </c>
      <c r="Z185">
        <f>HYPERLINK("https://klasma.github.io/Logging_2283/fåglar/A 3056-2025 prioriterade fågelarter.docx", "A 3056-2025")</f>
        <v/>
      </c>
    </row>
    <row r="186" ht="15" customHeight="1">
      <c r="A186" t="inlineStr">
        <is>
          <t>A 4827-2025</t>
        </is>
      </c>
      <c r="B186" s="1" t="n">
        <v>45688</v>
      </c>
      <c r="C186" s="1" t="n">
        <v>45822</v>
      </c>
      <c r="D186" t="inlineStr">
        <is>
          <t>VÄSTERNORRLANDS LÄN</t>
        </is>
      </c>
      <c r="E186" t="inlineStr">
        <is>
          <t>SOLLEFTEÅ</t>
        </is>
      </c>
      <c r="G186" t="n">
        <v>33</v>
      </c>
      <c r="H186" t="n">
        <v>2</v>
      </c>
      <c r="I186" t="n">
        <v>0</v>
      </c>
      <c r="J186" t="n">
        <v>6</v>
      </c>
      <c r="K186" t="n">
        <v>0</v>
      </c>
      <c r="L186" t="n">
        <v>0</v>
      </c>
      <c r="M186" t="n">
        <v>0</v>
      </c>
      <c r="N186" t="n">
        <v>0</v>
      </c>
      <c r="O186" t="n">
        <v>6</v>
      </c>
      <c r="P186" t="n">
        <v>0</v>
      </c>
      <c r="Q186" t="n">
        <v>6</v>
      </c>
      <c r="R186" s="2" t="inlineStr">
        <is>
          <t>Garnlav
Granticka
Lunglav
Talltita
Tretåig hackspett
Ullticka</t>
        </is>
      </c>
      <c r="S186">
        <f>HYPERLINK("https://klasma.github.io/Logging_2283/artfynd/A 4827-2025 artfynd.xlsx", "A 4827-2025")</f>
        <v/>
      </c>
      <c r="T186">
        <f>HYPERLINK("https://klasma.github.io/Logging_2283/kartor/A 4827-2025 karta.png", "A 4827-2025")</f>
        <v/>
      </c>
      <c r="V186">
        <f>HYPERLINK("https://klasma.github.io/Logging_2283/klagomål/A 4827-2025 FSC-klagomål.docx", "A 4827-2025")</f>
        <v/>
      </c>
      <c r="W186">
        <f>HYPERLINK("https://klasma.github.io/Logging_2283/klagomålsmail/A 4827-2025 FSC-klagomål mail.docx", "A 4827-2025")</f>
        <v/>
      </c>
      <c r="X186">
        <f>HYPERLINK("https://klasma.github.io/Logging_2283/tillsyn/A 4827-2025 tillsynsbegäran.docx", "A 4827-2025")</f>
        <v/>
      </c>
      <c r="Y186">
        <f>HYPERLINK("https://klasma.github.io/Logging_2283/tillsynsmail/A 4827-2025 tillsynsbegäran mail.docx", "A 4827-2025")</f>
        <v/>
      </c>
      <c r="Z186">
        <f>HYPERLINK("https://klasma.github.io/Logging_2283/fåglar/A 4827-2025 prioriterade fågelarter.docx", "A 4827-2025")</f>
        <v/>
      </c>
    </row>
    <row r="187" ht="15" customHeight="1">
      <c r="A187" t="inlineStr">
        <is>
          <t>A 7334-2025</t>
        </is>
      </c>
      <c r="B187" s="1" t="n">
        <v>45703</v>
      </c>
      <c r="C187" s="1" t="n">
        <v>45822</v>
      </c>
      <c r="D187" t="inlineStr">
        <is>
          <t>VÄSTERNORRLANDS LÄN</t>
        </is>
      </c>
      <c r="E187" t="inlineStr">
        <is>
          <t>SOLLEFTEÅ</t>
        </is>
      </c>
      <c r="G187" t="n">
        <v>2.2</v>
      </c>
      <c r="H187" t="n">
        <v>4</v>
      </c>
      <c r="I187" t="n">
        <v>2</v>
      </c>
      <c r="J187" t="n">
        <v>3</v>
      </c>
      <c r="K187" t="n">
        <v>0</v>
      </c>
      <c r="L187" t="n">
        <v>0</v>
      </c>
      <c r="M187" t="n">
        <v>0</v>
      </c>
      <c r="N187" t="n">
        <v>0</v>
      </c>
      <c r="O187" t="n">
        <v>3</v>
      </c>
      <c r="P187" t="n">
        <v>0</v>
      </c>
      <c r="Q187" t="n">
        <v>6</v>
      </c>
      <c r="R187" s="2" t="inlineStr">
        <is>
          <t>Björktrast
Gulsparv
Rödvingetrast
Skinnlav
Stor aspticka
Revlummer</t>
        </is>
      </c>
      <c r="S187">
        <f>HYPERLINK("https://klasma.github.io/Logging_2283/artfynd/A 7334-2025 artfynd.xlsx", "A 7334-2025")</f>
        <v/>
      </c>
      <c r="T187">
        <f>HYPERLINK("https://klasma.github.io/Logging_2283/kartor/A 7334-2025 karta.png", "A 7334-2025")</f>
        <v/>
      </c>
      <c r="V187">
        <f>HYPERLINK("https://klasma.github.io/Logging_2283/klagomål/A 7334-2025 FSC-klagomål.docx", "A 7334-2025")</f>
        <v/>
      </c>
      <c r="W187">
        <f>HYPERLINK("https://klasma.github.io/Logging_2283/klagomålsmail/A 7334-2025 FSC-klagomål mail.docx", "A 7334-2025")</f>
        <v/>
      </c>
      <c r="X187">
        <f>HYPERLINK("https://klasma.github.io/Logging_2283/tillsyn/A 7334-2025 tillsynsbegäran.docx", "A 7334-2025")</f>
        <v/>
      </c>
      <c r="Y187">
        <f>HYPERLINK("https://klasma.github.io/Logging_2283/tillsynsmail/A 7334-2025 tillsynsbegäran mail.docx", "A 7334-2025")</f>
        <v/>
      </c>
      <c r="Z187">
        <f>HYPERLINK("https://klasma.github.io/Logging_2283/fåglar/A 7334-2025 prioriterade fågelarter.docx", "A 7334-2025")</f>
        <v/>
      </c>
    </row>
    <row r="188" ht="15" customHeight="1">
      <c r="A188" t="inlineStr">
        <is>
          <t>A 13250-2025</t>
        </is>
      </c>
      <c r="B188" s="1" t="n">
        <v>45735</v>
      </c>
      <c r="C188" s="1" t="n">
        <v>45822</v>
      </c>
      <c r="D188" t="inlineStr">
        <is>
          <t>VÄSTERNORRLANDS LÄN</t>
        </is>
      </c>
      <c r="E188" t="inlineStr">
        <is>
          <t>SOLLEFTEÅ</t>
        </is>
      </c>
      <c r="F188" t="inlineStr">
        <is>
          <t>SCA</t>
        </is>
      </c>
      <c r="G188" t="n">
        <v>1.4</v>
      </c>
      <c r="H188" t="n">
        <v>3</v>
      </c>
      <c r="I188" t="n">
        <v>1</v>
      </c>
      <c r="J188" t="n">
        <v>4</v>
      </c>
      <c r="K188" t="n">
        <v>0</v>
      </c>
      <c r="L188" t="n">
        <v>0</v>
      </c>
      <c r="M188" t="n">
        <v>0</v>
      </c>
      <c r="N188" t="n">
        <v>0</v>
      </c>
      <c r="O188" t="n">
        <v>4</v>
      </c>
      <c r="P188" t="n">
        <v>0</v>
      </c>
      <c r="Q188" t="n">
        <v>6</v>
      </c>
      <c r="R188" s="2" t="inlineStr">
        <is>
          <t>Lunglav
Spillkråka
Tretåig hackspett
Ullticka
Vedticka
Tjäder</t>
        </is>
      </c>
      <c r="S188">
        <f>HYPERLINK("https://klasma.github.io/Logging_222283/artfynd/A 13250-2025 artfynd.xlsx", "A 13250-2025")</f>
        <v/>
      </c>
      <c r="T188">
        <f>HYPERLINK("https://klasma.github.io/Logging_222283/kartor/A 13250-2025 karta.png", "A 13250-2025")</f>
        <v/>
      </c>
      <c r="V188">
        <f>HYPERLINK("https://klasma.github.io/Logging_222283/klagomål/A 13250-2025 FSC-klagomål.docx", "A 13250-2025")</f>
        <v/>
      </c>
      <c r="W188">
        <f>HYPERLINK("https://klasma.github.io/Logging_222283/klagomålsmail/A 13250-2025 FSC-klagomål mail.docx", "A 13250-2025")</f>
        <v/>
      </c>
      <c r="X188">
        <f>HYPERLINK("https://klasma.github.io/Logging_222283/tillsyn/A 13250-2025 tillsynsbegäran.docx", "A 13250-2025")</f>
        <v/>
      </c>
      <c r="Y188">
        <f>HYPERLINK("https://klasma.github.io/Logging_222283/tillsynsmail/A 13250-2025 tillsynsbegäran mail.docx", "A 13250-2025")</f>
        <v/>
      </c>
      <c r="Z188">
        <f>HYPERLINK("https://klasma.github.io/Logging_222283/fåglar/A 13250-2025 prioriterade fågelarter.docx", "A 13250-2025")</f>
        <v/>
      </c>
    </row>
    <row r="189" ht="15" customHeight="1">
      <c r="A189" t="inlineStr">
        <is>
          <t>A 41785-2019</t>
        </is>
      </c>
      <c r="B189" s="1" t="n">
        <v>43699</v>
      </c>
      <c r="C189" s="1" t="n">
        <v>45822</v>
      </c>
      <c r="D189" t="inlineStr">
        <is>
          <t>VÄSTERNORRLANDS LÄN</t>
        </is>
      </c>
      <c r="E189" t="inlineStr">
        <is>
          <t>SOLLEFTEÅ</t>
        </is>
      </c>
      <c r="F189" t="inlineStr">
        <is>
          <t>SCA</t>
        </is>
      </c>
      <c r="G189" t="n">
        <v>3.1</v>
      </c>
      <c r="H189" t="n">
        <v>0</v>
      </c>
      <c r="I189" t="n">
        <v>1</v>
      </c>
      <c r="J189" t="n">
        <v>3</v>
      </c>
      <c r="K189" t="n">
        <v>1</v>
      </c>
      <c r="L189" t="n">
        <v>0</v>
      </c>
      <c r="M189" t="n">
        <v>0</v>
      </c>
      <c r="N189" t="n">
        <v>0</v>
      </c>
      <c r="O189" t="n">
        <v>4</v>
      </c>
      <c r="P189" t="n">
        <v>1</v>
      </c>
      <c r="Q189" t="n">
        <v>5</v>
      </c>
      <c r="R189" s="2" t="inlineStr">
        <is>
          <t>Rynkskinn
Rosenticka
Ullticka
Violmussling
Stor aspticka</t>
        </is>
      </c>
      <c r="S189">
        <f>HYPERLINK("https://klasma.github.io/Logging_2283/artfynd/A 41785-2019 artfynd.xlsx", "A 41785-2019")</f>
        <v/>
      </c>
      <c r="T189">
        <f>HYPERLINK("https://klasma.github.io/Logging_2283/kartor/A 41785-2019 karta.png", "A 41785-2019")</f>
        <v/>
      </c>
      <c r="V189">
        <f>HYPERLINK("https://klasma.github.io/Logging_2283/klagomål/A 41785-2019 FSC-klagomål.docx", "A 41785-2019")</f>
        <v/>
      </c>
      <c r="W189">
        <f>HYPERLINK("https://klasma.github.io/Logging_2283/klagomålsmail/A 41785-2019 FSC-klagomål mail.docx", "A 41785-2019")</f>
        <v/>
      </c>
      <c r="X189">
        <f>HYPERLINK("https://klasma.github.io/Logging_2283/tillsyn/A 41785-2019 tillsynsbegäran.docx", "A 41785-2019")</f>
        <v/>
      </c>
      <c r="Y189">
        <f>HYPERLINK("https://klasma.github.io/Logging_2283/tillsynsmail/A 41785-2019 tillsynsbegäran mail.docx", "A 41785-2019")</f>
        <v/>
      </c>
    </row>
    <row r="190" ht="15" customHeight="1">
      <c r="A190" t="inlineStr">
        <is>
          <t>A 33209-2020</t>
        </is>
      </c>
      <c r="B190" s="1" t="n">
        <v>44021</v>
      </c>
      <c r="C190" s="1" t="n">
        <v>45822</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Granticka
Harticka
Talltita
Tretåig hackspett</t>
        </is>
      </c>
      <c r="S190">
        <f>HYPERLINK("https://klasma.github.io/Logging_2283/artfynd/A 33209-2020 artfynd.xlsx", "A 33209-2020")</f>
        <v/>
      </c>
      <c r="T190">
        <f>HYPERLINK("https://klasma.github.io/Logging_2283/kartor/A 33209-2020 karta.png", "A 33209-2020")</f>
        <v/>
      </c>
      <c r="V190">
        <f>HYPERLINK("https://klasma.github.io/Logging_2283/klagomål/A 33209-2020 FSC-klagomål.docx", "A 33209-2020")</f>
        <v/>
      </c>
      <c r="W190">
        <f>HYPERLINK("https://klasma.github.io/Logging_2283/klagomålsmail/A 33209-2020 FSC-klagomål mail.docx", "A 33209-2020")</f>
        <v/>
      </c>
      <c r="X190">
        <f>HYPERLINK("https://klasma.github.io/Logging_2283/tillsyn/A 33209-2020 tillsynsbegäran.docx", "A 33209-2020")</f>
        <v/>
      </c>
      <c r="Y190">
        <f>HYPERLINK("https://klasma.github.io/Logging_2283/tillsynsmail/A 33209-2020 tillsynsbegäran mail.docx", "A 33209-2020")</f>
        <v/>
      </c>
      <c r="Z190">
        <f>HYPERLINK("https://klasma.github.io/Logging_2283/fåglar/A 33209-2020 prioriterade fågelarter.docx", "A 33209-2020")</f>
        <v/>
      </c>
    </row>
    <row r="191" ht="15" customHeight="1">
      <c r="A191" t="inlineStr">
        <is>
          <t>A 33612-2020</t>
        </is>
      </c>
      <c r="B191" s="1" t="n">
        <v>44025</v>
      </c>
      <c r="C191" s="1" t="n">
        <v>45822</v>
      </c>
      <c r="D191" t="inlineStr">
        <is>
          <t>VÄSTERNORRLANDS LÄN</t>
        </is>
      </c>
      <c r="E191" t="inlineStr">
        <is>
          <t>SOLLEFTEÅ</t>
        </is>
      </c>
      <c r="F191" t="inlineStr">
        <is>
          <t>SCA</t>
        </is>
      </c>
      <c r="G191" t="n">
        <v>2.3</v>
      </c>
      <c r="H191" t="n">
        <v>2</v>
      </c>
      <c r="I191" t="n">
        <v>1</v>
      </c>
      <c r="J191" t="n">
        <v>3</v>
      </c>
      <c r="K191" t="n">
        <v>0</v>
      </c>
      <c r="L191" t="n">
        <v>0</v>
      </c>
      <c r="M191" t="n">
        <v>0</v>
      </c>
      <c r="N191" t="n">
        <v>0</v>
      </c>
      <c r="O191" t="n">
        <v>3</v>
      </c>
      <c r="P191" t="n">
        <v>0</v>
      </c>
      <c r="Q191" t="n">
        <v>5</v>
      </c>
      <c r="R191" s="2" t="inlineStr">
        <is>
          <t>Dvärgbägarlav
Garnlav
Tretåig hackspett
Dropptaggsvamp
Tjäder</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c r="Z191">
        <f>HYPERLINK("https://klasma.github.io/Logging_2283/fåglar/A 33612-2020 prioriterade fågelarter.docx", "A 33612-2020")</f>
        <v/>
      </c>
    </row>
    <row r="192" ht="15" customHeight="1">
      <c r="A192" t="inlineStr">
        <is>
          <t>A 57076-2020</t>
        </is>
      </c>
      <c r="B192" s="1" t="n">
        <v>44138</v>
      </c>
      <c r="C192" s="1" t="n">
        <v>45822</v>
      </c>
      <c r="D192" t="inlineStr">
        <is>
          <t>VÄSTERNORRLANDS LÄN</t>
        </is>
      </c>
      <c r="E192" t="inlineStr">
        <is>
          <t>SOLLEFTEÅ</t>
        </is>
      </c>
      <c r="G192" t="n">
        <v>3.8</v>
      </c>
      <c r="H192" t="n">
        <v>3</v>
      </c>
      <c r="I192" t="n">
        <v>1</v>
      </c>
      <c r="J192" t="n">
        <v>3</v>
      </c>
      <c r="K192" t="n">
        <v>0</v>
      </c>
      <c r="L192" t="n">
        <v>0</v>
      </c>
      <c r="M192" t="n">
        <v>0</v>
      </c>
      <c r="N192" t="n">
        <v>0</v>
      </c>
      <c r="O192" t="n">
        <v>3</v>
      </c>
      <c r="P192" t="n">
        <v>0</v>
      </c>
      <c r="Q192" t="n">
        <v>5</v>
      </c>
      <c r="R192" s="2" t="inlineStr">
        <is>
          <t>Kråka
Nipsippa
Rosenticka
Strutbräken
Revlummer</t>
        </is>
      </c>
      <c r="S192">
        <f>HYPERLINK("https://klasma.github.io/Logging_2283/artfynd/A 57076-2020 artfynd.xlsx", "A 57076-2020")</f>
        <v/>
      </c>
      <c r="T192">
        <f>HYPERLINK("https://klasma.github.io/Logging_2283/kartor/A 57076-2020 karta.png", "A 57076-2020")</f>
        <v/>
      </c>
      <c r="V192">
        <f>HYPERLINK("https://klasma.github.io/Logging_2283/klagomål/A 57076-2020 FSC-klagomål.docx", "A 57076-2020")</f>
        <v/>
      </c>
      <c r="W192">
        <f>HYPERLINK("https://klasma.github.io/Logging_2283/klagomålsmail/A 57076-2020 FSC-klagomål mail.docx", "A 57076-2020")</f>
        <v/>
      </c>
      <c r="X192">
        <f>HYPERLINK("https://klasma.github.io/Logging_2283/tillsyn/A 57076-2020 tillsynsbegäran.docx", "A 57076-2020")</f>
        <v/>
      </c>
      <c r="Y192">
        <f>HYPERLINK("https://klasma.github.io/Logging_2283/tillsynsmail/A 57076-2020 tillsynsbegäran mail.docx", "A 57076-2020")</f>
        <v/>
      </c>
      <c r="Z192">
        <f>HYPERLINK("https://klasma.github.io/Logging_2283/fåglar/A 57076-2020 prioriterade fågelarter.docx", "A 57076-2020")</f>
        <v/>
      </c>
    </row>
    <row r="193" ht="15" customHeight="1">
      <c r="A193" t="inlineStr">
        <is>
          <t>A 59318-2021</t>
        </is>
      </c>
      <c r="B193" s="1" t="n">
        <v>44491</v>
      </c>
      <c r="C193" s="1" t="n">
        <v>45822</v>
      </c>
      <c r="D193" t="inlineStr">
        <is>
          <t>VÄSTERNORRLANDS LÄN</t>
        </is>
      </c>
      <c r="E193" t="inlineStr">
        <is>
          <t>SOLLEFTEÅ</t>
        </is>
      </c>
      <c r="G193" t="n">
        <v>1.2</v>
      </c>
      <c r="H193" t="n">
        <v>2</v>
      </c>
      <c r="I193" t="n">
        <v>1</v>
      </c>
      <c r="J193" t="n">
        <v>4</v>
      </c>
      <c r="K193" t="n">
        <v>0</v>
      </c>
      <c r="L193" t="n">
        <v>0</v>
      </c>
      <c r="M193" t="n">
        <v>0</v>
      </c>
      <c r="N193" t="n">
        <v>0</v>
      </c>
      <c r="O193" t="n">
        <v>4</v>
      </c>
      <c r="P193" t="n">
        <v>0</v>
      </c>
      <c r="Q193" t="n">
        <v>5</v>
      </c>
      <c r="R193" s="2" t="inlineStr">
        <is>
          <t>Gammelgransskål
Garnlav
Spillkråka
Talltita
Skinnlav</t>
        </is>
      </c>
      <c r="S193">
        <f>HYPERLINK("https://klasma.github.io/Logging_2283/artfynd/A 59318-2021 artfynd.xlsx", "A 59318-2021")</f>
        <v/>
      </c>
      <c r="T193">
        <f>HYPERLINK("https://klasma.github.io/Logging_2283/kartor/A 59318-2021 karta.png", "A 59318-2021")</f>
        <v/>
      </c>
      <c r="V193">
        <f>HYPERLINK("https://klasma.github.io/Logging_2283/klagomål/A 59318-2021 FSC-klagomål.docx", "A 59318-2021")</f>
        <v/>
      </c>
      <c r="W193">
        <f>HYPERLINK("https://klasma.github.io/Logging_2283/klagomålsmail/A 59318-2021 FSC-klagomål mail.docx", "A 59318-2021")</f>
        <v/>
      </c>
      <c r="X193">
        <f>HYPERLINK("https://klasma.github.io/Logging_2283/tillsyn/A 59318-2021 tillsynsbegäran.docx", "A 59318-2021")</f>
        <v/>
      </c>
      <c r="Y193">
        <f>HYPERLINK("https://klasma.github.io/Logging_2283/tillsynsmail/A 59318-2021 tillsynsbegäran mail.docx", "A 59318-2021")</f>
        <v/>
      </c>
      <c r="Z193">
        <f>HYPERLINK("https://klasma.github.io/Logging_2283/fåglar/A 59318-2021 prioriterade fågelarter.docx", "A 59318-2021")</f>
        <v/>
      </c>
    </row>
    <row r="194" ht="15" customHeight="1">
      <c r="A194" t="inlineStr">
        <is>
          <t>A 68354-2021</t>
        </is>
      </c>
      <c r="B194" s="1" t="n">
        <v>44528</v>
      </c>
      <c r="C194" s="1" t="n">
        <v>45822</v>
      </c>
      <c r="D194" t="inlineStr">
        <is>
          <t>VÄSTERNORRLANDS LÄN</t>
        </is>
      </c>
      <c r="E194" t="inlineStr">
        <is>
          <t>SOLLEFTEÅ</t>
        </is>
      </c>
      <c r="G194" t="n">
        <v>3.3</v>
      </c>
      <c r="H194" t="n">
        <v>2</v>
      </c>
      <c r="I194" t="n">
        <v>1</v>
      </c>
      <c r="J194" t="n">
        <v>4</v>
      </c>
      <c r="K194" t="n">
        <v>0</v>
      </c>
      <c r="L194" t="n">
        <v>0</v>
      </c>
      <c r="M194" t="n">
        <v>0</v>
      </c>
      <c r="N194" t="n">
        <v>0</v>
      </c>
      <c r="O194" t="n">
        <v>4</v>
      </c>
      <c r="P194" t="n">
        <v>0</v>
      </c>
      <c r="Q194" t="n">
        <v>5</v>
      </c>
      <c r="R194" s="2" t="inlineStr">
        <is>
          <t>Rosenticka
Spillkråka
Talltita
Ullticka
Vanlig flatbagge</t>
        </is>
      </c>
      <c r="S194">
        <f>HYPERLINK("https://klasma.github.io/Logging_2283/artfynd/A 68354-2021 artfynd.xlsx", "A 68354-2021")</f>
        <v/>
      </c>
      <c r="T194">
        <f>HYPERLINK("https://klasma.github.io/Logging_2283/kartor/A 68354-2021 karta.png", "A 68354-2021")</f>
        <v/>
      </c>
      <c r="V194">
        <f>HYPERLINK("https://klasma.github.io/Logging_2283/klagomål/A 68354-2021 FSC-klagomål.docx", "A 68354-2021")</f>
        <v/>
      </c>
      <c r="W194">
        <f>HYPERLINK("https://klasma.github.io/Logging_2283/klagomålsmail/A 68354-2021 FSC-klagomål mail.docx", "A 68354-2021")</f>
        <v/>
      </c>
      <c r="X194">
        <f>HYPERLINK("https://klasma.github.io/Logging_2283/tillsyn/A 68354-2021 tillsynsbegäran.docx", "A 68354-2021")</f>
        <v/>
      </c>
      <c r="Y194">
        <f>HYPERLINK("https://klasma.github.io/Logging_2283/tillsynsmail/A 68354-2021 tillsynsbegäran mail.docx", "A 68354-2021")</f>
        <v/>
      </c>
      <c r="Z194">
        <f>HYPERLINK("https://klasma.github.io/Logging_2283/fåglar/A 68354-2021 prioriterade fågelarter.docx", "A 68354-2021")</f>
        <v/>
      </c>
    </row>
    <row r="195" ht="15" customHeight="1">
      <c r="A195" t="inlineStr">
        <is>
          <t>A 10400-2022</t>
        </is>
      </c>
      <c r="B195" s="1" t="n">
        <v>44623</v>
      </c>
      <c r="C195" s="1" t="n">
        <v>45822</v>
      </c>
      <c r="D195" t="inlineStr">
        <is>
          <t>VÄSTERNORRLANDS LÄN</t>
        </is>
      </c>
      <c r="E195" t="inlineStr">
        <is>
          <t>SOLLEFTEÅ</t>
        </is>
      </c>
      <c r="G195" t="n">
        <v>25.8</v>
      </c>
      <c r="H195" t="n">
        <v>2</v>
      </c>
      <c r="I195" t="n">
        <v>1</v>
      </c>
      <c r="J195" t="n">
        <v>4</v>
      </c>
      <c r="K195" t="n">
        <v>0</v>
      </c>
      <c r="L195" t="n">
        <v>0</v>
      </c>
      <c r="M195" t="n">
        <v>0</v>
      </c>
      <c r="N195" t="n">
        <v>0</v>
      </c>
      <c r="O195" t="n">
        <v>4</v>
      </c>
      <c r="P195" t="n">
        <v>0</v>
      </c>
      <c r="Q195" t="n">
        <v>5</v>
      </c>
      <c r="R195" s="2" t="inlineStr">
        <is>
          <t>Lunglav
Spillkråka
Tretåig hackspett
Ullticka
Korallblylav</t>
        </is>
      </c>
      <c r="S195">
        <f>HYPERLINK("https://klasma.github.io/Logging_2283/artfynd/A 10400-2022 artfynd.xlsx", "A 10400-2022")</f>
        <v/>
      </c>
      <c r="T195">
        <f>HYPERLINK("https://klasma.github.io/Logging_2283/kartor/A 10400-2022 karta.png", "A 10400-2022")</f>
        <v/>
      </c>
      <c r="V195">
        <f>HYPERLINK("https://klasma.github.io/Logging_2283/klagomål/A 10400-2022 FSC-klagomål.docx", "A 10400-2022")</f>
        <v/>
      </c>
      <c r="W195">
        <f>HYPERLINK("https://klasma.github.io/Logging_2283/klagomålsmail/A 10400-2022 FSC-klagomål mail.docx", "A 10400-2022")</f>
        <v/>
      </c>
      <c r="X195">
        <f>HYPERLINK("https://klasma.github.io/Logging_2283/tillsyn/A 10400-2022 tillsynsbegäran.docx", "A 10400-2022")</f>
        <v/>
      </c>
      <c r="Y195">
        <f>HYPERLINK("https://klasma.github.io/Logging_2283/tillsynsmail/A 10400-2022 tillsynsbegäran mail.docx", "A 10400-2022")</f>
        <v/>
      </c>
      <c r="Z195">
        <f>HYPERLINK("https://klasma.github.io/Logging_2283/fåglar/A 10400-2022 prioriterade fågelarter.docx", "A 10400-2022")</f>
        <v/>
      </c>
    </row>
    <row r="196" ht="15" customHeight="1">
      <c r="A196" t="inlineStr">
        <is>
          <t>A 11490-2022</t>
        </is>
      </c>
      <c r="B196" s="1" t="n">
        <v>44630</v>
      </c>
      <c r="C196" s="1" t="n">
        <v>45822</v>
      </c>
      <c r="D196" t="inlineStr">
        <is>
          <t>VÄSTERNORRLANDS LÄN</t>
        </is>
      </c>
      <c r="E196" t="inlineStr">
        <is>
          <t>SOLLEFTEÅ</t>
        </is>
      </c>
      <c r="F196" t="inlineStr">
        <is>
          <t>SCA</t>
        </is>
      </c>
      <c r="G196" t="n">
        <v>2</v>
      </c>
      <c r="H196" t="n">
        <v>2</v>
      </c>
      <c r="I196" t="n">
        <v>0</v>
      </c>
      <c r="J196" t="n">
        <v>5</v>
      </c>
      <c r="K196" t="n">
        <v>0</v>
      </c>
      <c r="L196" t="n">
        <v>0</v>
      </c>
      <c r="M196" t="n">
        <v>0</v>
      </c>
      <c r="N196" t="n">
        <v>0</v>
      </c>
      <c r="O196" t="n">
        <v>5</v>
      </c>
      <c r="P196" t="n">
        <v>0</v>
      </c>
      <c r="Q196" t="n">
        <v>5</v>
      </c>
      <c r="R196" s="2" t="inlineStr">
        <is>
          <t>Garnlav
Lunglav
Spillkråka
Tretåig hackspett
Ullticka</t>
        </is>
      </c>
      <c r="S196">
        <f>HYPERLINK("https://klasma.github.io/Logging_2283/artfynd/A 11490-2022 artfynd.xlsx", "A 11490-2022")</f>
        <v/>
      </c>
      <c r="T196">
        <f>HYPERLINK("https://klasma.github.io/Logging_2283/kartor/A 11490-2022 karta.png", "A 11490-2022")</f>
        <v/>
      </c>
      <c r="V196">
        <f>HYPERLINK("https://klasma.github.io/Logging_2283/klagomål/A 11490-2022 FSC-klagomål.docx", "A 11490-2022")</f>
        <v/>
      </c>
      <c r="W196">
        <f>HYPERLINK("https://klasma.github.io/Logging_2283/klagomålsmail/A 11490-2022 FSC-klagomål mail.docx", "A 11490-2022")</f>
        <v/>
      </c>
      <c r="X196">
        <f>HYPERLINK("https://klasma.github.io/Logging_2283/tillsyn/A 11490-2022 tillsynsbegäran.docx", "A 11490-2022")</f>
        <v/>
      </c>
      <c r="Y196">
        <f>HYPERLINK("https://klasma.github.io/Logging_2283/tillsynsmail/A 11490-2022 tillsynsbegäran mail.docx", "A 11490-2022")</f>
        <v/>
      </c>
      <c r="Z196">
        <f>HYPERLINK("https://klasma.github.io/Logging_2283/fåglar/A 11490-2022 prioriterade fågelarter.docx", "A 11490-2022")</f>
        <v/>
      </c>
    </row>
    <row r="197" ht="15" customHeight="1">
      <c r="A197" t="inlineStr">
        <is>
          <t>A 20949-2022</t>
        </is>
      </c>
      <c r="B197" s="1" t="n">
        <v>44702</v>
      </c>
      <c r="C197" s="1" t="n">
        <v>45822</v>
      </c>
      <c r="D197" t="inlineStr">
        <is>
          <t>VÄSTERNORRLANDS LÄN</t>
        </is>
      </c>
      <c r="E197" t="inlineStr">
        <is>
          <t>SOLLEFTEÅ</t>
        </is>
      </c>
      <c r="F197" t="inlineStr">
        <is>
          <t>SCA</t>
        </is>
      </c>
      <c r="G197" t="n">
        <v>2.2</v>
      </c>
      <c r="H197" t="n">
        <v>1</v>
      </c>
      <c r="I197" t="n">
        <v>0</v>
      </c>
      <c r="J197" t="n">
        <v>5</v>
      </c>
      <c r="K197" t="n">
        <v>0</v>
      </c>
      <c r="L197" t="n">
        <v>0</v>
      </c>
      <c r="M197" t="n">
        <v>0</v>
      </c>
      <c r="N197" t="n">
        <v>0</v>
      </c>
      <c r="O197" t="n">
        <v>5</v>
      </c>
      <c r="P197" t="n">
        <v>0</v>
      </c>
      <c r="Q197" t="n">
        <v>5</v>
      </c>
      <c r="R197" s="2" t="inlineStr">
        <is>
          <t>Garnlav
Kolflarnlav
Lunglav
Tretåig hackspett
Vedskivlav</t>
        </is>
      </c>
      <c r="S197">
        <f>HYPERLINK("https://klasma.github.io/Logging_2283/artfynd/A 20949-2022 artfynd.xlsx", "A 20949-2022")</f>
        <v/>
      </c>
      <c r="T197">
        <f>HYPERLINK("https://klasma.github.io/Logging_2283/kartor/A 20949-2022 karta.png", "A 20949-2022")</f>
        <v/>
      </c>
      <c r="V197">
        <f>HYPERLINK("https://klasma.github.io/Logging_2283/klagomål/A 20949-2022 FSC-klagomål.docx", "A 20949-2022")</f>
        <v/>
      </c>
      <c r="W197">
        <f>HYPERLINK("https://klasma.github.io/Logging_2283/klagomålsmail/A 20949-2022 FSC-klagomål mail.docx", "A 20949-2022")</f>
        <v/>
      </c>
      <c r="X197">
        <f>HYPERLINK("https://klasma.github.io/Logging_2283/tillsyn/A 20949-2022 tillsynsbegäran.docx", "A 20949-2022")</f>
        <v/>
      </c>
      <c r="Y197">
        <f>HYPERLINK("https://klasma.github.io/Logging_2283/tillsynsmail/A 20949-2022 tillsynsbegäran mail.docx", "A 20949-2022")</f>
        <v/>
      </c>
      <c r="Z197">
        <f>HYPERLINK("https://klasma.github.io/Logging_2283/fåglar/A 20949-2022 prioriterade fågelarter.docx", "A 20949-2022")</f>
        <v/>
      </c>
    </row>
    <row r="198" ht="15" customHeight="1">
      <c r="A198" t="inlineStr">
        <is>
          <t>A 30235-2022</t>
        </is>
      </c>
      <c r="B198" s="1" t="n">
        <v>44757</v>
      </c>
      <c r="C198" s="1" t="n">
        <v>45822</v>
      </c>
      <c r="D198" t="inlineStr">
        <is>
          <t>VÄSTERNORRLANDS LÄN</t>
        </is>
      </c>
      <c r="E198" t="inlineStr">
        <is>
          <t>SOLLEFTEÅ</t>
        </is>
      </c>
      <c r="F198" t="inlineStr">
        <is>
          <t>SCA</t>
        </is>
      </c>
      <c r="G198" t="n">
        <v>4.7</v>
      </c>
      <c r="H198" t="n">
        <v>3</v>
      </c>
      <c r="I198" t="n">
        <v>0</v>
      </c>
      <c r="J198" t="n">
        <v>3</v>
      </c>
      <c r="K198" t="n">
        <v>2</v>
      </c>
      <c r="L198" t="n">
        <v>0</v>
      </c>
      <c r="M198" t="n">
        <v>0</v>
      </c>
      <c r="N198" t="n">
        <v>0</v>
      </c>
      <c r="O198" t="n">
        <v>5</v>
      </c>
      <c r="P198" t="n">
        <v>2</v>
      </c>
      <c r="Q198" t="n">
        <v>5</v>
      </c>
      <c r="R198" s="2" t="inlineStr">
        <is>
          <t>Doftticka
Knärot
Lunglav
Skrovellav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41169-2022</t>
        </is>
      </c>
      <c r="B199" s="1" t="n">
        <v>44825</v>
      </c>
      <c r="C199" s="1" t="n">
        <v>45822</v>
      </c>
      <c r="D199" t="inlineStr">
        <is>
          <t>VÄSTERNORRLANDS LÄN</t>
        </is>
      </c>
      <c r="E199" t="inlineStr">
        <is>
          <t>SOLLEFTEÅ</t>
        </is>
      </c>
      <c r="F199" t="inlineStr">
        <is>
          <t>SCA</t>
        </is>
      </c>
      <c r="G199" t="n">
        <v>1.8</v>
      </c>
      <c r="H199" t="n">
        <v>2</v>
      </c>
      <c r="I199" t="n">
        <v>1</v>
      </c>
      <c r="J199" t="n">
        <v>4</v>
      </c>
      <c r="K199" t="n">
        <v>0</v>
      </c>
      <c r="L199" t="n">
        <v>0</v>
      </c>
      <c r="M199" t="n">
        <v>0</v>
      </c>
      <c r="N199" t="n">
        <v>0</v>
      </c>
      <c r="O199" t="n">
        <v>4</v>
      </c>
      <c r="P199" t="n">
        <v>0</v>
      </c>
      <c r="Q199" t="n">
        <v>5</v>
      </c>
      <c r="R199" s="2" t="inlineStr">
        <is>
          <t>Spillkråka
Tretåig hackspett
Ullticka
Vedskivlav
Vedticka</t>
        </is>
      </c>
      <c r="S199">
        <f>HYPERLINK("https://klasma.github.io/Logging_2283/artfynd/A 41169-2022 artfynd.xlsx", "A 41169-2022")</f>
        <v/>
      </c>
      <c r="T199">
        <f>HYPERLINK("https://klasma.github.io/Logging_2283/kartor/A 41169-2022 karta.png", "A 41169-2022")</f>
        <v/>
      </c>
      <c r="V199">
        <f>HYPERLINK("https://klasma.github.io/Logging_2283/klagomål/A 41169-2022 FSC-klagomål.docx", "A 41169-2022")</f>
        <v/>
      </c>
      <c r="W199">
        <f>HYPERLINK("https://klasma.github.io/Logging_2283/klagomålsmail/A 41169-2022 FSC-klagomål mail.docx", "A 41169-2022")</f>
        <v/>
      </c>
      <c r="X199">
        <f>HYPERLINK("https://klasma.github.io/Logging_2283/tillsyn/A 41169-2022 tillsynsbegäran.docx", "A 41169-2022")</f>
        <v/>
      </c>
      <c r="Y199">
        <f>HYPERLINK("https://klasma.github.io/Logging_2283/tillsynsmail/A 41169-2022 tillsynsbegäran mail.docx", "A 41169-2022")</f>
        <v/>
      </c>
      <c r="Z199">
        <f>HYPERLINK("https://klasma.github.io/Logging_2283/fåglar/A 41169-2022 prioriterade fågelarter.docx", "A 41169-2022")</f>
        <v/>
      </c>
    </row>
    <row r="200" ht="15" customHeight="1">
      <c r="A200" t="inlineStr">
        <is>
          <t>A 46629-2022</t>
        </is>
      </c>
      <c r="B200" s="1" t="n">
        <v>44848</v>
      </c>
      <c r="C200" s="1" t="n">
        <v>45822</v>
      </c>
      <c r="D200" t="inlineStr">
        <is>
          <t>VÄSTERNORRLANDS LÄN</t>
        </is>
      </c>
      <c r="E200" t="inlineStr">
        <is>
          <t>SOLLEFTEÅ</t>
        </is>
      </c>
      <c r="F200" t="inlineStr">
        <is>
          <t>SCA</t>
        </is>
      </c>
      <c r="G200" t="n">
        <v>4.5</v>
      </c>
      <c r="H200" t="n">
        <v>2</v>
      </c>
      <c r="I200" t="n">
        <v>0</v>
      </c>
      <c r="J200" t="n">
        <v>4</v>
      </c>
      <c r="K200" t="n">
        <v>1</v>
      </c>
      <c r="L200" t="n">
        <v>0</v>
      </c>
      <c r="M200" t="n">
        <v>0</v>
      </c>
      <c r="N200" t="n">
        <v>0</v>
      </c>
      <c r="O200" t="n">
        <v>5</v>
      </c>
      <c r="P200" t="n">
        <v>1</v>
      </c>
      <c r="Q200" t="n">
        <v>5</v>
      </c>
      <c r="R200" s="2" t="inlineStr">
        <is>
          <t>Knärot
Garnlav
Lunglav
Skogshare
Tretåig hackspett</t>
        </is>
      </c>
      <c r="S200">
        <f>HYPERLINK("https://klasma.github.io/Logging_2283/artfynd/A 46629-2022 artfynd.xlsx", "A 46629-2022")</f>
        <v/>
      </c>
      <c r="T200">
        <f>HYPERLINK("https://klasma.github.io/Logging_2283/kartor/A 46629-2022 karta.png", "A 46629-2022")</f>
        <v/>
      </c>
      <c r="U200">
        <f>HYPERLINK("https://klasma.github.io/Logging_2283/knärot/A 46629-2022 karta knärot.png", "A 46629-2022")</f>
        <v/>
      </c>
      <c r="V200">
        <f>HYPERLINK("https://klasma.github.io/Logging_2283/klagomål/A 46629-2022 FSC-klagomål.docx", "A 46629-2022")</f>
        <v/>
      </c>
      <c r="W200">
        <f>HYPERLINK("https://klasma.github.io/Logging_2283/klagomålsmail/A 46629-2022 FSC-klagomål mail.docx", "A 46629-2022")</f>
        <v/>
      </c>
      <c r="X200">
        <f>HYPERLINK("https://klasma.github.io/Logging_2283/tillsyn/A 46629-2022 tillsynsbegäran.docx", "A 46629-2022")</f>
        <v/>
      </c>
      <c r="Y200">
        <f>HYPERLINK("https://klasma.github.io/Logging_2283/tillsynsmail/A 46629-2022 tillsynsbegäran mail.docx", "A 46629-2022")</f>
        <v/>
      </c>
      <c r="Z200">
        <f>HYPERLINK("https://klasma.github.io/Logging_2283/fåglar/A 46629-2022 prioriterade fågelarter.docx", "A 46629-2022")</f>
        <v/>
      </c>
    </row>
    <row r="201" ht="15" customHeight="1">
      <c r="A201" t="inlineStr">
        <is>
          <t>A 81-2023</t>
        </is>
      </c>
      <c r="B201" s="1" t="n">
        <v>44920</v>
      </c>
      <c r="C201" s="1" t="n">
        <v>45822</v>
      </c>
      <c r="D201" t="inlineStr">
        <is>
          <t>VÄSTERNORRLANDS LÄN</t>
        </is>
      </c>
      <c r="E201" t="inlineStr">
        <is>
          <t>SOLLEFTEÅ</t>
        </is>
      </c>
      <c r="G201" t="n">
        <v>20</v>
      </c>
      <c r="H201" t="n">
        <v>2</v>
      </c>
      <c r="I201" t="n">
        <v>1</v>
      </c>
      <c r="J201" t="n">
        <v>3</v>
      </c>
      <c r="K201" t="n">
        <v>1</v>
      </c>
      <c r="L201" t="n">
        <v>0</v>
      </c>
      <c r="M201" t="n">
        <v>0</v>
      </c>
      <c r="N201" t="n">
        <v>0</v>
      </c>
      <c r="O201" t="n">
        <v>4</v>
      </c>
      <c r="P201" t="n">
        <v>1</v>
      </c>
      <c r="Q201" t="n">
        <v>5</v>
      </c>
      <c r="R201" s="2" t="inlineStr">
        <is>
          <t>Knärot
Garnlav
Lunglav
Talltita
Luddlav</t>
        </is>
      </c>
      <c r="S201">
        <f>HYPERLINK("https://klasma.github.io/Logging_2283/artfynd/A 81-2023 artfynd.xlsx", "A 81-2023")</f>
        <v/>
      </c>
      <c r="T201">
        <f>HYPERLINK("https://klasma.github.io/Logging_2283/kartor/A 81-2023 karta.png", "A 81-2023")</f>
        <v/>
      </c>
      <c r="U201">
        <f>HYPERLINK("https://klasma.github.io/Logging_2283/knärot/A 81-2023 karta knärot.png", "A 81-2023")</f>
        <v/>
      </c>
      <c r="V201">
        <f>HYPERLINK("https://klasma.github.io/Logging_2283/klagomål/A 81-2023 FSC-klagomål.docx", "A 81-2023")</f>
        <v/>
      </c>
      <c r="W201">
        <f>HYPERLINK("https://klasma.github.io/Logging_2283/klagomålsmail/A 81-2023 FSC-klagomål mail.docx", "A 81-2023")</f>
        <v/>
      </c>
      <c r="X201">
        <f>HYPERLINK("https://klasma.github.io/Logging_2283/tillsyn/A 81-2023 tillsynsbegäran.docx", "A 81-2023")</f>
        <v/>
      </c>
      <c r="Y201">
        <f>HYPERLINK("https://klasma.github.io/Logging_2283/tillsynsmail/A 81-2023 tillsynsbegäran mail.docx", "A 81-2023")</f>
        <v/>
      </c>
      <c r="Z201">
        <f>HYPERLINK("https://klasma.github.io/Logging_2283/fåglar/A 81-2023 prioriterade fågelarter.docx", "A 81-2023")</f>
        <v/>
      </c>
    </row>
    <row r="202" ht="15" customHeight="1">
      <c r="A202" t="inlineStr">
        <is>
          <t>A 14079-2023</t>
        </is>
      </c>
      <c r="B202" s="1" t="n">
        <v>45009</v>
      </c>
      <c r="C202" s="1" t="n">
        <v>45822</v>
      </c>
      <c r="D202" t="inlineStr">
        <is>
          <t>VÄSTERNORRLANDS LÄN</t>
        </is>
      </c>
      <c r="E202" t="inlineStr">
        <is>
          <t>SOLLEFTEÅ</t>
        </is>
      </c>
      <c r="F202" t="inlineStr">
        <is>
          <t>SCA</t>
        </is>
      </c>
      <c r="G202" t="n">
        <v>9</v>
      </c>
      <c r="H202" t="n">
        <v>0</v>
      </c>
      <c r="I202" t="n">
        <v>0</v>
      </c>
      <c r="J202" t="n">
        <v>5</v>
      </c>
      <c r="K202" t="n">
        <v>0</v>
      </c>
      <c r="L202" t="n">
        <v>0</v>
      </c>
      <c r="M202" t="n">
        <v>0</v>
      </c>
      <c r="N202" t="n">
        <v>0</v>
      </c>
      <c r="O202" t="n">
        <v>5</v>
      </c>
      <c r="P202" t="n">
        <v>0</v>
      </c>
      <c r="Q202" t="n">
        <v>5</v>
      </c>
      <c r="R202" s="2" t="inlineStr">
        <is>
          <t>Gammelgransskål
Garnlav
Ullticka
Vedskivlav
Vedtrappmossa</t>
        </is>
      </c>
      <c r="S202">
        <f>HYPERLINK("https://klasma.github.io/Logging_2283/artfynd/A 14079-2023 artfynd.xlsx", "A 14079-2023")</f>
        <v/>
      </c>
      <c r="T202">
        <f>HYPERLINK("https://klasma.github.io/Logging_2283/kartor/A 14079-2023 karta.png", "A 14079-2023")</f>
        <v/>
      </c>
      <c r="V202">
        <f>HYPERLINK("https://klasma.github.io/Logging_2283/klagomål/A 14079-2023 FSC-klagomål.docx", "A 14079-2023")</f>
        <v/>
      </c>
      <c r="W202">
        <f>HYPERLINK("https://klasma.github.io/Logging_2283/klagomålsmail/A 14079-2023 FSC-klagomål mail.docx", "A 14079-2023")</f>
        <v/>
      </c>
      <c r="X202">
        <f>HYPERLINK("https://klasma.github.io/Logging_2283/tillsyn/A 14079-2023 tillsynsbegäran.docx", "A 14079-2023")</f>
        <v/>
      </c>
      <c r="Y202">
        <f>HYPERLINK("https://klasma.github.io/Logging_2283/tillsynsmail/A 14079-2023 tillsynsbegäran mail.docx", "A 14079-2023")</f>
        <v/>
      </c>
    </row>
    <row r="203" ht="15" customHeight="1">
      <c r="A203" t="inlineStr">
        <is>
          <t>A 18163-2023</t>
        </is>
      </c>
      <c r="B203" s="1" t="n">
        <v>45040</v>
      </c>
      <c r="C203" s="1" t="n">
        <v>45822</v>
      </c>
      <c r="D203" t="inlineStr">
        <is>
          <t>VÄSTERNORRLANDS LÄN</t>
        </is>
      </c>
      <c r="E203" t="inlineStr">
        <is>
          <t>SOLLEFTEÅ</t>
        </is>
      </c>
      <c r="F203" t="inlineStr">
        <is>
          <t>SCA</t>
        </is>
      </c>
      <c r="G203" t="n">
        <v>5.2</v>
      </c>
      <c r="H203" t="n">
        <v>1</v>
      </c>
      <c r="I203" t="n">
        <v>0</v>
      </c>
      <c r="J203" t="n">
        <v>5</v>
      </c>
      <c r="K203" t="n">
        <v>0</v>
      </c>
      <c r="L203" t="n">
        <v>0</v>
      </c>
      <c r="M203" t="n">
        <v>0</v>
      </c>
      <c r="N203" t="n">
        <v>0</v>
      </c>
      <c r="O203" t="n">
        <v>5</v>
      </c>
      <c r="P203" t="n">
        <v>0</v>
      </c>
      <c r="Q203" t="n">
        <v>5</v>
      </c>
      <c r="R203" s="2" t="inlineStr">
        <is>
          <t>Garnlav
Granticka
Kolflarnlav
Spillkråka
Ullticka</t>
        </is>
      </c>
      <c r="S203">
        <f>HYPERLINK("https://klasma.github.io/Logging_2283/artfynd/A 18163-2023 artfynd.xlsx", "A 18163-2023")</f>
        <v/>
      </c>
      <c r="T203">
        <f>HYPERLINK("https://klasma.github.io/Logging_2283/kartor/A 18163-2023 karta.png", "A 18163-2023")</f>
        <v/>
      </c>
      <c r="V203">
        <f>HYPERLINK("https://klasma.github.io/Logging_2283/klagomål/A 18163-2023 FSC-klagomål.docx", "A 18163-2023")</f>
        <v/>
      </c>
      <c r="W203">
        <f>HYPERLINK("https://klasma.github.io/Logging_2283/klagomålsmail/A 18163-2023 FSC-klagomål mail.docx", "A 18163-2023")</f>
        <v/>
      </c>
      <c r="X203">
        <f>HYPERLINK("https://klasma.github.io/Logging_2283/tillsyn/A 18163-2023 tillsynsbegäran.docx", "A 18163-2023")</f>
        <v/>
      </c>
      <c r="Y203">
        <f>HYPERLINK("https://klasma.github.io/Logging_2283/tillsynsmail/A 18163-2023 tillsynsbegäran mail.docx", "A 18163-2023")</f>
        <v/>
      </c>
      <c r="Z203">
        <f>HYPERLINK("https://klasma.github.io/Logging_2283/fåglar/A 18163-2023 prioriterade fågelarter.docx", "A 18163-2023")</f>
        <v/>
      </c>
    </row>
    <row r="204" ht="15" customHeight="1">
      <c r="A204" t="inlineStr">
        <is>
          <t>A 27675-2023</t>
        </is>
      </c>
      <c r="B204" s="1" t="n">
        <v>45097</v>
      </c>
      <c r="C204" s="1" t="n">
        <v>45822</v>
      </c>
      <c r="D204" t="inlineStr">
        <is>
          <t>VÄSTERNORRLANDS LÄN</t>
        </is>
      </c>
      <c r="E204" t="inlineStr">
        <is>
          <t>SOLLEFTEÅ</t>
        </is>
      </c>
      <c r="G204" t="n">
        <v>4.7</v>
      </c>
      <c r="H204" t="n">
        <v>1</v>
      </c>
      <c r="I204" t="n">
        <v>1</v>
      </c>
      <c r="J204" t="n">
        <v>3</v>
      </c>
      <c r="K204" t="n">
        <v>1</v>
      </c>
      <c r="L204" t="n">
        <v>0</v>
      </c>
      <c r="M204" t="n">
        <v>0</v>
      </c>
      <c r="N204" t="n">
        <v>0</v>
      </c>
      <c r="O204" t="n">
        <v>4</v>
      </c>
      <c r="P204" t="n">
        <v>1</v>
      </c>
      <c r="Q204" t="n">
        <v>5</v>
      </c>
      <c r="R204" s="2" t="inlineStr">
        <is>
          <t>Knärot
Garnlav
Lunglav
Ullticka
Stuplav</t>
        </is>
      </c>
      <c r="S204">
        <f>HYPERLINK("https://klasma.github.io/Logging_2283/artfynd/A 27675-2023 artfynd.xlsx", "A 27675-2023")</f>
        <v/>
      </c>
      <c r="T204">
        <f>HYPERLINK("https://klasma.github.io/Logging_2283/kartor/A 27675-2023 karta.png", "A 27675-2023")</f>
        <v/>
      </c>
      <c r="U204">
        <f>HYPERLINK("https://klasma.github.io/Logging_2283/knärot/A 27675-2023 karta knärot.png", "A 27675-2023")</f>
        <v/>
      </c>
      <c r="V204">
        <f>HYPERLINK("https://klasma.github.io/Logging_2283/klagomål/A 27675-2023 FSC-klagomål.docx", "A 27675-2023")</f>
        <v/>
      </c>
      <c r="W204">
        <f>HYPERLINK("https://klasma.github.io/Logging_2283/klagomålsmail/A 27675-2023 FSC-klagomål mail.docx", "A 27675-2023")</f>
        <v/>
      </c>
      <c r="X204">
        <f>HYPERLINK("https://klasma.github.io/Logging_2283/tillsyn/A 27675-2023 tillsynsbegäran.docx", "A 27675-2023")</f>
        <v/>
      </c>
      <c r="Y204">
        <f>HYPERLINK("https://klasma.github.io/Logging_2283/tillsynsmail/A 27675-2023 tillsynsbegäran mail.docx", "A 27675-2023")</f>
        <v/>
      </c>
    </row>
    <row r="205" ht="15" customHeight="1">
      <c r="A205" t="inlineStr">
        <is>
          <t>A 32217-2023</t>
        </is>
      </c>
      <c r="B205" s="1" t="n">
        <v>45119</v>
      </c>
      <c r="C205" s="1" t="n">
        <v>45822</v>
      </c>
      <c r="D205" t="inlineStr">
        <is>
          <t>VÄSTERNORRLANDS LÄN</t>
        </is>
      </c>
      <c r="E205" t="inlineStr">
        <is>
          <t>SOLLEFTEÅ</t>
        </is>
      </c>
      <c r="F205" t="inlineStr">
        <is>
          <t>SCA</t>
        </is>
      </c>
      <c r="G205" t="n">
        <v>1.8</v>
      </c>
      <c r="H205" t="n">
        <v>1</v>
      </c>
      <c r="I205" t="n">
        <v>0</v>
      </c>
      <c r="J205" t="n">
        <v>5</v>
      </c>
      <c r="K205" t="n">
        <v>0</v>
      </c>
      <c r="L205" t="n">
        <v>0</v>
      </c>
      <c r="M205" t="n">
        <v>0</v>
      </c>
      <c r="N205" t="n">
        <v>0</v>
      </c>
      <c r="O205" t="n">
        <v>5</v>
      </c>
      <c r="P205" t="n">
        <v>0</v>
      </c>
      <c r="Q205" t="n">
        <v>5</v>
      </c>
      <c r="R205" s="2" t="inlineStr">
        <is>
          <t>Garnlav
Lunglav
Rosenticka
Skogshare
Tretåig hackspett</t>
        </is>
      </c>
      <c r="S205">
        <f>HYPERLINK("https://klasma.github.io/Logging_2283/artfynd/A 32217-2023 artfynd.xlsx", "A 32217-2023")</f>
        <v/>
      </c>
      <c r="T205">
        <f>HYPERLINK("https://klasma.github.io/Logging_2283/kartor/A 32217-2023 karta.png", "A 32217-2023")</f>
        <v/>
      </c>
      <c r="V205">
        <f>HYPERLINK("https://klasma.github.io/Logging_2283/klagomål/A 32217-2023 FSC-klagomål.docx", "A 32217-2023")</f>
        <v/>
      </c>
      <c r="W205">
        <f>HYPERLINK("https://klasma.github.io/Logging_2283/klagomålsmail/A 32217-2023 FSC-klagomål mail.docx", "A 32217-2023")</f>
        <v/>
      </c>
      <c r="X205">
        <f>HYPERLINK("https://klasma.github.io/Logging_2283/tillsyn/A 32217-2023 tillsynsbegäran.docx", "A 32217-2023")</f>
        <v/>
      </c>
      <c r="Y205">
        <f>HYPERLINK("https://klasma.github.io/Logging_2283/tillsynsmail/A 32217-2023 tillsynsbegäran mail.docx", "A 32217-2023")</f>
        <v/>
      </c>
      <c r="Z205">
        <f>HYPERLINK("https://klasma.github.io/Logging_2283/fåglar/A 32217-2023 prioriterade fågelarter.docx", "A 32217-2023")</f>
        <v/>
      </c>
    </row>
    <row r="206" ht="15" customHeight="1">
      <c r="A206" t="inlineStr">
        <is>
          <t>A 32216-2023</t>
        </is>
      </c>
      <c r="B206" s="1" t="n">
        <v>45120</v>
      </c>
      <c r="C206" s="1" t="n">
        <v>45822</v>
      </c>
      <c r="D206" t="inlineStr">
        <is>
          <t>VÄSTERNORRLANDS LÄN</t>
        </is>
      </c>
      <c r="E206" t="inlineStr">
        <is>
          <t>SOLLEFTEÅ</t>
        </is>
      </c>
      <c r="F206" t="inlineStr">
        <is>
          <t>SCA</t>
        </is>
      </c>
      <c r="G206" t="n">
        <v>2.2</v>
      </c>
      <c r="H206" t="n">
        <v>1</v>
      </c>
      <c r="I206" t="n">
        <v>0</v>
      </c>
      <c r="J206" t="n">
        <v>4</v>
      </c>
      <c r="K206" t="n">
        <v>1</v>
      </c>
      <c r="L206" t="n">
        <v>0</v>
      </c>
      <c r="M206" t="n">
        <v>0</v>
      </c>
      <c r="N206" t="n">
        <v>0</v>
      </c>
      <c r="O206" t="n">
        <v>5</v>
      </c>
      <c r="P206" t="n">
        <v>1</v>
      </c>
      <c r="Q206" t="n">
        <v>5</v>
      </c>
      <c r="R206" s="2" t="inlineStr">
        <is>
          <t>Rynkskinn
Lunglav
Rosenticka
Tretåig hackspett
Ullticka</t>
        </is>
      </c>
      <c r="S206">
        <f>HYPERLINK("https://klasma.github.io/Logging_2283/artfynd/A 32216-2023 artfynd.xlsx", "A 32216-2023")</f>
        <v/>
      </c>
      <c r="T206">
        <f>HYPERLINK("https://klasma.github.io/Logging_2283/kartor/A 32216-2023 karta.png", "A 32216-2023")</f>
        <v/>
      </c>
      <c r="V206">
        <f>HYPERLINK("https://klasma.github.io/Logging_2283/klagomål/A 32216-2023 FSC-klagomål.docx", "A 32216-2023")</f>
        <v/>
      </c>
      <c r="W206">
        <f>HYPERLINK("https://klasma.github.io/Logging_2283/klagomålsmail/A 32216-2023 FSC-klagomål mail.docx", "A 32216-2023")</f>
        <v/>
      </c>
      <c r="X206">
        <f>HYPERLINK("https://klasma.github.io/Logging_2283/tillsyn/A 32216-2023 tillsynsbegäran.docx", "A 32216-2023")</f>
        <v/>
      </c>
      <c r="Y206">
        <f>HYPERLINK("https://klasma.github.io/Logging_2283/tillsynsmail/A 32216-2023 tillsynsbegäran mail.docx", "A 32216-2023")</f>
        <v/>
      </c>
      <c r="Z206">
        <f>HYPERLINK("https://klasma.github.io/Logging_2283/fåglar/A 32216-2023 prioriterade fågelarter.docx", "A 32216-2023")</f>
        <v/>
      </c>
    </row>
    <row r="207" ht="15" customHeight="1">
      <c r="A207" t="inlineStr">
        <is>
          <t>A 59662-2023</t>
        </is>
      </c>
      <c r="B207" s="1" t="n">
        <v>45255</v>
      </c>
      <c r="C207" s="1" t="n">
        <v>45822</v>
      </c>
      <c r="D207" t="inlineStr">
        <is>
          <t>VÄSTERNORRLANDS LÄN</t>
        </is>
      </c>
      <c r="E207" t="inlineStr">
        <is>
          <t>SOLLEFTEÅ</t>
        </is>
      </c>
      <c r="F207" t="inlineStr">
        <is>
          <t>SCA</t>
        </is>
      </c>
      <c r="G207" t="n">
        <v>4.8</v>
      </c>
      <c r="H207" t="n">
        <v>1</v>
      </c>
      <c r="I207" t="n">
        <v>0</v>
      </c>
      <c r="J207" t="n">
        <v>4</v>
      </c>
      <c r="K207" t="n">
        <v>1</v>
      </c>
      <c r="L207" t="n">
        <v>0</v>
      </c>
      <c r="M207" t="n">
        <v>0</v>
      </c>
      <c r="N207" t="n">
        <v>0</v>
      </c>
      <c r="O207" t="n">
        <v>5</v>
      </c>
      <c r="P207" t="n">
        <v>1</v>
      </c>
      <c r="Q207" t="n">
        <v>5</v>
      </c>
      <c r="R207" s="2" t="inlineStr">
        <is>
          <t>Knärot
Dvärgbägarlav
Kolflarnlav
Koralltaggsvamp
Tallticka</t>
        </is>
      </c>
      <c r="S207">
        <f>HYPERLINK("https://klasma.github.io/Logging_2283/artfynd/A 59662-2023 artfynd.xlsx", "A 59662-2023")</f>
        <v/>
      </c>
      <c r="T207">
        <f>HYPERLINK("https://klasma.github.io/Logging_2283/kartor/A 59662-2023 karta.png", "A 59662-2023")</f>
        <v/>
      </c>
      <c r="U207">
        <f>HYPERLINK("https://klasma.github.io/Logging_2283/knärot/A 59662-2023 karta knärot.png", "A 59662-2023")</f>
        <v/>
      </c>
      <c r="V207">
        <f>HYPERLINK("https://klasma.github.io/Logging_2283/klagomål/A 59662-2023 FSC-klagomål.docx", "A 59662-2023")</f>
        <v/>
      </c>
      <c r="W207">
        <f>HYPERLINK("https://klasma.github.io/Logging_2283/klagomålsmail/A 59662-2023 FSC-klagomål mail.docx", "A 59662-2023")</f>
        <v/>
      </c>
      <c r="X207">
        <f>HYPERLINK("https://klasma.github.io/Logging_2283/tillsyn/A 59662-2023 tillsynsbegäran.docx", "A 59662-2023")</f>
        <v/>
      </c>
      <c r="Y207">
        <f>HYPERLINK("https://klasma.github.io/Logging_2283/tillsynsmail/A 59662-2023 tillsynsbegäran mail.docx", "A 59662-2023")</f>
        <v/>
      </c>
    </row>
    <row r="208" ht="15" customHeight="1">
      <c r="A208" t="inlineStr">
        <is>
          <t>A 2067-2024</t>
        </is>
      </c>
      <c r="B208" s="1" t="n">
        <v>45308</v>
      </c>
      <c r="C208" s="1" t="n">
        <v>45822</v>
      </c>
      <c r="D208" t="inlineStr">
        <is>
          <t>VÄSTERNORRLANDS LÄN</t>
        </is>
      </c>
      <c r="E208" t="inlineStr">
        <is>
          <t>SOLLEFTEÅ</t>
        </is>
      </c>
      <c r="F208" t="inlineStr">
        <is>
          <t>SCA</t>
        </is>
      </c>
      <c r="G208" t="n">
        <v>3.1</v>
      </c>
      <c r="H208" t="n">
        <v>1</v>
      </c>
      <c r="I208" t="n">
        <v>2</v>
      </c>
      <c r="J208" t="n">
        <v>3</v>
      </c>
      <c r="K208" t="n">
        <v>0</v>
      </c>
      <c r="L208" t="n">
        <v>0</v>
      </c>
      <c r="M208" t="n">
        <v>0</v>
      </c>
      <c r="N208" t="n">
        <v>0</v>
      </c>
      <c r="O208" t="n">
        <v>3</v>
      </c>
      <c r="P208" t="n">
        <v>0</v>
      </c>
      <c r="Q208" t="n">
        <v>5</v>
      </c>
      <c r="R208" s="2" t="inlineStr">
        <is>
          <t>Garnlav
Lunglav
Tretåig hackspett
Dropptaggsvamp
Stuplav</t>
        </is>
      </c>
      <c r="S208">
        <f>HYPERLINK("https://klasma.github.io/Logging_2283/artfynd/A 2067-2024 artfynd.xlsx", "A 2067-2024")</f>
        <v/>
      </c>
      <c r="T208">
        <f>HYPERLINK("https://klasma.github.io/Logging_2283/kartor/A 2067-2024 karta.png", "A 2067-2024")</f>
        <v/>
      </c>
      <c r="V208">
        <f>HYPERLINK("https://klasma.github.io/Logging_2283/klagomål/A 2067-2024 FSC-klagomål.docx", "A 2067-2024")</f>
        <v/>
      </c>
      <c r="W208">
        <f>HYPERLINK("https://klasma.github.io/Logging_2283/klagomålsmail/A 2067-2024 FSC-klagomål mail.docx", "A 2067-2024")</f>
        <v/>
      </c>
      <c r="X208">
        <f>HYPERLINK("https://klasma.github.io/Logging_2283/tillsyn/A 2067-2024 tillsynsbegäran.docx", "A 2067-2024")</f>
        <v/>
      </c>
      <c r="Y208">
        <f>HYPERLINK("https://klasma.github.io/Logging_2283/tillsynsmail/A 2067-2024 tillsynsbegäran mail.docx", "A 2067-2024")</f>
        <v/>
      </c>
      <c r="Z208">
        <f>HYPERLINK("https://klasma.github.io/Logging_2283/fåglar/A 2067-2024 prioriterade fågelarter.docx", "A 2067-2024")</f>
        <v/>
      </c>
    </row>
    <row r="209" ht="15" customHeight="1">
      <c r="A209" t="inlineStr">
        <is>
          <t>A 19081-2024</t>
        </is>
      </c>
      <c r="B209" s="1" t="n">
        <v>45428</v>
      </c>
      <c r="C209" s="1" t="n">
        <v>45822</v>
      </c>
      <c r="D209" t="inlineStr">
        <is>
          <t>VÄSTERNORRLANDS LÄN</t>
        </is>
      </c>
      <c r="E209" t="inlineStr">
        <is>
          <t>SOLLEFTEÅ</t>
        </is>
      </c>
      <c r="F209" t="inlineStr">
        <is>
          <t>SCA</t>
        </is>
      </c>
      <c r="G209" t="n">
        <v>21.5</v>
      </c>
      <c r="H209" t="n">
        <v>2</v>
      </c>
      <c r="I209" t="n">
        <v>0</v>
      </c>
      <c r="J209" t="n">
        <v>4</v>
      </c>
      <c r="K209" t="n">
        <v>0</v>
      </c>
      <c r="L209" t="n">
        <v>0</v>
      </c>
      <c r="M209" t="n">
        <v>0</v>
      </c>
      <c r="N209" t="n">
        <v>0</v>
      </c>
      <c r="O209" t="n">
        <v>4</v>
      </c>
      <c r="P209" t="n">
        <v>0</v>
      </c>
      <c r="Q209" t="n">
        <v>5</v>
      </c>
      <c r="R209" s="2" t="inlineStr">
        <is>
          <t>Garnlav
Granticka
Järpe
Ullticka
Fläcknycklar</t>
        </is>
      </c>
      <c r="S209">
        <f>HYPERLINK("https://klasma.github.io/Logging_2283/artfynd/A 19081-2024 artfynd.xlsx", "A 19081-2024")</f>
        <v/>
      </c>
      <c r="T209">
        <f>HYPERLINK("https://klasma.github.io/Logging_2283/kartor/A 19081-2024 karta.png", "A 19081-2024")</f>
        <v/>
      </c>
      <c r="V209">
        <f>HYPERLINK("https://klasma.github.io/Logging_2283/klagomål/A 19081-2024 FSC-klagomål.docx", "A 19081-2024")</f>
        <v/>
      </c>
      <c r="W209">
        <f>HYPERLINK("https://klasma.github.io/Logging_2283/klagomålsmail/A 19081-2024 FSC-klagomål mail.docx", "A 19081-2024")</f>
        <v/>
      </c>
      <c r="X209">
        <f>HYPERLINK("https://klasma.github.io/Logging_2283/tillsyn/A 19081-2024 tillsynsbegäran.docx", "A 19081-2024")</f>
        <v/>
      </c>
      <c r="Y209">
        <f>HYPERLINK("https://klasma.github.io/Logging_2283/tillsynsmail/A 19081-2024 tillsynsbegäran mail.docx", "A 19081-2024")</f>
        <v/>
      </c>
      <c r="Z209">
        <f>HYPERLINK("https://klasma.github.io/Logging_2283/fåglar/A 19081-2024 prioriterade fågelarter.docx", "A 19081-2024")</f>
        <v/>
      </c>
    </row>
    <row r="210" ht="15" customHeight="1">
      <c r="A210" t="inlineStr">
        <is>
          <t>A 22125-2024</t>
        </is>
      </c>
      <c r="B210" s="1" t="n">
        <v>45443</v>
      </c>
      <c r="C210" s="1" t="n">
        <v>45822</v>
      </c>
      <c r="D210" t="inlineStr">
        <is>
          <t>VÄSTERNORRLANDS LÄN</t>
        </is>
      </c>
      <c r="E210" t="inlineStr">
        <is>
          <t>SOLLEFTEÅ</t>
        </is>
      </c>
      <c r="F210" t="inlineStr">
        <is>
          <t>SCA</t>
        </is>
      </c>
      <c r="G210" t="n">
        <v>1.8</v>
      </c>
      <c r="H210" t="n">
        <v>2</v>
      </c>
      <c r="I210" t="n">
        <v>0</v>
      </c>
      <c r="J210" t="n">
        <v>4</v>
      </c>
      <c r="K210" t="n">
        <v>1</v>
      </c>
      <c r="L210" t="n">
        <v>0</v>
      </c>
      <c r="M210" t="n">
        <v>0</v>
      </c>
      <c r="N210" t="n">
        <v>0</v>
      </c>
      <c r="O210" t="n">
        <v>5</v>
      </c>
      <c r="P210" t="n">
        <v>1</v>
      </c>
      <c r="Q210" t="n">
        <v>5</v>
      </c>
      <c r="R210" s="2" t="inlineStr">
        <is>
          <t>Knärot
Garnlav
Kolflarnlav
Lunglav
Tretåig hackspett</t>
        </is>
      </c>
      <c r="S210">
        <f>HYPERLINK("https://klasma.github.io/Logging_2283/artfynd/A 22125-2024 artfynd.xlsx", "A 22125-2024")</f>
        <v/>
      </c>
      <c r="T210">
        <f>HYPERLINK("https://klasma.github.io/Logging_2283/kartor/A 22125-2024 karta.png", "A 22125-2024")</f>
        <v/>
      </c>
      <c r="U210">
        <f>HYPERLINK("https://klasma.github.io/Logging_2283/knärot/A 22125-2024 karta knärot.png", "A 22125-2024")</f>
        <v/>
      </c>
      <c r="V210">
        <f>HYPERLINK("https://klasma.github.io/Logging_2283/klagomål/A 22125-2024 FSC-klagomål.docx", "A 22125-2024")</f>
        <v/>
      </c>
      <c r="W210">
        <f>HYPERLINK("https://klasma.github.io/Logging_2283/klagomålsmail/A 22125-2024 FSC-klagomål mail.docx", "A 22125-2024")</f>
        <v/>
      </c>
      <c r="X210">
        <f>HYPERLINK("https://klasma.github.io/Logging_2283/tillsyn/A 22125-2024 tillsynsbegäran.docx", "A 22125-2024")</f>
        <v/>
      </c>
      <c r="Y210">
        <f>HYPERLINK("https://klasma.github.io/Logging_2283/tillsynsmail/A 22125-2024 tillsynsbegäran mail.docx", "A 22125-2024")</f>
        <v/>
      </c>
      <c r="Z210">
        <f>HYPERLINK("https://klasma.github.io/Logging_2283/fåglar/A 22125-2024 prioriterade fågelarter.docx", "A 22125-2024")</f>
        <v/>
      </c>
    </row>
    <row r="211" ht="15" customHeight="1">
      <c r="A211" t="inlineStr">
        <is>
          <t>A 26468-2024</t>
        </is>
      </c>
      <c r="B211" s="1" t="n">
        <v>45469</v>
      </c>
      <c r="C211" s="1" t="n">
        <v>45822</v>
      </c>
      <c r="D211" t="inlineStr">
        <is>
          <t>VÄSTERNORRLANDS LÄN</t>
        </is>
      </c>
      <c r="E211" t="inlineStr">
        <is>
          <t>SOLLEFTEÅ</t>
        </is>
      </c>
      <c r="F211" t="inlineStr">
        <is>
          <t>Holmen skog AB</t>
        </is>
      </c>
      <c r="G211" t="n">
        <v>2</v>
      </c>
      <c r="H211" t="n">
        <v>1</v>
      </c>
      <c r="I211" t="n">
        <v>0</v>
      </c>
      <c r="J211" t="n">
        <v>5</v>
      </c>
      <c r="K211" t="n">
        <v>0</v>
      </c>
      <c r="L211" t="n">
        <v>0</v>
      </c>
      <c r="M211" t="n">
        <v>0</v>
      </c>
      <c r="N211" t="n">
        <v>0</v>
      </c>
      <c r="O211" t="n">
        <v>5</v>
      </c>
      <c r="P211" t="n">
        <v>0</v>
      </c>
      <c r="Q211" t="n">
        <v>5</v>
      </c>
      <c r="R211" s="2" t="inlineStr">
        <is>
          <t>Garnlav
Lunglav
Rosenticka
Talltita
Ullticka</t>
        </is>
      </c>
      <c r="S211">
        <f>HYPERLINK("https://klasma.github.io/Logging_2283/artfynd/A 26468-2024 artfynd.xlsx", "A 26468-2024")</f>
        <v/>
      </c>
      <c r="T211">
        <f>HYPERLINK("https://klasma.github.io/Logging_2283/kartor/A 26468-2024 karta.png", "A 26468-2024")</f>
        <v/>
      </c>
      <c r="V211">
        <f>HYPERLINK("https://klasma.github.io/Logging_2283/klagomål/A 26468-2024 FSC-klagomål.docx", "A 26468-2024")</f>
        <v/>
      </c>
      <c r="W211">
        <f>HYPERLINK("https://klasma.github.io/Logging_2283/klagomålsmail/A 26468-2024 FSC-klagomål mail.docx", "A 26468-2024")</f>
        <v/>
      </c>
      <c r="X211">
        <f>HYPERLINK("https://klasma.github.io/Logging_2283/tillsyn/A 26468-2024 tillsynsbegäran.docx", "A 26468-2024")</f>
        <v/>
      </c>
      <c r="Y211">
        <f>HYPERLINK("https://klasma.github.io/Logging_2283/tillsynsmail/A 26468-2024 tillsynsbegäran mail.docx", "A 26468-2024")</f>
        <v/>
      </c>
      <c r="Z211">
        <f>HYPERLINK("https://klasma.github.io/Logging_2283/fåglar/A 26468-2024 prioriterade fågelarter.docx", "A 26468-2024")</f>
        <v/>
      </c>
    </row>
    <row r="212" ht="15" customHeight="1">
      <c r="A212" t="inlineStr">
        <is>
          <t>A 27910-2024</t>
        </is>
      </c>
      <c r="B212" s="1" t="n">
        <v>45475</v>
      </c>
      <c r="C212" s="1" t="n">
        <v>45822</v>
      </c>
      <c r="D212" t="inlineStr">
        <is>
          <t>VÄSTERNORRLANDS LÄN</t>
        </is>
      </c>
      <c r="E212" t="inlineStr">
        <is>
          <t>SOLLEFTEÅ</t>
        </is>
      </c>
      <c r="F212" t="inlineStr">
        <is>
          <t>SCA</t>
        </is>
      </c>
      <c r="G212" t="n">
        <v>3.2</v>
      </c>
      <c r="H212" t="n">
        <v>0</v>
      </c>
      <c r="I212" t="n">
        <v>1</v>
      </c>
      <c r="J212" t="n">
        <v>3</v>
      </c>
      <c r="K212" t="n">
        <v>1</v>
      </c>
      <c r="L212" t="n">
        <v>0</v>
      </c>
      <c r="M212" t="n">
        <v>0</v>
      </c>
      <c r="N212" t="n">
        <v>0</v>
      </c>
      <c r="O212" t="n">
        <v>4</v>
      </c>
      <c r="P212" t="n">
        <v>1</v>
      </c>
      <c r="Q212" t="n">
        <v>5</v>
      </c>
      <c r="R212" s="2" t="inlineStr">
        <is>
          <t>Rynkskinn
Gammelgransskål
Rosenticka
Ullticka
Vedticka</t>
        </is>
      </c>
      <c r="S212">
        <f>HYPERLINK("https://klasma.github.io/Logging_2283/artfynd/A 27910-2024 artfynd.xlsx", "A 27910-2024")</f>
        <v/>
      </c>
      <c r="T212">
        <f>HYPERLINK("https://klasma.github.io/Logging_2283/kartor/A 27910-2024 karta.png", "A 27910-2024")</f>
        <v/>
      </c>
      <c r="V212">
        <f>HYPERLINK("https://klasma.github.io/Logging_2283/klagomål/A 27910-2024 FSC-klagomål.docx", "A 27910-2024")</f>
        <v/>
      </c>
      <c r="W212">
        <f>HYPERLINK("https://klasma.github.io/Logging_2283/klagomålsmail/A 27910-2024 FSC-klagomål mail.docx", "A 27910-2024")</f>
        <v/>
      </c>
      <c r="X212">
        <f>HYPERLINK("https://klasma.github.io/Logging_2283/tillsyn/A 27910-2024 tillsynsbegäran.docx", "A 27910-2024")</f>
        <v/>
      </c>
      <c r="Y212">
        <f>HYPERLINK("https://klasma.github.io/Logging_2283/tillsynsmail/A 27910-2024 tillsynsbegäran mail.docx", "A 27910-2024")</f>
        <v/>
      </c>
    </row>
    <row r="213" ht="15" customHeight="1">
      <c r="A213" t="inlineStr">
        <is>
          <t>A 33519-2024</t>
        </is>
      </c>
      <c r="B213" s="1" t="n">
        <v>45519</v>
      </c>
      <c r="C213" s="1" t="n">
        <v>45822</v>
      </c>
      <c r="D213" t="inlineStr">
        <is>
          <t>VÄSTERNORRLANDS LÄN</t>
        </is>
      </c>
      <c r="E213" t="inlineStr">
        <is>
          <t>SOLLEFTEÅ</t>
        </is>
      </c>
      <c r="G213" t="n">
        <v>3.6</v>
      </c>
      <c r="H213" t="n">
        <v>0</v>
      </c>
      <c r="I213" t="n">
        <v>1</v>
      </c>
      <c r="J213" t="n">
        <v>4</v>
      </c>
      <c r="K213" t="n">
        <v>0</v>
      </c>
      <c r="L213" t="n">
        <v>0</v>
      </c>
      <c r="M213" t="n">
        <v>0</v>
      </c>
      <c r="N213" t="n">
        <v>0</v>
      </c>
      <c r="O213" t="n">
        <v>4</v>
      </c>
      <c r="P213" t="n">
        <v>0</v>
      </c>
      <c r="Q213" t="n">
        <v>5</v>
      </c>
      <c r="R213" s="2" t="inlineStr">
        <is>
          <t>Garnlav
Kolflarnlav
Skrovlig taggsvamp
Vaddporing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38113-2024</t>
        </is>
      </c>
      <c r="B214" s="1" t="n">
        <v>45545</v>
      </c>
      <c r="C214" s="1" t="n">
        <v>45822</v>
      </c>
      <c r="D214" t="inlineStr">
        <is>
          <t>VÄSTERNORRLANDS LÄN</t>
        </is>
      </c>
      <c r="E214" t="inlineStr">
        <is>
          <t>SOLLEFTEÅ</t>
        </is>
      </c>
      <c r="F214" t="inlineStr">
        <is>
          <t>SCA</t>
        </is>
      </c>
      <c r="G214" t="n">
        <v>4.1</v>
      </c>
      <c r="H214" t="n">
        <v>3</v>
      </c>
      <c r="I214" t="n">
        <v>0</v>
      </c>
      <c r="J214" t="n">
        <v>3</v>
      </c>
      <c r="K214" t="n">
        <v>1</v>
      </c>
      <c r="L214" t="n">
        <v>0</v>
      </c>
      <c r="M214" t="n">
        <v>0</v>
      </c>
      <c r="N214" t="n">
        <v>0</v>
      </c>
      <c r="O214" t="n">
        <v>4</v>
      </c>
      <c r="P214" t="n">
        <v>1</v>
      </c>
      <c r="Q214" t="n">
        <v>5</v>
      </c>
      <c r="R214" s="2" t="inlineStr">
        <is>
          <t>Knärot
Garnlav
Kolflarnlav
Talltita
Tjäder</t>
        </is>
      </c>
      <c r="S214">
        <f>HYPERLINK("https://klasma.github.io/Logging_2283/artfynd/A 38113-2024 artfynd.xlsx", "A 38113-2024")</f>
        <v/>
      </c>
      <c r="T214">
        <f>HYPERLINK("https://klasma.github.io/Logging_2283/kartor/A 38113-2024 karta.png", "A 38113-2024")</f>
        <v/>
      </c>
      <c r="U214">
        <f>HYPERLINK("https://klasma.github.io/Logging_2283/knärot/A 38113-2024 karta knärot.png", "A 38113-2024")</f>
        <v/>
      </c>
      <c r="V214">
        <f>HYPERLINK("https://klasma.github.io/Logging_2283/klagomål/A 38113-2024 FSC-klagomål.docx", "A 38113-2024")</f>
        <v/>
      </c>
      <c r="W214">
        <f>HYPERLINK("https://klasma.github.io/Logging_2283/klagomålsmail/A 38113-2024 FSC-klagomål mail.docx", "A 38113-2024")</f>
        <v/>
      </c>
      <c r="X214">
        <f>HYPERLINK("https://klasma.github.io/Logging_2283/tillsyn/A 38113-2024 tillsynsbegäran.docx", "A 38113-2024")</f>
        <v/>
      </c>
      <c r="Y214">
        <f>HYPERLINK("https://klasma.github.io/Logging_2283/tillsynsmail/A 38113-2024 tillsynsbegäran mail.docx", "A 38113-2024")</f>
        <v/>
      </c>
      <c r="Z214">
        <f>HYPERLINK("https://klasma.github.io/Logging_2283/fåglar/A 38113-2024 prioriterade fågelarter.docx", "A 38113-2024")</f>
        <v/>
      </c>
    </row>
    <row r="215" ht="15" customHeight="1">
      <c r="A215" t="inlineStr">
        <is>
          <t>A 40055-2024</t>
        </is>
      </c>
      <c r="B215" s="1" t="n">
        <v>45553</v>
      </c>
      <c r="C215" s="1" t="n">
        <v>45822</v>
      </c>
      <c r="D215" t="inlineStr">
        <is>
          <t>VÄSTERNORRLANDS LÄN</t>
        </is>
      </c>
      <c r="E215" t="inlineStr">
        <is>
          <t>SOLLEFTEÅ</t>
        </is>
      </c>
      <c r="G215" t="n">
        <v>10.4</v>
      </c>
      <c r="H215" t="n">
        <v>2</v>
      </c>
      <c r="I215" t="n">
        <v>1</v>
      </c>
      <c r="J215" t="n">
        <v>3</v>
      </c>
      <c r="K215" t="n">
        <v>1</v>
      </c>
      <c r="L215" t="n">
        <v>0</v>
      </c>
      <c r="M215" t="n">
        <v>0</v>
      </c>
      <c r="N215" t="n">
        <v>0</v>
      </c>
      <c r="O215" t="n">
        <v>4</v>
      </c>
      <c r="P215" t="n">
        <v>1</v>
      </c>
      <c r="Q215" t="n">
        <v>5</v>
      </c>
      <c r="R215" s="2" t="inlineStr">
        <is>
          <t>Knärot
Rosenticka
Talltita
Ullticka
Vedticka</t>
        </is>
      </c>
      <c r="S215">
        <f>HYPERLINK("https://klasma.github.io/Logging_2283/artfynd/A 40055-2024 artfynd.xlsx", "A 40055-2024")</f>
        <v/>
      </c>
      <c r="T215">
        <f>HYPERLINK("https://klasma.github.io/Logging_2283/kartor/A 40055-2024 karta.png", "A 40055-2024")</f>
        <v/>
      </c>
      <c r="U215">
        <f>HYPERLINK("https://klasma.github.io/Logging_2283/knärot/A 40055-2024 karta knärot.png", "A 40055-2024")</f>
        <v/>
      </c>
      <c r="V215">
        <f>HYPERLINK("https://klasma.github.io/Logging_2283/klagomål/A 40055-2024 FSC-klagomål.docx", "A 40055-2024")</f>
        <v/>
      </c>
      <c r="W215">
        <f>HYPERLINK("https://klasma.github.io/Logging_2283/klagomålsmail/A 40055-2024 FSC-klagomål mail.docx", "A 40055-2024")</f>
        <v/>
      </c>
      <c r="X215">
        <f>HYPERLINK("https://klasma.github.io/Logging_2283/tillsyn/A 40055-2024 tillsynsbegäran.docx", "A 40055-2024")</f>
        <v/>
      </c>
      <c r="Y215">
        <f>HYPERLINK("https://klasma.github.io/Logging_2283/tillsynsmail/A 40055-2024 tillsynsbegäran mail.docx", "A 40055-2024")</f>
        <v/>
      </c>
      <c r="Z215">
        <f>HYPERLINK("https://klasma.github.io/Logging_2283/fåglar/A 40055-2024 prioriterade fågelarter.docx", "A 40055-2024")</f>
        <v/>
      </c>
    </row>
    <row r="216" ht="15" customHeight="1">
      <c r="A216" t="inlineStr">
        <is>
          <t>A 44372-2024</t>
        </is>
      </c>
      <c r="B216" s="1" t="n">
        <v>45573</v>
      </c>
      <c r="C216" s="1" t="n">
        <v>45822</v>
      </c>
      <c r="D216" t="inlineStr">
        <is>
          <t>VÄSTERNORRLANDS LÄN</t>
        </is>
      </c>
      <c r="E216" t="inlineStr">
        <is>
          <t>SOLLEFTEÅ</t>
        </is>
      </c>
      <c r="F216" t="inlineStr">
        <is>
          <t>SCA</t>
        </is>
      </c>
      <c r="G216" t="n">
        <v>3.3</v>
      </c>
      <c r="H216" t="n">
        <v>1</v>
      </c>
      <c r="I216" t="n">
        <v>1</v>
      </c>
      <c r="J216" t="n">
        <v>4</v>
      </c>
      <c r="K216" t="n">
        <v>0</v>
      </c>
      <c r="L216" t="n">
        <v>0</v>
      </c>
      <c r="M216" t="n">
        <v>0</v>
      </c>
      <c r="N216" t="n">
        <v>0</v>
      </c>
      <c r="O216" t="n">
        <v>4</v>
      </c>
      <c r="P216" t="n">
        <v>0</v>
      </c>
      <c r="Q216" t="n">
        <v>5</v>
      </c>
      <c r="R216" s="2" t="inlineStr">
        <is>
          <t>Gammelgransskål
Garnlav
Rosenticka
Tretåig hackspett
Bollvitmossa</t>
        </is>
      </c>
      <c r="S216">
        <f>HYPERLINK("https://klasma.github.io/Logging_2283/artfynd/A 44372-2024 artfynd.xlsx", "A 44372-2024")</f>
        <v/>
      </c>
      <c r="T216">
        <f>HYPERLINK("https://klasma.github.io/Logging_2283/kartor/A 44372-2024 karta.png", "A 44372-2024")</f>
        <v/>
      </c>
      <c r="V216">
        <f>HYPERLINK("https://klasma.github.io/Logging_2283/klagomål/A 44372-2024 FSC-klagomål.docx", "A 44372-2024")</f>
        <v/>
      </c>
      <c r="W216">
        <f>HYPERLINK("https://klasma.github.io/Logging_2283/klagomålsmail/A 44372-2024 FSC-klagomål mail.docx", "A 44372-2024")</f>
        <v/>
      </c>
      <c r="X216">
        <f>HYPERLINK("https://klasma.github.io/Logging_2283/tillsyn/A 44372-2024 tillsynsbegäran.docx", "A 44372-2024")</f>
        <v/>
      </c>
      <c r="Y216">
        <f>HYPERLINK("https://klasma.github.io/Logging_2283/tillsynsmail/A 44372-2024 tillsynsbegäran mail.docx", "A 44372-2024")</f>
        <v/>
      </c>
      <c r="Z216">
        <f>HYPERLINK("https://klasma.github.io/Logging_2283/fåglar/A 44372-2024 prioriterade fågelarter.docx", "A 44372-2024")</f>
        <v/>
      </c>
    </row>
    <row r="217" ht="15" customHeight="1">
      <c r="A217" t="inlineStr">
        <is>
          <t>A 48562-2024</t>
        </is>
      </c>
      <c r="B217" s="1" t="n">
        <v>45593</v>
      </c>
      <c r="C217" s="1" t="n">
        <v>45822</v>
      </c>
      <c r="D217" t="inlineStr">
        <is>
          <t>VÄSTERNORRLANDS LÄN</t>
        </is>
      </c>
      <c r="E217" t="inlineStr">
        <is>
          <t>SOLLEFTEÅ</t>
        </is>
      </c>
      <c r="F217" t="inlineStr">
        <is>
          <t>SCA</t>
        </is>
      </c>
      <c r="G217" t="n">
        <v>5.3</v>
      </c>
      <c r="H217" t="n">
        <v>1</v>
      </c>
      <c r="I217" t="n">
        <v>1</v>
      </c>
      <c r="J217" t="n">
        <v>4</v>
      </c>
      <c r="K217" t="n">
        <v>0</v>
      </c>
      <c r="L217" t="n">
        <v>0</v>
      </c>
      <c r="M217" t="n">
        <v>0</v>
      </c>
      <c r="N217" t="n">
        <v>0</v>
      </c>
      <c r="O217" t="n">
        <v>4</v>
      </c>
      <c r="P217" t="n">
        <v>0</v>
      </c>
      <c r="Q217" t="n">
        <v>5</v>
      </c>
      <c r="R217" s="2" t="inlineStr">
        <is>
          <t>Gammelgransskål
Garnlav
Lunglav
Vitgrynig nållav
Lappranunkel</t>
        </is>
      </c>
      <c r="S217">
        <f>HYPERLINK("https://klasma.github.io/Logging_2283/artfynd/A 48562-2024 artfynd.xlsx", "A 48562-2024")</f>
        <v/>
      </c>
      <c r="T217">
        <f>HYPERLINK("https://klasma.github.io/Logging_2283/kartor/A 48562-2024 karta.png", "A 48562-2024")</f>
        <v/>
      </c>
      <c r="V217">
        <f>HYPERLINK("https://klasma.github.io/Logging_2283/klagomål/A 48562-2024 FSC-klagomål.docx", "A 48562-2024")</f>
        <v/>
      </c>
      <c r="W217">
        <f>HYPERLINK("https://klasma.github.io/Logging_2283/klagomålsmail/A 48562-2024 FSC-klagomål mail.docx", "A 48562-2024")</f>
        <v/>
      </c>
      <c r="X217">
        <f>HYPERLINK("https://klasma.github.io/Logging_2283/tillsyn/A 48562-2024 tillsynsbegäran.docx", "A 48562-2024")</f>
        <v/>
      </c>
      <c r="Y217">
        <f>HYPERLINK("https://klasma.github.io/Logging_2283/tillsynsmail/A 48562-2024 tillsynsbegäran mail.docx", "A 48562-2024")</f>
        <v/>
      </c>
    </row>
    <row r="218" ht="15" customHeight="1">
      <c r="A218" t="inlineStr">
        <is>
          <t>A 50418-2024</t>
        </is>
      </c>
      <c r="B218" s="1" t="n">
        <v>45601</v>
      </c>
      <c r="C218" s="1" t="n">
        <v>45822</v>
      </c>
      <c r="D218" t="inlineStr">
        <is>
          <t>VÄSTERNORRLANDS LÄN</t>
        </is>
      </c>
      <c r="E218" t="inlineStr">
        <is>
          <t>SOLLEFTEÅ</t>
        </is>
      </c>
      <c r="F218" t="inlineStr">
        <is>
          <t>SCA</t>
        </is>
      </c>
      <c r="G218" t="n">
        <v>3.4</v>
      </c>
      <c r="H218" t="n">
        <v>0</v>
      </c>
      <c r="I218" t="n">
        <v>0</v>
      </c>
      <c r="J218" t="n">
        <v>4</v>
      </c>
      <c r="K218" t="n">
        <v>1</v>
      </c>
      <c r="L218" t="n">
        <v>0</v>
      </c>
      <c r="M218" t="n">
        <v>0</v>
      </c>
      <c r="N218" t="n">
        <v>0</v>
      </c>
      <c r="O218" t="n">
        <v>5</v>
      </c>
      <c r="P218" t="n">
        <v>1</v>
      </c>
      <c r="Q218" t="n">
        <v>5</v>
      </c>
      <c r="R218" s="2" t="inlineStr">
        <is>
          <t>Rynkskinn
Garnlav
Granticka
Harticka
Lunglav</t>
        </is>
      </c>
      <c r="S218">
        <f>HYPERLINK("https://klasma.github.io/Logging_2283/artfynd/A 50418-2024 artfynd.xlsx", "A 50418-2024")</f>
        <v/>
      </c>
      <c r="T218">
        <f>HYPERLINK("https://klasma.github.io/Logging_2283/kartor/A 50418-2024 karta.png", "A 50418-2024")</f>
        <v/>
      </c>
      <c r="V218">
        <f>HYPERLINK("https://klasma.github.io/Logging_2283/klagomål/A 50418-2024 FSC-klagomål.docx", "A 50418-2024")</f>
        <v/>
      </c>
      <c r="W218">
        <f>HYPERLINK("https://klasma.github.io/Logging_2283/klagomålsmail/A 50418-2024 FSC-klagomål mail.docx", "A 50418-2024")</f>
        <v/>
      </c>
      <c r="X218">
        <f>HYPERLINK("https://klasma.github.io/Logging_2283/tillsyn/A 50418-2024 tillsynsbegäran.docx", "A 50418-2024")</f>
        <v/>
      </c>
      <c r="Y218">
        <f>HYPERLINK("https://klasma.github.io/Logging_2283/tillsynsmail/A 50418-2024 tillsynsbegäran mail.docx", "A 50418-2024")</f>
        <v/>
      </c>
    </row>
    <row r="219" ht="15" customHeight="1">
      <c r="A219" t="inlineStr">
        <is>
          <t>A 50771-2024</t>
        </is>
      </c>
      <c r="B219" s="1" t="n">
        <v>45602</v>
      </c>
      <c r="C219" s="1" t="n">
        <v>45822</v>
      </c>
      <c r="D219" t="inlineStr">
        <is>
          <t>VÄSTERNORRLANDS LÄN</t>
        </is>
      </c>
      <c r="E219" t="inlineStr">
        <is>
          <t>SOLLEFTEÅ</t>
        </is>
      </c>
      <c r="F219" t="inlineStr">
        <is>
          <t>SCA</t>
        </is>
      </c>
      <c r="G219" t="n">
        <v>5</v>
      </c>
      <c r="H219" t="n">
        <v>0</v>
      </c>
      <c r="I219" t="n">
        <v>3</v>
      </c>
      <c r="J219" t="n">
        <v>1</v>
      </c>
      <c r="K219" t="n">
        <v>1</v>
      </c>
      <c r="L219" t="n">
        <v>0</v>
      </c>
      <c r="M219" t="n">
        <v>0</v>
      </c>
      <c r="N219" t="n">
        <v>0</v>
      </c>
      <c r="O219" t="n">
        <v>2</v>
      </c>
      <c r="P219" t="n">
        <v>1</v>
      </c>
      <c r="Q219" t="n">
        <v>5</v>
      </c>
      <c r="R219" s="2" t="inlineStr">
        <is>
          <t>Aspgelélav
Lunglav
Skinnlav
Stor aspticka
Vedticka</t>
        </is>
      </c>
      <c r="S219">
        <f>HYPERLINK("https://klasma.github.io/Logging_2283/artfynd/A 50771-2024 artfynd.xlsx", "A 50771-2024")</f>
        <v/>
      </c>
      <c r="T219">
        <f>HYPERLINK("https://klasma.github.io/Logging_2283/kartor/A 50771-2024 karta.png", "A 50771-2024")</f>
        <v/>
      </c>
      <c r="V219">
        <f>HYPERLINK("https://klasma.github.io/Logging_2283/klagomål/A 50771-2024 FSC-klagomål.docx", "A 50771-2024")</f>
        <v/>
      </c>
      <c r="W219">
        <f>HYPERLINK("https://klasma.github.io/Logging_2283/klagomålsmail/A 50771-2024 FSC-klagomål mail.docx", "A 50771-2024")</f>
        <v/>
      </c>
      <c r="X219">
        <f>HYPERLINK("https://klasma.github.io/Logging_2283/tillsyn/A 50771-2024 tillsynsbegäran.docx", "A 50771-2024")</f>
        <v/>
      </c>
      <c r="Y219">
        <f>HYPERLINK("https://klasma.github.io/Logging_2283/tillsynsmail/A 50771-2024 tillsynsbegäran mail.docx", "A 50771-2024")</f>
        <v/>
      </c>
    </row>
    <row r="220" ht="15" customHeight="1">
      <c r="A220" t="inlineStr">
        <is>
          <t>A 51340-2024</t>
        </is>
      </c>
      <c r="B220" s="1" t="n">
        <v>45604</v>
      </c>
      <c r="C220" s="1" t="n">
        <v>45822</v>
      </c>
      <c r="D220" t="inlineStr">
        <is>
          <t>VÄSTERNORRLANDS LÄN</t>
        </is>
      </c>
      <c r="E220" t="inlineStr">
        <is>
          <t>SOLLEFTEÅ</t>
        </is>
      </c>
      <c r="F220" t="inlineStr">
        <is>
          <t>SCA</t>
        </is>
      </c>
      <c r="G220" t="n">
        <v>18.8</v>
      </c>
      <c r="H220" t="n">
        <v>2</v>
      </c>
      <c r="I220" t="n">
        <v>1</v>
      </c>
      <c r="J220" t="n">
        <v>3</v>
      </c>
      <c r="K220" t="n">
        <v>1</v>
      </c>
      <c r="L220" t="n">
        <v>0</v>
      </c>
      <c r="M220" t="n">
        <v>0</v>
      </c>
      <c r="N220" t="n">
        <v>0</v>
      </c>
      <c r="O220" t="n">
        <v>4</v>
      </c>
      <c r="P220" t="n">
        <v>1</v>
      </c>
      <c r="Q220" t="n">
        <v>5</v>
      </c>
      <c r="R220" s="2" t="inlineStr">
        <is>
          <t>Knärot
Kolflarnlav
Lunglav
Talltita
Dropptaggsvamp</t>
        </is>
      </c>
      <c r="S220">
        <f>HYPERLINK("https://klasma.github.io/Logging_2283/artfynd/A 51340-2024 artfynd.xlsx", "A 51340-2024")</f>
        <v/>
      </c>
      <c r="T220">
        <f>HYPERLINK("https://klasma.github.io/Logging_2283/kartor/A 51340-2024 karta.png", "A 51340-2024")</f>
        <v/>
      </c>
      <c r="U220">
        <f>HYPERLINK("https://klasma.github.io/Logging_2283/knärot/A 51340-2024 karta knärot.png", "A 51340-2024")</f>
        <v/>
      </c>
      <c r="V220">
        <f>HYPERLINK("https://klasma.github.io/Logging_2283/klagomål/A 51340-2024 FSC-klagomål.docx", "A 51340-2024")</f>
        <v/>
      </c>
      <c r="W220">
        <f>HYPERLINK("https://klasma.github.io/Logging_2283/klagomålsmail/A 51340-2024 FSC-klagomål mail.docx", "A 51340-2024")</f>
        <v/>
      </c>
      <c r="X220">
        <f>HYPERLINK("https://klasma.github.io/Logging_2283/tillsyn/A 51340-2024 tillsynsbegäran.docx", "A 51340-2024")</f>
        <v/>
      </c>
      <c r="Y220">
        <f>HYPERLINK("https://klasma.github.io/Logging_2283/tillsynsmail/A 51340-2024 tillsynsbegäran mail.docx", "A 51340-2024")</f>
        <v/>
      </c>
      <c r="Z220">
        <f>HYPERLINK("https://klasma.github.io/Logging_2283/fåglar/A 51340-2024 prioriterade fågelarter.docx", "A 51340-2024")</f>
        <v/>
      </c>
    </row>
    <row r="221" ht="15" customHeight="1">
      <c r="A221" t="inlineStr">
        <is>
          <t>A 3923-2025</t>
        </is>
      </c>
      <c r="B221" s="1" t="n">
        <v>45684</v>
      </c>
      <c r="C221" s="1" t="n">
        <v>45822</v>
      </c>
      <c r="D221" t="inlineStr">
        <is>
          <t>VÄSTERNORRLANDS LÄN</t>
        </is>
      </c>
      <c r="E221" t="inlineStr">
        <is>
          <t>SOLLEFTEÅ</t>
        </is>
      </c>
      <c r="F221" t="inlineStr">
        <is>
          <t>SCA</t>
        </is>
      </c>
      <c r="G221" t="n">
        <v>13.8</v>
      </c>
      <c r="H221" t="n">
        <v>2</v>
      </c>
      <c r="I221" t="n">
        <v>0</v>
      </c>
      <c r="J221" t="n">
        <v>5</v>
      </c>
      <c r="K221" t="n">
        <v>0</v>
      </c>
      <c r="L221" t="n">
        <v>0</v>
      </c>
      <c r="M221" t="n">
        <v>0</v>
      </c>
      <c r="N221" t="n">
        <v>0</v>
      </c>
      <c r="O221" t="n">
        <v>5</v>
      </c>
      <c r="P221" t="n">
        <v>0</v>
      </c>
      <c r="Q221" t="n">
        <v>5</v>
      </c>
      <c r="R221" s="2" t="inlineStr">
        <is>
          <t>Garnlav
Skogshare
Spillkråka
Tallticka
Tretåig hackspett</t>
        </is>
      </c>
      <c r="S221">
        <f>HYPERLINK("https://klasma.github.io/Logging_2283/artfynd/A 3923-2025 artfynd.xlsx", "A 3923-2025")</f>
        <v/>
      </c>
      <c r="T221">
        <f>HYPERLINK("https://klasma.github.io/Logging_2283/kartor/A 3923-2025 karta.png", "A 3923-2025")</f>
        <v/>
      </c>
      <c r="V221">
        <f>HYPERLINK("https://klasma.github.io/Logging_2283/klagomål/A 3923-2025 FSC-klagomål.docx", "A 3923-2025")</f>
        <v/>
      </c>
      <c r="W221">
        <f>HYPERLINK("https://klasma.github.io/Logging_2283/klagomålsmail/A 3923-2025 FSC-klagomål mail.docx", "A 3923-2025")</f>
        <v/>
      </c>
      <c r="X221">
        <f>HYPERLINK("https://klasma.github.io/Logging_2283/tillsyn/A 3923-2025 tillsynsbegäran.docx", "A 3923-2025")</f>
        <v/>
      </c>
      <c r="Y221">
        <f>HYPERLINK("https://klasma.github.io/Logging_2283/tillsynsmail/A 3923-2025 tillsynsbegäran mail.docx", "A 3923-2025")</f>
        <v/>
      </c>
      <c r="Z221">
        <f>HYPERLINK("https://klasma.github.io/Logging_2283/fåglar/A 3923-2025 prioriterade fågelarter.docx", "A 3923-2025")</f>
        <v/>
      </c>
    </row>
    <row r="222" ht="15" customHeight="1">
      <c r="A222" t="inlineStr">
        <is>
          <t>A 4005-2025</t>
        </is>
      </c>
      <c r="B222" s="1" t="n">
        <v>45684</v>
      </c>
      <c r="C222" s="1" t="n">
        <v>45822</v>
      </c>
      <c r="D222" t="inlineStr">
        <is>
          <t>VÄSTERNORRLANDS LÄN</t>
        </is>
      </c>
      <c r="E222" t="inlineStr">
        <is>
          <t>SOLLEFTEÅ</t>
        </is>
      </c>
      <c r="F222" t="inlineStr">
        <is>
          <t>SCA</t>
        </is>
      </c>
      <c r="G222" t="n">
        <v>7.5</v>
      </c>
      <c r="H222" t="n">
        <v>2</v>
      </c>
      <c r="I222" t="n">
        <v>0</v>
      </c>
      <c r="J222" t="n">
        <v>5</v>
      </c>
      <c r="K222" t="n">
        <v>0</v>
      </c>
      <c r="L222" t="n">
        <v>0</v>
      </c>
      <c r="M222" t="n">
        <v>0</v>
      </c>
      <c r="N222" t="n">
        <v>0</v>
      </c>
      <c r="O222" t="n">
        <v>5</v>
      </c>
      <c r="P222" t="n">
        <v>0</v>
      </c>
      <c r="Q222" t="n">
        <v>5</v>
      </c>
      <c r="R222" s="2" t="inlineStr">
        <is>
          <t>Gammelgransskål
Garnlav
Granticka
Spillkråka
Tretåig hackspett</t>
        </is>
      </c>
      <c r="S222">
        <f>HYPERLINK("https://klasma.github.io/Logging_2283/artfynd/A 4005-2025 artfynd.xlsx", "A 4005-2025")</f>
        <v/>
      </c>
      <c r="T222">
        <f>HYPERLINK("https://klasma.github.io/Logging_2283/kartor/A 4005-2025 karta.png", "A 4005-2025")</f>
        <v/>
      </c>
      <c r="V222">
        <f>HYPERLINK("https://klasma.github.io/Logging_2283/klagomål/A 4005-2025 FSC-klagomål.docx", "A 4005-2025")</f>
        <v/>
      </c>
      <c r="W222">
        <f>HYPERLINK("https://klasma.github.io/Logging_2283/klagomålsmail/A 4005-2025 FSC-klagomål mail.docx", "A 4005-2025")</f>
        <v/>
      </c>
      <c r="X222">
        <f>HYPERLINK("https://klasma.github.io/Logging_2283/tillsyn/A 4005-2025 tillsynsbegäran.docx", "A 4005-2025")</f>
        <v/>
      </c>
      <c r="Y222">
        <f>HYPERLINK("https://klasma.github.io/Logging_2283/tillsynsmail/A 4005-2025 tillsynsbegäran mail.docx", "A 4005-2025")</f>
        <v/>
      </c>
      <c r="Z222">
        <f>HYPERLINK("https://klasma.github.io/Logging_2283/fåglar/A 4005-2025 prioriterade fågelarter.docx", "A 4005-2025")</f>
        <v/>
      </c>
    </row>
    <row r="223" ht="15" customHeight="1">
      <c r="A223" t="inlineStr">
        <is>
          <t>A 5130-2025</t>
        </is>
      </c>
      <c r="B223" s="1" t="n">
        <v>45691</v>
      </c>
      <c r="C223" s="1" t="n">
        <v>45822</v>
      </c>
      <c r="D223" t="inlineStr">
        <is>
          <t>VÄSTERNORRLANDS LÄN</t>
        </is>
      </c>
      <c r="E223" t="inlineStr">
        <is>
          <t>SOLLEFTEÅ</t>
        </is>
      </c>
      <c r="F223" t="inlineStr">
        <is>
          <t>SCA</t>
        </is>
      </c>
      <c r="G223" t="n">
        <v>7.6</v>
      </c>
      <c r="H223" t="n">
        <v>3</v>
      </c>
      <c r="I223" t="n">
        <v>0</v>
      </c>
      <c r="J223" t="n">
        <v>4</v>
      </c>
      <c r="K223" t="n">
        <v>1</v>
      </c>
      <c r="L223" t="n">
        <v>0</v>
      </c>
      <c r="M223" t="n">
        <v>0</v>
      </c>
      <c r="N223" t="n">
        <v>0</v>
      </c>
      <c r="O223" t="n">
        <v>5</v>
      </c>
      <c r="P223" t="n">
        <v>1</v>
      </c>
      <c r="Q223" t="n">
        <v>5</v>
      </c>
      <c r="R223" s="2" t="inlineStr">
        <is>
          <t>Knärot
Garnlav
Lunglav
Spillkråka
Tretåig hackspett</t>
        </is>
      </c>
      <c r="S223">
        <f>HYPERLINK("https://klasma.github.io/Logging_2283/artfynd/A 5130-2025 artfynd.xlsx", "A 5130-2025")</f>
        <v/>
      </c>
      <c r="T223">
        <f>HYPERLINK("https://klasma.github.io/Logging_2283/kartor/A 5130-2025 karta.png", "A 5130-2025")</f>
        <v/>
      </c>
      <c r="U223">
        <f>HYPERLINK("https://klasma.github.io/Logging_2283/knärot/A 5130-2025 karta knärot.png", "A 5130-2025")</f>
        <v/>
      </c>
      <c r="V223">
        <f>HYPERLINK("https://klasma.github.io/Logging_2283/klagomål/A 5130-2025 FSC-klagomål.docx", "A 5130-2025")</f>
        <v/>
      </c>
      <c r="W223">
        <f>HYPERLINK("https://klasma.github.io/Logging_2283/klagomålsmail/A 5130-2025 FSC-klagomål mail.docx", "A 5130-2025")</f>
        <v/>
      </c>
      <c r="X223">
        <f>HYPERLINK("https://klasma.github.io/Logging_2283/tillsyn/A 5130-2025 tillsynsbegäran.docx", "A 5130-2025")</f>
        <v/>
      </c>
      <c r="Y223">
        <f>HYPERLINK("https://klasma.github.io/Logging_2283/tillsynsmail/A 5130-2025 tillsynsbegäran mail.docx", "A 5130-2025")</f>
        <v/>
      </c>
      <c r="Z223">
        <f>HYPERLINK("https://klasma.github.io/Logging_2283/fåglar/A 5130-2025 prioriterade fågelarter.docx", "A 5130-2025")</f>
        <v/>
      </c>
    </row>
    <row r="224" ht="15" customHeight="1">
      <c r="A224" t="inlineStr">
        <is>
          <t>A 11547-2025</t>
        </is>
      </c>
      <c r="B224" s="1" t="n">
        <v>45727</v>
      </c>
      <c r="C224" s="1" t="n">
        <v>45822</v>
      </c>
      <c r="D224" t="inlineStr">
        <is>
          <t>VÄSTERNORRLANDS LÄN</t>
        </is>
      </c>
      <c r="E224" t="inlineStr">
        <is>
          <t>SOLLEFTEÅ</t>
        </is>
      </c>
      <c r="F224" t="inlineStr">
        <is>
          <t>SCA</t>
        </is>
      </c>
      <c r="G224" t="n">
        <v>2.9</v>
      </c>
      <c r="H224" t="n">
        <v>2</v>
      </c>
      <c r="I224" t="n">
        <v>0</v>
      </c>
      <c r="J224" t="n">
        <v>5</v>
      </c>
      <c r="K224" t="n">
        <v>0</v>
      </c>
      <c r="L224" t="n">
        <v>0</v>
      </c>
      <c r="M224" t="n">
        <v>0</v>
      </c>
      <c r="N224" t="n">
        <v>0</v>
      </c>
      <c r="O224" t="n">
        <v>5</v>
      </c>
      <c r="P224" t="n">
        <v>0</v>
      </c>
      <c r="Q224" t="n">
        <v>5</v>
      </c>
      <c r="R224" s="2" t="inlineStr">
        <is>
          <t>Garnlav
Järpe
Lunglav
Tretåig hackspett
Ullticka</t>
        </is>
      </c>
      <c r="S224">
        <f>HYPERLINK("https://klasma.github.io/Logging_222283/artfynd/A 11547-2025 artfynd.xlsx", "A 11547-2025")</f>
        <v/>
      </c>
      <c r="T224">
        <f>HYPERLINK("https://klasma.github.io/Logging_222283/kartor/A 11547-2025 karta.png", "A 11547-2025")</f>
        <v/>
      </c>
      <c r="V224">
        <f>HYPERLINK("https://klasma.github.io/Logging_222283/klagomål/A 11547-2025 FSC-klagomål.docx", "A 11547-2025")</f>
        <v/>
      </c>
      <c r="W224">
        <f>HYPERLINK("https://klasma.github.io/Logging_222283/klagomålsmail/A 11547-2025 FSC-klagomål mail.docx", "A 11547-2025")</f>
        <v/>
      </c>
      <c r="X224">
        <f>HYPERLINK("https://klasma.github.io/Logging_222283/tillsyn/A 11547-2025 tillsynsbegäran.docx", "A 11547-2025")</f>
        <v/>
      </c>
      <c r="Y224">
        <f>HYPERLINK("https://klasma.github.io/Logging_222283/tillsynsmail/A 11547-2025 tillsynsbegäran mail.docx", "A 11547-2025")</f>
        <v/>
      </c>
      <c r="Z224">
        <f>HYPERLINK("https://klasma.github.io/Logging_222283/fåglar/A 11547-2025 prioriterade fågelarter.docx", "A 11547-2025")</f>
        <v/>
      </c>
    </row>
    <row r="225" ht="15" customHeight="1">
      <c r="A225" t="inlineStr">
        <is>
          <t>A 16314-2025</t>
        </is>
      </c>
      <c r="B225" s="1" t="n">
        <v>45751</v>
      </c>
      <c r="C225" s="1" t="n">
        <v>45822</v>
      </c>
      <c r="D225" t="inlineStr">
        <is>
          <t>VÄSTERNORRLANDS LÄN</t>
        </is>
      </c>
      <c r="E225" t="inlineStr">
        <is>
          <t>SOLLEFTEÅ</t>
        </is>
      </c>
      <c r="F225" t="inlineStr">
        <is>
          <t>SCA</t>
        </is>
      </c>
      <c r="G225" t="n">
        <v>2.7</v>
      </c>
      <c r="H225" t="n">
        <v>0</v>
      </c>
      <c r="I225" t="n">
        <v>0</v>
      </c>
      <c r="J225" t="n">
        <v>5</v>
      </c>
      <c r="K225" t="n">
        <v>0</v>
      </c>
      <c r="L225" t="n">
        <v>0</v>
      </c>
      <c r="M225" t="n">
        <v>0</v>
      </c>
      <c r="N225" t="n">
        <v>0</v>
      </c>
      <c r="O225" t="n">
        <v>5</v>
      </c>
      <c r="P225" t="n">
        <v>0</v>
      </c>
      <c r="Q225" t="n">
        <v>5</v>
      </c>
      <c r="R225" s="2" t="inlineStr">
        <is>
          <t>Gammelgransskål
Garnlav
Lunglav
Rosenticka
Ullticka</t>
        </is>
      </c>
      <c r="S225">
        <f>HYPERLINK("https://klasma.github.io/Logging_222283/artfynd/A 16314-2025 artfynd.xlsx", "A 16314-2025")</f>
        <v/>
      </c>
      <c r="T225">
        <f>HYPERLINK("https://klasma.github.io/Logging_222283/kartor/A 16314-2025 karta.png", "A 16314-2025")</f>
        <v/>
      </c>
      <c r="V225">
        <f>HYPERLINK("https://klasma.github.io/Logging_222283/klagomål/A 16314-2025 FSC-klagomål.docx", "A 16314-2025")</f>
        <v/>
      </c>
      <c r="W225">
        <f>HYPERLINK("https://klasma.github.io/Logging_222283/klagomålsmail/A 16314-2025 FSC-klagomål mail.docx", "A 16314-2025")</f>
        <v/>
      </c>
      <c r="X225">
        <f>HYPERLINK("https://klasma.github.io/Logging_222283/tillsyn/A 16314-2025 tillsynsbegäran.docx", "A 16314-2025")</f>
        <v/>
      </c>
      <c r="Y225">
        <f>HYPERLINK("https://klasma.github.io/Logging_222283/tillsynsmail/A 16314-2025 tillsynsbegäran mail.docx", "A 16314-2025")</f>
        <v/>
      </c>
    </row>
    <row r="226" ht="15" customHeight="1">
      <c r="A226" t="inlineStr">
        <is>
          <t>A 19200-2025</t>
        </is>
      </c>
      <c r="B226" s="1" t="n">
        <v>45769</v>
      </c>
      <c r="C226" s="1" t="n">
        <v>45822</v>
      </c>
      <c r="D226" t="inlineStr">
        <is>
          <t>VÄSTERNORRLANDS LÄN</t>
        </is>
      </c>
      <c r="E226" t="inlineStr">
        <is>
          <t>SOLLEFTEÅ</t>
        </is>
      </c>
      <c r="F226" t="inlineStr">
        <is>
          <t>SCA</t>
        </is>
      </c>
      <c r="G226" t="n">
        <v>1.9</v>
      </c>
      <c r="H226" t="n">
        <v>2</v>
      </c>
      <c r="I226" t="n">
        <v>0</v>
      </c>
      <c r="J226" t="n">
        <v>4</v>
      </c>
      <c r="K226" t="n">
        <v>0</v>
      </c>
      <c r="L226" t="n">
        <v>0</v>
      </c>
      <c r="M226" t="n">
        <v>0</v>
      </c>
      <c r="N226" t="n">
        <v>0</v>
      </c>
      <c r="O226" t="n">
        <v>4</v>
      </c>
      <c r="P226" t="n">
        <v>0</v>
      </c>
      <c r="Q226" t="n">
        <v>5</v>
      </c>
      <c r="R226" s="2" t="inlineStr">
        <is>
          <t>Järpe
Rosenticka
Ullticka
Vedskivlav
Orre</t>
        </is>
      </c>
      <c r="S226">
        <f>HYPERLINK("https://klasma.github.io/Logging_222283/artfynd/A 19200-2025 artfynd.xlsx", "A 19200-2025")</f>
        <v/>
      </c>
      <c r="T226">
        <f>HYPERLINK("https://klasma.github.io/Logging_222283/kartor/A 19200-2025 karta.png", "A 19200-2025")</f>
        <v/>
      </c>
      <c r="V226">
        <f>HYPERLINK("https://klasma.github.io/Logging_222283/klagomål/A 19200-2025 FSC-klagomål.docx", "A 19200-2025")</f>
        <v/>
      </c>
      <c r="W226">
        <f>HYPERLINK("https://klasma.github.io/Logging_222283/klagomålsmail/A 19200-2025 FSC-klagomål mail.docx", "A 19200-2025")</f>
        <v/>
      </c>
      <c r="X226">
        <f>HYPERLINK("https://klasma.github.io/Logging_222283/tillsyn/A 19200-2025 tillsynsbegäran.docx", "A 19200-2025")</f>
        <v/>
      </c>
      <c r="Y226">
        <f>HYPERLINK("https://klasma.github.io/Logging_222283/tillsynsmail/A 19200-2025 tillsynsbegäran mail.docx", "A 19200-2025")</f>
        <v/>
      </c>
      <c r="Z226">
        <f>HYPERLINK("https://klasma.github.io/Logging_222283/fåglar/A 19200-2025 prioriterade fågelarter.docx", "A 19200-2025")</f>
        <v/>
      </c>
    </row>
    <row r="227" ht="15" customHeight="1">
      <c r="A227" t="inlineStr">
        <is>
          <t>A 21002-2025</t>
        </is>
      </c>
      <c r="B227" s="1" t="n">
        <v>45777</v>
      </c>
      <c r="C227" s="1" t="n">
        <v>45822</v>
      </c>
      <c r="D227" t="inlineStr">
        <is>
          <t>VÄSTERNORRLANDS LÄN</t>
        </is>
      </c>
      <c r="E227" t="inlineStr">
        <is>
          <t>SOLLEFTEÅ</t>
        </is>
      </c>
      <c r="F227" t="inlineStr">
        <is>
          <t>SCA</t>
        </is>
      </c>
      <c r="G227" t="n">
        <v>3.1</v>
      </c>
      <c r="H227" t="n">
        <v>1</v>
      </c>
      <c r="I227" t="n">
        <v>2</v>
      </c>
      <c r="J227" t="n">
        <v>3</v>
      </c>
      <c r="K227" t="n">
        <v>0</v>
      </c>
      <c r="L227" t="n">
        <v>0</v>
      </c>
      <c r="M227" t="n">
        <v>0</v>
      </c>
      <c r="N227" t="n">
        <v>0</v>
      </c>
      <c r="O227" t="n">
        <v>3</v>
      </c>
      <c r="P227" t="n">
        <v>0</v>
      </c>
      <c r="Q227" t="n">
        <v>5</v>
      </c>
      <c r="R227" s="2" t="inlineStr">
        <is>
          <t>Granticka
Tretåig hackspett
Ullticka
Norrlandslav
Vedticka</t>
        </is>
      </c>
      <c r="S227">
        <f>HYPERLINK("https://klasma.github.io/Logging_222283/artfynd/A 21002-2025 artfynd.xlsx", "A 21002-2025")</f>
        <v/>
      </c>
      <c r="T227">
        <f>HYPERLINK("https://klasma.github.io/Logging_222283/kartor/A 21002-2025 karta.png", "A 21002-2025")</f>
        <v/>
      </c>
      <c r="V227">
        <f>HYPERLINK("https://klasma.github.io/Logging_222283/klagomål/A 21002-2025 FSC-klagomål.docx", "A 21002-2025")</f>
        <v/>
      </c>
      <c r="W227">
        <f>HYPERLINK("https://klasma.github.io/Logging_222283/klagomålsmail/A 21002-2025 FSC-klagomål mail.docx", "A 21002-2025")</f>
        <v/>
      </c>
      <c r="X227">
        <f>HYPERLINK("https://klasma.github.io/Logging_222283/tillsyn/A 21002-2025 tillsynsbegäran.docx", "A 21002-2025")</f>
        <v/>
      </c>
      <c r="Y227">
        <f>HYPERLINK("https://klasma.github.io/Logging_222283/tillsynsmail/A 21002-2025 tillsynsbegäran mail.docx", "A 21002-2025")</f>
        <v/>
      </c>
      <c r="Z227">
        <f>HYPERLINK("https://klasma.github.io/Logging_222283/fåglar/A 21002-2025 prioriterade fågelarter.docx", "A 21002-2025")</f>
        <v/>
      </c>
    </row>
    <row r="228" ht="15" customHeight="1">
      <c r="A228" t="inlineStr">
        <is>
          <t>A 22797-2025</t>
        </is>
      </c>
      <c r="B228" s="1" t="n">
        <v>45789</v>
      </c>
      <c r="C228" s="1" t="n">
        <v>45822</v>
      </c>
      <c r="D228" t="inlineStr">
        <is>
          <t>VÄSTERNORRLANDS LÄN</t>
        </is>
      </c>
      <c r="E228" t="inlineStr">
        <is>
          <t>SOLLEFTEÅ</t>
        </is>
      </c>
      <c r="G228" t="n">
        <v>0.9</v>
      </c>
      <c r="H228" t="n">
        <v>2</v>
      </c>
      <c r="I228" t="n">
        <v>0</v>
      </c>
      <c r="J228" t="n">
        <v>5</v>
      </c>
      <c r="K228" t="n">
        <v>0</v>
      </c>
      <c r="L228" t="n">
        <v>0</v>
      </c>
      <c r="M228" t="n">
        <v>0</v>
      </c>
      <c r="N228" t="n">
        <v>0</v>
      </c>
      <c r="O228" t="n">
        <v>5</v>
      </c>
      <c r="P228" t="n">
        <v>0</v>
      </c>
      <c r="Q228" t="n">
        <v>5</v>
      </c>
      <c r="R228" s="2" t="inlineStr">
        <is>
          <t>Blanksvart spiklav
Talltita
Tretåig hackspett
Vedskivlav
Vedtrappmossa</t>
        </is>
      </c>
      <c r="S228">
        <f>HYPERLINK("https://klasma.github.io/Logging_222283/artfynd/A 22797-2025 artfynd.xlsx", "A 22797-2025")</f>
        <v/>
      </c>
      <c r="T228">
        <f>HYPERLINK("https://klasma.github.io/Logging_222283/kartor/A 22797-2025 karta.png", "A 22797-2025")</f>
        <v/>
      </c>
      <c r="V228">
        <f>HYPERLINK("https://klasma.github.io/Logging_222283/klagomål/A 22797-2025 FSC-klagomål.docx", "A 22797-2025")</f>
        <v/>
      </c>
      <c r="W228">
        <f>HYPERLINK("https://klasma.github.io/Logging_222283/klagomålsmail/A 22797-2025 FSC-klagomål mail.docx", "A 22797-2025")</f>
        <v/>
      </c>
      <c r="X228">
        <f>HYPERLINK("https://klasma.github.io/Logging_222283/tillsyn/A 22797-2025 tillsynsbegäran.docx", "A 22797-2025")</f>
        <v/>
      </c>
      <c r="Y228">
        <f>HYPERLINK("https://klasma.github.io/Logging_222283/tillsynsmail/A 22797-2025 tillsynsbegäran mail.docx", "A 22797-2025")</f>
        <v/>
      </c>
      <c r="Z228">
        <f>HYPERLINK("https://klasma.github.io/Logging_222283/fåglar/A 22797-2025 prioriterade fågelarter.docx", "A 22797-2025")</f>
        <v/>
      </c>
    </row>
    <row r="229" ht="15" customHeight="1">
      <c r="A229" t="inlineStr">
        <is>
          <t>A 23319-2025</t>
        </is>
      </c>
      <c r="B229" s="1" t="n">
        <v>45791</v>
      </c>
      <c r="C229" s="1" t="n">
        <v>45822</v>
      </c>
      <c r="D229" t="inlineStr">
        <is>
          <t>VÄSTERNORRLANDS LÄN</t>
        </is>
      </c>
      <c r="E229" t="inlineStr">
        <is>
          <t>SOLLEFTEÅ</t>
        </is>
      </c>
      <c r="F229" t="inlineStr">
        <is>
          <t>SCA</t>
        </is>
      </c>
      <c r="G229" t="n">
        <v>5.3</v>
      </c>
      <c r="H229" t="n">
        <v>2</v>
      </c>
      <c r="I229" t="n">
        <v>3</v>
      </c>
      <c r="J229" t="n">
        <v>1</v>
      </c>
      <c r="K229" t="n">
        <v>0</v>
      </c>
      <c r="L229" t="n">
        <v>0</v>
      </c>
      <c r="M229" t="n">
        <v>0</v>
      </c>
      <c r="N229" t="n">
        <v>0</v>
      </c>
      <c r="O229" t="n">
        <v>1</v>
      </c>
      <c r="P229" t="n">
        <v>0</v>
      </c>
      <c r="Q229" t="n">
        <v>5</v>
      </c>
      <c r="R229" s="2" t="inlineStr">
        <is>
          <t>Lunglav
Plattlummer
Skinnlav
Stor aspticka
Revlummer</t>
        </is>
      </c>
      <c r="S229">
        <f>HYPERLINK("https://klasma.github.io/Logging_222283/artfynd/A 23319-2025 artfynd.xlsx", "A 23319-2025")</f>
        <v/>
      </c>
      <c r="T229">
        <f>HYPERLINK("https://klasma.github.io/Logging_222283/kartor/A 23319-2025 karta.png", "A 23319-2025")</f>
        <v/>
      </c>
      <c r="V229">
        <f>HYPERLINK("https://klasma.github.io/Logging_222283/klagomål/A 23319-2025 FSC-klagomål.docx", "A 23319-2025")</f>
        <v/>
      </c>
      <c r="W229">
        <f>HYPERLINK("https://klasma.github.io/Logging_222283/klagomålsmail/A 23319-2025 FSC-klagomål mail.docx", "A 23319-2025")</f>
        <v/>
      </c>
      <c r="X229">
        <f>HYPERLINK("https://klasma.github.io/Logging_222283/tillsyn/A 23319-2025 tillsynsbegäran.docx", "A 23319-2025")</f>
        <v/>
      </c>
      <c r="Y229">
        <f>HYPERLINK("https://klasma.github.io/Logging_222283/tillsynsmail/A 23319-2025 tillsynsbegäran mail.docx", "A 23319-2025")</f>
        <v/>
      </c>
    </row>
    <row r="230" ht="15" customHeight="1">
      <c r="A230" t="inlineStr">
        <is>
          <t>A 28997-2025</t>
        </is>
      </c>
      <c r="B230" s="1" t="n">
        <v>45821</v>
      </c>
      <c r="C230" s="1" t="n">
        <v>45822</v>
      </c>
      <c r="D230" t="inlineStr">
        <is>
          <t>VÄSTERNORRLANDS LÄN</t>
        </is>
      </c>
      <c r="E230" t="inlineStr">
        <is>
          <t>SOLLEFTEÅ</t>
        </is>
      </c>
      <c r="F230" t="inlineStr">
        <is>
          <t>SCA</t>
        </is>
      </c>
      <c r="G230" t="n">
        <v>4.2</v>
      </c>
      <c r="H230" t="n">
        <v>0</v>
      </c>
      <c r="I230" t="n">
        <v>2</v>
      </c>
      <c r="J230" t="n">
        <v>3</v>
      </c>
      <c r="K230" t="n">
        <v>0</v>
      </c>
      <c r="L230" t="n">
        <v>0</v>
      </c>
      <c r="M230" t="n">
        <v>0</v>
      </c>
      <c r="N230" t="n">
        <v>0</v>
      </c>
      <c r="O230" t="n">
        <v>3</v>
      </c>
      <c r="P230" t="n">
        <v>0</v>
      </c>
      <c r="Q230" t="n">
        <v>5</v>
      </c>
      <c r="R230" s="2" t="inlineStr">
        <is>
          <t>Dvärgbägarlav
Garnlav
Vedtrappmossa
Norrlandslav
Skuggblåslav</t>
        </is>
      </c>
      <c r="S230">
        <f>HYPERLINK("https://klasma.github.io/Logging_222283/artfynd/A 28997-2025 artfynd.xlsx", "A 28997-2025")</f>
        <v/>
      </c>
      <c r="T230">
        <f>HYPERLINK("https://klasma.github.io/Logging_222283/kartor/A 28997-2025 karta.png", "A 28997-2025")</f>
        <v/>
      </c>
      <c r="V230">
        <f>HYPERLINK("https://klasma.github.io/Logging_222283/klagomål/A 28997-2025 FSC-klagomål.docx", "A 28997-2025")</f>
        <v/>
      </c>
      <c r="W230">
        <f>HYPERLINK("https://klasma.github.io/Logging_222283/klagomålsmail/A 28997-2025 FSC-klagomål mail.docx", "A 28997-2025")</f>
        <v/>
      </c>
      <c r="X230">
        <f>HYPERLINK("https://klasma.github.io/Logging_222283/tillsyn/A 28997-2025 tillsynsbegäran.docx", "A 28997-2025")</f>
        <v/>
      </c>
      <c r="Y230">
        <f>HYPERLINK("https://klasma.github.io/Logging_222283/tillsynsmail/A 28997-2025 tillsynsbegäran mail.docx", "A 28997-2025")</f>
        <v/>
      </c>
    </row>
    <row r="231" ht="15" customHeight="1">
      <c r="A231" t="inlineStr">
        <is>
          <t>A 40512-2019</t>
        </is>
      </c>
      <c r="B231" s="1" t="n">
        <v>43696</v>
      </c>
      <c r="C231" s="1" t="n">
        <v>45822</v>
      </c>
      <c r="D231" t="inlineStr">
        <is>
          <t>VÄSTERNORRLANDS LÄN</t>
        </is>
      </c>
      <c r="E231" t="inlineStr">
        <is>
          <t>SOLLEFTEÅ</t>
        </is>
      </c>
      <c r="F231" t="inlineStr">
        <is>
          <t>SCA</t>
        </is>
      </c>
      <c r="G231" t="n">
        <v>5.8</v>
      </c>
      <c r="H231" t="n">
        <v>1</v>
      </c>
      <c r="I231" t="n">
        <v>0</v>
      </c>
      <c r="J231" t="n">
        <v>3</v>
      </c>
      <c r="K231" t="n">
        <v>0</v>
      </c>
      <c r="L231" t="n">
        <v>0</v>
      </c>
      <c r="M231" t="n">
        <v>0</v>
      </c>
      <c r="N231" t="n">
        <v>0</v>
      </c>
      <c r="O231" t="n">
        <v>3</v>
      </c>
      <c r="P231" t="n">
        <v>0</v>
      </c>
      <c r="Q231" t="n">
        <v>4</v>
      </c>
      <c r="R231" s="2" t="inlineStr">
        <is>
          <t>Garnlav
Granticka
Orange taggsvamp
Fläcknycklar</t>
        </is>
      </c>
      <c r="S231">
        <f>HYPERLINK("https://klasma.github.io/Logging_2283/artfynd/A 40512-2019 artfynd.xlsx", "A 40512-2019")</f>
        <v/>
      </c>
      <c r="T231">
        <f>HYPERLINK("https://klasma.github.io/Logging_2283/kartor/A 40512-2019 karta.png", "A 40512-2019")</f>
        <v/>
      </c>
      <c r="V231">
        <f>HYPERLINK("https://klasma.github.io/Logging_2283/klagomål/A 40512-2019 FSC-klagomål.docx", "A 40512-2019")</f>
        <v/>
      </c>
      <c r="W231">
        <f>HYPERLINK("https://klasma.github.io/Logging_2283/klagomålsmail/A 40512-2019 FSC-klagomål mail.docx", "A 40512-2019")</f>
        <v/>
      </c>
      <c r="X231">
        <f>HYPERLINK("https://klasma.github.io/Logging_2283/tillsyn/A 40512-2019 tillsynsbegäran.docx", "A 40512-2019")</f>
        <v/>
      </c>
      <c r="Y231">
        <f>HYPERLINK("https://klasma.github.io/Logging_2283/tillsynsmail/A 40512-2019 tillsynsbegäran mail.docx", "A 40512-2019")</f>
        <v/>
      </c>
    </row>
    <row r="232" ht="15" customHeight="1">
      <c r="A232" t="inlineStr">
        <is>
          <t>A 23860-2020</t>
        </is>
      </c>
      <c r="B232" s="1" t="n">
        <v>43971</v>
      </c>
      <c r="C232" s="1" t="n">
        <v>45822</v>
      </c>
      <c r="D232" t="inlineStr">
        <is>
          <t>VÄSTERNORRLANDS LÄN</t>
        </is>
      </c>
      <c r="E232" t="inlineStr">
        <is>
          <t>SOLLEFTEÅ</t>
        </is>
      </c>
      <c r="G232" t="n">
        <v>22.3</v>
      </c>
      <c r="H232" t="n">
        <v>0</v>
      </c>
      <c r="I232" t="n">
        <v>1</v>
      </c>
      <c r="J232" t="n">
        <v>2</v>
      </c>
      <c r="K232" t="n">
        <v>1</v>
      </c>
      <c r="L232" t="n">
        <v>0</v>
      </c>
      <c r="M232" t="n">
        <v>0</v>
      </c>
      <c r="N232" t="n">
        <v>0</v>
      </c>
      <c r="O232" t="n">
        <v>3</v>
      </c>
      <c r="P232" t="n">
        <v>1</v>
      </c>
      <c r="Q232" t="n">
        <v>4</v>
      </c>
      <c r="R232" s="2" t="inlineStr">
        <is>
          <t>Aspgelélav
Lunglav
Vedskivlav
Dropptaggsvamp</t>
        </is>
      </c>
      <c r="S232">
        <f>HYPERLINK("https://klasma.github.io/Logging_2283/artfynd/A 23860-2020 artfynd.xlsx", "A 23860-2020")</f>
        <v/>
      </c>
      <c r="T232">
        <f>HYPERLINK("https://klasma.github.io/Logging_2283/kartor/A 23860-2020 karta.png", "A 23860-2020")</f>
        <v/>
      </c>
      <c r="U232">
        <f>HYPERLINK("https://klasma.github.io/Logging_2283/knärot/A 23860-2020 karta knärot.png", "A 23860-2020")</f>
        <v/>
      </c>
      <c r="V232">
        <f>HYPERLINK("https://klasma.github.io/Logging_2283/klagomål/A 23860-2020 FSC-klagomål.docx", "A 23860-2020")</f>
        <v/>
      </c>
      <c r="W232">
        <f>HYPERLINK("https://klasma.github.io/Logging_2283/klagomålsmail/A 23860-2020 FSC-klagomål mail.docx", "A 23860-2020")</f>
        <v/>
      </c>
      <c r="X232">
        <f>HYPERLINK("https://klasma.github.io/Logging_2283/tillsyn/A 23860-2020 tillsynsbegäran.docx", "A 23860-2020")</f>
        <v/>
      </c>
      <c r="Y232">
        <f>HYPERLINK("https://klasma.github.io/Logging_2283/tillsynsmail/A 23860-2020 tillsynsbegäran mail.docx", "A 23860-2020")</f>
        <v/>
      </c>
    </row>
    <row r="233" ht="15" customHeight="1">
      <c r="A233" t="inlineStr">
        <is>
          <t>A 44344-2021</t>
        </is>
      </c>
      <c r="B233" s="1" t="n">
        <v>44435</v>
      </c>
      <c r="C233" s="1" t="n">
        <v>45822</v>
      </c>
      <c r="D233" t="inlineStr">
        <is>
          <t>VÄSTERNORRLANDS LÄN</t>
        </is>
      </c>
      <c r="E233" t="inlineStr">
        <is>
          <t>SOLLEFTEÅ</t>
        </is>
      </c>
      <c r="F233" t="inlineStr">
        <is>
          <t>Kommuner</t>
        </is>
      </c>
      <c r="G233" t="n">
        <v>10.8</v>
      </c>
      <c r="H233" t="n">
        <v>0</v>
      </c>
      <c r="I233" t="n">
        <v>1</v>
      </c>
      <c r="J233" t="n">
        <v>2</v>
      </c>
      <c r="K233" t="n">
        <v>1</v>
      </c>
      <c r="L233" t="n">
        <v>0</v>
      </c>
      <c r="M233" t="n">
        <v>0</v>
      </c>
      <c r="N233" t="n">
        <v>0</v>
      </c>
      <c r="O233" t="n">
        <v>3</v>
      </c>
      <c r="P233" t="n">
        <v>1</v>
      </c>
      <c r="Q233" t="n">
        <v>4</v>
      </c>
      <c r="R233" s="2" t="inlineStr">
        <is>
          <t>Rynkskinn
Rosenticka
Ullticka
Skinnlav</t>
        </is>
      </c>
      <c r="S233">
        <f>HYPERLINK("https://klasma.github.io/Logging_2283/artfynd/A 44344-2021 artfynd.xlsx", "A 44344-2021")</f>
        <v/>
      </c>
      <c r="T233">
        <f>HYPERLINK("https://klasma.github.io/Logging_2283/kartor/A 44344-2021 karta.png", "A 44344-2021")</f>
        <v/>
      </c>
      <c r="V233">
        <f>HYPERLINK("https://klasma.github.io/Logging_2283/klagomål/A 44344-2021 FSC-klagomål.docx", "A 44344-2021")</f>
        <v/>
      </c>
      <c r="W233">
        <f>HYPERLINK("https://klasma.github.io/Logging_2283/klagomålsmail/A 44344-2021 FSC-klagomål mail.docx", "A 44344-2021")</f>
        <v/>
      </c>
      <c r="X233">
        <f>HYPERLINK("https://klasma.github.io/Logging_2283/tillsyn/A 44344-2021 tillsynsbegäran.docx", "A 44344-2021")</f>
        <v/>
      </c>
      <c r="Y233">
        <f>HYPERLINK("https://klasma.github.io/Logging_2283/tillsynsmail/A 44344-2021 tillsynsbegäran mail.docx", "A 44344-2021")</f>
        <v/>
      </c>
    </row>
    <row r="234" ht="15" customHeight="1">
      <c r="A234" t="inlineStr">
        <is>
          <t>A 64943-2021</t>
        </is>
      </c>
      <c r="B234" s="1" t="n">
        <v>44512</v>
      </c>
      <c r="C234" s="1" t="n">
        <v>45822</v>
      </c>
      <c r="D234" t="inlineStr">
        <is>
          <t>VÄSTERNORRLANDS LÄN</t>
        </is>
      </c>
      <c r="E234" t="inlineStr">
        <is>
          <t>SOLLEFTEÅ</t>
        </is>
      </c>
      <c r="F234" t="inlineStr">
        <is>
          <t>SCA</t>
        </is>
      </c>
      <c r="G234" t="n">
        <v>8.1</v>
      </c>
      <c r="H234" t="n">
        <v>0</v>
      </c>
      <c r="I234" t="n">
        <v>1</v>
      </c>
      <c r="J234" t="n">
        <v>3</v>
      </c>
      <c r="K234" t="n">
        <v>0</v>
      </c>
      <c r="L234" t="n">
        <v>0</v>
      </c>
      <c r="M234" t="n">
        <v>0</v>
      </c>
      <c r="N234" t="n">
        <v>0</v>
      </c>
      <c r="O234" t="n">
        <v>3</v>
      </c>
      <c r="P234" t="n">
        <v>0</v>
      </c>
      <c r="Q234" t="n">
        <v>4</v>
      </c>
      <c r="R234" s="2" t="inlineStr">
        <is>
          <t>Garnlav
Lunglav
Ullticka
Vedticka</t>
        </is>
      </c>
      <c r="S234">
        <f>HYPERLINK("https://klasma.github.io/Logging_2283/artfynd/A 64943-2021 artfynd.xlsx", "A 64943-2021")</f>
        <v/>
      </c>
      <c r="T234">
        <f>HYPERLINK("https://klasma.github.io/Logging_2283/kartor/A 64943-2021 karta.png", "A 64943-2021")</f>
        <v/>
      </c>
      <c r="V234">
        <f>HYPERLINK("https://klasma.github.io/Logging_2283/klagomål/A 64943-2021 FSC-klagomål.docx", "A 64943-2021")</f>
        <v/>
      </c>
      <c r="W234">
        <f>HYPERLINK("https://klasma.github.io/Logging_2283/klagomålsmail/A 64943-2021 FSC-klagomål mail.docx", "A 64943-2021")</f>
        <v/>
      </c>
      <c r="X234">
        <f>HYPERLINK("https://klasma.github.io/Logging_2283/tillsyn/A 64943-2021 tillsynsbegäran.docx", "A 64943-2021")</f>
        <v/>
      </c>
      <c r="Y234">
        <f>HYPERLINK("https://klasma.github.io/Logging_2283/tillsynsmail/A 64943-2021 tillsynsbegäran mail.docx", "A 64943-2021")</f>
        <v/>
      </c>
    </row>
    <row r="235" ht="15" customHeight="1">
      <c r="A235" t="inlineStr">
        <is>
          <t>A 3795-2022</t>
        </is>
      </c>
      <c r="B235" s="1" t="n">
        <v>44586</v>
      </c>
      <c r="C235" s="1" t="n">
        <v>45822</v>
      </c>
      <c r="D235" t="inlineStr">
        <is>
          <t>VÄSTERNORRLANDS LÄN</t>
        </is>
      </c>
      <c r="E235" t="inlineStr">
        <is>
          <t>SOLLEFTEÅ</t>
        </is>
      </c>
      <c r="F235" t="inlineStr">
        <is>
          <t>SCA</t>
        </is>
      </c>
      <c r="G235" t="n">
        <v>1.3</v>
      </c>
      <c r="H235" t="n">
        <v>3</v>
      </c>
      <c r="I235" t="n">
        <v>0</v>
      </c>
      <c r="J235" t="n">
        <v>3</v>
      </c>
      <c r="K235" t="n">
        <v>1</v>
      </c>
      <c r="L235" t="n">
        <v>0</v>
      </c>
      <c r="M235" t="n">
        <v>0</v>
      </c>
      <c r="N235" t="n">
        <v>0</v>
      </c>
      <c r="O235" t="n">
        <v>4</v>
      </c>
      <c r="P235" t="n">
        <v>1</v>
      </c>
      <c r="Q235" t="n">
        <v>4</v>
      </c>
      <c r="R235" s="2" t="inlineStr">
        <is>
          <t>Knärot
Garnlav
Talltita
Tretåig hackspett</t>
        </is>
      </c>
      <c r="S235">
        <f>HYPERLINK("https://klasma.github.io/Logging_2283/artfynd/A 3795-2022 artfynd.xlsx", "A 3795-2022")</f>
        <v/>
      </c>
      <c r="T235">
        <f>HYPERLINK("https://klasma.github.io/Logging_2283/kartor/A 3795-2022 karta.png", "A 3795-2022")</f>
        <v/>
      </c>
      <c r="U235">
        <f>HYPERLINK("https://klasma.github.io/Logging_2283/knärot/A 3795-2022 karta knärot.png", "A 3795-2022")</f>
        <v/>
      </c>
      <c r="V235">
        <f>HYPERLINK("https://klasma.github.io/Logging_2283/klagomål/A 3795-2022 FSC-klagomål.docx", "A 3795-2022")</f>
        <v/>
      </c>
      <c r="W235">
        <f>HYPERLINK("https://klasma.github.io/Logging_2283/klagomålsmail/A 3795-2022 FSC-klagomål mail.docx", "A 3795-2022")</f>
        <v/>
      </c>
      <c r="X235">
        <f>HYPERLINK("https://klasma.github.io/Logging_2283/tillsyn/A 3795-2022 tillsynsbegäran.docx", "A 3795-2022")</f>
        <v/>
      </c>
      <c r="Y235">
        <f>HYPERLINK("https://klasma.github.io/Logging_2283/tillsynsmail/A 3795-2022 tillsynsbegäran mail.docx", "A 3795-2022")</f>
        <v/>
      </c>
      <c r="Z235">
        <f>HYPERLINK("https://klasma.github.io/Logging_2283/fåglar/A 3795-2022 prioriterade fågelarter.docx", "A 3795-2022")</f>
        <v/>
      </c>
    </row>
    <row r="236" ht="15" customHeight="1">
      <c r="A236" t="inlineStr">
        <is>
          <t>A 18005-2022</t>
        </is>
      </c>
      <c r="B236" s="1" t="n">
        <v>44684</v>
      </c>
      <c r="C236" s="1" t="n">
        <v>45822</v>
      </c>
      <c r="D236" t="inlineStr">
        <is>
          <t>VÄSTERNORRLANDS LÄN</t>
        </is>
      </c>
      <c r="E236" t="inlineStr">
        <is>
          <t>SOLLEFTEÅ</t>
        </is>
      </c>
      <c r="F236" t="inlineStr">
        <is>
          <t>SCA</t>
        </is>
      </c>
      <c r="G236" t="n">
        <v>6.3</v>
      </c>
      <c r="H236" t="n">
        <v>0</v>
      </c>
      <c r="I236" t="n">
        <v>0</v>
      </c>
      <c r="J236" t="n">
        <v>4</v>
      </c>
      <c r="K236" t="n">
        <v>0</v>
      </c>
      <c r="L236" t="n">
        <v>0</v>
      </c>
      <c r="M236" t="n">
        <v>0</v>
      </c>
      <c r="N236" t="n">
        <v>0</v>
      </c>
      <c r="O236" t="n">
        <v>4</v>
      </c>
      <c r="P236" t="n">
        <v>0</v>
      </c>
      <c r="Q236" t="n">
        <v>4</v>
      </c>
      <c r="R236" s="2" t="inlineStr">
        <is>
          <t>Garnlav
Gränsticka
Lunglav
Ullticka</t>
        </is>
      </c>
      <c r="S236">
        <f>HYPERLINK("https://klasma.github.io/Logging_2283/artfynd/A 18005-2022 artfynd.xlsx", "A 18005-2022")</f>
        <v/>
      </c>
      <c r="T236">
        <f>HYPERLINK("https://klasma.github.io/Logging_2283/kartor/A 18005-2022 karta.png", "A 18005-2022")</f>
        <v/>
      </c>
      <c r="V236">
        <f>HYPERLINK("https://klasma.github.io/Logging_2283/klagomål/A 18005-2022 FSC-klagomål.docx", "A 18005-2022")</f>
        <v/>
      </c>
      <c r="W236">
        <f>HYPERLINK("https://klasma.github.io/Logging_2283/klagomålsmail/A 18005-2022 FSC-klagomål mail.docx", "A 18005-2022")</f>
        <v/>
      </c>
      <c r="X236">
        <f>HYPERLINK("https://klasma.github.io/Logging_2283/tillsyn/A 18005-2022 tillsynsbegäran.docx", "A 18005-2022")</f>
        <v/>
      </c>
      <c r="Y236">
        <f>HYPERLINK("https://klasma.github.io/Logging_2283/tillsynsmail/A 18005-2022 tillsynsbegäran mail.docx", "A 18005-2022")</f>
        <v/>
      </c>
    </row>
    <row r="237" ht="15" customHeight="1">
      <c r="A237" t="inlineStr">
        <is>
          <t>A 18025-2022</t>
        </is>
      </c>
      <c r="B237" s="1" t="n">
        <v>44683</v>
      </c>
      <c r="C237" s="1" t="n">
        <v>45822</v>
      </c>
      <c r="D237" t="inlineStr">
        <is>
          <t>VÄSTERNORRLANDS LÄN</t>
        </is>
      </c>
      <c r="E237" t="inlineStr">
        <is>
          <t>SOLLEFTEÅ</t>
        </is>
      </c>
      <c r="F237" t="inlineStr">
        <is>
          <t>SCA</t>
        </is>
      </c>
      <c r="G237" t="n">
        <v>5.2</v>
      </c>
      <c r="H237" t="n">
        <v>1</v>
      </c>
      <c r="I237" t="n">
        <v>1</v>
      </c>
      <c r="J237" t="n">
        <v>2</v>
      </c>
      <c r="K237" t="n">
        <v>0</v>
      </c>
      <c r="L237" t="n">
        <v>0</v>
      </c>
      <c r="M237" t="n">
        <v>0</v>
      </c>
      <c r="N237" t="n">
        <v>0</v>
      </c>
      <c r="O237" t="n">
        <v>2</v>
      </c>
      <c r="P237" t="n">
        <v>0</v>
      </c>
      <c r="Q237" t="n">
        <v>4</v>
      </c>
      <c r="R237" s="2" t="inlineStr">
        <is>
          <t>Garnlav
Lunglav
Bronshjon
Fläcknycklar</t>
        </is>
      </c>
      <c r="S237">
        <f>HYPERLINK("https://klasma.github.io/Logging_2283/artfynd/A 18025-2022 artfynd.xlsx", "A 18025-2022")</f>
        <v/>
      </c>
      <c r="T237">
        <f>HYPERLINK("https://klasma.github.io/Logging_2283/kartor/A 18025-2022 karta.png", "A 18025-2022")</f>
        <v/>
      </c>
      <c r="V237">
        <f>HYPERLINK("https://klasma.github.io/Logging_2283/klagomål/A 18025-2022 FSC-klagomål.docx", "A 18025-2022")</f>
        <v/>
      </c>
      <c r="W237">
        <f>HYPERLINK("https://klasma.github.io/Logging_2283/klagomålsmail/A 18025-2022 FSC-klagomål mail.docx", "A 18025-2022")</f>
        <v/>
      </c>
      <c r="X237">
        <f>HYPERLINK("https://klasma.github.io/Logging_2283/tillsyn/A 18025-2022 tillsynsbegäran.docx", "A 18025-2022")</f>
        <v/>
      </c>
      <c r="Y237">
        <f>HYPERLINK("https://klasma.github.io/Logging_2283/tillsynsmail/A 18025-2022 tillsynsbegäran mail.docx", "A 18025-2022")</f>
        <v/>
      </c>
    </row>
    <row r="238" ht="15" customHeight="1">
      <c r="A238" t="inlineStr">
        <is>
          <t>A 27071-2022</t>
        </is>
      </c>
      <c r="B238" s="1" t="n">
        <v>44741</v>
      </c>
      <c r="C238" s="1" t="n">
        <v>45822</v>
      </c>
      <c r="D238" t="inlineStr">
        <is>
          <t>VÄSTERNORRLANDS LÄN</t>
        </is>
      </c>
      <c r="E238" t="inlineStr">
        <is>
          <t>SOLLEFTEÅ</t>
        </is>
      </c>
      <c r="G238" t="n">
        <v>19</v>
      </c>
      <c r="H238" t="n">
        <v>1</v>
      </c>
      <c r="I238" t="n">
        <v>0</v>
      </c>
      <c r="J238" t="n">
        <v>4</v>
      </c>
      <c r="K238" t="n">
        <v>0</v>
      </c>
      <c r="L238" t="n">
        <v>0</v>
      </c>
      <c r="M238" t="n">
        <v>0</v>
      </c>
      <c r="N238" t="n">
        <v>0</v>
      </c>
      <c r="O238" t="n">
        <v>4</v>
      </c>
      <c r="P238" t="n">
        <v>0</v>
      </c>
      <c r="Q238" t="n">
        <v>4</v>
      </c>
      <c r="R238" s="2" t="inlineStr">
        <is>
          <t>Granticka
Rosenticka
Tretåig hackspett
Ullticka</t>
        </is>
      </c>
      <c r="S238">
        <f>HYPERLINK("https://klasma.github.io/Logging_2283/artfynd/A 27071-2022 artfynd.xlsx", "A 27071-2022")</f>
        <v/>
      </c>
      <c r="T238">
        <f>HYPERLINK("https://klasma.github.io/Logging_2283/kartor/A 27071-2022 karta.png", "A 27071-2022")</f>
        <v/>
      </c>
      <c r="V238">
        <f>HYPERLINK("https://klasma.github.io/Logging_2283/klagomål/A 27071-2022 FSC-klagomål.docx", "A 27071-2022")</f>
        <v/>
      </c>
      <c r="W238">
        <f>HYPERLINK("https://klasma.github.io/Logging_2283/klagomålsmail/A 27071-2022 FSC-klagomål mail.docx", "A 27071-2022")</f>
        <v/>
      </c>
      <c r="X238">
        <f>HYPERLINK("https://klasma.github.io/Logging_2283/tillsyn/A 27071-2022 tillsynsbegäran.docx", "A 27071-2022")</f>
        <v/>
      </c>
      <c r="Y238">
        <f>HYPERLINK("https://klasma.github.io/Logging_2283/tillsynsmail/A 27071-2022 tillsynsbegäran mail.docx", "A 27071-2022")</f>
        <v/>
      </c>
      <c r="Z238">
        <f>HYPERLINK("https://klasma.github.io/Logging_2283/fåglar/A 27071-2022 prioriterade fågelarter.docx", "A 27071-2022")</f>
        <v/>
      </c>
    </row>
    <row r="239" ht="15" customHeight="1">
      <c r="A239" t="inlineStr">
        <is>
          <t>A 45084-2022</t>
        </is>
      </c>
      <c r="B239" s="1" t="n">
        <v>44841</v>
      </c>
      <c r="C239" s="1" t="n">
        <v>45822</v>
      </c>
      <c r="D239" t="inlineStr">
        <is>
          <t>VÄSTERNORRLANDS LÄN</t>
        </is>
      </c>
      <c r="E239" t="inlineStr">
        <is>
          <t>SOLLEFTEÅ</t>
        </is>
      </c>
      <c r="F239" t="inlineStr">
        <is>
          <t>SCA</t>
        </is>
      </c>
      <c r="G239" t="n">
        <v>5.5</v>
      </c>
      <c r="H239" t="n">
        <v>1</v>
      </c>
      <c r="I239" t="n">
        <v>0</v>
      </c>
      <c r="J239" t="n">
        <v>3</v>
      </c>
      <c r="K239" t="n">
        <v>1</v>
      </c>
      <c r="L239" t="n">
        <v>0</v>
      </c>
      <c r="M239" t="n">
        <v>0</v>
      </c>
      <c r="N239" t="n">
        <v>0</v>
      </c>
      <c r="O239" t="n">
        <v>4</v>
      </c>
      <c r="P239" t="n">
        <v>1</v>
      </c>
      <c r="Q239" t="n">
        <v>4</v>
      </c>
      <c r="R239" s="2" t="inlineStr">
        <is>
          <t>Knärot
Garnlav
Lunglav
Skogshare</t>
        </is>
      </c>
      <c r="S239">
        <f>HYPERLINK("https://klasma.github.io/Logging_2283/artfynd/A 45084-2022 artfynd.xlsx", "A 45084-2022")</f>
        <v/>
      </c>
      <c r="T239">
        <f>HYPERLINK("https://klasma.github.io/Logging_2283/kartor/A 45084-2022 karta.png", "A 45084-2022")</f>
        <v/>
      </c>
      <c r="U239">
        <f>HYPERLINK("https://klasma.github.io/Logging_2283/knärot/A 45084-2022 karta knärot.png",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48061-2022</t>
        </is>
      </c>
      <c r="B240" s="1" t="n">
        <v>44855</v>
      </c>
      <c r="C240" s="1" t="n">
        <v>45822</v>
      </c>
      <c r="D240" t="inlineStr">
        <is>
          <t>VÄSTERNORRLANDS LÄN</t>
        </is>
      </c>
      <c r="E240" t="inlineStr">
        <is>
          <t>SOLLEFTEÅ</t>
        </is>
      </c>
      <c r="F240" t="inlineStr">
        <is>
          <t>SCA</t>
        </is>
      </c>
      <c r="G240" t="n">
        <v>4.1</v>
      </c>
      <c r="H240" t="n">
        <v>0</v>
      </c>
      <c r="I240" t="n">
        <v>1</v>
      </c>
      <c r="J240" t="n">
        <v>2</v>
      </c>
      <c r="K240" t="n">
        <v>1</v>
      </c>
      <c r="L240" t="n">
        <v>0</v>
      </c>
      <c r="M240" t="n">
        <v>0</v>
      </c>
      <c r="N240" t="n">
        <v>0</v>
      </c>
      <c r="O240" t="n">
        <v>3</v>
      </c>
      <c r="P240" t="n">
        <v>1</v>
      </c>
      <c r="Q240" t="n">
        <v>4</v>
      </c>
      <c r="R240" s="2" t="inlineStr">
        <is>
          <t>Rynkskinn
Rosenticka
Ullticka
Trådticka</t>
        </is>
      </c>
      <c r="S240">
        <f>HYPERLINK("https://klasma.github.io/Logging_2283/artfynd/A 48061-2022 artfynd.xlsx", "A 48061-2022")</f>
        <v/>
      </c>
      <c r="T240">
        <f>HYPERLINK("https://klasma.github.io/Logging_2283/kartor/A 48061-2022 karta.png", "A 48061-2022")</f>
        <v/>
      </c>
      <c r="V240">
        <f>HYPERLINK("https://klasma.github.io/Logging_2283/klagomål/A 48061-2022 FSC-klagomål.docx", "A 48061-2022")</f>
        <v/>
      </c>
      <c r="W240">
        <f>HYPERLINK("https://klasma.github.io/Logging_2283/klagomålsmail/A 48061-2022 FSC-klagomål mail.docx", "A 48061-2022")</f>
        <v/>
      </c>
      <c r="X240">
        <f>HYPERLINK("https://klasma.github.io/Logging_2283/tillsyn/A 48061-2022 tillsynsbegäran.docx", "A 48061-2022")</f>
        <v/>
      </c>
      <c r="Y240">
        <f>HYPERLINK("https://klasma.github.io/Logging_2283/tillsynsmail/A 48061-2022 tillsynsbegäran mail.docx", "A 48061-2022")</f>
        <v/>
      </c>
    </row>
    <row r="241" ht="15" customHeight="1">
      <c r="A241" t="inlineStr">
        <is>
          <t>A 53130-2022</t>
        </is>
      </c>
      <c r="B241" s="1" t="n">
        <v>44873</v>
      </c>
      <c r="C241" s="1" t="n">
        <v>45822</v>
      </c>
      <c r="D241" t="inlineStr">
        <is>
          <t>VÄSTERNORRLANDS LÄN</t>
        </is>
      </c>
      <c r="E241" t="inlineStr">
        <is>
          <t>SOLLEFTEÅ</t>
        </is>
      </c>
      <c r="G241" t="n">
        <v>19.8</v>
      </c>
      <c r="H241" t="n">
        <v>2</v>
      </c>
      <c r="I241" t="n">
        <v>1</v>
      </c>
      <c r="J241" t="n">
        <v>2</v>
      </c>
      <c r="K241" t="n">
        <v>0</v>
      </c>
      <c r="L241" t="n">
        <v>0</v>
      </c>
      <c r="M241" t="n">
        <v>0</v>
      </c>
      <c r="N241" t="n">
        <v>0</v>
      </c>
      <c r="O241" t="n">
        <v>2</v>
      </c>
      <c r="P241" t="n">
        <v>0</v>
      </c>
      <c r="Q241" t="n">
        <v>4</v>
      </c>
      <c r="R241" s="2" t="inlineStr">
        <is>
          <t>Lunglav
Myrbräcka
Bårdlav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57001-2022</t>
        </is>
      </c>
      <c r="B242" s="1" t="n">
        <v>44894</v>
      </c>
      <c r="C242" s="1" t="n">
        <v>45822</v>
      </c>
      <c r="D242" t="inlineStr">
        <is>
          <t>VÄSTERNORRLANDS LÄN</t>
        </is>
      </c>
      <c r="E242" t="inlineStr">
        <is>
          <t>SOLLEFTEÅ</t>
        </is>
      </c>
      <c r="F242" t="inlineStr">
        <is>
          <t>SCA</t>
        </is>
      </c>
      <c r="G242" t="n">
        <v>1.2</v>
      </c>
      <c r="H242" t="n">
        <v>2</v>
      </c>
      <c r="I242" t="n">
        <v>0</v>
      </c>
      <c r="J242" t="n">
        <v>3</v>
      </c>
      <c r="K242" t="n">
        <v>1</v>
      </c>
      <c r="L242" t="n">
        <v>0</v>
      </c>
      <c r="M242" t="n">
        <v>0</v>
      </c>
      <c r="N242" t="n">
        <v>0</v>
      </c>
      <c r="O242" t="n">
        <v>4</v>
      </c>
      <c r="P242" t="n">
        <v>1</v>
      </c>
      <c r="Q242" t="n">
        <v>4</v>
      </c>
      <c r="R242" s="2" t="inlineStr">
        <is>
          <t>Knärot
Garnlav
Järpe
Lunglav</t>
        </is>
      </c>
      <c r="S242">
        <f>HYPERLINK("https://klasma.github.io/Logging_2283/artfynd/A 57001-2022 artfynd.xlsx", "A 57001-2022")</f>
        <v/>
      </c>
      <c r="T242">
        <f>HYPERLINK("https://klasma.github.io/Logging_2283/kartor/A 57001-2022 karta.png", "A 57001-2022")</f>
        <v/>
      </c>
      <c r="U242">
        <f>HYPERLINK("https://klasma.github.io/Logging_2283/knärot/A 57001-2022 karta knärot.png", "A 57001-2022")</f>
        <v/>
      </c>
      <c r="V242">
        <f>HYPERLINK("https://klasma.github.io/Logging_2283/klagomål/A 57001-2022 FSC-klagomål.docx", "A 57001-2022")</f>
        <v/>
      </c>
      <c r="W242">
        <f>HYPERLINK("https://klasma.github.io/Logging_2283/klagomålsmail/A 57001-2022 FSC-klagomål mail.docx", "A 57001-2022")</f>
        <v/>
      </c>
      <c r="X242">
        <f>HYPERLINK("https://klasma.github.io/Logging_2283/tillsyn/A 57001-2022 tillsynsbegäran.docx", "A 57001-2022")</f>
        <v/>
      </c>
      <c r="Y242">
        <f>HYPERLINK("https://klasma.github.io/Logging_2283/tillsynsmail/A 57001-2022 tillsynsbegäran mail.docx", "A 57001-2022")</f>
        <v/>
      </c>
      <c r="Z242">
        <f>HYPERLINK("https://klasma.github.io/Logging_2283/fåglar/A 57001-2022 prioriterade fågelarter.docx", "A 57001-2022")</f>
        <v/>
      </c>
    </row>
    <row r="243" ht="15" customHeight="1">
      <c r="A243" t="inlineStr">
        <is>
          <t>A 62638-2022</t>
        </is>
      </c>
      <c r="B243" s="1" t="n">
        <v>44925</v>
      </c>
      <c r="C243" s="1" t="n">
        <v>45822</v>
      </c>
      <c r="D243" t="inlineStr">
        <is>
          <t>VÄSTERNORRLANDS LÄN</t>
        </is>
      </c>
      <c r="E243" t="inlineStr">
        <is>
          <t>SOLLEFTEÅ</t>
        </is>
      </c>
      <c r="F243" t="inlineStr">
        <is>
          <t>Holmen skog AB</t>
        </is>
      </c>
      <c r="G243" t="n">
        <v>4</v>
      </c>
      <c r="H243" t="n">
        <v>1</v>
      </c>
      <c r="I243" t="n">
        <v>1</v>
      </c>
      <c r="J243" t="n">
        <v>2</v>
      </c>
      <c r="K243" t="n">
        <v>1</v>
      </c>
      <c r="L243" t="n">
        <v>0</v>
      </c>
      <c r="M243" t="n">
        <v>0</v>
      </c>
      <c r="N243" t="n">
        <v>0</v>
      </c>
      <c r="O243" t="n">
        <v>3</v>
      </c>
      <c r="P243" t="n">
        <v>1</v>
      </c>
      <c r="Q243" t="n">
        <v>4</v>
      </c>
      <c r="R243" s="2" t="inlineStr">
        <is>
          <t>Knärot
Koralltaggsvamp
Lunglav
Skinnlav</t>
        </is>
      </c>
      <c r="S243">
        <f>HYPERLINK("https://klasma.github.io/Logging_2283/artfynd/A 62638-2022 artfynd.xlsx", "A 62638-2022")</f>
        <v/>
      </c>
      <c r="T243">
        <f>HYPERLINK("https://klasma.github.io/Logging_2283/kartor/A 62638-2022 karta.png", "A 62638-2022")</f>
        <v/>
      </c>
      <c r="U243">
        <f>HYPERLINK("https://klasma.github.io/Logging_2283/knärot/A 62638-2022 karta knärot.png", "A 62638-2022")</f>
        <v/>
      </c>
      <c r="V243">
        <f>HYPERLINK("https://klasma.github.io/Logging_2283/klagomål/A 62638-2022 FSC-klagomål.docx", "A 62638-2022")</f>
        <v/>
      </c>
      <c r="W243">
        <f>HYPERLINK("https://klasma.github.io/Logging_2283/klagomålsmail/A 62638-2022 FSC-klagomål mail.docx", "A 62638-2022")</f>
        <v/>
      </c>
      <c r="X243">
        <f>HYPERLINK("https://klasma.github.io/Logging_2283/tillsyn/A 62638-2022 tillsynsbegäran.docx", "A 62638-2022")</f>
        <v/>
      </c>
      <c r="Y243">
        <f>HYPERLINK("https://klasma.github.io/Logging_2283/tillsynsmail/A 62638-2022 tillsynsbegäran mail.docx", "A 62638-2022")</f>
        <v/>
      </c>
    </row>
    <row r="244" ht="15" customHeight="1">
      <c r="A244" t="inlineStr">
        <is>
          <t>A 62632-2022</t>
        </is>
      </c>
      <c r="B244" s="1" t="n">
        <v>44925</v>
      </c>
      <c r="C244" s="1" t="n">
        <v>45822</v>
      </c>
      <c r="D244" t="inlineStr">
        <is>
          <t>VÄSTERNORRLANDS LÄN</t>
        </is>
      </c>
      <c r="E244" t="inlineStr">
        <is>
          <t>SOLLEFTEÅ</t>
        </is>
      </c>
      <c r="F244" t="inlineStr">
        <is>
          <t>Holmen skog AB</t>
        </is>
      </c>
      <c r="G244" t="n">
        <v>4.4</v>
      </c>
      <c r="H244" t="n">
        <v>1</v>
      </c>
      <c r="I244" t="n">
        <v>1</v>
      </c>
      <c r="J244" t="n">
        <v>2</v>
      </c>
      <c r="K244" t="n">
        <v>1</v>
      </c>
      <c r="L244" t="n">
        <v>0</v>
      </c>
      <c r="M244" t="n">
        <v>0</v>
      </c>
      <c r="N244" t="n">
        <v>0</v>
      </c>
      <c r="O244" t="n">
        <v>3</v>
      </c>
      <c r="P244" t="n">
        <v>1</v>
      </c>
      <c r="Q244" t="n">
        <v>4</v>
      </c>
      <c r="R244" s="2" t="inlineStr">
        <is>
          <t>Bitter taggsvamp
Blå taggsvamp
Orange taggsvamp
Plattlummer</t>
        </is>
      </c>
      <c r="S244">
        <f>HYPERLINK("https://klasma.github.io/Logging_2283/artfynd/A 62632-2022 artfynd.xlsx", "A 62632-2022")</f>
        <v/>
      </c>
      <c r="T244">
        <f>HYPERLINK("https://klasma.github.io/Logging_2283/kartor/A 62632-2022 karta.png", "A 62632-2022")</f>
        <v/>
      </c>
      <c r="V244">
        <f>HYPERLINK("https://klasma.github.io/Logging_2283/klagomål/A 62632-2022 FSC-klagomål.docx", "A 62632-2022")</f>
        <v/>
      </c>
      <c r="W244">
        <f>HYPERLINK("https://klasma.github.io/Logging_2283/klagomålsmail/A 62632-2022 FSC-klagomål mail.docx", "A 62632-2022")</f>
        <v/>
      </c>
      <c r="X244">
        <f>HYPERLINK("https://klasma.github.io/Logging_2283/tillsyn/A 62632-2022 tillsynsbegäran.docx", "A 62632-2022")</f>
        <v/>
      </c>
      <c r="Y244">
        <f>HYPERLINK("https://klasma.github.io/Logging_2283/tillsynsmail/A 62632-2022 tillsynsbegäran mail.docx", "A 62632-2022")</f>
        <v/>
      </c>
    </row>
    <row r="245" ht="15" customHeight="1">
      <c r="A245" t="inlineStr">
        <is>
          <t>A 2409-2023</t>
        </is>
      </c>
      <c r="B245" s="1" t="n">
        <v>44942</v>
      </c>
      <c r="C245" s="1" t="n">
        <v>45822</v>
      </c>
      <c r="D245" t="inlineStr">
        <is>
          <t>VÄSTERNORRLANDS LÄN</t>
        </is>
      </c>
      <c r="E245" t="inlineStr">
        <is>
          <t>SOLLEFTEÅ</t>
        </is>
      </c>
      <c r="F245" t="inlineStr">
        <is>
          <t>SCA</t>
        </is>
      </c>
      <c r="G245" t="n">
        <v>2</v>
      </c>
      <c r="H245" t="n">
        <v>0</v>
      </c>
      <c r="I245" t="n">
        <v>1</v>
      </c>
      <c r="J245" t="n">
        <v>3</v>
      </c>
      <c r="K245" t="n">
        <v>0</v>
      </c>
      <c r="L245" t="n">
        <v>0</v>
      </c>
      <c r="M245" t="n">
        <v>0</v>
      </c>
      <c r="N245" t="n">
        <v>0</v>
      </c>
      <c r="O245" t="n">
        <v>3</v>
      </c>
      <c r="P245" t="n">
        <v>0</v>
      </c>
      <c r="Q245" t="n">
        <v>4</v>
      </c>
      <c r="R245" s="2" t="inlineStr">
        <is>
          <t>Rosenticka
Tallticka
Ullticka
Dropptaggsvamp</t>
        </is>
      </c>
      <c r="S245">
        <f>HYPERLINK("https://klasma.github.io/Logging_2283/artfynd/A 2409-2023 artfynd.xlsx", "A 2409-2023")</f>
        <v/>
      </c>
      <c r="T245">
        <f>HYPERLINK("https://klasma.github.io/Logging_2283/kartor/A 2409-2023 karta.png", "A 2409-2023")</f>
        <v/>
      </c>
      <c r="V245">
        <f>HYPERLINK("https://klasma.github.io/Logging_2283/klagomål/A 2409-2023 FSC-klagomål.docx", "A 2409-2023")</f>
        <v/>
      </c>
      <c r="W245">
        <f>HYPERLINK("https://klasma.github.io/Logging_2283/klagomålsmail/A 2409-2023 FSC-klagomål mail.docx", "A 2409-2023")</f>
        <v/>
      </c>
      <c r="X245">
        <f>HYPERLINK("https://klasma.github.io/Logging_2283/tillsyn/A 2409-2023 tillsynsbegäran.docx", "A 2409-2023")</f>
        <v/>
      </c>
      <c r="Y245">
        <f>HYPERLINK("https://klasma.github.io/Logging_2283/tillsynsmail/A 2409-2023 tillsynsbegäran mail.docx", "A 2409-2023")</f>
        <v/>
      </c>
    </row>
    <row r="246" ht="15" customHeight="1">
      <c r="A246" t="inlineStr">
        <is>
          <t>A 9365-2023</t>
        </is>
      </c>
      <c r="B246" s="1" t="n">
        <v>44980</v>
      </c>
      <c r="C246" s="1" t="n">
        <v>45822</v>
      </c>
      <c r="D246" t="inlineStr">
        <is>
          <t>VÄSTERNORRLANDS LÄN</t>
        </is>
      </c>
      <c r="E246" t="inlineStr">
        <is>
          <t>SOLLEFTEÅ</t>
        </is>
      </c>
      <c r="F246" t="inlineStr">
        <is>
          <t>SCA</t>
        </is>
      </c>
      <c r="G246" t="n">
        <v>6.5</v>
      </c>
      <c r="H246" t="n">
        <v>2</v>
      </c>
      <c r="I246" t="n">
        <v>0</v>
      </c>
      <c r="J246" t="n">
        <v>3</v>
      </c>
      <c r="K246" t="n">
        <v>0</v>
      </c>
      <c r="L246" t="n">
        <v>0</v>
      </c>
      <c r="M246" t="n">
        <v>0</v>
      </c>
      <c r="N246" t="n">
        <v>0</v>
      </c>
      <c r="O246" t="n">
        <v>3</v>
      </c>
      <c r="P246" t="n">
        <v>0</v>
      </c>
      <c r="Q246" t="n">
        <v>4</v>
      </c>
      <c r="R246" s="2" t="inlineStr">
        <is>
          <t>Garnlav
Kolflarnlav
Tretåig hackspett
Tjäder</t>
        </is>
      </c>
      <c r="S246">
        <f>HYPERLINK("https://klasma.github.io/Logging_2283/artfynd/A 9365-2023 artfynd.xlsx", "A 9365-2023")</f>
        <v/>
      </c>
      <c r="T246">
        <f>HYPERLINK("https://klasma.github.io/Logging_2283/kartor/A 9365-2023 karta.png", "A 9365-2023")</f>
        <v/>
      </c>
      <c r="V246">
        <f>HYPERLINK("https://klasma.github.io/Logging_2283/klagomål/A 9365-2023 FSC-klagomål.docx", "A 9365-2023")</f>
        <v/>
      </c>
      <c r="W246">
        <f>HYPERLINK("https://klasma.github.io/Logging_2283/klagomålsmail/A 9365-2023 FSC-klagomål mail.docx", "A 9365-2023")</f>
        <v/>
      </c>
      <c r="X246">
        <f>HYPERLINK("https://klasma.github.io/Logging_2283/tillsyn/A 9365-2023 tillsynsbegäran.docx", "A 9365-2023")</f>
        <v/>
      </c>
      <c r="Y246">
        <f>HYPERLINK("https://klasma.github.io/Logging_2283/tillsynsmail/A 9365-2023 tillsynsbegäran mail.docx", "A 9365-2023")</f>
        <v/>
      </c>
      <c r="Z246">
        <f>HYPERLINK("https://klasma.github.io/Logging_2283/fåglar/A 9365-2023 prioriterade fågelarter.docx", "A 9365-2023")</f>
        <v/>
      </c>
    </row>
    <row r="247" ht="15" customHeight="1">
      <c r="A247" t="inlineStr">
        <is>
          <t>A 10776-2023</t>
        </is>
      </c>
      <c r="B247" s="1" t="n">
        <v>44988</v>
      </c>
      <c r="C247" s="1" t="n">
        <v>45822</v>
      </c>
      <c r="D247" t="inlineStr">
        <is>
          <t>VÄSTERNORRLANDS LÄN</t>
        </is>
      </c>
      <c r="E247" t="inlineStr">
        <is>
          <t>SOLLEFTEÅ</t>
        </is>
      </c>
      <c r="F247" t="inlineStr">
        <is>
          <t>SCA</t>
        </is>
      </c>
      <c r="G247" t="n">
        <v>6.2</v>
      </c>
      <c r="H247" t="n">
        <v>0</v>
      </c>
      <c r="I247" t="n">
        <v>0</v>
      </c>
      <c r="J247" t="n">
        <v>4</v>
      </c>
      <c r="K247" t="n">
        <v>0</v>
      </c>
      <c r="L247" t="n">
        <v>0</v>
      </c>
      <c r="M247" t="n">
        <v>0</v>
      </c>
      <c r="N247" t="n">
        <v>0</v>
      </c>
      <c r="O247" t="n">
        <v>4</v>
      </c>
      <c r="P247" t="n">
        <v>0</v>
      </c>
      <c r="Q247" t="n">
        <v>4</v>
      </c>
      <c r="R247" s="2" t="inlineStr">
        <is>
          <t>Granticka
Rosenticka
Ullticka
Vedskivlav</t>
        </is>
      </c>
      <c r="S247">
        <f>HYPERLINK("https://klasma.github.io/Logging_2283/artfynd/A 10776-2023 artfynd.xlsx", "A 10776-2023")</f>
        <v/>
      </c>
      <c r="T247">
        <f>HYPERLINK("https://klasma.github.io/Logging_2283/kartor/A 10776-2023 karta.png", "A 10776-2023")</f>
        <v/>
      </c>
      <c r="V247">
        <f>HYPERLINK("https://klasma.github.io/Logging_2283/klagomål/A 10776-2023 FSC-klagomål.docx", "A 10776-2023")</f>
        <v/>
      </c>
      <c r="W247">
        <f>HYPERLINK("https://klasma.github.io/Logging_2283/klagomålsmail/A 10776-2023 FSC-klagomål mail.docx", "A 10776-2023")</f>
        <v/>
      </c>
      <c r="X247">
        <f>HYPERLINK("https://klasma.github.io/Logging_2283/tillsyn/A 10776-2023 tillsynsbegäran.docx", "A 10776-2023")</f>
        <v/>
      </c>
      <c r="Y247">
        <f>HYPERLINK("https://klasma.github.io/Logging_2283/tillsynsmail/A 10776-2023 tillsynsbegäran mail.docx", "A 10776-2023")</f>
        <v/>
      </c>
    </row>
    <row r="248" ht="15" customHeight="1">
      <c r="A248" t="inlineStr">
        <is>
          <t>A 12365-2023</t>
        </is>
      </c>
      <c r="B248" s="1" t="n">
        <v>44999</v>
      </c>
      <c r="C248" s="1" t="n">
        <v>45822</v>
      </c>
      <c r="D248" t="inlineStr">
        <is>
          <t>VÄSTERNORRLANDS LÄN</t>
        </is>
      </c>
      <c r="E248" t="inlineStr">
        <is>
          <t>SOLLEFTEÅ</t>
        </is>
      </c>
      <c r="F248" t="inlineStr">
        <is>
          <t>Kommuner</t>
        </is>
      </c>
      <c r="G248" t="n">
        <v>2.2</v>
      </c>
      <c r="H248" t="n">
        <v>0</v>
      </c>
      <c r="I248" t="n">
        <v>2</v>
      </c>
      <c r="J248" t="n">
        <v>2</v>
      </c>
      <c r="K248" t="n">
        <v>0</v>
      </c>
      <c r="L248" t="n">
        <v>0</v>
      </c>
      <c r="M248" t="n">
        <v>0</v>
      </c>
      <c r="N248" t="n">
        <v>0</v>
      </c>
      <c r="O248" t="n">
        <v>2</v>
      </c>
      <c r="P248" t="n">
        <v>0</v>
      </c>
      <c r="Q248" t="n">
        <v>4</v>
      </c>
      <c r="R248" s="2" t="inlineStr">
        <is>
          <t>Rosenticka
Ullticka
Mörk husmossa
Skinnlav</t>
        </is>
      </c>
      <c r="S248">
        <f>HYPERLINK("https://klasma.github.io/Logging_2283/artfynd/A 12365-2023 artfynd.xlsx", "A 12365-2023")</f>
        <v/>
      </c>
      <c r="T248">
        <f>HYPERLINK("https://klasma.github.io/Logging_2283/kartor/A 12365-2023 karta.png", "A 12365-2023")</f>
        <v/>
      </c>
      <c r="U248">
        <f>HYPERLINK("https://klasma.github.io/Logging_2283/knärot/A 12365-2023 karta knärot.png", "A 12365-2023")</f>
        <v/>
      </c>
      <c r="V248">
        <f>HYPERLINK("https://klasma.github.io/Logging_2283/klagomål/A 12365-2023 FSC-klagomål.docx", "A 12365-2023")</f>
        <v/>
      </c>
      <c r="W248">
        <f>HYPERLINK("https://klasma.github.io/Logging_2283/klagomålsmail/A 12365-2023 FSC-klagomål mail.docx", "A 12365-2023")</f>
        <v/>
      </c>
      <c r="X248">
        <f>HYPERLINK("https://klasma.github.io/Logging_2283/tillsyn/A 12365-2023 tillsynsbegäran.docx", "A 12365-2023")</f>
        <v/>
      </c>
      <c r="Y248">
        <f>HYPERLINK("https://klasma.github.io/Logging_2283/tillsynsmail/A 12365-2023 tillsynsbegäran mail.docx", "A 12365-2023")</f>
        <v/>
      </c>
    </row>
    <row r="249" ht="15" customHeight="1">
      <c r="A249" t="inlineStr">
        <is>
          <t>A 18066-2023</t>
        </is>
      </c>
      <c r="B249" s="1" t="n">
        <v>45040</v>
      </c>
      <c r="C249" s="1" t="n">
        <v>45822</v>
      </c>
      <c r="D249" t="inlineStr">
        <is>
          <t>VÄSTERNORRLANDS LÄN</t>
        </is>
      </c>
      <c r="E249" t="inlineStr">
        <is>
          <t>SOLLEFTEÅ</t>
        </is>
      </c>
      <c r="G249" t="n">
        <v>0.8</v>
      </c>
      <c r="H249" t="n">
        <v>1</v>
      </c>
      <c r="I249" t="n">
        <v>0</v>
      </c>
      <c r="J249" t="n">
        <v>3</v>
      </c>
      <c r="K249" t="n">
        <v>1</v>
      </c>
      <c r="L249" t="n">
        <v>0</v>
      </c>
      <c r="M249" t="n">
        <v>0</v>
      </c>
      <c r="N249" t="n">
        <v>0</v>
      </c>
      <c r="O249" t="n">
        <v>4</v>
      </c>
      <c r="P249" t="n">
        <v>1</v>
      </c>
      <c r="Q249" t="n">
        <v>4</v>
      </c>
      <c r="R249" s="2" t="inlineStr">
        <is>
          <t>Knärot
Garnlav
Rosenticka
Ullticka</t>
        </is>
      </c>
      <c r="S249">
        <f>HYPERLINK("https://klasma.github.io/Logging_2283/artfynd/A 18066-2023 artfynd.xlsx", "A 18066-2023")</f>
        <v/>
      </c>
      <c r="T249">
        <f>HYPERLINK("https://klasma.github.io/Logging_2283/kartor/A 18066-2023 karta.png", "A 18066-2023")</f>
        <v/>
      </c>
      <c r="U249">
        <f>HYPERLINK("https://klasma.github.io/Logging_2283/knärot/A 18066-2023 karta knärot.png", "A 18066-2023")</f>
        <v/>
      </c>
      <c r="V249">
        <f>HYPERLINK("https://klasma.github.io/Logging_2283/klagomål/A 18066-2023 FSC-klagomål.docx", "A 18066-2023")</f>
        <v/>
      </c>
      <c r="W249">
        <f>HYPERLINK("https://klasma.github.io/Logging_2283/klagomålsmail/A 18066-2023 FSC-klagomål mail.docx", "A 18066-2023")</f>
        <v/>
      </c>
      <c r="X249">
        <f>HYPERLINK("https://klasma.github.io/Logging_2283/tillsyn/A 18066-2023 tillsynsbegäran.docx", "A 18066-2023")</f>
        <v/>
      </c>
      <c r="Y249">
        <f>HYPERLINK("https://klasma.github.io/Logging_2283/tillsynsmail/A 18066-2023 tillsynsbegäran mail.docx", "A 18066-2023")</f>
        <v/>
      </c>
    </row>
    <row r="250" ht="15" customHeight="1">
      <c r="A250" t="inlineStr">
        <is>
          <t>A 32218-2023</t>
        </is>
      </c>
      <c r="B250" s="1" t="n">
        <v>45120</v>
      </c>
      <c r="C250" s="1" t="n">
        <v>45822</v>
      </c>
      <c r="D250" t="inlineStr">
        <is>
          <t>VÄSTERNORRLANDS LÄN</t>
        </is>
      </c>
      <c r="E250" t="inlineStr">
        <is>
          <t>SOLLEFTEÅ</t>
        </is>
      </c>
      <c r="F250" t="inlineStr">
        <is>
          <t>SCA</t>
        </is>
      </c>
      <c r="G250" t="n">
        <v>2.1</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32218-2023 artfynd.xlsx", "A 32218-2023")</f>
        <v/>
      </c>
      <c r="T250">
        <f>HYPERLINK("https://klasma.github.io/Logging_2283/kartor/A 32218-2023 karta.png", "A 32218-2023")</f>
        <v/>
      </c>
      <c r="V250">
        <f>HYPERLINK("https://klasma.github.io/Logging_2283/klagomål/A 32218-2023 FSC-klagomål.docx", "A 32218-2023")</f>
        <v/>
      </c>
      <c r="W250">
        <f>HYPERLINK("https://klasma.github.io/Logging_2283/klagomålsmail/A 32218-2023 FSC-klagomål mail.docx", "A 32218-2023")</f>
        <v/>
      </c>
      <c r="X250">
        <f>HYPERLINK("https://klasma.github.io/Logging_2283/tillsyn/A 32218-2023 tillsynsbegäran.docx", "A 32218-2023")</f>
        <v/>
      </c>
      <c r="Y250">
        <f>HYPERLINK("https://klasma.github.io/Logging_2283/tillsynsmail/A 32218-2023 tillsynsbegäran mail.docx", "A 32218-2023")</f>
        <v/>
      </c>
      <c r="Z250">
        <f>HYPERLINK("https://klasma.github.io/Logging_2283/fåglar/A 32218-2023 prioriterade fågelarter.docx", "A 32218-2023")</f>
        <v/>
      </c>
    </row>
    <row r="251" ht="15" customHeight="1">
      <c r="A251" t="inlineStr">
        <is>
          <t>A 35505-2023</t>
        </is>
      </c>
      <c r="B251" s="1" t="n">
        <v>45147</v>
      </c>
      <c r="C251" s="1" t="n">
        <v>45822</v>
      </c>
      <c r="D251" t="inlineStr">
        <is>
          <t>VÄSTERNORRLANDS LÄN</t>
        </is>
      </c>
      <c r="E251" t="inlineStr">
        <is>
          <t>SOLLEFTEÅ</t>
        </is>
      </c>
      <c r="F251" t="inlineStr">
        <is>
          <t>SCA</t>
        </is>
      </c>
      <c r="G251" t="n">
        <v>2.6</v>
      </c>
      <c r="H251" t="n">
        <v>0</v>
      </c>
      <c r="I251" t="n">
        <v>2</v>
      </c>
      <c r="J251" t="n">
        <v>2</v>
      </c>
      <c r="K251" t="n">
        <v>0</v>
      </c>
      <c r="L251" t="n">
        <v>0</v>
      </c>
      <c r="M251" t="n">
        <v>0</v>
      </c>
      <c r="N251" t="n">
        <v>0</v>
      </c>
      <c r="O251" t="n">
        <v>2</v>
      </c>
      <c r="P251" t="n">
        <v>0</v>
      </c>
      <c r="Q251" t="n">
        <v>4</v>
      </c>
      <c r="R251" s="2" t="inlineStr">
        <is>
          <t>Garnlav
Lunglav
Bårdlav
Norrlandslav</t>
        </is>
      </c>
      <c r="S251">
        <f>HYPERLINK("https://klasma.github.io/Logging_2283/artfynd/A 35505-2023 artfynd.xlsx", "A 35505-2023")</f>
        <v/>
      </c>
      <c r="T251">
        <f>HYPERLINK("https://klasma.github.io/Logging_2283/kartor/A 35505-2023 karta.png", "A 35505-2023")</f>
        <v/>
      </c>
      <c r="V251">
        <f>HYPERLINK("https://klasma.github.io/Logging_2283/klagomål/A 35505-2023 FSC-klagomål.docx", "A 35505-2023")</f>
        <v/>
      </c>
      <c r="W251">
        <f>HYPERLINK("https://klasma.github.io/Logging_2283/klagomålsmail/A 35505-2023 FSC-klagomål mail.docx", "A 35505-2023")</f>
        <v/>
      </c>
      <c r="X251">
        <f>HYPERLINK("https://klasma.github.io/Logging_2283/tillsyn/A 35505-2023 tillsynsbegäran.docx", "A 35505-2023")</f>
        <v/>
      </c>
      <c r="Y251">
        <f>HYPERLINK("https://klasma.github.io/Logging_2283/tillsynsmail/A 35505-2023 tillsynsbegäran mail.docx", "A 35505-2023")</f>
        <v/>
      </c>
    </row>
    <row r="252" ht="15" customHeight="1">
      <c r="A252" t="inlineStr">
        <is>
          <t>A 37270-2023</t>
        </is>
      </c>
      <c r="B252" s="1" t="n">
        <v>45155</v>
      </c>
      <c r="C252" s="1" t="n">
        <v>45822</v>
      </c>
      <c r="D252" t="inlineStr">
        <is>
          <t>VÄSTERNORRLANDS LÄN</t>
        </is>
      </c>
      <c r="E252" t="inlineStr">
        <is>
          <t>SOLLEFTEÅ</t>
        </is>
      </c>
      <c r="F252" t="inlineStr">
        <is>
          <t>SCA</t>
        </is>
      </c>
      <c r="G252" t="n">
        <v>2.3</v>
      </c>
      <c r="H252" t="n">
        <v>1</v>
      </c>
      <c r="I252" t="n">
        <v>1</v>
      </c>
      <c r="J252" t="n">
        <v>3</v>
      </c>
      <c r="K252" t="n">
        <v>0</v>
      </c>
      <c r="L252" t="n">
        <v>0</v>
      </c>
      <c r="M252" t="n">
        <v>0</v>
      </c>
      <c r="N252" t="n">
        <v>0</v>
      </c>
      <c r="O252" t="n">
        <v>3</v>
      </c>
      <c r="P252" t="n">
        <v>0</v>
      </c>
      <c r="Q252" t="n">
        <v>4</v>
      </c>
      <c r="R252" s="2" t="inlineStr">
        <is>
          <t>Orange taggsvamp
Tallticka
Tretåig hackspett
Dropptaggsvamp</t>
        </is>
      </c>
      <c r="S252">
        <f>HYPERLINK("https://klasma.github.io/Logging_2283/artfynd/A 37270-2023 artfynd.xlsx", "A 37270-2023")</f>
        <v/>
      </c>
      <c r="T252">
        <f>HYPERLINK("https://klasma.github.io/Logging_2283/kartor/A 37270-2023 karta.png", "A 37270-2023")</f>
        <v/>
      </c>
      <c r="V252">
        <f>HYPERLINK("https://klasma.github.io/Logging_2283/klagomål/A 37270-2023 FSC-klagomål.docx", "A 37270-2023")</f>
        <v/>
      </c>
      <c r="W252">
        <f>HYPERLINK("https://klasma.github.io/Logging_2283/klagomålsmail/A 37270-2023 FSC-klagomål mail.docx", "A 37270-2023")</f>
        <v/>
      </c>
      <c r="X252">
        <f>HYPERLINK("https://klasma.github.io/Logging_2283/tillsyn/A 37270-2023 tillsynsbegäran.docx", "A 37270-2023")</f>
        <v/>
      </c>
      <c r="Y252">
        <f>HYPERLINK("https://klasma.github.io/Logging_2283/tillsynsmail/A 37270-2023 tillsynsbegäran mail.docx", "A 37270-2023")</f>
        <v/>
      </c>
      <c r="Z252">
        <f>HYPERLINK("https://klasma.github.io/Logging_2283/fåglar/A 37270-2023 prioriterade fågelarter.docx", "A 37270-2023")</f>
        <v/>
      </c>
    </row>
    <row r="253" ht="15" customHeight="1">
      <c r="A253" t="inlineStr">
        <is>
          <t>A 43954-2023</t>
        </is>
      </c>
      <c r="B253" s="1" t="n">
        <v>45187</v>
      </c>
      <c r="C253" s="1" t="n">
        <v>45822</v>
      </c>
      <c r="D253" t="inlineStr">
        <is>
          <t>VÄSTERNORRLANDS LÄN</t>
        </is>
      </c>
      <c r="E253" t="inlineStr">
        <is>
          <t>SOLLEFTEÅ</t>
        </is>
      </c>
      <c r="F253" t="inlineStr">
        <is>
          <t>SCA</t>
        </is>
      </c>
      <c r="G253" t="n">
        <v>1.7</v>
      </c>
      <c r="H253" t="n">
        <v>3</v>
      </c>
      <c r="I253" t="n">
        <v>0</v>
      </c>
      <c r="J253" t="n">
        <v>2</v>
      </c>
      <c r="K253" t="n">
        <v>2</v>
      </c>
      <c r="L253" t="n">
        <v>0</v>
      </c>
      <c r="M253" t="n">
        <v>0</v>
      </c>
      <c r="N253" t="n">
        <v>0</v>
      </c>
      <c r="O253" t="n">
        <v>4</v>
      </c>
      <c r="P253" t="n">
        <v>2</v>
      </c>
      <c r="Q253" t="n">
        <v>4</v>
      </c>
      <c r="R253" s="2" t="inlineStr">
        <is>
          <t>Doftticka
Knärot
Lunglav
Tretåig hackspett</t>
        </is>
      </c>
      <c r="S253">
        <f>HYPERLINK("https://klasma.github.io/Logging_2283/artfynd/A 43954-2023 artfynd.xlsx", "A 43954-2023")</f>
        <v/>
      </c>
      <c r="T253">
        <f>HYPERLINK("https://klasma.github.io/Logging_2283/kartor/A 43954-2023 karta.png", "A 43954-2023")</f>
        <v/>
      </c>
      <c r="U253">
        <f>HYPERLINK("https://klasma.github.io/Logging_2283/knärot/A 43954-2023 karta knärot.png", "A 43954-2023")</f>
        <v/>
      </c>
      <c r="V253">
        <f>HYPERLINK("https://klasma.github.io/Logging_2283/klagomål/A 43954-2023 FSC-klagomål.docx", "A 43954-2023")</f>
        <v/>
      </c>
      <c r="W253">
        <f>HYPERLINK("https://klasma.github.io/Logging_2283/klagomålsmail/A 43954-2023 FSC-klagomål mail.docx", "A 43954-2023")</f>
        <v/>
      </c>
      <c r="X253">
        <f>HYPERLINK("https://klasma.github.io/Logging_2283/tillsyn/A 43954-2023 tillsynsbegäran.docx", "A 43954-2023")</f>
        <v/>
      </c>
      <c r="Y253">
        <f>HYPERLINK("https://klasma.github.io/Logging_2283/tillsynsmail/A 43954-2023 tillsynsbegäran mail.docx", "A 43954-2023")</f>
        <v/>
      </c>
      <c r="Z253">
        <f>HYPERLINK("https://klasma.github.io/Logging_2283/fåglar/A 43954-2023 prioriterade fågelarter.docx", "A 43954-2023")</f>
        <v/>
      </c>
    </row>
    <row r="254" ht="15" customHeight="1">
      <c r="A254" t="inlineStr">
        <is>
          <t>A 50839-2023</t>
        </is>
      </c>
      <c r="B254" s="1" t="n">
        <v>45217</v>
      </c>
      <c r="C254" s="1" t="n">
        <v>45822</v>
      </c>
      <c r="D254" t="inlineStr">
        <is>
          <t>VÄSTERNORRLANDS LÄN</t>
        </is>
      </c>
      <c r="E254" t="inlineStr">
        <is>
          <t>SOLLEFTEÅ</t>
        </is>
      </c>
      <c r="F254" t="inlineStr">
        <is>
          <t>SCA</t>
        </is>
      </c>
      <c r="G254" t="n">
        <v>2.8</v>
      </c>
      <c r="H254" t="n">
        <v>0</v>
      </c>
      <c r="I254" t="n">
        <v>1</v>
      </c>
      <c r="J254" t="n">
        <v>3</v>
      </c>
      <c r="K254" t="n">
        <v>0</v>
      </c>
      <c r="L254" t="n">
        <v>0</v>
      </c>
      <c r="M254" t="n">
        <v>0</v>
      </c>
      <c r="N254" t="n">
        <v>0</v>
      </c>
      <c r="O254" t="n">
        <v>3</v>
      </c>
      <c r="P254" t="n">
        <v>0</v>
      </c>
      <c r="Q254" t="n">
        <v>4</v>
      </c>
      <c r="R254" s="2" t="inlineStr">
        <is>
          <t>Garnlav
Granticka
Vitskaftad svartspik
Gulnål</t>
        </is>
      </c>
      <c r="S254">
        <f>HYPERLINK("https://klasma.github.io/Logging_2283/artfynd/A 50839-2023 artfynd.xlsx", "A 50839-2023")</f>
        <v/>
      </c>
      <c r="T254">
        <f>HYPERLINK("https://klasma.github.io/Logging_2283/kartor/A 50839-2023 karta.png", "A 50839-2023")</f>
        <v/>
      </c>
      <c r="V254">
        <f>HYPERLINK("https://klasma.github.io/Logging_2283/klagomål/A 50839-2023 FSC-klagomål.docx", "A 50839-2023")</f>
        <v/>
      </c>
      <c r="W254">
        <f>HYPERLINK("https://klasma.github.io/Logging_2283/klagomålsmail/A 50839-2023 FSC-klagomål mail.docx", "A 50839-2023")</f>
        <v/>
      </c>
      <c r="X254">
        <f>HYPERLINK("https://klasma.github.io/Logging_2283/tillsyn/A 50839-2023 tillsynsbegäran.docx", "A 50839-2023")</f>
        <v/>
      </c>
      <c r="Y254">
        <f>HYPERLINK("https://klasma.github.io/Logging_2283/tillsynsmail/A 50839-2023 tillsynsbegäran mail.docx", "A 50839-2023")</f>
        <v/>
      </c>
    </row>
    <row r="255" ht="15" customHeight="1">
      <c r="A255" t="inlineStr">
        <is>
          <t>A 52088-2023</t>
        </is>
      </c>
      <c r="B255" s="1" t="n">
        <v>45223</v>
      </c>
      <c r="C255" s="1" t="n">
        <v>45822</v>
      </c>
      <c r="D255" t="inlineStr">
        <is>
          <t>VÄSTERNORRLANDS LÄN</t>
        </is>
      </c>
      <c r="E255" t="inlineStr">
        <is>
          <t>SOLLEFTEÅ</t>
        </is>
      </c>
      <c r="G255" t="n">
        <v>6.4</v>
      </c>
      <c r="H255" t="n">
        <v>0</v>
      </c>
      <c r="I255" t="n">
        <v>1</v>
      </c>
      <c r="J255" t="n">
        <v>3</v>
      </c>
      <c r="K255" t="n">
        <v>0</v>
      </c>
      <c r="L255" t="n">
        <v>0</v>
      </c>
      <c r="M255" t="n">
        <v>0</v>
      </c>
      <c r="N255" t="n">
        <v>0</v>
      </c>
      <c r="O255" t="n">
        <v>3</v>
      </c>
      <c r="P255" t="n">
        <v>0</v>
      </c>
      <c r="Q255" t="n">
        <v>4</v>
      </c>
      <c r="R255" s="2" t="inlineStr">
        <is>
          <t>Granticka
Lunglav
Rosenticka
Vedticka</t>
        </is>
      </c>
      <c r="S255">
        <f>HYPERLINK("https://klasma.github.io/Logging_2283/artfynd/A 52088-2023 artfynd.xlsx", "A 52088-2023")</f>
        <v/>
      </c>
      <c r="T255">
        <f>HYPERLINK("https://klasma.github.io/Logging_2283/kartor/A 52088-2023 karta.png", "A 52088-2023")</f>
        <v/>
      </c>
      <c r="V255">
        <f>HYPERLINK("https://klasma.github.io/Logging_2283/klagomål/A 52088-2023 FSC-klagomål.docx", "A 52088-2023")</f>
        <v/>
      </c>
      <c r="W255">
        <f>HYPERLINK("https://klasma.github.io/Logging_2283/klagomålsmail/A 52088-2023 FSC-klagomål mail.docx", "A 52088-2023")</f>
        <v/>
      </c>
      <c r="X255">
        <f>HYPERLINK("https://klasma.github.io/Logging_2283/tillsyn/A 52088-2023 tillsynsbegäran.docx", "A 52088-2023")</f>
        <v/>
      </c>
      <c r="Y255">
        <f>HYPERLINK("https://klasma.github.io/Logging_2283/tillsynsmail/A 52088-2023 tillsynsbegäran mail.docx", "A 52088-2023")</f>
        <v/>
      </c>
    </row>
    <row r="256" ht="15" customHeight="1">
      <c r="A256" t="inlineStr">
        <is>
          <t>A 53566-2023</t>
        </is>
      </c>
      <c r="B256" s="1" t="n">
        <v>45223</v>
      </c>
      <c r="C256" s="1" t="n">
        <v>45822</v>
      </c>
      <c r="D256" t="inlineStr">
        <is>
          <t>VÄSTERNORRLANDS LÄN</t>
        </is>
      </c>
      <c r="E256" t="inlineStr">
        <is>
          <t>SOLLEFTEÅ</t>
        </is>
      </c>
      <c r="G256" t="n">
        <v>9</v>
      </c>
      <c r="H256" t="n">
        <v>2</v>
      </c>
      <c r="I256" t="n">
        <v>0</v>
      </c>
      <c r="J256" t="n">
        <v>2</v>
      </c>
      <c r="K256" t="n">
        <v>0</v>
      </c>
      <c r="L256" t="n">
        <v>0</v>
      </c>
      <c r="M256" t="n">
        <v>0</v>
      </c>
      <c r="N256" t="n">
        <v>0</v>
      </c>
      <c r="O256" t="n">
        <v>2</v>
      </c>
      <c r="P256" t="n">
        <v>0</v>
      </c>
      <c r="Q256" t="n">
        <v>4</v>
      </c>
      <c r="R256" s="2" t="inlineStr">
        <is>
          <t>Garnlav
Lunglav
Fläcknycklar
Revlummer</t>
        </is>
      </c>
      <c r="S256">
        <f>HYPERLINK("https://klasma.github.io/Logging_2283/artfynd/A 53566-2023 artfynd.xlsx", "A 53566-2023")</f>
        <v/>
      </c>
      <c r="T256">
        <f>HYPERLINK("https://klasma.github.io/Logging_2283/kartor/A 53566-2023 karta.png", "A 53566-2023")</f>
        <v/>
      </c>
      <c r="V256">
        <f>HYPERLINK("https://klasma.github.io/Logging_2283/klagomål/A 53566-2023 FSC-klagomål.docx", "A 53566-2023")</f>
        <v/>
      </c>
      <c r="W256">
        <f>HYPERLINK("https://klasma.github.io/Logging_2283/klagomålsmail/A 53566-2023 FSC-klagomål mail.docx", "A 53566-2023")</f>
        <v/>
      </c>
      <c r="X256">
        <f>HYPERLINK("https://klasma.github.io/Logging_2283/tillsyn/A 53566-2023 tillsynsbegäran.docx", "A 53566-2023")</f>
        <v/>
      </c>
      <c r="Y256">
        <f>HYPERLINK("https://klasma.github.io/Logging_2283/tillsynsmail/A 53566-2023 tillsynsbegäran mail.docx", "A 53566-2023")</f>
        <v/>
      </c>
    </row>
    <row r="257" ht="15" customHeight="1">
      <c r="A257" t="inlineStr">
        <is>
          <t>A 53049-2023</t>
        </is>
      </c>
      <c r="B257" s="1" t="n">
        <v>45226</v>
      </c>
      <c r="C257" s="1" t="n">
        <v>45822</v>
      </c>
      <c r="D257" t="inlineStr">
        <is>
          <t>VÄSTERNORRLANDS LÄN</t>
        </is>
      </c>
      <c r="E257" t="inlineStr">
        <is>
          <t>SOLLEFTEÅ</t>
        </is>
      </c>
      <c r="F257" t="inlineStr">
        <is>
          <t>SCA</t>
        </is>
      </c>
      <c r="G257" t="n">
        <v>3.7</v>
      </c>
      <c r="H257" t="n">
        <v>2</v>
      </c>
      <c r="I257" t="n">
        <v>0</v>
      </c>
      <c r="J257" t="n">
        <v>4</v>
      </c>
      <c r="K257" t="n">
        <v>0</v>
      </c>
      <c r="L257" t="n">
        <v>0</v>
      </c>
      <c r="M257" t="n">
        <v>0</v>
      </c>
      <c r="N257" t="n">
        <v>0</v>
      </c>
      <c r="O257" t="n">
        <v>4</v>
      </c>
      <c r="P257" t="n">
        <v>0</v>
      </c>
      <c r="Q257" t="n">
        <v>4</v>
      </c>
      <c r="R257" s="2" t="inlineStr">
        <is>
          <t>Järpe
Lunglav
Tretåig hackspett
Ullticka</t>
        </is>
      </c>
      <c r="S257">
        <f>HYPERLINK("https://klasma.github.io/Logging_2283/artfynd/A 53049-2023 artfynd.xlsx", "A 53049-2023")</f>
        <v/>
      </c>
      <c r="T257">
        <f>HYPERLINK("https://klasma.github.io/Logging_2283/kartor/A 53049-2023 karta.png", "A 53049-2023")</f>
        <v/>
      </c>
      <c r="V257">
        <f>HYPERLINK("https://klasma.github.io/Logging_2283/klagomål/A 53049-2023 FSC-klagomål.docx", "A 53049-2023")</f>
        <v/>
      </c>
      <c r="W257">
        <f>HYPERLINK("https://klasma.github.io/Logging_2283/klagomålsmail/A 53049-2023 FSC-klagomål mail.docx", "A 53049-2023")</f>
        <v/>
      </c>
      <c r="X257">
        <f>HYPERLINK("https://klasma.github.io/Logging_2283/tillsyn/A 53049-2023 tillsynsbegäran.docx", "A 53049-2023")</f>
        <v/>
      </c>
      <c r="Y257">
        <f>HYPERLINK("https://klasma.github.io/Logging_2283/tillsynsmail/A 53049-2023 tillsynsbegäran mail.docx", "A 53049-2023")</f>
        <v/>
      </c>
      <c r="Z257">
        <f>HYPERLINK("https://klasma.github.io/Logging_2283/fåglar/A 53049-2023 prioriterade fågelarter.docx", "A 53049-2023")</f>
        <v/>
      </c>
    </row>
    <row r="258" ht="15" customHeight="1">
      <c r="A258" t="inlineStr">
        <is>
          <t>A 56248-2023</t>
        </is>
      </c>
      <c r="B258" s="1" t="n">
        <v>45240</v>
      </c>
      <c r="C258" s="1" t="n">
        <v>45822</v>
      </c>
      <c r="D258" t="inlineStr">
        <is>
          <t>VÄSTERNORRLANDS LÄN</t>
        </is>
      </c>
      <c r="E258" t="inlineStr">
        <is>
          <t>SOLLEFTEÅ</t>
        </is>
      </c>
      <c r="F258" t="inlineStr">
        <is>
          <t>SCA</t>
        </is>
      </c>
      <c r="G258" t="n">
        <v>12.2</v>
      </c>
      <c r="H258" t="n">
        <v>3</v>
      </c>
      <c r="I258" t="n">
        <v>0</v>
      </c>
      <c r="J258" t="n">
        <v>3</v>
      </c>
      <c r="K258" t="n">
        <v>0</v>
      </c>
      <c r="L258" t="n">
        <v>0</v>
      </c>
      <c r="M258" t="n">
        <v>0</v>
      </c>
      <c r="N258" t="n">
        <v>0</v>
      </c>
      <c r="O258" t="n">
        <v>3</v>
      </c>
      <c r="P258" t="n">
        <v>0</v>
      </c>
      <c r="Q258" t="n">
        <v>4</v>
      </c>
      <c r="R258" s="2" t="inlineStr">
        <is>
          <t>Granticka
Mindre hackspett
Tretåig hackspett
Lavskrika</t>
        </is>
      </c>
      <c r="S258">
        <f>HYPERLINK("https://klasma.github.io/Logging_2283/artfynd/A 56248-2023 artfynd.xlsx", "A 56248-2023")</f>
        <v/>
      </c>
      <c r="T258">
        <f>HYPERLINK("https://klasma.github.io/Logging_2283/kartor/A 56248-2023 karta.png", "A 56248-2023")</f>
        <v/>
      </c>
      <c r="V258">
        <f>HYPERLINK("https://klasma.github.io/Logging_2283/klagomål/A 56248-2023 FSC-klagomål.docx", "A 56248-2023")</f>
        <v/>
      </c>
      <c r="W258">
        <f>HYPERLINK("https://klasma.github.io/Logging_2283/klagomålsmail/A 56248-2023 FSC-klagomål mail.docx", "A 56248-2023")</f>
        <v/>
      </c>
      <c r="X258">
        <f>HYPERLINK("https://klasma.github.io/Logging_2283/tillsyn/A 56248-2023 tillsynsbegäran.docx", "A 56248-2023")</f>
        <v/>
      </c>
      <c r="Y258">
        <f>HYPERLINK("https://klasma.github.io/Logging_2283/tillsynsmail/A 56248-2023 tillsynsbegäran mail.docx", "A 56248-2023")</f>
        <v/>
      </c>
      <c r="Z258">
        <f>HYPERLINK("https://klasma.github.io/Logging_2283/fåglar/A 56248-2023 prioriterade fågelarter.docx", "A 56248-2023")</f>
        <v/>
      </c>
    </row>
    <row r="259" ht="15" customHeight="1">
      <c r="A259" t="inlineStr">
        <is>
          <t>A 62364-2023</t>
        </is>
      </c>
      <c r="B259" s="1" t="n">
        <v>45267</v>
      </c>
      <c r="C259" s="1" t="n">
        <v>45822</v>
      </c>
      <c r="D259" t="inlineStr">
        <is>
          <t>VÄSTERNORRLANDS LÄN</t>
        </is>
      </c>
      <c r="E259" t="inlineStr">
        <is>
          <t>SOLLEFTEÅ</t>
        </is>
      </c>
      <c r="F259" t="inlineStr">
        <is>
          <t>SCA</t>
        </is>
      </c>
      <c r="G259" t="n">
        <v>22.1</v>
      </c>
      <c r="H259" t="n">
        <v>1</v>
      </c>
      <c r="I259" t="n">
        <v>0</v>
      </c>
      <c r="J259" t="n">
        <v>3</v>
      </c>
      <c r="K259" t="n">
        <v>0</v>
      </c>
      <c r="L259" t="n">
        <v>0</v>
      </c>
      <c r="M259" t="n">
        <v>0</v>
      </c>
      <c r="N259" t="n">
        <v>0</v>
      </c>
      <c r="O259" t="n">
        <v>3</v>
      </c>
      <c r="P259" t="n">
        <v>0</v>
      </c>
      <c r="Q259" t="n">
        <v>4</v>
      </c>
      <c r="R259" s="2" t="inlineStr">
        <is>
          <t>Granticka
Harticka
Skogshare
Tjäder</t>
        </is>
      </c>
      <c r="S259">
        <f>HYPERLINK("https://klasma.github.io/Logging_2283/artfynd/A 62364-2023 artfynd.xlsx", "A 62364-2023")</f>
        <v/>
      </c>
      <c r="T259">
        <f>HYPERLINK("https://klasma.github.io/Logging_2283/kartor/A 62364-2023 karta.png", "A 62364-2023")</f>
        <v/>
      </c>
      <c r="V259">
        <f>HYPERLINK("https://klasma.github.io/Logging_2283/klagomål/A 62364-2023 FSC-klagomål.docx", "A 62364-2023")</f>
        <v/>
      </c>
      <c r="W259">
        <f>HYPERLINK("https://klasma.github.io/Logging_2283/klagomålsmail/A 62364-2023 FSC-klagomål mail.docx", "A 62364-2023")</f>
        <v/>
      </c>
      <c r="X259">
        <f>HYPERLINK("https://klasma.github.io/Logging_2283/tillsyn/A 62364-2023 tillsynsbegäran.docx", "A 62364-2023")</f>
        <v/>
      </c>
      <c r="Y259">
        <f>HYPERLINK("https://klasma.github.io/Logging_2283/tillsynsmail/A 62364-2023 tillsynsbegäran mail.docx", "A 62364-2023")</f>
        <v/>
      </c>
      <c r="Z259">
        <f>HYPERLINK("https://klasma.github.io/Logging_2283/fåglar/A 62364-2023 prioriterade fågelarter.docx", "A 62364-2023")</f>
        <v/>
      </c>
    </row>
    <row r="260" ht="15" customHeight="1">
      <c r="A260" t="inlineStr">
        <is>
          <t>A 2833-2024</t>
        </is>
      </c>
      <c r="B260" s="1" t="n">
        <v>45314</v>
      </c>
      <c r="C260" s="1" t="n">
        <v>45822</v>
      </c>
      <c r="D260" t="inlineStr">
        <is>
          <t>VÄSTERNORRLANDS LÄN</t>
        </is>
      </c>
      <c r="E260" t="inlineStr">
        <is>
          <t>SOLLEFTEÅ</t>
        </is>
      </c>
      <c r="F260" t="inlineStr">
        <is>
          <t>SCA</t>
        </is>
      </c>
      <c r="G260" t="n">
        <v>12.9</v>
      </c>
      <c r="H260" t="n">
        <v>1</v>
      </c>
      <c r="I260" t="n">
        <v>0</v>
      </c>
      <c r="J260" t="n">
        <v>3</v>
      </c>
      <c r="K260" t="n">
        <v>0</v>
      </c>
      <c r="L260" t="n">
        <v>0</v>
      </c>
      <c r="M260" t="n">
        <v>0</v>
      </c>
      <c r="N260" t="n">
        <v>0</v>
      </c>
      <c r="O260" t="n">
        <v>3</v>
      </c>
      <c r="P260" t="n">
        <v>0</v>
      </c>
      <c r="Q260" t="n">
        <v>4</v>
      </c>
      <c r="R260" s="2" t="inlineStr">
        <is>
          <t>Garnlav
Kolflarnlav
Mörk kolflarnlav
Tjäder</t>
        </is>
      </c>
      <c r="S260">
        <f>HYPERLINK("https://klasma.github.io/Logging_2283/artfynd/A 2833-2024 artfynd.xlsx", "A 2833-2024")</f>
        <v/>
      </c>
      <c r="T260">
        <f>HYPERLINK("https://klasma.github.io/Logging_2283/kartor/A 2833-2024 karta.png", "A 2833-2024")</f>
        <v/>
      </c>
      <c r="V260">
        <f>HYPERLINK("https://klasma.github.io/Logging_2283/klagomål/A 2833-2024 FSC-klagomål.docx", "A 2833-2024")</f>
        <v/>
      </c>
      <c r="W260">
        <f>HYPERLINK("https://klasma.github.io/Logging_2283/klagomålsmail/A 2833-2024 FSC-klagomål mail.docx", "A 2833-2024")</f>
        <v/>
      </c>
      <c r="X260">
        <f>HYPERLINK("https://klasma.github.io/Logging_2283/tillsyn/A 2833-2024 tillsynsbegäran.docx", "A 2833-2024")</f>
        <v/>
      </c>
      <c r="Y260">
        <f>HYPERLINK("https://klasma.github.io/Logging_2283/tillsynsmail/A 2833-2024 tillsynsbegäran mail.docx", "A 2833-2024")</f>
        <v/>
      </c>
      <c r="Z260">
        <f>HYPERLINK("https://klasma.github.io/Logging_2283/fåglar/A 2833-2024 prioriterade fågelarter.docx", "A 2833-2024")</f>
        <v/>
      </c>
    </row>
    <row r="261" ht="15" customHeight="1">
      <c r="A261" t="inlineStr">
        <is>
          <t>A 9819-2024</t>
        </is>
      </c>
      <c r="B261" s="1" t="n">
        <v>45363</v>
      </c>
      <c r="C261" s="1" t="n">
        <v>45822</v>
      </c>
      <c r="D261" t="inlineStr">
        <is>
          <t>VÄSTERNORRLANDS LÄN</t>
        </is>
      </c>
      <c r="E261" t="inlineStr">
        <is>
          <t>SOLLEFTEÅ</t>
        </is>
      </c>
      <c r="F261" t="inlineStr">
        <is>
          <t>SCA</t>
        </is>
      </c>
      <c r="G261" t="n">
        <v>6.8</v>
      </c>
      <c r="H261" t="n">
        <v>1</v>
      </c>
      <c r="I261" t="n">
        <v>1</v>
      </c>
      <c r="J261" t="n">
        <v>2</v>
      </c>
      <c r="K261" t="n">
        <v>1</v>
      </c>
      <c r="L261" t="n">
        <v>0</v>
      </c>
      <c r="M261" t="n">
        <v>0</v>
      </c>
      <c r="N261" t="n">
        <v>0</v>
      </c>
      <c r="O261" t="n">
        <v>3</v>
      </c>
      <c r="P261" t="n">
        <v>1</v>
      </c>
      <c r="Q261" t="n">
        <v>4</v>
      </c>
      <c r="R261" s="2" t="inlineStr">
        <is>
          <t>Knärot
Motaggsvamp
Vitgrynig nållav
Dropptaggsvamp</t>
        </is>
      </c>
      <c r="S261">
        <f>HYPERLINK("https://klasma.github.io/Logging_2283/artfynd/A 9819-2024 artfynd.xlsx", "A 9819-2024")</f>
        <v/>
      </c>
      <c r="T261">
        <f>HYPERLINK("https://klasma.github.io/Logging_2283/kartor/A 9819-2024 karta.png", "A 9819-2024")</f>
        <v/>
      </c>
      <c r="U261">
        <f>HYPERLINK("https://klasma.github.io/Logging_2283/knärot/A 9819-2024 karta knärot.png", "A 9819-2024")</f>
        <v/>
      </c>
      <c r="V261">
        <f>HYPERLINK("https://klasma.github.io/Logging_2283/klagomål/A 9819-2024 FSC-klagomål.docx", "A 9819-2024")</f>
        <v/>
      </c>
      <c r="W261">
        <f>HYPERLINK("https://klasma.github.io/Logging_2283/klagomålsmail/A 9819-2024 FSC-klagomål mail.docx", "A 9819-2024")</f>
        <v/>
      </c>
      <c r="X261">
        <f>HYPERLINK("https://klasma.github.io/Logging_2283/tillsyn/A 9819-2024 tillsynsbegäran.docx", "A 9819-2024")</f>
        <v/>
      </c>
      <c r="Y261">
        <f>HYPERLINK("https://klasma.github.io/Logging_2283/tillsynsmail/A 9819-2024 tillsynsbegäran mail.docx", "A 9819-2024")</f>
        <v/>
      </c>
    </row>
    <row r="262" ht="15" customHeight="1">
      <c r="A262" t="inlineStr">
        <is>
          <t>A 13342-2024</t>
        </is>
      </c>
      <c r="B262" s="1" t="n">
        <v>45386</v>
      </c>
      <c r="C262" s="1" t="n">
        <v>45822</v>
      </c>
      <c r="D262" t="inlineStr">
        <is>
          <t>VÄSTERNORRLANDS LÄN</t>
        </is>
      </c>
      <c r="E262" t="inlineStr">
        <is>
          <t>SOLLEFTEÅ</t>
        </is>
      </c>
      <c r="F262" t="inlineStr">
        <is>
          <t>SCA</t>
        </is>
      </c>
      <c r="G262" t="n">
        <v>4.4</v>
      </c>
      <c r="H262" t="n">
        <v>0</v>
      </c>
      <c r="I262" t="n">
        <v>1</v>
      </c>
      <c r="J262" t="n">
        <v>3</v>
      </c>
      <c r="K262" t="n">
        <v>0</v>
      </c>
      <c r="L262" t="n">
        <v>0</v>
      </c>
      <c r="M262" t="n">
        <v>0</v>
      </c>
      <c r="N262" t="n">
        <v>0</v>
      </c>
      <c r="O262" t="n">
        <v>3</v>
      </c>
      <c r="P262" t="n">
        <v>0</v>
      </c>
      <c r="Q262" t="n">
        <v>4</v>
      </c>
      <c r="R262" s="2" t="inlineStr">
        <is>
          <t>Lunglav
Skrovellav
Ullticka
Stuplav</t>
        </is>
      </c>
      <c r="S262">
        <f>HYPERLINK("https://klasma.github.io/Logging_2283/artfynd/A 13342-2024 artfynd.xlsx", "A 13342-2024")</f>
        <v/>
      </c>
      <c r="T262">
        <f>HYPERLINK("https://klasma.github.io/Logging_2283/kartor/A 13342-2024 karta.png", "A 13342-2024")</f>
        <v/>
      </c>
      <c r="V262">
        <f>HYPERLINK("https://klasma.github.io/Logging_2283/klagomål/A 13342-2024 FSC-klagomål.docx", "A 13342-2024")</f>
        <v/>
      </c>
      <c r="W262">
        <f>HYPERLINK("https://klasma.github.io/Logging_2283/klagomålsmail/A 13342-2024 FSC-klagomål mail.docx", "A 13342-2024")</f>
        <v/>
      </c>
      <c r="X262">
        <f>HYPERLINK("https://klasma.github.io/Logging_2283/tillsyn/A 13342-2024 tillsynsbegäran.docx", "A 13342-2024")</f>
        <v/>
      </c>
      <c r="Y262">
        <f>HYPERLINK("https://klasma.github.io/Logging_2283/tillsynsmail/A 13342-2024 tillsynsbegäran mail.docx", "A 13342-2024")</f>
        <v/>
      </c>
    </row>
    <row r="263" ht="15" customHeight="1">
      <c r="A263" t="inlineStr">
        <is>
          <t>A 26467-2024</t>
        </is>
      </c>
      <c r="B263" s="1" t="n">
        <v>45469</v>
      </c>
      <c r="C263" s="1" t="n">
        <v>45822</v>
      </c>
      <c r="D263" t="inlineStr">
        <is>
          <t>VÄSTERNORRLANDS LÄN</t>
        </is>
      </c>
      <c r="E263" t="inlineStr">
        <is>
          <t>SOLLEFTEÅ</t>
        </is>
      </c>
      <c r="G263" t="n">
        <v>1.1</v>
      </c>
      <c r="H263" t="n">
        <v>2</v>
      </c>
      <c r="I263" t="n">
        <v>1</v>
      </c>
      <c r="J263" t="n">
        <v>1</v>
      </c>
      <c r="K263" t="n">
        <v>0</v>
      </c>
      <c r="L263" t="n">
        <v>0</v>
      </c>
      <c r="M263" t="n">
        <v>0</v>
      </c>
      <c r="N263" t="n">
        <v>0</v>
      </c>
      <c r="O263" t="n">
        <v>1</v>
      </c>
      <c r="P263" t="n">
        <v>0</v>
      </c>
      <c r="Q263" t="n">
        <v>4</v>
      </c>
      <c r="R263" s="2" t="inlineStr">
        <is>
          <t>Rosenticka
Springkorn
Skogsrör
Revlummer</t>
        </is>
      </c>
      <c r="S263">
        <f>HYPERLINK("https://klasma.github.io/Logging_2283/artfynd/A 26467-2024 artfynd.xlsx", "A 26467-2024")</f>
        <v/>
      </c>
      <c r="T263">
        <f>HYPERLINK("https://klasma.github.io/Logging_2283/kartor/A 26467-2024 karta.png", "A 26467-2024")</f>
        <v/>
      </c>
      <c r="V263">
        <f>HYPERLINK("https://klasma.github.io/Logging_2283/klagomål/A 26467-2024 FSC-klagomål.docx", "A 26467-2024")</f>
        <v/>
      </c>
      <c r="W263">
        <f>HYPERLINK("https://klasma.github.io/Logging_2283/klagomålsmail/A 26467-2024 FSC-klagomål mail.docx", "A 26467-2024")</f>
        <v/>
      </c>
      <c r="X263">
        <f>HYPERLINK("https://klasma.github.io/Logging_2283/tillsyn/A 26467-2024 tillsynsbegäran.docx", "A 26467-2024")</f>
        <v/>
      </c>
      <c r="Y263">
        <f>HYPERLINK("https://klasma.github.io/Logging_2283/tillsynsmail/A 26467-2024 tillsynsbegäran mail.docx", "A 26467-2024")</f>
        <v/>
      </c>
    </row>
    <row r="264" ht="15" customHeight="1">
      <c r="A264" t="inlineStr">
        <is>
          <t>A 29249-2024</t>
        </is>
      </c>
      <c r="B264" s="1" t="n">
        <v>45483</v>
      </c>
      <c r="C264" s="1" t="n">
        <v>45822</v>
      </c>
      <c r="D264" t="inlineStr">
        <is>
          <t>VÄSTERNORRLANDS LÄN</t>
        </is>
      </c>
      <c r="E264" t="inlineStr">
        <is>
          <t>SOLLEFTEÅ</t>
        </is>
      </c>
      <c r="F264" t="inlineStr">
        <is>
          <t>SCA</t>
        </is>
      </c>
      <c r="G264" t="n">
        <v>7.3</v>
      </c>
      <c r="H264" t="n">
        <v>3</v>
      </c>
      <c r="I264" t="n">
        <v>0</v>
      </c>
      <c r="J264" t="n">
        <v>3</v>
      </c>
      <c r="K264" t="n">
        <v>1</v>
      </c>
      <c r="L264" t="n">
        <v>0</v>
      </c>
      <c r="M264" t="n">
        <v>0</v>
      </c>
      <c r="N264" t="n">
        <v>0</v>
      </c>
      <c r="O264" t="n">
        <v>4</v>
      </c>
      <c r="P264" t="n">
        <v>1</v>
      </c>
      <c r="Q264" t="n">
        <v>4</v>
      </c>
      <c r="R264" s="2" t="inlineStr">
        <is>
          <t>Knärot
Harticka
Talltita
Tretåig hackspett</t>
        </is>
      </c>
      <c r="S264">
        <f>HYPERLINK("https://klasma.github.io/Logging_2283/artfynd/A 29249-2024 artfynd.xlsx", "A 29249-2024")</f>
        <v/>
      </c>
      <c r="T264">
        <f>HYPERLINK("https://klasma.github.io/Logging_2283/kartor/A 29249-2024 karta.png", "A 29249-2024")</f>
        <v/>
      </c>
      <c r="U264">
        <f>HYPERLINK("https://klasma.github.io/Logging_2283/knärot/A 29249-2024 karta knärot.png", "A 29249-2024")</f>
        <v/>
      </c>
      <c r="V264">
        <f>HYPERLINK("https://klasma.github.io/Logging_2283/klagomål/A 29249-2024 FSC-klagomål.docx", "A 29249-2024")</f>
        <v/>
      </c>
      <c r="W264">
        <f>HYPERLINK("https://klasma.github.io/Logging_2283/klagomålsmail/A 29249-2024 FSC-klagomål mail.docx", "A 29249-2024")</f>
        <v/>
      </c>
      <c r="X264">
        <f>HYPERLINK("https://klasma.github.io/Logging_2283/tillsyn/A 29249-2024 tillsynsbegäran.docx", "A 29249-2024")</f>
        <v/>
      </c>
      <c r="Y264">
        <f>HYPERLINK("https://klasma.github.io/Logging_2283/tillsynsmail/A 29249-2024 tillsynsbegäran mail.docx", "A 29249-2024")</f>
        <v/>
      </c>
      <c r="Z264">
        <f>HYPERLINK("https://klasma.github.io/Logging_2283/fåglar/A 29249-2024 prioriterade fågelarter.docx", "A 29249-2024")</f>
        <v/>
      </c>
    </row>
    <row r="265" ht="15" customHeight="1">
      <c r="A265" t="inlineStr">
        <is>
          <t>A 31560-2024</t>
        </is>
      </c>
      <c r="B265" s="1" t="n">
        <v>45505</v>
      </c>
      <c r="C265" s="1" t="n">
        <v>45822</v>
      </c>
      <c r="D265" t="inlineStr">
        <is>
          <t>VÄSTERNORRLANDS LÄN</t>
        </is>
      </c>
      <c r="E265" t="inlineStr">
        <is>
          <t>SOLLEFTEÅ</t>
        </is>
      </c>
      <c r="F265" t="inlineStr">
        <is>
          <t>SCA</t>
        </is>
      </c>
      <c r="G265" t="n">
        <v>6</v>
      </c>
      <c r="H265" t="n">
        <v>0</v>
      </c>
      <c r="I265" t="n">
        <v>0</v>
      </c>
      <c r="J265" t="n">
        <v>2</v>
      </c>
      <c r="K265" t="n">
        <v>2</v>
      </c>
      <c r="L265" t="n">
        <v>0</v>
      </c>
      <c r="M265" t="n">
        <v>0</v>
      </c>
      <c r="N265" t="n">
        <v>0</v>
      </c>
      <c r="O265" t="n">
        <v>4</v>
      </c>
      <c r="P265" t="n">
        <v>2</v>
      </c>
      <c r="Q265" t="n">
        <v>4</v>
      </c>
      <c r="R265" s="2" t="inlineStr">
        <is>
          <t>Lappticka
Rynkskinn
Rosenticka
Ullticka</t>
        </is>
      </c>
      <c r="S265">
        <f>HYPERLINK("https://klasma.github.io/Logging_2283/artfynd/A 31560-2024 artfynd.xlsx", "A 31560-2024")</f>
        <v/>
      </c>
      <c r="T265">
        <f>HYPERLINK("https://klasma.github.io/Logging_2283/kartor/A 31560-2024 karta.png", "A 31560-2024")</f>
        <v/>
      </c>
      <c r="V265">
        <f>HYPERLINK("https://klasma.github.io/Logging_2283/klagomål/A 31560-2024 FSC-klagomål.docx", "A 31560-2024")</f>
        <v/>
      </c>
      <c r="W265">
        <f>HYPERLINK("https://klasma.github.io/Logging_2283/klagomålsmail/A 31560-2024 FSC-klagomål mail.docx", "A 31560-2024")</f>
        <v/>
      </c>
      <c r="X265">
        <f>HYPERLINK("https://klasma.github.io/Logging_2283/tillsyn/A 31560-2024 tillsynsbegäran.docx", "A 31560-2024")</f>
        <v/>
      </c>
      <c r="Y265">
        <f>HYPERLINK("https://klasma.github.io/Logging_2283/tillsynsmail/A 31560-2024 tillsynsbegäran mail.docx", "A 31560-2024")</f>
        <v/>
      </c>
    </row>
    <row r="266" ht="15" customHeight="1">
      <c r="A266" t="inlineStr">
        <is>
          <t>A 46167-2024</t>
        </is>
      </c>
      <c r="B266" s="1" t="n">
        <v>45581</v>
      </c>
      <c r="C266" s="1" t="n">
        <v>45822</v>
      </c>
      <c r="D266" t="inlineStr">
        <is>
          <t>VÄSTERNORRLANDS LÄN</t>
        </is>
      </c>
      <c r="E266" t="inlineStr">
        <is>
          <t>SOLLEFTEÅ</t>
        </is>
      </c>
      <c r="G266" t="n">
        <v>8.300000000000001</v>
      </c>
      <c r="H266" t="n">
        <v>1</v>
      </c>
      <c r="I266" t="n">
        <v>0</v>
      </c>
      <c r="J266" t="n">
        <v>3</v>
      </c>
      <c r="K266" t="n">
        <v>1</v>
      </c>
      <c r="L266" t="n">
        <v>0</v>
      </c>
      <c r="M266" t="n">
        <v>0</v>
      </c>
      <c r="N266" t="n">
        <v>0</v>
      </c>
      <c r="O266" t="n">
        <v>4</v>
      </c>
      <c r="P266" t="n">
        <v>1</v>
      </c>
      <c r="Q266" t="n">
        <v>4</v>
      </c>
      <c r="R266" s="2" t="inlineStr">
        <is>
          <t>Knärot
Lunglav
Rosenticka
Ullticka</t>
        </is>
      </c>
      <c r="S266">
        <f>HYPERLINK("https://klasma.github.io/Logging_2283/artfynd/A 46167-2024 artfynd.xlsx", "A 46167-2024")</f>
        <v/>
      </c>
      <c r="T266">
        <f>HYPERLINK("https://klasma.github.io/Logging_2283/kartor/A 46167-2024 karta.png", "A 46167-2024")</f>
        <v/>
      </c>
      <c r="U266">
        <f>HYPERLINK("https://klasma.github.io/Logging_2283/knärot/A 46167-2024 karta knärot.png", "A 46167-2024")</f>
        <v/>
      </c>
      <c r="V266">
        <f>HYPERLINK("https://klasma.github.io/Logging_2283/klagomål/A 46167-2024 FSC-klagomål.docx", "A 46167-2024")</f>
        <v/>
      </c>
      <c r="W266">
        <f>HYPERLINK("https://klasma.github.io/Logging_2283/klagomålsmail/A 46167-2024 FSC-klagomål mail.docx", "A 46167-2024")</f>
        <v/>
      </c>
      <c r="X266">
        <f>HYPERLINK("https://klasma.github.io/Logging_2283/tillsyn/A 46167-2024 tillsynsbegäran.docx", "A 46167-2024")</f>
        <v/>
      </c>
      <c r="Y266">
        <f>HYPERLINK("https://klasma.github.io/Logging_2283/tillsynsmail/A 46167-2024 tillsynsbegäran mail.docx", "A 46167-2024")</f>
        <v/>
      </c>
    </row>
    <row r="267" ht="15" customHeight="1">
      <c r="A267" t="inlineStr">
        <is>
          <t>A 47527-2024</t>
        </is>
      </c>
      <c r="B267" s="1" t="n">
        <v>45587</v>
      </c>
      <c r="C267" s="1" t="n">
        <v>45822</v>
      </c>
      <c r="D267" t="inlineStr">
        <is>
          <t>VÄSTERNORRLANDS LÄN</t>
        </is>
      </c>
      <c r="E267" t="inlineStr">
        <is>
          <t>SOLLEFTEÅ</t>
        </is>
      </c>
      <c r="F267" t="inlineStr">
        <is>
          <t>SCA</t>
        </is>
      </c>
      <c r="G267" t="n">
        <v>3.6</v>
      </c>
      <c r="H267" t="n">
        <v>1</v>
      </c>
      <c r="I267" t="n">
        <v>1</v>
      </c>
      <c r="J267" t="n">
        <v>3</v>
      </c>
      <c r="K267" t="n">
        <v>0</v>
      </c>
      <c r="L267" t="n">
        <v>0</v>
      </c>
      <c r="M267" t="n">
        <v>0</v>
      </c>
      <c r="N267" t="n">
        <v>0</v>
      </c>
      <c r="O267" t="n">
        <v>3</v>
      </c>
      <c r="P267" t="n">
        <v>0</v>
      </c>
      <c r="Q267" t="n">
        <v>4</v>
      </c>
      <c r="R267" s="2" t="inlineStr">
        <is>
          <t>Garnlav
Lunglav
Ullticka
Lappranunkel</t>
        </is>
      </c>
      <c r="S267">
        <f>HYPERLINK("https://klasma.github.io/Logging_2283/artfynd/A 47527-2024 artfynd.xlsx", "A 47527-2024")</f>
        <v/>
      </c>
      <c r="T267">
        <f>HYPERLINK("https://klasma.github.io/Logging_2283/kartor/A 47527-2024 karta.png", "A 47527-2024")</f>
        <v/>
      </c>
      <c r="V267">
        <f>HYPERLINK("https://klasma.github.io/Logging_2283/klagomål/A 47527-2024 FSC-klagomål.docx", "A 47527-2024")</f>
        <v/>
      </c>
      <c r="W267">
        <f>HYPERLINK("https://klasma.github.io/Logging_2283/klagomålsmail/A 47527-2024 FSC-klagomål mail.docx", "A 47527-2024")</f>
        <v/>
      </c>
      <c r="X267">
        <f>HYPERLINK("https://klasma.github.io/Logging_2283/tillsyn/A 47527-2024 tillsynsbegäran.docx", "A 47527-2024")</f>
        <v/>
      </c>
      <c r="Y267">
        <f>HYPERLINK("https://klasma.github.io/Logging_2283/tillsynsmail/A 47527-2024 tillsynsbegäran mail.docx", "A 47527-2024")</f>
        <v/>
      </c>
    </row>
    <row r="268" ht="15" customHeight="1">
      <c r="A268" t="inlineStr">
        <is>
          <t>A 51192-2024</t>
        </is>
      </c>
      <c r="B268" s="1" t="n">
        <v>45603</v>
      </c>
      <c r="C268" s="1" t="n">
        <v>45822</v>
      </c>
      <c r="D268" t="inlineStr">
        <is>
          <t>VÄSTERNORRLANDS LÄN</t>
        </is>
      </c>
      <c r="E268" t="inlineStr">
        <is>
          <t>SOLLEFTEÅ</t>
        </is>
      </c>
      <c r="F268" t="inlineStr">
        <is>
          <t>SCA</t>
        </is>
      </c>
      <c r="G268" t="n">
        <v>3.9</v>
      </c>
      <c r="H268" t="n">
        <v>1</v>
      </c>
      <c r="I268" t="n">
        <v>0</v>
      </c>
      <c r="J268" t="n">
        <v>3</v>
      </c>
      <c r="K268" t="n">
        <v>1</v>
      </c>
      <c r="L268" t="n">
        <v>0</v>
      </c>
      <c r="M268" t="n">
        <v>0</v>
      </c>
      <c r="N268" t="n">
        <v>0</v>
      </c>
      <c r="O268" t="n">
        <v>4</v>
      </c>
      <c r="P268" t="n">
        <v>1</v>
      </c>
      <c r="Q268" t="n">
        <v>4</v>
      </c>
      <c r="R268" s="2" t="inlineStr">
        <is>
          <t>Rynkskinn
Garnlav
Lunglav
Talltita</t>
        </is>
      </c>
      <c r="S268">
        <f>HYPERLINK("https://klasma.github.io/Logging_2283/artfynd/A 51192-2024 artfynd.xlsx", "A 51192-2024")</f>
        <v/>
      </c>
      <c r="T268">
        <f>HYPERLINK("https://klasma.github.io/Logging_2283/kartor/A 51192-2024 karta.png", "A 51192-2024")</f>
        <v/>
      </c>
      <c r="V268">
        <f>HYPERLINK("https://klasma.github.io/Logging_2283/klagomål/A 51192-2024 FSC-klagomål.docx", "A 51192-2024")</f>
        <v/>
      </c>
      <c r="W268">
        <f>HYPERLINK("https://klasma.github.io/Logging_2283/klagomålsmail/A 51192-2024 FSC-klagomål mail.docx", "A 51192-2024")</f>
        <v/>
      </c>
      <c r="X268">
        <f>HYPERLINK("https://klasma.github.io/Logging_2283/tillsyn/A 51192-2024 tillsynsbegäran.docx", "A 51192-2024")</f>
        <v/>
      </c>
      <c r="Y268">
        <f>HYPERLINK("https://klasma.github.io/Logging_2283/tillsynsmail/A 51192-2024 tillsynsbegäran mail.docx", "A 51192-2024")</f>
        <v/>
      </c>
      <c r="Z268">
        <f>HYPERLINK("https://klasma.github.io/Logging_2283/fåglar/A 51192-2024 prioriterade fågelarter.docx", "A 51192-2024")</f>
        <v/>
      </c>
    </row>
    <row r="269" ht="15" customHeight="1">
      <c r="A269" t="inlineStr">
        <is>
          <t>A 51385-2024</t>
        </is>
      </c>
      <c r="B269" s="1" t="n">
        <v>45604</v>
      </c>
      <c r="C269" s="1" t="n">
        <v>45822</v>
      </c>
      <c r="D269" t="inlineStr">
        <is>
          <t>VÄSTERNORRLANDS LÄN</t>
        </is>
      </c>
      <c r="E269" t="inlineStr">
        <is>
          <t>SOLLEFTEÅ</t>
        </is>
      </c>
      <c r="G269" t="n">
        <v>5.8</v>
      </c>
      <c r="H269" t="n">
        <v>2</v>
      </c>
      <c r="I269" t="n">
        <v>0</v>
      </c>
      <c r="J269" t="n">
        <v>3</v>
      </c>
      <c r="K269" t="n">
        <v>0</v>
      </c>
      <c r="L269" t="n">
        <v>0</v>
      </c>
      <c r="M269" t="n">
        <v>0</v>
      </c>
      <c r="N269" t="n">
        <v>0</v>
      </c>
      <c r="O269" t="n">
        <v>3</v>
      </c>
      <c r="P269" t="n">
        <v>0</v>
      </c>
      <c r="Q269" t="n">
        <v>4</v>
      </c>
      <c r="R269" s="2" t="inlineStr">
        <is>
          <t>Rosenticka
Talltita
Ullticka
Fläcknycklar</t>
        </is>
      </c>
      <c r="S269">
        <f>HYPERLINK("https://klasma.github.io/Logging_2283/artfynd/A 51385-2024 artfynd.xlsx", "A 51385-2024")</f>
        <v/>
      </c>
      <c r="T269">
        <f>HYPERLINK("https://klasma.github.io/Logging_2283/kartor/A 51385-2024 karta.png", "A 51385-2024")</f>
        <v/>
      </c>
      <c r="U269">
        <f>HYPERLINK("https://klasma.github.io/Logging_2283/knärot/A 51385-2024 karta knärot.png", "A 51385-2024")</f>
        <v/>
      </c>
      <c r="V269">
        <f>HYPERLINK("https://klasma.github.io/Logging_2283/klagomål/A 51385-2024 FSC-klagomål.docx", "A 51385-2024")</f>
        <v/>
      </c>
      <c r="W269">
        <f>HYPERLINK("https://klasma.github.io/Logging_2283/klagomålsmail/A 51385-2024 FSC-klagomål mail.docx", "A 51385-2024")</f>
        <v/>
      </c>
      <c r="X269">
        <f>HYPERLINK("https://klasma.github.io/Logging_2283/tillsyn/A 51385-2024 tillsynsbegäran.docx", "A 51385-2024")</f>
        <v/>
      </c>
      <c r="Y269">
        <f>HYPERLINK("https://klasma.github.io/Logging_2283/tillsynsmail/A 51385-2024 tillsynsbegäran mail.docx", "A 51385-2024")</f>
        <v/>
      </c>
      <c r="Z269">
        <f>HYPERLINK("https://klasma.github.io/Logging_2283/fåglar/A 51385-2024 prioriterade fågelarter.docx", "A 51385-2024")</f>
        <v/>
      </c>
    </row>
    <row r="270" ht="15" customHeight="1">
      <c r="A270" t="inlineStr">
        <is>
          <t>A 53898-2024</t>
        </is>
      </c>
      <c r="B270" s="1" t="n">
        <v>45615</v>
      </c>
      <c r="C270" s="1" t="n">
        <v>45822</v>
      </c>
      <c r="D270" t="inlineStr">
        <is>
          <t>VÄSTERNORRLANDS LÄN</t>
        </is>
      </c>
      <c r="E270" t="inlineStr">
        <is>
          <t>SOLLEFTEÅ</t>
        </is>
      </c>
      <c r="F270" t="inlineStr">
        <is>
          <t>SCA</t>
        </is>
      </c>
      <c r="G270" t="n">
        <v>2</v>
      </c>
      <c r="H270" t="n">
        <v>0</v>
      </c>
      <c r="I270" t="n">
        <v>2</v>
      </c>
      <c r="J270" t="n">
        <v>2</v>
      </c>
      <c r="K270" t="n">
        <v>0</v>
      </c>
      <c r="L270" t="n">
        <v>0</v>
      </c>
      <c r="M270" t="n">
        <v>0</v>
      </c>
      <c r="N270" t="n">
        <v>0</v>
      </c>
      <c r="O270" t="n">
        <v>2</v>
      </c>
      <c r="P270" t="n">
        <v>0</v>
      </c>
      <c r="Q270" t="n">
        <v>4</v>
      </c>
      <c r="R270" s="2" t="inlineStr">
        <is>
          <t>Garnlav
Lunglav
Norrlandslav
Stuplav</t>
        </is>
      </c>
      <c r="S270">
        <f>HYPERLINK("https://klasma.github.io/Logging_2283/artfynd/A 53898-2024 artfynd.xlsx", "A 53898-2024")</f>
        <v/>
      </c>
      <c r="T270">
        <f>HYPERLINK("https://klasma.github.io/Logging_2283/kartor/A 53898-2024 karta.png", "A 53898-2024")</f>
        <v/>
      </c>
      <c r="V270">
        <f>HYPERLINK("https://klasma.github.io/Logging_2283/klagomål/A 53898-2024 FSC-klagomål.docx", "A 53898-2024")</f>
        <v/>
      </c>
      <c r="W270">
        <f>HYPERLINK("https://klasma.github.io/Logging_2283/klagomålsmail/A 53898-2024 FSC-klagomål mail.docx", "A 53898-2024")</f>
        <v/>
      </c>
      <c r="X270">
        <f>HYPERLINK("https://klasma.github.io/Logging_2283/tillsyn/A 53898-2024 tillsynsbegäran.docx", "A 53898-2024")</f>
        <v/>
      </c>
      <c r="Y270">
        <f>HYPERLINK("https://klasma.github.io/Logging_2283/tillsynsmail/A 53898-2024 tillsynsbegäran mail.docx", "A 53898-2024")</f>
        <v/>
      </c>
    </row>
    <row r="271" ht="15" customHeight="1">
      <c r="A271" t="inlineStr">
        <is>
          <t>A 54093-2024</t>
        </is>
      </c>
      <c r="B271" s="1" t="n">
        <v>45616</v>
      </c>
      <c r="C271" s="1" t="n">
        <v>45822</v>
      </c>
      <c r="D271" t="inlineStr">
        <is>
          <t>VÄSTERNORRLANDS LÄN</t>
        </is>
      </c>
      <c r="E271" t="inlineStr">
        <is>
          <t>SOLLEFTEÅ</t>
        </is>
      </c>
      <c r="F271" t="inlineStr">
        <is>
          <t>SCA</t>
        </is>
      </c>
      <c r="G271" t="n">
        <v>3.9</v>
      </c>
      <c r="H271" t="n">
        <v>0</v>
      </c>
      <c r="I271" t="n">
        <v>0</v>
      </c>
      <c r="J271" t="n">
        <v>4</v>
      </c>
      <c r="K271" t="n">
        <v>0</v>
      </c>
      <c r="L271" t="n">
        <v>0</v>
      </c>
      <c r="M271" t="n">
        <v>0</v>
      </c>
      <c r="N271" t="n">
        <v>0</v>
      </c>
      <c r="O271" t="n">
        <v>4</v>
      </c>
      <c r="P271" t="n">
        <v>0</v>
      </c>
      <c r="Q271" t="n">
        <v>4</v>
      </c>
      <c r="R271" s="2" t="inlineStr">
        <is>
          <t>Garnlav
Lunglav
Rosenticka
Ullticka</t>
        </is>
      </c>
      <c r="S271">
        <f>HYPERLINK("https://klasma.github.io/Logging_2283/artfynd/A 54093-2024 artfynd.xlsx", "A 54093-2024")</f>
        <v/>
      </c>
      <c r="T271">
        <f>HYPERLINK("https://klasma.github.io/Logging_2283/kartor/A 54093-2024 karta.png", "A 54093-2024")</f>
        <v/>
      </c>
      <c r="V271">
        <f>HYPERLINK("https://klasma.github.io/Logging_2283/klagomål/A 54093-2024 FSC-klagomål.docx", "A 54093-2024")</f>
        <v/>
      </c>
      <c r="W271">
        <f>HYPERLINK("https://klasma.github.io/Logging_2283/klagomålsmail/A 54093-2024 FSC-klagomål mail.docx", "A 54093-2024")</f>
        <v/>
      </c>
      <c r="X271">
        <f>HYPERLINK("https://klasma.github.io/Logging_2283/tillsyn/A 54093-2024 tillsynsbegäran.docx", "A 54093-2024")</f>
        <v/>
      </c>
      <c r="Y271">
        <f>HYPERLINK("https://klasma.github.io/Logging_2283/tillsynsmail/A 54093-2024 tillsynsbegäran mail.docx", "A 54093-2024")</f>
        <v/>
      </c>
    </row>
    <row r="272" ht="15" customHeight="1">
      <c r="A272" t="inlineStr">
        <is>
          <t>A 55847-2024</t>
        </is>
      </c>
      <c r="B272" s="1" t="n">
        <v>45623</v>
      </c>
      <c r="C272" s="1" t="n">
        <v>45822</v>
      </c>
      <c r="D272" t="inlineStr">
        <is>
          <t>VÄSTERNORRLANDS LÄN</t>
        </is>
      </c>
      <c r="E272" t="inlineStr">
        <is>
          <t>SOLLEFTEÅ</t>
        </is>
      </c>
      <c r="F272" t="inlineStr">
        <is>
          <t>SCA</t>
        </is>
      </c>
      <c r="G272" t="n">
        <v>4.6</v>
      </c>
      <c r="H272" t="n">
        <v>0</v>
      </c>
      <c r="I272" t="n">
        <v>1</v>
      </c>
      <c r="J272" t="n">
        <v>3</v>
      </c>
      <c r="K272" t="n">
        <v>0</v>
      </c>
      <c r="L272" t="n">
        <v>0</v>
      </c>
      <c r="M272" t="n">
        <v>0</v>
      </c>
      <c r="N272" t="n">
        <v>0</v>
      </c>
      <c r="O272" t="n">
        <v>3</v>
      </c>
      <c r="P272" t="n">
        <v>0</v>
      </c>
      <c r="Q272" t="n">
        <v>4</v>
      </c>
      <c r="R272" s="2" t="inlineStr">
        <is>
          <t>Blanksvart spiklav
Kolflarnlav
Vedskivlav
Dropptaggsvamp</t>
        </is>
      </c>
      <c r="S272">
        <f>HYPERLINK("https://klasma.github.io/Logging_2283/artfynd/A 55847-2024 artfynd.xlsx", "A 55847-2024")</f>
        <v/>
      </c>
      <c r="T272">
        <f>HYPERLINK("https://klasma.github.io/Logging_2283/kartor/A 55847-2024 karta.png", "A 55847-2024")</f>
        <v/>
      </c>
      <c r="V272">
        <f>HYPERLINK("https://klasma.github.io/Logging_2283/klagomål/A 55847-2024 FSC-klagomål.docx", "A 55847-2024")</f>
        <v/>
      </c>
      <c r="W272">
        <f>HYPERLINK("https://klasma.github.io/Logging_2283/klagomålsmail/A 55847-2024 FSC-klagomål mail.docx", "A 55847-2024")</f>
        <v/>
      </c>
      <c r="X272">
        <f>HYPERLINK("https://klasma.github.io/Logging_2283/tillsyn/A 55847-2024 tillsynsbegäran.docx", "A 55847-2024")</f>
        <v/>
      </c>
      <c r="Y272">
        <f>HYPERLINK("https://klasma.github.io/Logging_2283/tillsynsmail/A 55847-2024 tillsynsbegäran mail.docx", "A 55847-2024")</f>
        <v/>
      </c>
    </row>
    <row r="273" ht="15" customHeight="1">
      <c r="A273" t="inlineStr">
        <is>
          <t>A 57081-2024</t>
        </is>
      </c>
      <c r="B273" s="1" t="n">
        <v>45629</v>
      </c>
      <c r="C273" s="1" t="n">
        <v>45822</v>
      </c>
      <c r="D273" t="inlineStr">
        <is>
          <t>VÄSTERNORRLANDS LÄN</t>
        </is>
      </c>
      <c r="E273" t="inlineStr">
        <is>
          <t>SOLLEFTEÅ</t>
        </is>
      </c>
      <c r="F273" t="inlineStr">
        <is>
          <t>SCA</t>
        </is>
      </c>
      <c r="G273" t="n">
        <v>0.7</v>
      </c>
      <c r="H273" t="n">
        <v>1</v>
      </c>
      <c r="I273" t="n">
        <v>0</v>
      </c>
      <c r="J273" t="n">
        <v>4</v>
      </c>
      <c r="K273" t="n">
        <v>0</v>
      </c>
      <c r="L273" t="n">
        <v>0</v>
      </c>
      <c r="M273" t="n">
        <v>0</v>
      </c>
      <c r="N273" t="n">
        <v>0</v>
      </c>
      <c r="O273" t="n">
        <v>4</v>
      </c>
      <c r="P273" t="n">
        <v>0</v>
      </c>
      <c r="Q273" t="n">
        <v>4</v>
      </c>
      <c r="R273" s="2" t="inlineStr">
        <is>
          <t>Garnlav
Lunglav
Tretåig hackspett
Ullticka</t>
        </is>
      </c>
      <c r="S273">
        <f>HYPERLINK("https://klasma.github.io/Logging_2283/artfynd/A 57081-2024 artfynd.xlsx", "A 57081-2024")</f>
        <v/>
      </c>
      <c r="T273">
        <f>HYPERLINK("https://klasma.github.io/Logging_2283/kartor/A 57081-2024 karta.png", "A 57081-2024")</f>
        <v/>
      </c>
      <c r="V273">
        <f>HYPERLINK("https://klasma.github.io/Logging_2283/klagomål/A 57081-2024 FSC-klagomål.docx", "A 57081-2024")</f>
        <v/>
      </c>
      <c r="W273">
        <f>HYPERLINK("https://klasma.github.io/Logging_2283/klagomålsmail/A 57081-2024 FSC-klagomål mail.docx", "A 57081-2024")</f>
        <v/>
      </c>
      <c r="X273">
        <f>HYPERLINK("https://klasma.github.io/Logging_2283/tillsyn/A 57081-2024 tillsynsbegäran.docx", "A 57081-2024")</f>
        <v/>
      </c>
      <c r="Y273">
        <f>HYPERLINK("https://klasma.github.io/Logging_2283/tillsynsmail/A 57081-2024 tillsynsbegäran mail.docx", "A 57081-2024")</f>
        <v/>
      </c>
      <c r="Z273">
        <f>HYPERLINK("https://klasma.github.io/Logging_2283/fåglar/A 57081-2024 prioriterade fågelarter.docx", "A 57081-2024")</f>
        <v/>
      </c>
    </row>
    <row r="274" ht="15" customHeight="1">
      <c r="A274" t="inlineStr">
        <is>
          <t>A 59381-2024</t>
        </is>
      </c>
      <c r="B274" s="1" t="n">
        <v>45638</v>
      </c>
      <c r="C274" s="1" t="n">
        <v>45822</v>
      </c>
      <c r="D274" t="inlineStr">
        <is>
          <t>VÄSTERNORRLANDS LÄN</t>
        </is>
      </c>
      <c r="E274" t="inlineStr">
        <is>
          <t>SOLLEFTEÅ</t>
        </is>
      </c>
      <c r="G274" t="n">
        <v>5.4</v>
      </c>
      <c r="H274" t="n">
        <v>2</v>
      </c>
      <c r="I274" t="n">
        <v>0</v>
      </c>
      <c r="J274" t="n">
        <v>3</v>
      </c>
      <c r="K274" t="n">
        <v>0</v>
      </c>
      <c r="L274" t="n">
        <v>0</v>
      </c>
      <c r="M274" t="n">
        <v>0</v>
      </c>
      <c r="N274" t="n">
        <v>0</v>
      </c>
      <c r="O274" t="n">
        <v>3</v>
      </c>
      <c r="P274" t="n">
        <v>0</v>
      </c>
      <c r="Q274" t="n">
        <v>4</v>
      </c>
      <c r="R274" s="2" t="inlineStr">
        <is>
          <t>Rosenticka
Talltita
Ullticka
Fläcknycklar</t>
        </is>
      </c>
      <c r="S274">
        <f>HYPERLINK("https://klasma.github.io/Logging_2283/artfynd/A 59381-2024 artfynd.xlsx", "A 59381-2024")</f>
        <v/>
      </c>
      <c r="T274">
        <f>HYPERLINK("https://klasma.github.io/Logging_2283/kartor/A 59381-2024 karta.png", "A 59381-2024")</f>
        <v/>
      </c>
      <c r="U274">
        <f>HYPERLINK("https://klasma.github.io/Logging_2283/knärot/A 59381-2024 karta knärot.png", "A 59381-2024")</f>
        <v/>
      </c>
      <c r="V274">
        <f>HYPERLINK("https://klasma.github.io/Logging_2283/klagomål/A 59381-2024 FSC-klagomål.docx", "A 59381-2024")</f>
        <v/>
      </c>
      <c r="W274">
        <f>HYPERLINK("https://klasma.github.io/Logging_2283/klagomålsmail/A 59381-2024 FSC-klagomål mail.docx", "A 59381-2024")</f>
        <v/>
      </c>
      <c r="X274">
        <f>HYPERLINK("https://klasma.github.io/Logging_2283/tillsyn/A 59381-2024 tillsynsbegäran.docx", "A 59381-2024")</f>
        <v/>
      </c>
      <c r="Y274">
        <f>HYPERLINK("https://klasma.github.io/Logging_2283/tillsynsmail/A 59381-2024 tillsynsbegäran mail.docx", "A 59381-2024")</f>
        <v/>
      </c>
      <c r="Z274">
        <f>HYPERLINK("https://klasma.github.io/Logging_2283/fåglar/A 59381-2024 prioriterade fågelarter.docx", "A 59381-2024")</f>
        <v/>
      </c>
    </row>
    <row r="275" ht="15" customHeight="1">
      <c r="A275" t="inlineStr">
        <is>
          <t>A 2349-2025</t>
        </is>
      </c>
      <c r="B275" s="1" t="n">
        <v>45673</v>
      </c>
      <c r="C275" s="1" t="n">
        <v>45822</v>
      </c>
      <c r="D275" t="inlineStr">
        <is>
          <t>VÄSTERNORRLANDS LÄN</t>
        </is>
      </c>
      <c r="E275" t="inlineStr">
        <is>
          <t>SOLLEFTEÅ</t>
        </is>
      </c>
      <c r="F275" t="inlineStr">
        <is>
          <t>SCA</t>
        </is>
      </c>
      <c r="G275" t="n">
        <v>3.5</v>
      </c>
      <c r="H275" t="n">
        <v>2</v>
      </c>
      <c r="I275" t="n">
        <v>0</v>
      </c>
      <c r="J275" t="n">
        <v>3</v>
      </c>
      <c r="K275" t="n">
        <v>0</v>
      </c>
      <c r="L275" t="n">
        <v>0</v>
      </c>
      <c r="M275" t="n">
        <v>0</v>
      </c>
      <c r="N275" t="n">
        <v>0</v>
      </c>
      <c r="O275" t="n">
        <v>3</v>
      </c>
      <c r="P275" t="n">
        <v>0</v>
      </c>
      <c r="Q275" t="n">
        <v>4</v>
      </c>
      <c r="R275" s="2" t="inlineStr">
        <is>
          <t>Garnlav
Spillkråka
Ullticka
Tjäder</t>
        </is>
      </c>
      <c r="S275">
        <f>HYPERLINK("https://klasma.github.io/Logging_2283/artfynd/A 2349-2025 artfynd.xlsx", "A 2349-2025")</f>
        <v/>
      </c>
      <c r="T275">
        <f>HYPERLINK("https://klasma.github.io/Logging_2283/kartor/A 2349-2025 karta.png", "A 2349-2025")</f>
        <v/>
      </c>
      <c r="V275">
        <f>HYPERLINK("https://klasma.github.io/Logging_2283/klagomål/A 2349-2025 FSC-klagomål.docx", "A 2349-2025")</f>
        <v/>
      </c>
      <c r="W275">
        <f>HYPERLINK("https://klasma.github.io/Logging_2283/klagomålsmail/A 2349-2025 FSC-klagomål mail.docx", "A 2349-2025")</f>
        <v/>
      </c>
      <c r="X275">
        <f>HYPERLINK("https://klasma.github.io/Logging_2283/tillsyn/A 2349-2025 tillsynsbegäran.docx", "A 2349-2025")</f>
        <v/>
      </c>
      <c r="Y275">
        <f>HYPERLINK("https://klasma.github.io/Logging_2283/tillsynsmail/A 2349-2025 tillsynsbegäran mail.docx", "A 2349-2025")</f>
        <v/>
      </c>
      <c r="Z275">
        <f>HYPERLINK("https://klasma.github.io/Logging_2283/fåglar/A 2349-2025 prioriterade fågelarter.docx", "A 2349-2025")</f>
        <v/>
      </c>
    </row>
    <row r="276" ht="15" customHeight="1">
      <c r="A276" t="inlineStr">
        <is>
          <t>A 5018-2025</t>
        </is>
      </c>
      <c r="B276" s="1" t="n">
        <v>45691</v>
      </c>
      <c r="C276" s="1" t="n">
        <v>45822</v>
      </c>
      <c r="D276" t="inlineStr">
        <is>
          <t>VÄSTERNORRLANDS LÄN</t>
        </is>
      </c>
      <c r="E276" t="inlineStr">
        <is>
          <t>SOLLEFTEÅ</t>
        </is>
      </c>
      <c r="G276" t="n">
        <v>11.5</v>
      </c>
      <c r="H276" t="n">
        <v>1</v>
      </c>
      <c r="I276" t="n">
        <v>0</v>
      </c>
      <c r="J276" t="n">
        <v>3</v>
      </c>
      <c r="K276" t="n">
        <v>0</v>
      </c>
      <c r="L276" t="n">
        <v>0</v>
      </c>
      <c r="M276" t="n">
        <v>0</v>
      </c>
      <c r="N276" t="n">
        <v>0</v>
      </c>
      <c r="O276" t="n">
        <v>3</v>
      </c>
      <c r="P276" t="n">
        <v>0</v>
      </c>
      <c r="Q276" t="n">
        <v>4</v>
      </c>
      <c r="R276" s="2" t="inlineStr">
        <is>
          <t>Garnlav
Granticka
Rosenticka
Tjäder</t>
        </is>
      </c>
      <c r="S276">
        <f>HYPERLINK("https://klasma.github.io/Logging_2283/artfynd/A 5018-2025 artfynd.xlsx", "A 5018-2025")</f>
        <v/>
      </c>
      <c r="T276">
        <f>HYPERLINK("https://klasma.github.io/Logging_2283/kartor/A 5018-2025 karta.png", "A 5018-2025")</f>
        <v/>
      </c>
      <c r="V276">
        <f>HYPERLINK("https://klasma.github.io/Logging_2283/klagomål/A 5018-2025 FSC-klagomål.docx", "A 5018-2025")</f>
        <v/>
      </c>
      <c r="W276">
        <f>HYPERLINK("https://klasma.github.io/Logging_2283/klagomålsmail/A 5018-2025 FSC-klagomål mail.docx", "A 5018-2025")</f>
        <v/>
      </c>
      <c r="X276">
        <f>HYPERLINK("https://klasma.github.io/Logging_2283/tillsyn/A 5018-2025 tillsynsbegäran.docx", "A 5018-2025")</f>
        <v/>
      </c>
      <c r="Y276">
        <f>HYPERLINK("https://klasma.github.io/Logging_2283/tillsynsmail/A 5018-2025 tillsynsbegäran mail.docx", "A 5018-2025")</f>
        <v/>
      </c>
      <c r="Z276">
        <f>HYPERLINK("https://klasma.github.io/Logging_2283/fåglar/A 5018-2025 prioriterade fågelarter.docx", "A 5018-2025")</f>
        <v/>
      </c>
    </row>
    <row r="277" ht="15" customHeight="1">
      <c r="A277" t="inlineStr">
        <is>
          <t>A 19898-2025</t>
        </is>
      </c>
      <c r="B277" s="1" t="n">
        <v>45771</v>
      </c>
      <c r="C277" s="1" t="n">
        <v>45822</v>
      </c>
      <c r="D277" t="inlineStr">
        <is>
          <t>VÄSTERNORRLANDS LÄN</t>
        </is>
      </c>
      <c r="E277" t="inlineStr">
        <is>
          <t>SOLLEFTEÅ</t>
        </is>
      </c>
      <c r="G277" t="n">
        <v>12.4</v>
      </c>
      <c r="H277" t="n">
        <v>0</v>
      </c>
      <c r="I277" t="n">
        <v>1</v>
      </c>
      <c r="J277" t="n">
        <v>3</v>
      </c>
      <c r="K277" t="n">
        <v>0</v>
      </c>
      <c r="L277" t="n">
        <v>0</v>
      </c>
      <c r="M277" t="n">
        <v>0</v>
      </c>
      <c r="N277" t="n">
        <v>0</v>
      </c>
      <c r="O277" t="n">
        <v>3</v>
      </c>
      <c r="P277" t="n">
        <v>0</v>
      </c>
      <c r="Q277" t="n">
        <v>4</v>
      </c>
      <c r="R277" s="2" t="inlineStr">
        <is>
          <t>Garnlav
Rosenticka
Vitgrynig nållav
Barkticka</t>
        </is>
      </c>
      <c r="S277">
        <f>HYPERLINK("https://klasma.github.io/Logging_222283/artfynd/A 19898-2025 artfynd.xlsx", "A 19898-2025")</f>
        <v/>
      </c>
      <c r="T277">
        <f>HYPERLINK("https://klasma.github.io/Logging_222283/kartor/A 19898-2025 karta.png", "A 19898-2025")</f>
        <v/>
      </c>
      <c r="V277">
        <f>HYPERLINK("https://klasma.github.io/Logging_222283/klagomål/A 19898-2025 FSC-klagomål.docx", "A 19898-2025")</f>
        <v/>
      </c>
      <c r="W277">
        <f>HYPERLINK("https://klasma.github.io/Logging_222283/klagomålsmail/A 19898-2025 FSC-klagomål mail.docx", "A 19898-2025")</f>
        <v/>
      </c>
      <c r="X277">
        <f>HYPERLINK("https://klasma.github.io/Logging_222283/tillsyn/A 19898-2025 tillsynsbegäran.docx", "A 19898-2025")</f>
        <v/>
      </c>
      <c r="Y277">
        <f>HYPERLINK("https://klasma.github.io/Logging_222283/tillsynsmail/A 19898-2025 tillsynsbegäran mail.docx", "A 19898-2025")</f>
        <v/>
      </c>
    </row>
    <row r="278" ht="15" customHeight="1">
      <c r="A278" t="inlineStr">
        <is>
          <t>A 20572-2025</t>
        </is>
      </c>
      <c r="B278" s="1" t="n">
        <v>45775</v>
      </c>
      <c r="C278" s="1" t="n">
        <v>45822</v>
      </c>
      <c r="D278" t="inlineStr">
        <is>
          <t>VÄSTERNORRLANDS LÄN</t>
        </is>
      </c>
      <c r="E278" t="inlineStr">
        <is>
          <t>SOLLEFTEÅ</t>
        </is>
      </c>
      <c r="G278" t="n">
        <v>1.6</v>
      </c>
      <c r="H278" t="n">
        <v>4</v>
      </c>
      <c r="I278" t="n">
        <v>0</v>
      </c>
      <c r="J278" t="n">
        <v>2</v>
      </c>
      <c r="K278" t="n">
        <v>0</v>
      </c>
      <c r="L278" t="n">
        <v>0</v>
      </c>
      <c r="M278" t="n">
        <v>0</v>
      </c>
      <c r="N278" t="n">
        <v>0</v>
      </c>
      <c r="O278" t="n">
        <v>2</v>
      </c>
      <c r="P278" t="n">
        <v>0</v>
      </c>
      <c r="Q278" t="n">
        <v>4</v>
      </c>
      <c r="R278" s="2" t="inlineStr">
        <is>
          <t>Blå kärrhök
Spillkråka
Göktyta
Sångsvan</t>
        </is>
      </c>
      <c r="S278">
        <f>HYPERLINK("https://klasma.github.io/Logging_222283/artfynd/A 20572-2025 artfynd.xlsx", "A 20572-2025")</f>
        <v/>
      </c>
      <c r="T278">
        <f>HYPERLINK("https://klasma.github.io/Logging_222283/kartor/A 20572-2025 karta.png", "A 20572-2025")</f>
        <v/>
      </c>
      <c r="V278">
        <f>HYPERLINK("https://klasma.github.io/Logging_222283/klagomål/A 20572-2025 FSC-klagomål.docx", "A 20572-2025")</f>
        <v/>
      </c>
      <c r="W278">
        <f>HYPERLINK("https://klasma.github.io/Logging_222283/klagomålsmail/A 20572-2025 FSC-klagomål mail.docx", "A 20572-2025")</f>
        <v/>
      </c>
      <c r="X278">
        <f>HYPERLINK("https://klasma.github.io/Logging_222283/tillsyn/A 20572-2025 tillsynsbegäran.docx", "A 20572-2025")</f>
        <v/>
      </c>
      <c r="Y278">
        <f>HYPERLINK("https://klasma.github.io/Logging_222283/tillsynsmail/A 20572-2025 tillsynsbegäran mail.docx", "A 20572-2025")</f>
        <v/>
      </c>
      <c r="Z278">
        <f>HYPERLINK("https://klasma.github.io/Logging_222283/fåglar/A 20572-2025 prioriterade fågelarter.docx", "A 20572-2025")</f>
        <v/>
      </c>
    </row>
    <row r="279" ht="15" customHeight="1">
      <c r="A279" t="inlineStr">
        <is>
          <t>A 20933-2025</t>
        </is>
      </c>
      <c r="B279" s="1" t="n">
        <v>45777</v>
      </c>
      <c r="C279" s="1" t="n">
        <v>45822</v>
      </c>
      <c r="D279" t="inlineStr">
        <is>
          <t>VÄSTERNORRLANDS LÄN</t>
        </is>
      </c>
      <c r="E279" t="inlineStr">
        <is>
          <t>SOLLEFTEÅ</t>
        </is>
      </c>
      <c r="F279" t="inlineStr">
        <is>
          <t>SCA</t>
        </is>
      </c>
      <c r="G279" t="n">
        <v>5.9</v>
      </c>
      <c r="H279" t="n">
        <v>0</v>
      </c>
      <c r="I279" t="n">
        <v>1</v>
      </c>
      <c r="J279" t="n">
        <v>3</v>
      </c>
      <c r="K279" t="n">
        <v>0</v>
      </c>
      <c r="L279" t="n">
        <v>0</v>
      </c>
      <c r="M279" t="n">
        <v>0</v>
      </c>
      <c r="N279" t="n">
        <v>0</v>
      </c>
      <c r="O279" t="n">
        <v>3</v>
      </c>
      <c r="P279" t="n">
        <v>0</v>
      </c>
      <c r="Q279" t="n">
        <v>4</v>
      </c>
      <c r="R279" s="2" t="inlineStr">
        <is>
          <t>Orange taggsvamp
Skrovlig taggsvamp
Vitgrynig nållav
Dropptaggsvamp</t>
        </is>
      </c>
      <c r="S279">
        <f>HYPERLINK("https://klasma.github.io/Logging_222283/artfynd/A 20933-2025 artfynd.xlsx", "A 20933-2025")</f>
        <v/>
      </c>
      <c r="T279">
        <f>HYPERLINK("https://klasma.github.io/Logging_222283/kartor/A 20933-2025 karta.png", "A 20933-2025")</f>
        <v/>
      </c>
      <c r="V279">
        <f>HYPERLINK("https://klasma.github.io/Logging_222283/klagomål/A 20933-2025 FSC-klagomål.docx", "A 20933-2025")</f>
        <v/>
      </c>
      <c r="W279">
        <f>HYPERLINK("https://klasma.github.io/Logging_222283/klagomålsmail/A 20933-2025 FSC-klagomål mail.docx", "A 20933-2025")</f>
        <v/>
      </c>
      <c r="X279">
        <f>HYPERLINK("https://klasma.github.io/Logging_222283/tillsyn/A 20933-2025 tillsynsbegäran.docx", "A 20933-2025")</f>
        <v/>
      </c>
      <c r="Y279">
        <f>HYPERLINK("https://klasma.github.io/Logging_222283/tillsynsmail/A 20933-2025 tillsynsbegäran mail.docx", "A 20933-2025")</f>
        <v/>
      </c>
    </row>
    <row r="280" ht="15" customHeight="1">
      <c r="A280" t="inlineStr">
        <is>
          <t>A 55683-2019</t>
        </is>
      </c>
      <c r="B280" s="1" t="n">
        <v>43760</v>
      </c>
      <c r="C280" s="1" t="n">
        <v>45822</v>
      </c>
      <c r="D280" t="inlineStr">
        <is>
          <t>VÄSTERNORRLANDS LÄN</t>
        </is>
      </c>
      <c r="E280" t="inlineStr">
        <is>
          <t>SOLLEFTEÅ</t>
        </is>
      </c>
      <c r="F280" t="inlineStr">
        <is>
          <t>SCA</t>
        </is>
      </c>
      <c r="G280" t="n">
        <v>2.9</v>
      </c>
      <c r="H280" t="n">
        <v>0</v>
      </c>
      <c r="I280" t="n">
        <v>0</v>
      </c>
      <c r="J280" t="n">
        <v>2</v>
      </c>
      <c r="K280" t="n">
        <v>1</v>
      </c>
      <c r="L280" t="n">
        <v>0</v>
      </c>
      <c r="M280" t="n">
        <v>0</v>
      </c>
      <c r="N280" t="n">
        <v>0</v>
      </c>
      <c r="O280" t="n">
        <v>3</v>
      </c>
      <c r="P280" t="n">
        <v>1</v>
      </c>
      <c r="Q280" t="n">
        <v>3</v>
      </c>
      <c r="R280" s="2" t="inlineStr">
        <is>
          <t>Rynkskinn
Granticka
Rosenticka</t>
        </is>
      </c>
      <c r="S280">
        <f>HYPERLINK("https://klasma.github.io/Logging_2283/artfynd/A 55683-2019 artfynd.xlsx", "A 55683-2019")</f>
        <v/>
      </c>
      <c r="T280">
        <f>HYPERLINK("https://klasma.github.io/Logging_2283/kartor/A 55683-2019 karta.png", "A 55683-2019")</f>
        <v/>
      </c>
      <c r="V280">
        <f>HYPERLINK("https://klasma.github.io/Logging_2283/klagomål/A 55683-2019 FSC-klagomål.docx", "A 55683-2019")</f>
        <v/>
      </c>
      <c r="W280">
        <f>HYPERLINK("https://klasma.github.io/Logging_2283/klagomålsmail/A 55683-2019 FSC-klagomål mail.docx", "A 55683-2019")</f>
        <v/>
      </c>
      <c r="X280">
        <f>HYPERLINK("https://klasma.github.io/Logging_2283/tillsyn/A 55683-2019 tillsynsbegäran.docx", "A 55683-2019")</f>
        <v/>
      </c>
      <c r="Y280">
        <f>HYPERLINK("https://klasma.github.io/Logging_2283/tillsynsmail/A 55683-2019 tillsynsbegäran mail.docx", "A 55683-2019")</f>
        <v/>
      </c>
    </row>
    <row r="281" ht="15" customHeight="1">
      <c r="A281" t="inlineStr">
        <is>
          <t>A 24219-2020</t>
        </is>
      </c>
      <c r="B281" s="1" t="n">
        <v>43973</v>
      </c>
      <c r="C281" s="1" t="n">
        <v>45822</v>
      </c>
      <c r="D281" t="inlineStr">
        <is>
          <t>VÄSTERNORRLANDS LÄN</t>
        </is>
      </c>
      <c r="E281" t="inlineStr">
        <is>
          <t>SOLLEFTEÅ</t>
        </is>
      </c>
      <c r="G281" t="n">
        <v>11.9</v>
      </c>
      <c r="H281" t="n">
        <v>0</v>
      </c>
      <c r="I281" t="n">
        <v>0</v>
      </c>
      <c r="J281" t="n">
        <v>3</v>
      </c>
      <c r="K281" t="n">
        <v>0</v>
      </c>
      <c r="L281" t="n">
        <v>0</v>
      </c>
      <c r="M281" t="n">
        <v>0</v>
      </c>
      <c r="N281" t="n">
        <v>0</v>
      </c>
      <c r="O281" t="n">
        <v>3</v>
      </c>
      <c r="P281" t="n">
        <v>0</v>
      </c>
      <c r="Q281" t="n">
        <v>3</v>
      </c>
      <c r="R281" s="2" t="inlineStr">
        <is>
          <t>Garnlav
Lunglav
Rosenticka</t>
        </is>
      </c>
      <c r="S281">
        <f>HYPERLINK("https://klasma.github.io/Logging_2283/artfynd/A 24219-2020 artfynd.xlsx", "A 24219-2020")</f>
        <v/>
      </c>
      <c r="T281">
        <f>HYPERLINK("https://klasma.github.io/Logging_2283/kartor/A 24219-2020 karta.png", "A 24219-2020")</f>
        <v/>
      </c>
      <c r="V281">
        <f>HYPERLINK("https://klasma.github.io/Logging_2283/klagomål/A 24219-2020 FSC-klagomål.docx", "A 24219-2020")</f>
        <v/>
      </c>
      <c r="W281">
        <f>HYPERLINK("https://klasma.github.io/Logging_2283/klagomålsmail/A 24219-2020 FSC-klagomål mail.docx", "A 24219-2020")</f>
        <v/>
      </c>
      <c r="X281">
        <f>HYPERLINK("https://klasma.github.io/Logging_2283/tillsyn/A 24219-2020 tillsynsbegäran.docx", "A 24219-2020")</f>
        <v/>
      </c>
      <c r="Y281">
        <f>HYPERLINK("https://klasma.github.io/Logging_2283/tillsynsmail/A 24219-2020 tillsynsbegäran mail.docx", "A 24219-2020")</f>
        <v/>
      </c>
    </row>
    <row r="282" ht="15" customHeight="1">
      <c r="A282" t="inlineStr">
        <is>
          <t>A 31640-2020</t>
        </is>
      </c>
      <c r="B282" s="1" t="n">
        <v>44013</v>
      </c>
      <c r="C282" s="1" t="n">
        <v>45822</v>
      </c>
      <c r="D282" t="inlineStr">
        <is>
          <t>VÄSTERNORRLANDS LÄN</t>
        </is>
      </c>
      <c r="E282" t="inlineStr">
        <is>
          <t>SOLLEFTEÅ</t>
        </is>
      </c>
      <c r="F282" t="inlineStr">
        <is>
          <t>SCA</t>
        </is>
      </c>
      <c r="G282" t="n">
        <v>27.4</v>
      </c>
      <c r="H282" t="n">
        <v>1</v>
      </c>
      <c r="I282" t="n">
        <v>0</v>
      </c>
      <c r="J282" t="n">
        <v>2</v>
      </c>
      <c r="K282" t="n">
        <v>1</v>
      </c>
      <c r="L282" t="n">
        <v>0</v>
      </c>
      <c r="M282" t="n">
        <v>0</v>
      </c>
      <c r="N282" t="n">
        <v>0</v>
      </c>
      <c r="O282" t="n">
        <v>3</v>
      </c>
      <c r="P282" t="n">
        <v>1</v>
      </c>
      <c r="Q282" t="n">
        <v>3</v>
      </c>
      <c r="R282" s="2" t="inlineStr">
        <is>
          <t>Doftticka
Lunglav
Skrovellav</t>
        </is>
      </c>
      <c r="S282">
        <f>HYPERLINK("https://klasma.github.io/Logging_2283/artfynd/A 31640-2020 artfynd.xlsx", "A 31640-2020")</f>
        <v/>
      </c>
      <c r="T282">
        <f>HYPERLINK("https://klasma.github.io/Logging_2283/kartor/A 31640-2020 karta.png", "A 31640-2020")</f>
        <v/>
      </c>
      <c r="V282">
        <f>HYPERLINK("https://klasma.github.io/Logging_2283/klagomål/A 31640-2020 FSC-klagomål.docx", "A 31640-2020")</f>
        <v/>
      </c>
      <c r="W282">
        <f>HYPERLINK("https://klasma.github.io/Logging_2283/klagomålsmail/A 31640-2020 FSC-klagomål mail.docx", "A 31640-2020")</f>
        <v/>
      </c>
      <c r="X282">
        <f>HYPERLINK("https://klasma.github.io/Logging_2283/tillsyn/A 31640-2020 tillsynsbegäran.docx", "A 31640-2020")</f>
        <v/>
      </c>
      <c r="Y282">
        <f>HYPERLINK("https://klasma.github.io/Logging_2283/tillsynsmail/A 31640-2020 tillsynsbegäran mail.docx", "A 31640-2020")</f>
        <v/>
      </c>
    </row>
    <row r="283" ht="15" customHeight="1">
      <c r="A283" t="inlineStr">
        <is>
          <t>A 34085-2020</t>
        </is>
      </c>
      <c r="B283" s="1" t="n">
        <v>44028</v>
      </c>
      <c r="C283" s="1" t="n">
        <v>45822</v>
      </c>
      <c r="D283" t="inlineStr">
        <is>
          <t>VÄSTERNORRLANDS LÄN</t>
        </is>
      </c>
      <c r="E283" t="inlineStr">
        <is>
          <t>SOLLEFTEÅ</t>
        </is>
      </c>
      <c r="F283" t="inlineStr">
        <is>
          <t>SCA</t>
        </is>
      </c>
      <c r="G283" t="n">
        <v>3.7</v>
      </c>
      <c r="H283" t="n">
        <v>2</v>
      </c>
      <c r="I283" t="n">
        <v>0</v>
      </c>
      <c r="J283" t="n">
        <v>2</v>
      </c>
      <c r="K283" t="n">
        <v>1</v>
      </c>
      <c r="L283" t="n">
        <v>0</v>
      </c>
      <c r="M283" t="n">
        <v>0</v>
      </c>
      <c r="N283" t="n">
        <v>0</v>
      </c>
      <c r="O283" t="n">
        <v>3</v>
      </c>
      <c r="P283" t="n">
        <v>1</v>
      </c>
      <c r="Q283" t="n">
        <v>3</v>
      </c>
      <c r="R283" s="2" t="inlineStr">
        <is>
          <t>Knärot
Lunglav
Tretåig hackspett</t>
        </is>
      </c>
      <c r="S283">
        <f>HYPERLINK("https://klasma.github.io/Logging_2283/artfynd/A 34085-2020 artfynd.xlsx", "A 34085-2020")</f>
        <v/>
      </c>
      <c r="T283">
        <f>HYPERLINK("https://klasma.github.io/Logging_2283/kartor/A 34085-2020 karta.png", "A 34085-2020")</f>
        <v/>
      </c>
      <c r="U283">
        <f>HYPERLINK("https://klasma.github.io/Logging_2283/knärot/A 34085-2020 karta knärot.png", "A 34085-2020")</f>
        <v/>
      </c>
      <c r="V283">
        <f>HYPERLINK("https://klasma.github.io/Logging_2283/klagomål/A 34085-2020 FSC-klagomål.docx", "A 34085-2020")</f>
        <v/>
      </c>
      <c r="W283">
        <f>HYPERLINK("https://klasma.github.io/Logging_2283/klagomålsmail/A 34085-2020 FSC-klagomål mail.docx", "A 34085-2020")</f>
        <v/>
      </c>
      <c r="X283">
        <f>HYPERLINK("https://klasma.github.io/Logging_2283/tillsyn/A 34085-2020 tillsynsbegäran.docx", "A 34085-2020")</f>
        <v/>
      </c>
      <c r="Y283">
        <f>HYPERLINK("https://klasma.github.io/Logging_2283/tillsynsmail/A 34085-2020 tillsynsbegäran mail.docx", "A 34085-2020")</f>
        <v/>
      </c>
      <c r="Z283">
        <f>HYPERLINK("https://klasma.github.io/Logging_2283/fåglar/A 34085-2020 prioriterade fågelarter.docx", "A 34085-2020")</f>
        <v/>
      </c>
    </row>
    <row r="284" ht="15" customHeight="1">
      <c r="A284" t="inlineStr">
        <is>
          <t>A 15098-2021</t>
        </is>
      </c>
      <c r="B284" s="1" t="n">
        <v>44281</v>
      </c>
      <c r="C284" s="1" t="n">
        <v>45822</v>
      </c>
      <c r="D284" t="inlineStr">
        <is>
          <t>VÄSTERNORRLANDS LÄN</t>
        </is>
      </c>
      <c r="E284" t="inlineStr">
        <is>
          <t>SOLLEFTEÅ</t>
        </is>
      </c>
      <c r="F284" t="inlineStr">
        <is>
          <t>SCA</t>
        </is>
      </c>
      <c r="G284" t="n">
        <v>4</v>
      </c>
      <c r="H284" t="n">
        <v>1</v>
      </c>
      <c r="I284" t="n">
        <v>0</v>
      </c>
      <c r="J284" t="n">
        <v>2</v>
      </c>
      <c r="K284" t="n">
        <v>0</v>
      </c>
      <c r="L284" t="n">
        <v>0</v>
      </c>
      <c r="M284" t="n">
        <v>0</v>
      </c>
      <c r="N284" t="n">
        <v>0</v>
      </c>
      <c r="O284" t="n">
        <v>2</v>
      </c>
      <c r="P284" t="n">
        <v>0</v>
      </c>
      <c r="Q284" t="n">
        <v>3</v>
      </c>
      <c r="R284" s="2" t="inlineStr">
        <is>
          <t>Garnlav
Lunglav
Lavskrika</t>
        </is>
      </c>
      <c r="S284">
        <f>HYPERLINK("https://klasma.github.io/Logging_2283/artfynd/A 15098-2021 artfynd.xlsx", "A 15098-2021")</f>
        <v/>
      </c>
      <c r="T284">
        <f>HYPERLINK("https://klasma.github.io/Logging_2283/kartor/A 15098-2021 karta.png", "A 15098-2021")</f>
        <v/>
      </c>
      <c r="V284">
        <f>HYPERLINK("https://klasma.github.io/Logging_2283/klagomål/A 15098-2021 FSC-klagomål.docx", "A 15098-2021")</f>
        <v/>
      </c>
      <c r="W284">
        <f>HYPERLINK("https://klasma.github.io/Logging_2283/klagomålsmail/A 15098-2021 FSC-klagomål mail.docx", "A 15098-2021")</f>
        <v/>
      </c>
      <c r="X284">
        <f>HYPERLINK("https://klasma.github.io/Logging_2283/tillsyn/A 15098-2021 tillsynsbegäran.docx", "A 15098-2021")</f>
        <v/>
      </c>
      <c r="Y284">
        <f>HYPERLINK("https://klasma.github.io/Logging_2283/tillsynsmail/A 15098-2021 tillsynsbegäran mail.docx", "A 15098-2021")</f>
        <v/>
      </c>
      <c r="Z284">
        <f>HYPERLINK("https://klasma.github.io/Logging_2283/fåglar/A 15098-2021 prioriterade fågelarter.docx", "A 15098-2021")</f>
        <v/>
      </c>
    </row>
    <row r="285" ht="15" customHeight="1">
      <c r="A285" t="inlineStr">
        <is>
          <t>A 31354-2021</t>
        </is>
      </c>
      <c r="B285" s="1" t="n">
        <v>44369</v>
      </c>
      <c r="C285" s="1" t="n">
        <v>45822</v>
      </c>
      <c r="D285" t="inlineStr">
        <is>
          <t>VÄSTERNORRLANDS LÄN</t>
        </is>
      </c>
      <c r="E285" t="inlineStr">
        <is>
          <t>SOLLEFTEÅ</t>
        </is>
      </c>
      <c r="F285" t="inlineStr">
        <is>
          <t>SCA</t>
        </is>
      </c>
      <c r="G285" t="n">
        <v>1.5</v>
      </c>
      <c r="H285" t="n">
        <v>1</v>
      </c>
      <c r="I285" t="n">
        <v>1</v>
      </c>
      <c r="J285" t="n">
        <v>1</v>
      </c>
      <c r="K285" t="n">
        <v>1</v>
      </c>
      <c r="L285" t="n">
        <v>0</v>
      </c>
      <c r="M285" t="n">
        <v>0</v>
      </c>
      <c r="N285" t="n">
        <v>0</v>
      </c>
      <c r="O285" t="n">
        <v>2</v>
      </c>
      <c r="P285" t="n">
        <v>1</v>
      </c>
      <c r="Q285" t="n">
        <v>3</v>
      </c>
      <c r="R285" s="2" t="inlineStr">
        <is>
          <t>Knärot
Garnlav
Norrlandslav</t>
        </is>
      </c>
      <c r="S285">
        <f>HYPERLINK("https://klasma.github.io/Logging_2283/artfynd/A 31354-2021 artfynd.xlsx", "A 31354-2021")</f>
        <v/>
      </c>
      <c r="T285">
        <f>HYPERLINK("https://klasma.github.io/Logging_2283/kartor/A 31354-2021 karta.png", "A 31354-2021")</f>
        <v/>
      </c>
      <c r="U285">
        <f>HYPERLINK("https://klasma.github.io/Logging_2283/knärot/A 31354-2021 karta knärot.png", "A 31354-2021")</f>
        <v/>
      </c>
      <c r="V285">
        <f>HYPERLINK("https://klasma.github.io/Logging_2283/klagomål/A 31354-2021 FSC-klagomål.docx", "A 31354-2021")</f>
        <v/>
      </c>
      <c r="W285">
        <f>HYPERLINK("https://klasma.github.io/Logging_2283/klagomålsmail/A 31354-2021 FSC-klagomål mail.docx", "A 31354-2021")</f>
        <v/>
      </c>
      <c r="X285">
        <f>HYPERLINK("https://klasma.github.io/Logging_2283/tillsyn/A 31354-2021 tillsynsbegäran.docx", "A 31354-2021")</f>
        <v/>
      </c>
      <c r="Y285">
        <f>HYPERLINK("https://klasma.github.io/Logging_2283/tillsynsmail/A 31354-2021 tillsynsbegäran mail.docx", "A 31354-2021")</f>
        <v/>
      </c>
    </row>
    <row r="286" ht="15" customHeight="1">
      <c r="A286" t="inlineStr">
        <is>
          <t>A 44599-2021</t>
        </is>
      </c>
      <c r="B286" s="1" t="n">
        <v>44436</v>
      </c>
      <c r="C286" s="1" t="n">
        <v>45822</v>
      </c>
      <c r="D286" t="inlineStr">
        <is>
          <t>VÄSTERNORRLANDS LÄN</t>
        </is>
      </c>
      <c r="E286" t="inlineStr">
        <is>
          <t>SOLLEFTEÅ</t>
        </is>
      </c>
      <c r="F286" t="inlineStr">
        <is>
          <t>SCA</t>
        </is>
      </c>
      <c r="G286" t="n">
        <v>6.1</v>
      </c>
      <c r="H286" t="n">
        <v>0</v>
      </c>
      <c r="I286" t="n">
        <v>2</v>
      </c>
      <c r="J286" t="n">
        <v>1</v>
      </c>
      <c r="K286" t="n">
        <v>0</v>
      </c>
      <c r="L286" t="n">
        <v>0</v>
      </c>
      <c r="M286" t="n">
        <v>0</v>
      </c>
      <c r="N286" t="n">
        <v>0</v>
      </c>
      <c r="O286" t="n">
        <v>1</v>
      </c>
      <c r="P286" t="n">
        <v>0</v>
      </c>
      <c r="Q286" t="n">
        <v>3</v>
      </c>
      <c r="R286" s="2" t="inlineStr">
        <is>
          <t>Rosenticka
Strutbräken
Stuplav</t>
        </is>
      </c>
      <c r="S286">
        <f>HYPERLINK("https://klasma.github.io/Logging_2283/artfynd/A 44599-2021 artfynd.xlsx", "A 44599-2021")</f>
        <v/>
      </c>
      <c r="T286">
        <f>HYPERLINK("https://klasma.github.io/Logging_2283/kartor/A 44599-2021 karta.png", "A 44599-2021")</f>
        <v/>
      </c>
      <c r="V286">
        <f>HYPERLINK("https://klasma.github.io/Logging_2283/klagomål/A 44599-2021 FSC-klagomål.docx", "A 44599-2021")</f>
        <v/>
      </c>
      <c r="W286">
        <f>HYPERLINK("https://klasma.github.io/Logging_2283/klagomålsmail/A 44599-2021 FSC-klagomål mail.docx", "A 44599-2021")</f>
        <v/>
      </c>
      <c r="X286">
        <f>HYPERLINK("https://klasma.github.io/Logging_2283/tillsyn/A 44599-2021 tillsynsbegäran.docx", "A 44599-2021")</f>
        <v/>
      </c>
      <c r="Y286">
        <f>HYPERLINK("https://klasma.github.io/Logging_2283/tillsynsmail/A 44599-2021 tillsynsbegäran mail.docx", "A 44599-2021")</f>
        <v/>
      </c>
    </row>
    <row r="287" ht="15" customHeight="1">
      <c r="A287" t="inlineStr">
        <is>
          <t>A 61481-2021</t>
        </is>
      </c>
      <c r="B287" s="1" t="n">
        <v>44500</v>
      </c>
      <c r="C287" s="1" t="n">
        <v>45822</v>
      </c>
      <c r="D287" t="inlineStr">
        <is>
          <t>VÄSTERNORRLANDS LÄN</t>
        </is>
      </c>
      <c r="E287" t="inlineStr">
        <is>
          <t>SOLLEFTEÅ</t>
        </is>
      </c>
      <c r="F287" t="inlineStr">
        <is>
          <t>SCA</t>
        </is>
      </c>
      <c r="G287" t="n">
        <v>6.8</v>
      </c>
      <c r="H287" t="n">
        <v>0</v>
      </c>
      <c r="I287" t="n">
        <v>1</v>
      </c>
      <c r="J287" t="n">
        <v>2</v>
      </c>
      <c r="K287" t="n">
        <v>0</v>
      </c>
      <c r="L287" t="n">
        <v>0</v>
      </c>
      <c r="M287" t="n">
        <v>0</v>
      </c>
      <c r="N287" t="n">
        <v>0</v>
      </c>
      <c r="O287" t="n">
        <v>2</v>
      </c>
      <c r="P287" t="n">
        <v>0</v>
      </c>
      <c r="Q287" t="n">
        <v>3</v>
      </c>
      <c r="R287" s="2" t="inlineStr">
        <is>
          <t>Lunglav
Skrovellav
Kambräken</t>
        </is>
      </c>
      <c r="S287">
        <f>HYPERLINK("https://klasma.github.io/Logging_2283/artfynd/A 61481-2021 artfynd.xlsx", "A 61481-2021")</f>
        <v/>
      </c>
      <c r="T287">
        <f>HYPERLINK("https://klasma.github.io/Logging_2283/kartor/A 61481-2021 karta.png", "A 61481-2021")</f>
        <v/>
      </c>
      <c r="V287">
        <f>HYPERLINK("https://klasma.github.io/Logging_2283/klagomål/A 61481-2021 FSC-klagomål.docx", "A 61481-2021")</f>
        <v/>
      </c>
      <c r="W287">
        <f>HYPERLINK("https://klasma.github.io/Logging_2283/klagomålsmail/A 61481-2021 FSC-klagomål mail.docx", "A 61481-2021")</f>
        <v/>
      </c>
      <c r="X287">
        <f>HYPERLINK("https://klasma.github.io/Logging_2283/tillsyn/A 61481-2021 tillsynsbegäran.docx", "A 61481-2021")</f>
        <v/>
      </c>
      <c r="Y287">
        <f>HYPERLINK("https://klasma.github.io/Logging_2283/tillsynsmail/A 61481-2021 tillsynsbegäran mail.docx", "A 61481-2021")</f>
        <v/>
      </c>
    </row>
    <row r="288" ht="15" customHeight="1">
      <c r="A288" t="inlineStr">
        <is>
          <t>A 18012-2022</t>
        </is>
      </c>
      <c r="B288" s="1" t="n">
        <v>44683</v>
      </c>
      <c r="C288" s="1" t="n">
        <v>45822</v>
      </c>
      <c r="D288" t="inlineStr">
        <is>
          <t>VÄSTERNORRLANDS LÄN</t>
        </is>
      </c>
      <c r="E288" t="inlineStr">
        <is>
          <t>SOLLEFTEÅ</t>
        </is>
      </c>
      <c r="F288" t="inlineStr">
        <is>
          <t>SCA</t>
        </is>
      </c>
      <c r="G288" t="n">
        <v>1.7</v>
      </c>
      <c r="H288" t="n">
        <v>2</v>
      </c>
      <c r="I288" t="n">
        <v>0</v>
      </c>
      <c r="J288" t="n">
        <v>2</v>
      </c>
      <c r="K288" t="n">
        <v>1</v>
      </c>
      <c r="L288" t="n">
        <v>0</v>
      </c>
      <c r="M288" t="n">
        <v>0</v>
      </c>
      <c r="N288" t="n">
        <v>0</v>
      </c>
      <c r="O288" t="n">
        <v>3</v>
      </c>
      <c r="P288" t="n">
        <v>1</v>
      </c>
      <c r="Q288" t="n">
        <v>3</v>
      </c>
      <c r="R288" s="2" t="inlineStr">
        <is>
          <t>Knärot
Garnlav
Tretåig hackspett</t>
        </is>
      </c>
      <c r="S288">
        <f>HYPERLINK("https://klasma.github.io/Logging_2283/artfynd/A 18012-2022 artfynd.xlsx", "A 18012-2022")</f>
        <v/>
      </c>
      <c r="T288">
        <f>HYPERLINK("https://klasma.github.io/Logging_2283/kartor/A 18012-2022 karta.png", "A 18012-2022")</f>
        <v/>
      </c>
      <c r="U288">
        <f>HYPERLINK("https://klasma.github.io/Logging_2283/knärot/A 18012-2022 karta knärot.png", "A 18012-2022")</f>
        <v/>
      </c>
      <c r="V288">
        <f>HYPERLINK("https://klasma.github.io/Logging_2283/klagomål/A 18012-2022 FSC-klagomål.docx", "A 18012-2022")</f>
        <v/>
      </c>
      <c r="W288">
        <f>HYPERLINK("https://klasma.github.io/Logging_2283/klagomålsmail/A 18012-2022 FSC-klagomål mail.docx", "A 18012-2022")</f>
        <v/>
      </c>
      <c r="X288">
        <f>HYPERLINK("https://klasma.github.io/Logging_2283/tillsyn/A 18012-2022 tillsynsbegäran.docx", "A 18012-2022")</f>
        <v/>
      </c>
      <c r="Y288">
        <f>HYPERLINK("https://klasma.github.io/Logging_2283/tillsynsmail/A 18012-2022 tillsynsbegäran mail.docx", "A 18012-2022")</f>
        <v/>
      </c>
      <c r="Z288">
        <f>HYPERLINK("https://klasma.github.io/Logging_2283/fåglar/A 18012-2022 prioriterade fågelarter.docx", "A 18012-2022")</f>
        <v/>
      </c>
    </row>
    <row r="289" ht="15" customHeight="1">
      <c r="A289" t="inlineStr">
        <is>
          <t>A 34528-2022</t>
        </is>
      </c>
      <c r="B289" s="1" t="n">
        <v>44792</v>
      </c>
      <c r="C289" s="1" t="n">
        <v>45822</v>
      </c>
      <c r="D289" t="inlineStr">
        <is>
          <t>VÄSTERNORRLANDS LÄN</t>
        </is>
      </c>
      <c r="E289" t="inlineStr">
        <is>
          <t>SOLLEFTEÅ</t>
        </is>
      </c>
      <c r="F289" t="inlineStr">
        <is>
          <t>SCA</t>
        </is>
      </c>
      <c r="G289" t="n">
        <v>1.8</v>
      </c>
      <c r="H289" t="n">
        <v>0</v>
      </c>
      <c r="I289" t="n">
        <v>0</v>
      </c>
      <c r="J289" t="n">
        <v>3</v>
      </c>
      <c r="K289" t="n">
        <v>0</v>
      </c>
      <c r="L289" t="n">
        <v>0</v>
      </c>
      <c r="M289" t="n">
        <v>0</v>
      </c>
      <c r="N289" t="n">
        <v>0</v>
      </c>
      <c r="O289" t="n">
        <v>3</v>
      </c>
      <c r="P289" t="n">
        <v>0</v>
      </c>
      <c r="Q289" t="n">
        <v>3</v>
      </c>
      <c r="R289" s="2" t="inlineStr">
        <is>
          <t>Garnlav
Mörk kolflarnlav
Rosenticka</t>
        </is>
      </c>
      <c r="S289">
        <f>HYPERLINK("https://klasma.github.io/Logging_2283/artfynd/A 34528-2022 artfynd.xlsx", "A 34528-2022")</f>
        <v/>
      </c>
      <c r="T289">
        <f>HYPERLINK("https://klasma.github.io/Logging_2283/kartor/A 34528-2022 karta.png", "A 34528-2022")</f>
        <v/>
      </c>
      <c r="V289">
        <f>HYPERLINK("https://klasma.github.io/Logging_2283/klagomål/A 34528-2022 FSC-klagomål.docx", "A 34528-2022")</f>
        <v/>
      </c>
      <c r="W289">
        <f>HYPERLINK("https://klasma.github.io/Logging_2283/klagomålsmail/A 34528-2022 FSC-klagomål mail.docx", "A 34528-2022")</f>
        <v/>
      </c>
      <c r="X289">
        <f>HYPERLINK("https://klasma.github.io/Logging_2283/tillsyn/A 34528-2022 tillsynsbegäran.docx", "A 34528-2022")</f>
        <v/>
      </c>
      <c r="Y289">
        <f>HYPERLINK("https://klasma.github.io/Logging_2283/tillsynsmail/A 34528-2022 tillsynsbegäran mail.docx", "A 34528-2022")</f>
        <v/>
      </c>
    </row>
    <row r="290" ht="15" customHeight="1">
      <c r="A290" t="inlineStr">
        <is>
          <t>A 42301-2022</t>
        </is>
      </c>
      <c r="B290" s="1" t="n">
        <v>44831</v>
      </c>
      <c r="C290" s="1" t="n">
        <v>45822</v>
      </c>
      <c r="D290" t="inlineStr">
        <is>
          <t>VÄSTERNORRLANDS LÄN</t>
        </is>
      </c>
      <c r="E290" t="inlineStr">
        <is>
          <t>SOLLEFTEÅ</t>
        </is>
      </c>
      <c r="F290" t="inlineStr">
        <is>
          <t>SCA</t>
        </is>
      </c>
      <c r="G290" t="n">
        <v>0.8</v>
      </c>
      <c r="H290" t="n">
        <v>1</v>
      </c>
      <c r="I290" t="n">
        <v>0</v>
      </c>
      <c r="J290" t="n">
        <v>3</v>
      </c>
      <c r="K290" t="n">
        <v>0</v>
      </c>
      <c r="L290" t="n">
        <v>0</v>
      </c>
      <c r="M290" t="n">
        <v>0</v>
      </c>
      <c r="N290" t="n">
        <v>0</v>
      </c>
      <c r="O290" t="n">
        <v>3</v>
      </c>
      <c r="P290" t="n">
        <v>0</v>
      </c>
      <c r="Q290" t="n">
        <v>3</v>
      </c>
      <c r="R290" s="2" t="inlineStr">
        <is>
          <t>Gammelgransskål
Harticka
Tretåig hackspett</t>
        </is>
      </c>
      <c r="S290">
        <f>HYPERLINK("https://klasma.github.io/Logging_2283/artfynd/A 42301-2022 artfynd.xlsx", "A 42301-2022")</f>
        <v/>
      </c>
      <c r="T290">
        <f>HYPERLINK("https://klasma.github.io/Logging_2283/kartor/A 42301-2022 karta.png", "A 42301-2022")</f>
        <v/>
      </c>
      <c r="V290">
        <f>HYPERLINK("https://klasma.github.io/Logging_2283/klagomål/A 42301-2022 FSC-klagomål.docx", "A 42301-2022")</f>
        <v/>
      </c>
      <c r="W290">
        <f>HYPERLINK("https://klasma.github.io/Logging_2283/klagomålsmail/A 42301-2022 FSC-klagomål mail.docx", "A 42301-2022")</f>
        <v/>
      </c>
      <c r="X290">
        <f>HYPERLINK("https://klasma.github.io/Logging_2283/tillsyn/A 42301-2022 tillsynsbegäran.docx", "A 42301-2022")</f>
        <v/>
      </c>
      <c r="Y290">
        <f>HYPERLINK("https://klasma.github.io/Logging_2283/tillsynsmail/A 42301-2022 tillsynsbegäran mail.docx", "A 42301-2022")</f>
        <v/>
      </c>
      <c r="Z290">
        <f>HYPERLINK("https://klasma.github.io/Logging_2283/fåglar/A 42301-2022 prioriterade fågelarter.docx", "A 42301-2022")</f>
        <v/>
      </c>
    </row>
    <row r="291" ht="15" customHeight="1">
      <c r="A291" t="inlineStr">
        <is>
          <t>A 51212-2022</t>
        </is>
      </c>
      <c r="B291" s="1" t="n">
        <v>44868</v>
      </c>
      <c r="C291" s="1" t="n">
        <v>45822</v>
      </c>
      <c r="D291" t="inlineStr">
        <is>
          <t>VÄSTERNORRLANDS LÄN</t>
        </is>
      </c>
      <c r="E291" t="inlineStr">
        <is>
          <t>SOLLEFTEÅ</t>
        </is>
      </c>
      <c r="F291" t="inlineStr">
        <is>
          <t>Holmen skog AB</t>
        </is>
      </c>
      <c r="G291" t="n">
        <v>18.3</v>
      </c>
      <c r="H291" t="n">
        <v>1</v>
      </c>
      <c r="I291" t="n">
        <v>1</v>
      </c>
      <c r="J291" t="n">
        <v>1</v>
      </c>
      <c r="K291" t="n">
        <v>1</v>
      </c>
      <c r="L291" t="n">
        <v>0</v>
      </c>
      <c r="M291" t="n">
        <v>0</v>
      </c>
      <c r="N291" t="n">
        <v>0</v>
      </c>
      <c r="O291" t="n">
        <v>2</v>
      </c>
      <c r="P291" t="n">
        <v>1</v>
      </c>
      <c r="Q291" t="n">
        <v>3</v>
      </c>
      <c r="R291" s="2" t="inlineStr">
        <is>
          <t>Doftticka
Lunglav
Stuplav</t>
        </is>
      </c>
      <c r="S291">
        <f>HYPERLINK("https://klasma.github.io/Logging_2283/artfynd/A 51212-2022 artfynd.xlsx", "A 51212-2022")</f>
        <v/>
      </c>
      <c r="T291">
        <f>HYPERLINK("https://klasma.github.io/Logging_2283/kartor/A 51212-2022 karta.png", "A 51212-2022")</f>
        <v/>
      </c>
      <c r="V291">
        <f>HYPERLINK("https://klasma.github.io/Logging_2283/klagomål/A 51212-2022 FSC-klagomål.docx", "A 51212-2022")</f>
        <v/>
      </c>
      <c r="W291">
        <f>HYPERLINK("https://klasma.github.io/Logging_2283/klagomålsmail/A 51212-2022 FSC-klagomål mail.docx", "A 51212-2022")</f>
        <v/>
      </c>
      <c r="X291">
        <f>HYPERLINK("https://klasma.github.io/Logging_2283/tillsyn/A 51212-2022 tillsynsbegäran.docx", "A 51212-2022")</f>
        <v/>
      </c>
      <c r="Y291">
        <f>HYPERLINK("https://klasma.github.io/Logging_2283/tillsynsmail/A 51212-2022 tillsynsbegäran mail.docx", "A 51212-2022")</f>
        <v/>
      </c>
    </row>
    <row r="292" ht="15" customHeight="1">
      <c r="A292" t="inlineStr">
        <is>
          <t>A 59046-2022</t>
        </is>
      </c>
      <c r="B292" s="1" t="n">
        <v>44903</v>
      </c>
      <c r="C292" s="1" t="n">
        <v>45822</v>
      </c>
      <c r="D292" t="inlineStr">
        <is>
          <t>VÄSTERNORRLANDS LÄN</t>
        </is>
      </c>
      <c r="E292" t="inlineStr">
        <is>
          <t>SOLLEFTEÅ</t>
        </is>
      </c>
      <c r="F292" t="inlineStr">
        <is>
          <t>SCA</t>
        </is>
      </c>
      <c r="G292" t="n">
        <v>10.3</v>
      </c>
      <c r="H292" t="n">
        <v>1</v>
      </c>
      <c r="I292" t="n">
        <v>0</v>
      </c>
      <c r="J292" t="n">
        <v>3</v>
      </c>
      <c r="K292" t="n">
        <v>0</v>
      </c>
      <c r="L292" t="n">
        <v>0</v>
      </c>
      <c r="M292" t="n">
        <v>0</v>
      </c>
      <c r="N292" t="n">
        <v>0</v>
      </c>
      <c r="O292" t="n">
        <v>3</v>
      </c>
      <c r="P292" t="n">
        <v>0</v>
      </c>
      <c r="Q292" t="n">
        <v>3</v>
      </c>
      <c r="R292" s="2" t="inlineStr">
        <is>
          <t>Lunglav
Orange taggsvamp
Tretåig hackspett</t>
        </is>
      </c>
      <c r="S292">
        <f>HYPERLINK("https://klasma.github.io/Logging_2283/artfynd/A 59046-2022 artfynd.xlsx", "A 59046-2022")</f>
        <v/>
      </c>
      <c r="T292">
        <f>HYPERLINK("https://klasma.github.io/Logging_2283/kartor/A 59046-2022 karta.png", "A 59046-2022")</f>
        <v/>
      </c>
      <c r="V292">
        <f>HYPERLINK("https://klasma.github.io/Logging_2283/klagomål/A 59046-2022 FSC-klagomål.docx", "A 59046-2022")</f>
        <v/>
      </c>
      <c r="W292">
        <f>HYPERLINK("https://klasma.github.io/Logging_2283/klagomålsmail/A 59046-2022 FSC-klagomål mail.docx", "A 59046-2022")</f>
        <v/>
      </c>
      <c r="X292">
        <f>HYPERLINK("https://klasma.github.io/Logging_2283/tillsyn/A 59046-2022 tillsynsbegäran.docx", "A 59046-2022")</f>
        <v/>
      </c>
      <c r="Y292">
        <f>HYPERLINK("https://klasma.github.io/Logging_2283/tillsynsmail/A 59046-2022 tillsynsbegäran mail.docx", "A 59046-2022")</f>
        <v/>
      </c>
      <c r="Z292">
        <f>HYPERLINK("https://klasma.github.io/Logging_2283/fåglar/A 59046-2022 prioriterade fågelarter.docx", "A 59046-2022")</f>
        <v/>
      </c>
    </row>
    <row r="293" ht="15" customHeight="1">
      <c r="A293" t="inlineStr">
        <is>
          <t>A 6235-2023</t>
        </is>
      </c>
      <c r="B293" s="1" t="n">
        <v>44964</v>
      </c>
      <c r="C293" s="1" t="n">
        <v>45822</v>
      </c>
      <c r="D293" t="inlineStr">
        <is>
          <t>VÄSTERNORRLANDS LÄN</t>
        </is>
      </c>
      <c r="E293" t="inlineStr">
        <is>
          <t>SOLLEFTEÅ</t>
        </is>
      </c>
      <c r="F293" t="inlineStr">
        <is>
          <t>SCA</t>
        </is>
      </c>
      <c r="G293" t="n">
        <v>0.6</v>
      </c>
      <c r="H293" t="n">
        <v>2</v>
      </c>
      <c r="I293" t="n">
        <v>0</v>
      </c>
      <c r="J293" t="n">
        <v>2</v>
      </c>
      <c r="K293" t="n">
        <v>0</v>
      </c>
      <c r="L293" t="n">
        <v>0</v>
      </c>
      <c r="M293" t="n">
        <v>0</v>
      </c>
      <c r="N293" t="n">
        <v>0</v>
      </c>
      <c r="O293" t="n">
        <v>2</v>
      </c>
      <c r="P293" t="n">
        <v>0</v>
      </c>
      <c r="Q293" t="n">
        <v>3</v>
      </c>
      <c r="R293" s="2" t="inlineStr">
        <is>
          <t>Harticka
Tretåig hackspett
Tjäder</t>
        </is>
      </c>
      <c r="S293">
        <f>HYPERLINK("https://klasma.github.io/Logging_2283/artfynd/A 6235-2023 artfynd.xlsx", "A 6235-2023")</f>
        <v/>
      </c>
      <c r="T293">
        <f>HYPERLINK("https://klasma.github.io/Logging_2283/kartor/A 6235-2023 karta.png", "A 6235-2023")</f>
        <v/>
      </c>
      <c r="V293">
        <f>HYPERLINK("https://klasma.github.io/Logging_2283/klagomål/A 6235-2023 FSC-klagomål.docx", "A 6235-2023")</f>
        <v/>
      </c>
      <c r="W293">
        <f>HYPERLINK("https://klasma.github.io/Logging_2283/klagomålsmail/A 6235-2023 FSC-klagomål mail.docx", "A 6235-2023")</f>
        <v/>
      </c>
      <c r="X293">
        <f>HYPERLINK("https://klasma.github.io/Logging_2283/tillsyn/A 6235-2023 tillsynsbegäran.docx", "A 6235-2023")</f>
        <v/>
      </c>
      <c r="Y293">
        <f>HYPERLINK("https://klasma.github.io/Logging_2283/tillsynsmail/A 6235-2023 tillsynsbegäran mail.docx", "A 6235-2023")</f>
        <v/>
      </c>
      <c r="Z293">
        <f>HYPERLINK("https://klasma.github.io/Logging_2283/fåglar/A 6235-2023 prioriterade fågelarter.docx", "A 6235-2023")</f>
        <v/>
      </c>
    </row>
    <row r="294" ht="15" customHeight="1">
      <c r="A294" t="inlineStr">
        <is>
          <t>A 20781-2023</t>
        </is>
      </c>
      <c r="B294" s="1" t="n">
        <v>45058</v>
      </c>
      <c r="C294" s="1" t="n">
        <v>45822</v>
      </c>
      <c r="D294" t="inlineStr">
        <is>
          <t>VÄSTERNORRLANDS LÄN</t>
        </is>
      </c>
      <c r="E294" t="inlineStr">
        <is>
          <t>SOLLEFTEÅ</t>
        </is>
      </c>
      <c r="F294" t="inlineStr">
        <is>
          <t>Kyrkan</t>
        </is>
      </c>
      <c r="G294" t="n">
        <v>11.1</v>
      </c>
      <c r="H294" t="n">
        <v>1</v>
      </c>
      <c r="I294" t="n">
        <v>0</v>
      </c>
      <c r="J294" t="n">
        <v>2</v>
      </c>
      <c r="K294" t="n">
        <v>1</v>
      </c>
      <c r="L294" t="n">
        <v>0</v>
      </c>
      <c r="M294" t="n">
        <v>0</v>
      </c>
      <c r="N294" t="n">
        <v>0</v>
      </c>
      <c r="O294" t="n">
        <v>3</v>
      </c>
      <c r="P294" t="n">
        <v>1</v>
      </c>
      <c r="Q294" t="n">
        <v>3</v>
      </c>
      <c r="R294" s="2" t="inlineStr">
        <is>
          <t>Knärot
Garnlav
Ullticka</t>
        </is>
      </c>
      <c r="S294">
        <f>HYPERLINK("https://klasma.github.io/Logging_2283/artfynd/A 20781-2023 artfynd.xlsx", "A 20781-2023")</f>
        <v/>
      </c>
      <c r="T294">
        <f>HYPERLINK("https://klasma.github.io/Logging_2283/kartor/A 20781-2023 karta.png", "A 20781-2023")</f>
        <v/>
      </c>
      <c r="U294">
        <f>HYPERLINK("https://klasma.github.io/Logging_2283/knärot/A 20781-2023 karta knärot.png", "A 20781-2023")</f>
        <v/>
      </c>
      <c r="V294">
        <f>HYPERLINK("https://klasma.github.io/Logging_2283/klagomål/A 20781-2023 FSC-klagomål.docx", "A 20781-2023")</f>
        <v/>
      </c>
      <c r="W294">
        <f>HYPERLINK("https://klasma.github.io/Logging_2283/klagomålsmail/A 20781-2023 FSC-klagomål mail.docx", "A 20781-2023")</f>
        <v/>
      </c>
      <c r="X294">
        <f>HYPERLINK("https://klasma.github.io/Logging_2283/tillsyn/A 20781-2023 tillsynsbegäran.docx", "A 20781-2023")</f>
        <v/>
      </c>
      <c r="Y294">
        <f>HYPERLINK("https://klasma.github.io/Logging_2283/tillsynsmail/A 20781-2023 tillsynsbegäran mail.docx", "A 20781-2023")</f>
        <v/>
      </c>
    </row>
    <row r="295" ht="15" customHeight="1">
      <c r="A295" t="inlineStr">
        <is>
          <t>A 21342-2023</t>
        </is>
      </c>
      <c r="B295" s="1" t="n">
        <v>45062</v>
      </c>
      <c r="C295" s="1" t="n">
        <v>45822</v>
      </c>
      <c r="D295" t="inlineStr">
        <is>
          <t>VÄSTERNORRLANDS LÄN</t>
        </is>
      </c>
      <c r="E295" t="inlineStr">
        <is>
          <t>SOLLEFTEÅ</t>
        </is>
      </c>
      <c r="F295" t="inlineStr">
        <is>
          <t>SCA</t>
        </is>
      </c>
      <c r="G295" t="n">
        <v>4.3</v>
      </c>
      <c r="H295" t="n">
        <v>1</v>
      </c>
      <c r="I295" t="n">
        <v>1</v>
      </c>
      <c r="J295" t="n">
        <v>2</v>
      </c>
      <c r="K295" t="n">
        <v>0</v>
      </c>
      <c r="L295" t="n">
        <v>0</v>
      </c>
      <c r="M295" t="n">
        <v>0</v>
      </c>
      <c r="N295" t="n">
        <v>0</v>
      </c>
      <c r="O295" t="n">
        <v>2</v>
      </c>
      <c r="P295" t="n">
        <v>0</v>
      </c>
      <c r="Q295" t="n">
        <v>3</v>
      </c>
      <c r="R295" s="2" t="inlineStr">
        <is>
          <t>Dvärgbägarlav
Kolflarnlav
Plattlummer</t>
        </is>
      </c>
      <c r="S295">
        <f>HYPERLINK("https://klasma.github.io/Logging_2283/artfynd/A 21342-2023 artfynd.xlsx", "A 21342-2023")</f>
        <v/>
      </c>
      <c r="T295">
        <f>HYPERLINK("https://klasma.github.io/Logging_2283/kartor/A 21342-2023 karta.png", "A 21342-2023")</f>
        <v/>
      </c>
      <c r="V295">
        <f>HYPERLINK("https://klasma.github.io/Logging_2283/klagomål/A 21342-2023 FSC-klagomål.docx", "A 21342-2023")</f>
        <v/>
      </c>
      <c r="W295">
        <f>HYPERLINK("https://klasma.github.io/Logging_2283/klagomålsmail/A 21342-2023 FSC-klagomål mail.docx", "A 21342-2023")</f>
        <v/>
      </c>
      <c r="X295">
        <f>HYPERLINK("https://klasma.github.io/Logging_2283/tillsyn/A 21342-2023 tillsynsbegäran.docx", "A 21342-2023")</f>
        <v/>
      </c>
      <c r="Y295">
        <f>HYPERLINK("https://klasma.github.io/Logging_2283/tillsynsmail/A 21342-2023 tillsynsbegäran mail.docx", "A 21342-2023")</f>
        <v/>
      </c>
    </row>
    <row r="296" ht="15" customHeight="1">
      <c r="A296" t="inlineStr">
        <is>
          <t>A 21343-2023</t>
        </is>
      </c>
      <c r="B296" s="1" t="n">
        <v>45062</v>
      </c>
      <c r="C296" s="1" t="n">
        <v>45822</v>
      </c>
      <c r="D296" t="inlineStr">
        <is>
          <t>VÄSTERNORRLANDS LÄN</t>
        </is>
      </c>
      <c r="E296" t="inlineStr">
        <is>
          <t>SOLLEFTEÅ</t>
        </is>
      </c>
      <c r="F296" t="inlineStr">
        <is>
          <t>SCA</t>
        </is>
      </c>
      <c r="G296" t="n">
        <v>4.8</v>
      </c>
      <c r="H296" t="n">
        <v>0</v>
      </c>
      <c r="I296" t="n">
        <v>0</v>
      </c>
      <c r="J296" t="n">
        <v>3</v>
      </c>
      <c r="K296" t="n">
        <v>0</v>
      </c>
      <c r="L296" t="n">
        <v>0</v>
      </c>
      <c r="M296" t="n">
        <v>0</v>
      </c>
      <c r="N296" t="n">
        <v>0</v>
      </c>
      <c r="O296" t="n">
        <v>3</v>
      </c>
      <c r="P296" t="n">
        <v>0</v>
      </c>
      <c r="Q296" t="n">
        <v>3</v>
      </c>
      <c r="R296" s="2" t="inlineStr">
        <is>
          <t>Garnlav
Kolflarnlav
Vedskivlav</t>
        </is>
      </c>
      <c r="S296">
        <f>HYPERLINK("https://klasma.github.io/Logging_2283/artfynd/A 21343-2023 artfynd.xlsx", "A 21343-2023")</f>
        <v/>
      </c>
      <c r="T296">
        <f>HYPERLINK("https://klasma.github.io/Logging_2283/kartor/A 21343-2023 karta.png", "A 21343-2023")</f>
        <v/>
      </c>
      <c r="V296">
        <f>HYPERLINK("https://klasma.github.io/Logging_2283/klagomål/A 21343-2023 FSC-klagomål.docx", "A 21343-2023")</f>
        <v/>
      </c>
      <c r="W296">
        <f>HYPERLINK("https://klasma.github.io/Logging_2283/klagomålsmail/A 21343-2023 FSC-klagomål mail.docx", "A 21343-2023")</f>
        <v/>
      </c>
      <c r="X296">
        <f>HYPERLINK("https://klasma.github.io/Logging_2283/tillsyn/A 21343-2023 tillsynsbegäran.docx", "A 21343-2023")</f>
        <v/>
      </c>
      <c r="Y296">
        <f>HYPERLINK("https://klasma.github.io/Logging_2283/tillsynsmail/A 21343-2023 tillsynsbegäran mail.docx", "A 21343-2023")</f>
        <v/>
      </c>
    </row>
    <row r="297" ht="15" customHeight="1">
      <c r="A297" t="inlineStr">
        <is>
          <t>A 23782-2023</t>
        </is>
      </c>
      <c r="B297" s="1" t="n">
        <v>45077</v>
      </c>
      <c r="C297" s="1" t="n">
        <v>45822</v>
      </c>
      <c r="D297" t="inlineStr">
        <is>
          <t>VÄSTERNORRLANDS LÄN</t>
        </is>
      </c>
      <c r="E297" t="inlineStr">
        <is>
          <t>SOLLEFTEÅ</t>
        </is>
      </c>
      <c r="F297" t="inlineStr">
        <is>
          <t>SCA</t>
        </is>
      </c>
      <c r="G297" t="n">
        <v>6.3</v>
      </c>
      <c r="H297" t="n">
        <v>0</v>
      </c>
      <c r="I297" t="n">
        <v>2</v>
      </c>
      <c r="J297" t="n">
        <v>1</v>
      </c>
      <c r="K297" t="n">
        <v>0</v>
      </c>
      <c r="L297" t="n">
        <v>0</v>
      </c>
      <c r="M297" t="n">
        <v>0</v>
      </c>
      <c r="N297" t="n">
        <v>0</v>
      </c>
      <c r="O297" t="n">
        <v>1</v>
      </c>
      <c r="P297" t="n">
        <v>0</v>
      </c>
      <c r="Q297" t="n">
        <v>3</v>
      </c>
      <c r="R297" s="2" t="inlineStr">
        <is>
          <t>Garnlav
Bollvitmossa
Norrlandslav</t>
        </is>
      </c>
      <c r="S297">
        <f>HYPERLINK("https://klasma.github.io/Logging_2283/artfynd/A 23782-2023 artfynd.xlsx", "A 23782-2023")</f>
        <v/>
      </c>
      <c r="T297">
        <f>HYPERLINK("https://klasma.github.io/Logging_2283/kartor/A 23782-2023 karta.png", "A 23782-2023")</f>
        <v/>
      </c>
      <c r="V297">
        <f>HYPERLINK("https://klasma.github.io/Logging_2283/klagomål/A 23782-2023 FSC-klagomål.docx", "A 23782-2023")</f>
        <v/>
      </c>
      <c r="W297">
        <f>HYPERLINK("https://klasma.github.io/Logging_2283/klagomålsmail/A 23782-2023 FSC-klagomål mail.docx", "A 23782-2023")</f>
        <v/>
      </c>
      <c r="X297">
        <f>HYPERLINK("https://klasma.github.io/Logging_2283/tillsyn/A 23782-2023 tillsynsbegäran.docx", "A 23782-2023")</f>
        <v/>
      </c>
      <c r="Y297">
        <f>HYPERLINK("https://klasma.github.io/Logging_2283/tillsynsmail/A 23782-2023 tillsynsbegäran mail.docx", "A 23782-2023")</f>
        <v/>
      </c>
    </row>
    <row r="298" ht="15" customHeight="1">
      <c r="A298" t="inlineStr">
        <is>
          <t>A 26374-2023</t>
        </is>
      </c>
      <c r="B298" s="1" t="n">
        <v>45092</v>
      </c>
      <c r="C298" s="1" t="n">
        <v>45822</v>
      </c>
      <c r="D298" t="inlineStr">
        <is>
          <t>VÄSTERNORRLANDS LÄN</t>
        </is>
      </c>
      <c r="E298" t="inlineStr">
        <is>
          <t>SOLLEFTEÅ</t>
        </is>
      </c>
      <c r="F298" t="inlineStr">
        <is>
          <t>SCA</t>
        </is>
      </c>
      <c r="G298" t="n">
        <v>0.9</v>
      </c>
      <c r="H298" t="n">
        <v>0</v>
      </c>
      <c r="I298" t="n">
        <v>0</v>
      </c>
      <c r="J298" t="n">
        <v>2</v>
      </c>
      <c r="K298" t="n">
        <v>1</v>
      </c>
      <c r="L298" t="n">
        <v>0</v>
      </c>
      <c r="M298" t="n">
        <v>0</v>
      </c>
      <c r="N298" t="n">
        <v>0</v>
      </c>
      <c r="O298" t="n">
        <v>3</v>
      </c>
      <c r="P298" t="n">
        <v>1</v>
      </c>
      <c r="Q298" t="n">
        <v>3</v>
      </c>
      <c r="R298" s="2" t="inlineStr">
        <is>
          <t>Blackticka
Granticka
Ullticka</t>
        </is>
      </c>
      <c r="S298">
        <f>HYPERLINK("https://klasma.github.io/Logging_2283/artfynd/A 26374-2023 artfynd.xlsx", "A 26374-2023")</f>
        <v/>
      </c>
      <c r="T298">
        <f>HYPERLINK("https://klasma.github.io/Logging_2283/kartor/A 26374-2023 karta.png", "A 26374-2023")</f>
        <v/>
      </c>
      <c r="V298">
        <f>HYPERLINK("https://klasma.github.io/Logging_2283/klagomål/A 26374-2023 FSC-klagomål.docx", "A 26374-2023")</f>
        <v/>
      </c>
      <c r="W298">
        <f>HYPERLINK("https://klasma.github.io/Logging_2283/klagomålsmail/A 26374-2023 FSC-klagomål mail.docx", "A 26374-2023")</f>
        <v/>
      </c>
      <c r="X298">
        <f>HYPERLINK("https://klasma.github.io/Logging_2283/tillsyn/A 26374-2023 tillsynsbegäran.docx", "A 26374-2023")</f>
        <v/>
      </c>
      <c r="Y298">
        <f>HYPERLINK("https://klasma.github.io/Logging_2283/tillsynsmail/A 26374-2023 tillsynsbegäran mail.docx", "A 26374-2023")</f>
        <v/>
      </c>
    </row>
    <row r="299" ht="15" customHeight="1">
      <c r="A299" t="inlineStr">
        <is>
          <t>A 40866-2023</t>
        </is>
      </c>
      <c r="B299" s="1" t="n">
        <v>45173</v>
      </c>
      <c r="C299" s="1" t="n">
        <v>45822</v>
      </c>
      <c r="D299" t="inlineStr">
        <is>
          <t>VÄSTERNORRLANDS LÄN</t>
        </is>
      </c>
      <c r="E299" t="inlineStr">
        <is>
          <t>SOLLEFTEÅ</t>
        </is>
      </c>
      <c r="G299" t="n">
        <v>1.7</v>
      </c>
      <c r="H299" t="n">
        <v>2</v>
      </c>
      <c r="I299" t="n">
        <v>1</v>
      </c>
      <c r="J299" t="n">
        <v>1</v>
      </c>
      <c r="K299" t="n">
        <v>0</v>
      </c>
      <c r="L299" t="n">
        <v>0</v>
      </c>
      <c r="M299" t="n">
        <v>0</v>
      </c>
      <c r="N299" t="n">
        <v>0</v>
      </c>
      <c r="O299" t="n">
        <v>1</v>
      </c>
      <c r="P299" t="n">
        <v>0</v>
      </c>
      <c r="Q299" t="n">
        <v>3</v>
      </c>
      <c r="R299" s="2" t="inlineStr">
        <is>
          <t>Spillkråka
Tibast
Skogsödla</t>
        </is>
      </c>
      <c r="S299">
        <f>HYPERLINK("https://klasma.github.io/Logging_2283/artfynd/A 40866-2023 artfynd.xlsx", "A 40866-2023")</f>
        <v/>
      </c>
      <c r="T299">
        <f>HYPERLINK("https://klasma.github.io/Logging_2283/kartor/A 40866-2023 karta.png", "A 40866-2023")</f>
        <v/>
      </c>
      <c r="V299">
        <f>HYPERLINK("https://klasma.github.io/Logging_2283/klagomål/A 40866-2023 FSC-klagomål.docx", "A 40866-2023")</f>
        <v/>
      </c>
      <c r="W299">
        <f>HYPERLINK("https://klasma.github.io/Logging_2283/klagomålsmail/A 40866-2023 FSC-klagomål mail.docx", "A 40866-2023")</f>
        <v/>
      </c>
      <c r="X299">
        <f>HYPERLINK("https://klasma.github.io/Logging_2283/tillsyn/A 40866-2023 tillsynsbegäran.docx", "A 40866-2023")</f>
        <v/>
      </c>
      <c r="Y299">
        <f>HYPERLINK("https://klasma.github.io/Logging_2283/tillsynsmail/A 40866-2023 tillsynsbegäran mail.docx", "A 40866-2023")</f>
        <v/>
      </c>
      <c r="Z299">
        <f>HYPERLINK("https://klasma.github.io/Logging_2283/fåglar/A 40866-2023 prioriterade fågelarter.docx", "A 40866-2023")</f>
        <v/>
      </c>
    </row>
    <row r="300" ht="15" customHeight="1">
      <c r="A300" t="inlineStr">
        <is>
          <t>A 45007-2023</t>
        </is>
      </c>
      <c r="B300" s="1" t="n">
        <v>45190</v>
      </c>
      <c r="C300" s="1" t="n">
        <v>45822</v>
      </c>
      <c r="D300" t="inlineStr">
        <is>
          <t>VÄSTERNORRLANDS LÄN</t>
        </is>
      </c>
      <c r="E300" t="inlineStr">
        <is>
          <t>SOLLEFTEÅ</t>
        </is>
      </c>
      <c r="F300" t="inlineStr">
        <is>
          <t>SCA</t>
        </is>
      </c>
      <c r="G300" t="n">
        <v>2.1</v>
      </c>
      <c r="H300" t="n">
        <v>2</v>
      </c>
      <c r="I300" t="n">
        <v>0</v>
      </c>
      <c r="J300" t="n">
        <v>3</v>
      </c>
      <c r="K300" t="n">
        <v>0</v>
      </c>
      <c r="L300" t="n">
        <v>0</v>
      </c>
      <c r="M300" t="n">
        <v>0</v>
      </c>
      <c r="N300" t="n">
        <v>0</v>
      </c>
      <c r="O300" t="n">
        <v>3</v>
      </c>
      <c r="P300" t="n">
        <v>0</v>
      </c>
      <c r="Q300" t="n">
        <v>3</v>
      </c>
      <c r="R300" s="2" t="inlineStr">
        <is>
          <t>Spillkråka
Tretåig hackspett
Ullticka</t>
        </is>
      </c>
      <c r="S300">
        <f>HYPERLINK("https://klasma.github.io/Logging_2283/artfynd/A 45007-2023 artfynd.xlsx", "A 45007-2023")</f>
        <v/>
      </c>
      <c r="T300">
        <f>HYPERLINK("https://klasma.github.io/Logging_2283/kartor/A 45007-2023 karta.png", "A 45007-2023")</f>
        <v/>
      </c>
      <c r="V300">
        <f>HYPERLINK("https://klasma.github.io/Logging_2283/klagomål/A 45007-2023 FSC-klagomål.docx", "A 45007-2023")</f>
        <v/>
      </c>
      <c r="W300">
        <f>HYPERLINK("https://klasma.github.io/Logging_2283/klagomålsmail/A 45007-2023 FSC-klagomål mail.docx", "A 45007-2023")</f>
        <v/>
      </c>
      <c r="X300">
        <f>HYPERLINK("https://klasma.github.io/Logging_2283/tillsyn/A 45007-2023 tillsynsbegäran.docx", "A 45007-2023")</f>
        <v/>
      </c>
      <c r="Y300">
        <f>HYPERLINK("https://klasma.github.io/Logging_2283/tillsynsmail/A 45007-2023 tillsynsbegäran mail.docx", "A 45007-2023")</f>
        <v/>
      </c>
      <c r="Z300">
        <f>HYPERLINK("https://klasma.github.io/Logging_2283/fåglar/A 45007-2023 prioriterade fågelarter.docx", "A 45007-2023")</f>
        <v/>
      </c>
    </row>
    <row r="301" ht="15" customHeight="1">
      <c r="A301" t="inlineStr">
        <is>
          <t>A 45006-2023</t>
        </is>
      </c>
      <c r="B301" s="1" t="n">
        <v>45190</v>
      </c>
      <c r="C301" s="1" t="n">
        <v>45822</v>
      </c>
      <c r="D301" t="inlineStr">
        <is>
          <t>VÄSTERNORRLANDS LÄN</t>
        </is>
      </c>
      <c r="E301" t="inlineStr">
        <is>
          <t>SOLLEFTEÅ</t>
        </is>
      </c>
      <c r="F301" t="inlineStr">
        <is>
          <t>SCA</t>
        </is>
      </c>
      <c r="G301" t="n">
        <v>5.1</v>
      </c>
      <c r="H301" t="n">
        <v>0</v>
      </c>
      <c r="I301" t="n">
        <v>0</v>
      </c>
      <c r="J301" t="n">
        <v>2</v>
      </c>
      <c r="K301" t="n">
        <v>1</v>
      </c>
      <c r="L301" t="n">
        <v>0</v>
      </c>
      <c r="M301" t="n">
        <v>0</v>
      </c>
      <c r="N301" t="n">
        <v>0</v>
      </c>
      <c r="O301" t="n">
        <v>3</v>
      </c>
      <c r="P301" t="n">
        <v>1</v>
      </c>
      <c r="Q301" t="n">
        <v>3</v>
      </c>
      <c r="R301" s="2" t="inlineStr">
        <is>
          <t>Rynkskinn
Gammelgransskål
Rosenticka</t>
        </is>
      </c>
      <c r="S301">
        <f>HYPERLINK("https://klasma.github.io/Logging_2283/artfynd/A 45006-2023 artfynd.xlsx", "A 45006-2023")</f>
        <v/>
      </c>
      <c r="T301">
        <f>HYPERLINK("https://klasma.github.io/Logging_2283/kartor/A 45006-2023 karta.png", "A 45006-2023")</f>
        <v/>
      </c>
      <c r="V301">
        <f>HYPERLINK("https://klasma.github.io/Logging_2283/klagomål/A 45006-2023 FSC-klagomål.docx", "A 45006-2023")</f>
        <v/>
      </c>
      <c r="W301">
        <f>HYPERLINK("https://klasma.github.io/Logging_2283/klagomålsmail/A 45006-2023 FSC-klagomål mail.docx", "A 45006-2023")</f>
        <v/>
      </c>
      <c r="X301">
        <f>HYPERLINK("https://klasma.github.io/Logging_2283/tillsyn/A 45006-2023 tillsynsbegäran.docx", "A 45006-2023")</f>
        <v/>
      </c>
      <c r="Y301">
        <f>HYPERLINK("https://klasma.github.io/Logging_2283/tillsynsmail/A 45006-2023 tillsynsbegäran mail.docx", "A 45006-2023")</f>
        <v/>
      </c>
    </row>
    <row r="302" ht="15" customHeight="1">
      <c r="A302" t="inlineStr">
        <is>
          <t>A 50838-2023</t>
        </is>
      </c>
      <c r="B302" s="1" t="n">
        <v>45217</v>
      </c>
      <c r="C302" s="1" t="n">
        <v>45822</v>
      </c>
      <c r="D302" t="inlineStr">
        <is>
          <t>VÄSTERNORRLANDS LÄN</t>
        </is>
      </c>
      <c r="E302" t="inlineStr">
        <is>
          <t>SOLLEFTEÅ</t>
        </is>
      </c>
      <c r="F302" t="inlineStr">
        <is>
          <t>SCA</t>
        </is>
      </c>
      <c r="G302" t="n">
        <v>2.1</v>
      </c>
      <c r="H302" t="n">
        <v>2</v>
      </c>
      <c r="I302" t="n">
        <v>0</v>
      </c>
      <c r="J302" t="n">
        <v>1</v>
      </c>
      <c r="K302" t="n">
        <v>2</v>
      </c>
      <c r="L302" t="n">
        <v>0</v>
      </c>
      <c r="M302" t="n">
        <v>0</v>
      </c>
      <c r="N302" t="n">
        <v>0</v>
      </c>
      <c r="O302" t="n">
        <v>3</v>
      </c>
      <c r="P302" t="n">
        <v>2</v>
      </c>
      <c r="Q302" t="n">
        <v>3</v>
      </c>
      <c r="R302" s="2" t="inlineStr">
        <is>
          <t>Doftticka
Knärot
Lunglav</t>
        </is>
      </c>
      <c r="S302">
        <f>HYPERLINK("https://klasma.github.io/Logging_2283/artfynd/A 50838-2023 artfynd.xlsx", "A 50838-2023")</f>
        <v/>
      </c>
      <c r="T302">
        <f>HYPERLINK("https://klasma.github.io/Logging_2283/kartor/A 50838-2023 karta.png", "A 50838-2023")</f>
        <v/>
      </c>
      <c r="U302">
        <f>HYPERLINK("https://klasma.github.io/Logging_2283/knärot/A 50838-2023 karta knärot.png", "A 50838-2023")</f>
        <v/>
      </c>
      <c r="V302">
        <f>HYPERLINK("https://klasma.github.io/Logging_2283/klagomål/A 50838-2023 FSC-klagomål.docx", "A 50838-2023")</f>
        <v/>
      </c>
      <c r="W302">
        <f>HYPERLINK("https://klasma.github.io/Logging_2283/klagomålsmail/A 50838-2023 FSC-klagomål mail.docx", "A 50838-2023")</f>
        <v/>
      </c>
      <c r="X302">
        <f>HYPERLINK("https://klasma.github.io/Logging_2283/tillsyn/A 50838-2023 tillsynsbegäran.docx", "A 50838-2023")</f>
        <v/>
      </c>
      <c r="Y302">
        <f>HYPERLINK("https://klasma.github.io/Logging_2283/tillsynsmail/A 50838-2023 tillsynsbegäran mail.docx", "A 50838-2023")</f>
        <v/>
      </c>
    </row>
    <row r="303" ht="15" customHeight="1">
      <c r="A303" t="inlineStr">
        <is>
          <t>A 52762-2023</t>
        </is>
      </c>
      <c r="B303" s="1" t="n">
        <v>45225</v>
      </c>
      <c r="C303" s="1" t="n">
        <v>45822</v>
      </c>
      <c r="D303" t="inlineStr">
        <is>
          <t>VÄSTERNORRLANDS LÄN</t>
        </is>
      </c>
      <c r="E303" t="inlineStr">
        <is>
          <t>SOLLEFTEÅ</t>
        </is>
      </c>
      <c r="F303" t="inlineStr">
        <is>
          <t>SCA</t>
        </is>
      </c>
      <c r="G303" t="n">
        <v>6.3</v>
      </c>
      <c r="H303" t="n">
        <v>1</v>
      </c>
      <c r="I303" t="n">
        <v>0</v>
      </c>
      <c r="J303" t="n">
        <v>2</v>
      </c>
      <c r="K303" t="n">
        <v>0</v>
      </c>
      <c r="L303" t="n">
        <v>0</v>
      </c>
      <c r="M303" t="n">
        <v>0</v>
      </c>
      <c r="N303" t="n">
        <v>0</v>
      </c>
      <c r="O303" t="n">
        <v>2</v>
      </c>
      <c r="P303" t="n">
        <v>0</v>
      </c>
      <c r="Q303" t="n">
        <v>3</v>
      </c>
      <c r="R303" s="2" t="inlineStr">
        <is>
          <t>Rosenticka
Ullticka
Fläcknycklar</t>
        </is>
      </c>
      <c r="S303">
        <f>HYPERLINK("https://klasma.github.io/Logging_2283/artfynd/A 52762-2023 artfynd.xlsx", "A 52762-2023")</f>
        <v/>
      </c>
      <c r="T303">
        <f>HYPERLINK("https://klasma.github.io/Logging_2283/kartor/A 52762-2023 karta.png", "A 52762-2023")</f>
        <v/>
      </c>
      <c r="V303">
        <f>HYPERLINK("https://klasma.github.io/Logging_2283/klagomål/A 52762-2023 FSC-klagomål.docx", "A 52762-2023")</f>
        <v/>
      </c>
      <c r="W303">
        <f>HYPERLINK("https://klasma.github.io/Logging_2283/klagomålsmail/A 52762-2023 FSC-klagomål mail.docx", "A 52762-2023")</f>
        <v/>
      </c>
      <c r="X303">
        <f>HYPERLINK("https://klasma.github.io/Logging_2283/tillsyn/A 52762-2023 tillsynsbegäran.docx", "A 52762-2023")</f>
        <v/>
      </c>
      <c r="Y303">
        <f>HYPERLINK("https://klasma.github.io/Logging_2283/tillsynsmail/A 52762-2023 tillsynsbegäran mail.docx", "A 52762-2023")</f>
        <v/>
      </c>
    </row>
    <row r="304" ht="15" customHeight="1">
      <c r="A304" t="inlineStr">
        <is>
          <t>A 54030-2023</t>
        </is>
      </c>
      <c r="B304" s="1" t="n">
        <v>45231</v>
      </c>
      <c r="C304" s="1" t="n">
        <v>45822</v>
      </c>
      <c r="D304" t="inlineStr">
        <is>
          <t>VÄSTERNORRLANDS LÄN</t>
        </is>
      </c>
      <c r="E304" t="inlineStr">
        <is>
          <t>SOLLEFTEÅ</t>
        </is>
      </c>
      <c r="G304" t="n">
        <v>4.4</v>
      </c>
      <c r="H304" t="n">
        <v>0</v>
      </c>
      <c r="I304" t="n">
        <v>0</v>
      </c>
      <c r="J304" t="n">
        <v>2</v>
      </c>
      <c r="K304" t="n">
        <v>1</v>
      </c>
      <c r="L304" t="n">
        <v>0</v>
      </c>
      <c r="M304" t="n">
        <v>0</v>
      </c>
      <c r="N304" t="n">
        <v>0</v>
      </c>
      <c r="O304" t="n">
        <v>3</v>
      </c>
      <c r="P304" t="n">
        <v>1</v>
      </c>
      <c r="Q304" t="n">
        <v>3</v>
      </c>
      <c r="R304" s="2" t="inlineStr">
        <is>
          <t>Rynkskinn
Rosenticka
Ullticka</t>
        </is>
      </c>
      <c r="S304">
        <f>HYPERLINK("https://klasma.github.io/Logging_2283/artfynd/A 54030-2023 artfynd.xlsx", "A 54030-2023")</f>
        <v/>
      </c>
      <c r="T304">
        <f>HYPERLINK("https://klasma.github.io/Logging_2283/kartor/A 54030-2023 karta.png", "A 54030-2023")</f>
        <v/>
      </c>
      <c r="V304">
        <f>HYPERLINK("https://klasma.github.io/Logging_2283/klagomål/A 54030-2023 FSC-klagomål.docx", "A 54030-2023")</f>
        <v/>
      </c>
      <c r="W304">
        <f>HYPERLINK("https://klasma.github.io/Logging_2283/klagomålsmail/A 54030-2023 FSC-klagomål mail.docx", "A 54030-2023")</f>
        <v/>
      </c>
      <c r="X304">
        <f>HYPERLINK("https://klasma.github.io/Logging_2283/tillsyn/A 54030-2023 tillsynsbegäran.docx", "A 54030-2023")</f>
        <v/>
      </c>
      <c r="Y304">
        <f>HYPERLINK("https://klasma.github.io/Logging_2283/tillsynsmail/A 54030-2023 tillsynsbegäran mail.docx", "A 54030-2023")</f>
        <v/>
      </c>
    </row>
    <row r="305" ht="15" customHeight="1">
      <c r="A305" t="inlineStr">
        <is>
          <t>A 16702-2024</t>
        </is>
      </c>
      <c r="B305" s="1" t="n">
        <v>45409</v>
      </c>
      <c r="C305" s="1" t="n">
        <v>45822</v>
      </c>
      <c r="D305" t="inlineStr">
        <is>
          <t>VÄSTERNORRLANDS LÄN</t>
        </is>
      </c>
      <c r="E305" t="inlineStr">
        <is>
          <t>SOLLEFTEÅ</t>
        </is>
      </c>
      <c r="F305" t="inlineStr">
        <is>
          <t>SCA</t>
        </is>
      </c>
      <c r="G305" t="n">
        <v>2.4</v>
      </c>
      <c r="H305" t="n">
        <v>0</v>
      </c>
      <c r="I305" t="n">
        <v>0</v>
      </c>
      <c r="J305" t="n">
        <v>3</v>
      </c>
      <c r="K305" t="n">
        <v>0</v>
      </c>
      <c r="L305" t="n">
        <v>0</v>
      </c>
      <c r="M305" t="n">
        <v>0</v>
      </c>
      <c r="N305" t="n">
        <v>0</v>
      </c>
      <c r="O305" t="n">
        <v>3</v>
      </c>
      <c r="P305" t="n">
        <v>0</v>
      </c>
      <c r="Q305" t="n">
        <v>3</v>
      </c>
      <c r="R305" s="2" t="inlineStr">
        <is>
          <t>Gammelgransskål
Rosenticka
Ullticka</t>
        </is>
      </c>
      <c r="S305">
        <f>HYPERLINK("https://klasma.github.io/Logging_2283/artfynd/A 16702-2024 artfynd.xlsx", "A 16702-2024")</f>
        <v/>
      </c>
      <c r="T305">
        <f>HYPERLINK("https://klasma.github.io/Logging_2283/kartor/A 16702-2024 karta.png", "A 16702-2024")</f>
        <v/>
      </c>
      <c r="V305">
        <f>HYPERLINK("https://klasma.github.io/Logging_2283/klagomål/A 16702-2024 FSC-klagomål.docx", "A 16702-2024")</f>
        <v/>
      </c>
      <c r="W305">
        <f>HYPERLINK("https://klasma.github.io/Logging_2283/klagomålsmail/A 16702-2024 FSC-klagomål mail.docx", "A 16702-2024")</f>
        <v/>
      </c>
      <c r="X305">
        <f>HYPERLINK("https://klasma.github.io/Logging_2283/tillsyn/A 16702-2024 tillsynsbegäran.docx", "A 16702-2024")</f>
        <v/>
      </c>
      <c r="Y305">
        <f>HYPERLINK("https://klasma.github.io/Logging_2283/tillsynsmail/A 16702-2024 tillsynsbegäran mail.docx", "A 16702-2024")</f>
        <v/>
      </c>
    </row>
    <row r="306" ht="15" customHeight="1">
      <c r="A306" t="inlineStr">
        <is>
          <t>A 21097-2024</t>
        </is>
      </c>
      <c r="B306" s="1" t="n">
        <v>45440</v>
      </c>
      <c r="C306" s="1" t="n">
        <v>45822</v>
      </c>
      <c r="D306" t="inlineStr">
        <is>
          <t>VÄSTERNORRLANDS LÄN</t>
        </is>
      </c>
      <c r="E306" t="inlineStr">
        <is>
          <t>SOLLEFTEÅ</t>
        </is>
      </c>
      <c r="F306" t="inlineStr">
        <is>
          <t>SCA</t>
        </is>
      </c>
      <c r="G306" t="n">
        <v>7.7</v>
      </c>
      <c r="H306" t="n">
        <v>1</v>
      </c>
      <c r="I306" t="n">
        <v>1</v>
      </c>
      <c r="J306" t="n">
        <v>2</v>
      </c>
      <c r="K306" t="n">
        <v>0</v>
      </c>
      <c r="L306" t="n">
        <v>0</v>
      </c>
      <c r="M306" t="n">
        <v>0</v>
      </c>
      <c r="N306" t="n">
        <v>0</v>
      </c>
      <c r="O306" t="n">
        <v>2</v>
      </c>
      <c r="P306" t="n">
        <v>0</v>
      </c>
      <c r="Q306" t="n">
        <v>3</v>
      </c>
      <c r="R306" s="2" t="inlineStr">
        <is>
          <t>Lunglav
Ullticka
Lappranunkel</t>
        </is>
      </c>
      <c r="S306">
        <f>HYPERLINK("https://klasma.github.io/Logging_2283/artfynd/A 21097-2024 artfynd.xlsx", "A 21097-2024")</f>
        <v/>
      </c>
      <c r="T306">
        <f>HYPERLINK("https://klasma.github.io/Logging_2283/kartor/A 21097-2024 karta.png", "A 21097-2024")</f>
        <v/>
      </c>
      <c r="V306">
        <f>HYPERLINK("https://klasma.github.io/Logging_2283/klagomål/A 21097-2024 FSC-klagomål.docx", "A 21097-2024")</f>
        <v/>
      </c>
      <c r="W306">
        <f>HYPERLINK("https://klasma.github.io/Logging_2283/klagomålsmail/A 21097-2024 FSC-klagomål mail.docx", "A 21097-2024")</f>
        <v/>
      </c>
      <c r="X306">
        <f>HYPERLINK("https://klasma.github.io/Logging_2283/tillsyn/A 21097-2024 tillsynsbegäran.docx", "A 21097-2024")</f>
        <v/>
      </c>
      <c r="Y306">
        <f>HYPERLINK("https://klasma.github.io/Logging_2283/tillsynsmail/A 21097-2024 tillsynsbegäran mail.docx", "A 21097-2024")</f>
        <v/>
      </c>
    </row>
    <row r="307" ht="15" customHeight="1">
      <c r="A307" t="inlineStr">
        <is>
          <t>A 23939-2024</t>
        </is>
      </c>
      <c r="B307" s="1" t="n">
        <v>45456</v>
      </c>
      <c r="C307" s="1" t="n">
        <v>45822</v>
      </c>
      <c r="D307" t="inlineStr">
        <is>
          <t>VÄSTERNORRLANDS LÄN</t>
        </is>
      </c>
      <c r="E307" t="inlineStr">
        <is>
          <t>SOLLEFTEÅ</t>
        </is>
      </c>
      <c r="F307" t="inlineStr">
        <is>
          <t>SCA</t>
        </is>
      </c>
      <c r="G307" t="n">
        <v>3</v>
      </c>
      <c r="H307" t="n">
        <v>1</v>
      </c>
      <c r="I307" t="n">
        <v>1</v>
      </c>
      <c r="J307" t="n">
        <v>2</v>
      </c>
      <c r="K307" t="n">
        <v>0</v>
      </c>
      <c r="L307" t="n">
        <v>0</v>
      </c>
      <c r="M307" t="n">
        <v>0</v>
      </c>
      <c r="N307" t="n">
        <v>0</v>
      </c>
      <c r="O307" t="n">
        <v>2</v>
      </c>
      <c r="P307" t="n">
        <v>0</v>
      </c>
      <c r="Q307" t="n">
        <v>3</v>
      </c>
      <c r="R307" s="2" t="inlineStr">
        <is>
          <t>Lunglav
Talltita
Stuplav</t>
        </is>
      </c>
      <c r="S307">
        <f>HYPERLINK("https://klasma.github.io/Logging_2283/artfynd/A 23939-2024 artfynd.xlsx", "A 23939-2024")</f>
        <v/>
      </c>
      <c r="T307">
        <f>HYPERLINK("https://klasma.github.io/Logging_2283/kartor/A 23939-2024 karta.png", "A 23939-2024")</f>
        <v/>
      </c>
      <c r="V307">
        <f>HYPERLINK("https://klasma.github.io/Logging_2283/klagomål/A 23939-2024 FSC-klagomål.docx", "A 23939-2024")</f>
        <v/>
      </c>
      <c r="W307">
        <f>HYPERLINK("https://klasma.github.io/Logging_2283/klagomålsmail/A 23939-2024 FSC-klagomål mail.docx", "A 23939-2024")</f>
        <v/>
      </c>
      <c r="X307">
        <f>HYPERLINK("https://klasma.github.io/Logging_2283/tillsyn/A 23939-2024 tillsynsbegäran.docx", "A 23939-2024")</f>
        <v/>
      </c>
      <c r="Y307">
        <f>HYPERLINK("https://klasma.github.io/Logging_2283/tillsynsmail/A 23939-2024 tillsynsbegäran mail.docx", "A 23939-2024")</f>
        <v/>
      </c>
      <c r="Z307">
        <f>HYPERLINK("https://klasma.github.io/Logging_2283/fåglar/A 23939-2024 prioriterade fågelarter.docx", "A 23939-2024")</f>
        <v/>
      </c>
    </row>
    <row r="308" ht="15" customHeight="1">
      <c r="A308" t="inlineStr">
        <is>
          <t>A 24757-2024</t>
        </is>
      </c>
      <c r="B308" s="1" t="n">
        <v>45460</v>
      </c>
      <c r="C308" s="1" t="n">
        <v>45822</v>
      </c>
      <c r="D308" t="inlineStr">
        <is>
          <t>VÄSTERNORRLANDS LÄN</t>
        </is>
      </c>
      <c r="E308" t="inlineStr">
        <is>
          <t>SOLLEFTEÅ</t>
        </is>
      </c>
      <c r="G308" t="n">
        <v>1.4</v>
      </c>
      <c r="H308" t="n">
        <v>1</v>
      </c>
      <c r="I308" t="n">
        <v>0</v>
      </c>
      <c r="J308" t="n">
        <v>2</v>
      </c>
      <c r="K308" t="n">
        <v>0</v>
      </c>
      <c r="L308" t="n">
        <v>0</v>
      </c>
      <c r="M308" t="n">
        <v>0</v>
      </c>
      <c r="N308" t="n">
        <v>0</v>
      </c>
      <c r="O308" t="n">
        <v>2</v>
      </c>
      <c r="P308" t="n">
        <v>0</v>
      </c>
      <c r="Q308" t="n">
        <v>3</v>
      </c>
      <c r="R308" s="2" t="inlineStr">
        <is>
          <t>Harticka
Lunglav
Revlummer</t>
        </is>
      </c>
      <c r="S308">
        <f>HYPERLINK("https://klasma.github.io/Logging_2283/artfynd/A 24757-2024 artfynd.xlsx", "A 24757-2024")</f>
        <v/>
      </c>
      <c r="T308">
        <f>HYPERLINK("https://klasma.github.io/Logging_2283/kartor/A 24757-2024 karta.png", "A 24757-2024")</f>
        <v/>
      </c>
      <c r="V308">
        <f>HYPERLINK("https://klasma.github.io/Logging_2283/klagomål/A 24757-2024 FSC-klagomål.docx", "A 24757-2024")</f>
        <v/>
      </c>
      <c r="W308">
        <f>HYPERLINK("https://klasma.github.io/Logging_2283/klagomålsmail/A 24757-2024 FSC-klagomål mail.docx", "A 24757-2024")</f>
        <v/>
      </c>
      <c r="X308">
        <f>HYPERLINK("https://klasma.github.io/Logging_2283/tillsyn/A 24757-2024 tillsynsbegäran.docx", "A 24757-2024")</f>
        <v/>
      </c>
      <c r="Y308">
        <f>HYPERLINK("https://klasma.github.io/Logging_2283/tillsynsmail/A 24757-2024 tillsynsbegäran mail.docx", "A 24757-2024")</f>
        <v/>
      </c>
    </row>
    <row r="309" ht="15" customHeight="1">
      <c r="A309" t="inlineStr">
        <is>
          <t>A 32256-2024</t>
        </is>
      </c>
      <c r="B309" s="1" t="n">
        <v>45511</v>
      </c>
      <c r="C309" s="1" t="n">
        <v>45822</v>
      </c>
      <c r="D309" t="inlineStr">
        <is>
          <t>VÄSTERNORRLANDS LÄN</t>
        </is>
      </c>
      <c r="E309" t="inlineStr">
        <is>
          <t>SOLLEFTEÅ</t>
        </is>
      </c>
      <c r="F309" t="inlineStr">
        <is>
          <t>SCA</t>
        </is>
      </c>
      <c r="G309" t="n">
        <v>3.9</v>
      </c>
      <c r="H309" t="n">
        <v>1</v>
      </c>
      <c r="I309" t="n">
        <v>1</v>
      </c>
      <c r="J309" t="n">
        <v>2</v>
      </c>
      <c r="K309" t="n">
        <v>0</v>
      </c>
      <c r="L309" t="n">
        <v>0</v>
      </c>
      <c r="M309" t="n">
        <v>0</v>
      </c>
      <c r="N309" t="n">
        <v>0</v>
      </c>
      <c r="O309" t="n">
        <v>2</v>
      </c>
      <c r="P309" t="n">
        <v>0</v>
      </c>
      <c r="Q309" t="n">
        <v>3</v>
      </c>
      <c r="R309" s="2" t="inlineStr">
        <is>
          <t>Tretåig hackspett
Vedtrappmossa
Fjällig taggsvamp s.str.</t>
        </is>
      </c>
      <c r="S309">
        <f>HYPERLINK("https://klasma.github.io/Logging_2283/artfynd/A 32256-2024 artfynd.xlsx", "A 32256-2024")</f>
        <v/>
      </c>
      <c r="T309">
        <f>HYPERLINK("https://klasma.github.io/Logging_2283/kartor/A 32256-2024 karta.png", "A 32256-2024")</f>
        <v/>
      </c>
      <c r="V309">
        <f>HYPERLINK("https://klasma.github.io/Logging_2283/klagomål/A 32256-2024 FSC-klagomål.docx", "A 32256-2024")</f>
        <v/>
      </c>
      <c r="W309">
        <f>HYPERLINK("https://klasma.github.io/Logging_2283/klagomålsmail/A 32256-2024 FSC-klagomål mail.docx", "A 32256-2024")</f>
        <v/>
      </c>
      <c r="X309">
        <f>HYPERLINK("https://klasma.github.io/Logging_2283/tillsyn/A 32256-2024 tillsynsbegäran.docx", "A 32256-2024")</f>
        <v/>
      </c>
      <c r="Y309">
        <f>HYPERLINK("https://klasma.github.io/Logging_2283/tillsynsmail/A 32256-2024 tillsynsbegäran mail.docx", "A 32256-2024")</f>
        <v/>
      </c>
      <c r="Z309">
        <f>HYPERLINK("https://klasma.github.io/Logging_2283/fåglar/A 32256-2024 prioriterade fågelarter.docx", "A 32256-2024")</f>
        <v/>
      </c>
    </row>
    <row r="310" ht="15" customHeight="1">
      <c r="A310" t="inlineStr">
        <is>
          <t>A 38096-2024</t>
        </is>
      </c>
      <c r="B310" s="1" t="n">
        <v>45545</v>
      </c>
      <c r="C310" s="1" t="n">
        <v>45822</v>
      </c>
      <c r="D310" t="inlineStr">
        <is>
          <t>VÄSTERNORRLANDS LÄN</t>
        </is>
      </c>
      <c r="E310" t="inlineStr">
        <is>
          <t>SOLLEFTEÅ</t>
        </is>
      </c>
      <c r="F310" t="inlineStr">
        <is>
          <t>SCA</t>
        </is>
      </c>
      <c r="G310" t="n">
        <v>5.2</v>
      </c>
      <c r="H310" t="n">
        <v>1</v>
      </c>
      <c r="I310" t="n">
        <v>2</v>
      </c>
      <c r="J310" t="n">
        <v>1</v>
      </c>
      <c r="K310" t="n">
        <v>0</v>
      </c>
      <c r="L310" t="n">
        <v>0</v>
      </c>
      <c r="M310" t="n">
        <v>0</v>
      </c>
      <c r="N310" t="n">
        <v>0</v>
      </c>
      <c r="O310" t="n">
        <v>1</v>
      </c>
      <c r="P310" t="n">
        <v>0</v>
      </c>
      <c r="Q310" t="n">
        <v>3</v>
      </c>
      <c r="R310" s="2" t="inlineStr">
        <is>
          <t>Lunglav
Bollvitmossa
Lappranunkel</t>
        </is>
      </c>
      <c r="S310">
        <f>HYPERLINK("https://klasma.github.io/Logging_2283/artfynd/A 38096-2024 artfynd.xlsx", "A 38096-2024")</f>
        <v/>
      </c>
      <c r="T310">
        <f>HYPERLINK("https://klasma.github.io/Logging_2283/kartor/A 38096-2024 karta.png", "A 38096-2024")</f>
        <v/>
      </c>
      <c r="V310">
        <f>HYPERLINK("https://klasma.github.io/Logging_2283/klagomål/A 38096-2024 FSC-klagomål.docx", "A 38096-2024")</f>
        <v/>
      </c>
      <c r="W310">
        <f>HYPERLINK("https://klasma.github.io/Logging_2283/klagomålsmail/A 38096-2024 FSC-klagomål mail.docx", "A 38096-2024")</f>
        <v/>
      </c>
      <c r="X310">
        <f>HYPERLINK("https://klasma.github.io/Logging_2283/tillsyn/A 38096-2024 tillsynsbegäran.docx", "A 38096-2024")</f>
        <v/>
      </c>
      <c r="Y310">
        <f>HYPERLINK("https://klasma.github.io/Logging_2283/tillsynsmail/A 38096-2024 tillsynsbegäran mail.docx", "A 38096-2024")</f>
        <v/>
      </c>
    </row>
    <row r="311" ht="15" customHeight="1">
      <c r="A311" t="inlineStr">
        <is>
          <t>A 42951-2024</t>
        </is>
      </c>
      <c r="B311" s="1" t="n">
        <v>45567</v>
      </c>
      <c r="C311" s="1" t="n">
        <v>45822</v>
      </c>
      <c r="D311" t="inlineStr">
        <is>
          <t>VÄSTERNORRLANDS LÄN</t>
        </is>
      </c>
      <c r="E311" t="inlineStr">
        <is>
          <t>SOLLEFTEÅ</t>
        </is>
      </c>
      <c r="F311" t="inlineStr">
        <is>
          <t>SCA</t>
        </is>
      </c>
      <c r="G311" t="n">
        <v>8</v>
      </c>
      <c r="H311" t="n">
        <v>2</v>
      </c>
      <c r="I311" t="n">
        <v>0</v>
      </c>
      <c r="J311" t="n">
        <v>1</v>
      </c>
      <c r="K311" t="n">
        <v>1</v>
      </c>
      <c r="L311" t="n">
        <v>0</v>
      </c>
      <c r="M311" t="n">
        <v>0</v>
      </c>
      <c r="N311" t="n">
        <v>0</v>
      </c>
      <c r="O311" t="n">
        <v>2</v>
      </c>
      <c r="P311" t="n">
        <v>1</v>
      </c>
      <c r="Q311" t="n">
        <v>3</v>
      </c>
      <c r="R311" s="2" t="inlineStr">
        <is>
          <t>Knärot
Rosenticka
Revlummer</t>
        </is>
      </c>
      <c r="S311">
        <f>HYPERLINK("https://klasma.github.io/Logging_2283/artfynd/A 42951-2024 artfynd.xlsx", "A 42951-2024")</f>
        <v/>
      </c>
      <c r="T311">
        <f>HYPERLINK("https://klasma.github.io/Logging_2283/kartor/A 42951-2024 karta.png", "A 42951-2024")</f>
        <v/>
      </c>
      <c r="U311">
        <f>HYPERLINK("https://klasma.github.io/Logging_2283/knärot/A 42951-2024 karta knärot.png", "A 42951-2024")</f>
        <v/>
      </c>
      <c r="V311">
        <f>HYPERLINK("https://klasma.github.io/Logging_2283/klagomål/A 42951-2024 FSC-klagomål.docx", "A 42951-2024")</f>
        <v/>
      </c>
      <c r="W311">
        <f>HYPERLINK("https://klasma.github.io/Logging_2283/klagomålsmail/A 42951-2024 FSC-klagomål mail.docx", "A 42951-2024")</f>
        <v/>
      </c>
      <c r="X311">
        <f>HYPERLINK("https://klasma.github.io/Logging_2283/tillsyn/A 42951-2024 tillsynsbegäran.docx", "A 42951-2024")</f>
        <v/>
      </c>
      <c r="Y311">
        <f>HYPERLINK("https://klasma.github.io/Logging_2283/tillsynsmail/A 42951-2024 tillsynsbegäran mail.docx", "A 42951-2024")</f>
        <v/>
      </c>
    </row>
    <row r="312" ht="15" customHeight="1">
      <c r="A312" t="inlineStr">
        <is>
          <t>A 53852-2024</t>
        </is>
      </c>
      <c r="B312" s="1" t="n">
        <v>45615</v>
      </c>
      <c r="C312" s="1" t="n">
        <v>45822</v>
      </c>
      <c r="D312" t="inlineStr">
        <is>
          <t>VÄSTERNORRLANDS LÄN</t>
        </is>
      </c>
      <c r="E312" t="inlineStr">
        <is>
          <t>SOLLEFTEÅ</t>
        </is>
      </c>
      <c r="F312" t="inlineStr">
        <is>
          <t>SCA</t>
        </is>
      </c>
      <c r="G312" t="n">
        <v>0.7</v>
      </c>
      <c r="H312" t="n">
        <v>1</v>
      </c>
      <c r="I312" t="n">
        <v>2</v>
      </c>
      <c r="J312" t="n">
        <v>1</v>
      </c>
      <c r="K312" t="n">
        <v>0</v>
      </c>
      <c r="L312" t="n">
        <v>0</v>
      </c>
      <c r="M312" t="n">
        <v>0</v>
      </c>
      <c r="N312" t="n">
        <v>0</v>
      </c>
      <c r="O312" t="n">
        <v>1</v>
      </c>
      <c r="P312" t="n">
        <v>0</v>
      </c>
      <c r="Q312" t="n">
        <v>3</v>
      </c>
      <c r="R312" s="2" t="inlineStr">
        <is>
          <t>Garnlav
Korallrot
Ögonpyrola</t>
        </is>
      </c>
      <c r="S312">
        <f>HYPERLINK("https://klasma.github.io/Logging_2283/artfynd/A 53852-2024 artfynd.xlsx", "A 53852-2024")</f>
        <v/>
      </c>
      <c r="T312">
        <f>HYPERLINK("https://klasma.github.io/Logging_2283/kartor/A 53852-2024 karta.png", "A 53852-2024")</f>
        <v/>
      </c>
      <c r="V312">
        <f>HYPERLINK("https://klasma.github.io/Logging_2283/klagomål/A 53852-2024 FSC-klagomål.docx", "A 53852-2024")</f>
        <v/>
      </c>
      <c r="W312">
        <f>HYPERLINK("https://klasma.github.io/Logging_2283/klagomålsmail/A 53852-2024 FSC-klagomål mail.docx", "A 53852-2024")</f>
        <v/>
      </c>
      <c r="X312">
        <f>HYPERLINK("https://klasma.github.io/Logging_2283/tillsyn/A 53852-2024 tillsynsbegäran.docx", "A 53852-2024")</f>
        <v/>
      </c>
      <c r="Y312">
        <f>HYPERLINK("https://klasma.github.io/Logging_2283/tillsynsmail/A 53852-2024 tillsynsbegäran mail.docx", "A 53852-2024")</f>
        <v/>
      </c>
    </row>
    <row r="313" ht="15" customHeight="1">
      <c r="A313" t="inlineStr">
        <is>
          <t>A 53682-2024</t>
        </is>
      </c>
      <c r="B313" s="1" t="n">
        <v>45615</v>
      </c>
      <c r="C313" s="1" t="n">
        <v>45822</v>
      </c>
      <c r="D313" t="inlineStr">
        <is>
          <t>VÄSTERNORRLANDS LÄN</t>
        </is>
      </c>
      <c r="E313" t="inlineStr">
        <is>
          <t>SOLLEFTEÅ</t>
        </is>
      </c>
      <c r="F313" t="inlineStr">
        <is>
          <t>SCA</t>
        </is>
      </c>
      <c r="G313" t="n">
        <v>9.5</v>
      </c>
      <c r="H313" t="n">
        <v>0</v>
      </c>
      <c r="I313" t="n">
        <v>0</v>
      </c>
      <c r="J313" t="n">
        <v>2</v>
      </c>
      <c r="K313" t="n">
        <v>1</v>
      </c>
      <c r="L313" t="n">
        <v>0</v>
      </c>
      <c r="M313" t="n">
        <v>0</v>
      </c>
      <c r="N313" t="n">
        <v>0</v>
      </c>
      <c r="O313" t="n">
        <v>3</v>
      </c>
      <c r="P313" t="n">
        <v>1</v>
      </c>
      <c r="Q313" t="n">
        <v>3</v>
      </c>
      <c r="R313" s="2" t="inlineStr">
        <is>
          <t>Tallgråticka
Blå taggsvamp
Skrovlig taggsvamp</t>
        </is>
      </c>
      <c r="S313">
        <f>HYPERLINK("https://klasma.github.io/Logging_2283/artfynd/A 53682-2024 artfynd.xlsx", "A 53682-2024")</f>
        <v/>
      </c>
      <c r="T313">
        <f>HYPERLINK("https://klasma.github.io/Logging_2283/kartor/A 53682-2024 karta.png", "A 53682-2024")</f>
        <v/>
      </c>
      <c r="V313">
        <f>HYPERLINK("https://klasma.github.io/Logging_2283/klagomål/A 53682-2024 FSC-klagomål.docx", "A 53682-2024")</f>
        <v/>
      </c>
      <c r="W313">
        <f>HYPERLINK("https://klasma.github.io/Logging_2283/klagomålsmail/A 53682-2024 FSC-klagomål mail.docx", "A 53682-2024")</f>
        <v/>
      </c>
      <c r="X313">
        <f>HYPERLINK("https://klasma.github.io/Logging_2283/tillsyn/A 53682-2024 tillsynsbegäran.docx", "A 53682-2024")</f>
        <v/>
      </c>
      <c r="Y313">
        <f>HYPERLINK("https://klasma.github.io/Logging_2283/tillsynsmail/A 53682-2024 tillsynsbegäran mail.docx", "A 53682-2024")</f>
        <v/>
      </c>
    </row>
    <row r="314" ht="15" customHeight="1">
      <c r="A314" t="inlineStr">
        <is>
          <t>A 54177-2024</t>
        </is>
      </c>
      <c r="B314" s="1" t="n">
        <v>45616</v>
      </c>
      <c r="C314" s="1" t="n">
        <v>45822</v>
      </c>
      <c r="D314" t="inlineStr">
        <is>
          <t>VÄSTERNORRLANDS LÄN</t>
        </is>
      </c>
      <c r="E314" t="inlineStr">
        <is>
          <t>SOLLEFTEÅ</t>
        </is>
      </c>
      <c r="F314" t="inlineStr">
        <is>
          <t>SCA</t>
        </is>
      </c>
      <c r="G314" t="n">
        <v>6.6</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54177-2024 artfynd.xlsx", "A 54177-2024")</f>
        <v/>
      </c>
      <c r="T314">
        <f>HYPERLINK("https://klasma.github.io/Logging_2283/kartor/A 54177-2024 karta.png", "A 54177-2024")</f>
        <v/>
      </c>
      <c r="V314">
        <f>HYPERLINK("https://klasma.github.io/Logging_2283/klagomål/A 54177-2024 FSC-klagomål.docx", "A 54177-2024")</f>
        <v/>
      </c>
      <c r="W314">
        <f>HYPERLINK("https://klasma.github.io/Logging_2283/klagomålsmail/A 54177-2024 FSC-klagomål mail.docx", "A 54177-2024")</f>
        <v/>
      </c>
      <c r="X314">
        <f>HYPERLINK("https://klasma.github.io/Logging_2283/tillsyn/A 54177-2024 tillsynsbegäran.docx", "A 54177-2024")</f>
        <v/>
      </c>
      <c r="Y314">
        <f>HYPERLINK("https://klasma.github.io/Logging_2283/tillsynsmail/A 54177-2024 tillsynsbegäran mail.docx", "A 54177-2024")</f>
        <v/>
      </c>
      <c r="Z314">
        <f>HYPERLINK("https://klasma.github.io/Logging_2283/fåglar/A 54177-2024 prioriterade fågelarter.docx", "A 54177-2024")</f>
        <v/>
      </c>
    </row>
    <row r="315" ht="15" customHeight="1">
      <c r="A315" t="inlineStr">
        <is>
          <t>A 54624-2024</t>
        </is>
      </c>
      <c r="B315" s="1" t="n">
        <v>45617</v>
      </c>
      <c r="C315" s="1" t="n">
        <v>45822</v>
      </c>
      <c r="D315" t="inlineStr">
        <is>
          <t>VÄSTERNORRLANDS LÄN</t>
        </is>
      </c>
      <c r="E315" t="inlineStr">
        <is>
          <t>SOLLEFTEÅ</t>
        </is>
      </c>
      <c r="G315" t="n">
        <v>11.5</v>
      </c>
      <c r="H315" t="n">
        <v>0</v>
      </c>
      <c r="I315" t="n">
        <v>2</v>
      </c>
      <c r="J315" t="n">
        <v>1</v>
      </c>
      <c r="K315" t="n">
        <v>0</v>
      </c>
      <c r="L315" t="n">
        <v>0</v>
      </c>
      <c r="M315" t="n">
        <v>0</v>
      </c>
      <c r="N315" t="n">
        <v>0</v>
      </c>
      <c r="O315" t="n">
        <v>1</v>
      </c>
      <c r="P315" t="n">
        <v>0</v>
      </c>
      <c r="Q315" t="n">
        <v>3</v>
      </c>
      <c r="R315" s="2" t="inlineStr">
        <is>
          <t>Ullticka
Stuplav
Vedticka</t>
        </is>
      </c>
      <c r="S315">
        <f>HYPERLINK("https://klasma.github.io/Logging_2283/artfynd/A 54624-2024 artfynd.xlsx", "A 54624-2024")</f>
        <v/>
      </c>
      <c r="T315">
        <f>HYPERLINK("https://klasma.github.io/Logging_2283/kartor/A 54624-2024 karta.png", "A 54624-2024")</f>
        <v/>
      </c>
      <c r="V315">
        <f>HYPERLINK("https://klasma.github.io/Logging_2283/klagomål/A 54624-2024 FSC-klagomål.docx", "A 54624-2024")</f>
        <v/>
      </c>
      <c r="W315">
        <f>HYPERLINK("https://klasma.github.io/Logging_2283/klagomålsmail/A 54624-2024 FSC-klagomål mail.docx", "A 54624-2024")</f>
        <v/>
      </c>
      <c r="X315">
        <f>HYPERLINK("https://klasma.github.io/Logging_2283/tillsyn/A 54624-2024 tillsynsbegäran.docx", "A 54624-2024")</f>
        <v/>
      </c>
      <c r="Y315">
        <f>HYPERLINK("https://klasma.github.io/Logging_2283/tillsynsmail/A 54624-2024 tillsynsbegäran mail.docx", "A 54624-2024")</f>
        <v/>
      </c>
    </row>
    <row r="316" ht="15" customHeight="1">
      <c r="A316" t="inlineStr">
        <is>
          <t>A 57101-2024</t>
        </is>
      </c>
      <c r="B316" s="1" t="n">
        <v>45629</v>
      </c>
      <c r="C316" s="1" t="n">
        <v>45822</v>
      </c>
      <c r="D316" t="inlineStr">
        <is>
          <t>VÄSTERNORRLANDS LÄN</t>
        </is>
      </c>
      <c r="E316" t="inlineStr">
        <is>
          <t>SOLLEFTEÅ</t>
        </is>
      </c>
      <c r="F316" t="inlineStr">
        <is>
          <t>SCA</t>
        </is>
      </c>
      <c r="G316" t="n">
        <v>4.3</v>
      </c>
      <c r="H316" t="n">
        <v>2</v>
      </c>
      <c r="I316" t="n">
        <v>0</v>
      </c>
      <c r="J316" t="n">
        <v>2</v>
      </c>
      <c r="K316" t="n">
        <v>0</v>
      </c>
      <c r="L316" t="n">
        <v>0</v>
      </c>
      <c r="M316" t="n">
        <v>0</v>
      </c>
      <c r="N316" t="n">
        <v>0</v>
      </c>
      <c r="O316" t="n">
        <v>2</v>
      </c>
      <c r="P316" t="n">
        <v>0</v>
      </c>
      <c r="Q316" t="n">
        <v>3</v>
      </c>
      <c r="R316" s="2" t="inlineStr">
        <is>
          <t>Garnlav
Tretåig hackspett
Tjäder</t>
        </is>
      </c>
      <c r="S316">
        <f>HYPERLINK("https://klasma.github.io/Logging_2283/artfynd/A 57101-2024 artfynd.xlsx", "A 57101-2024")</f>
        <v/>
      </c>
      <c r="T316">
        <f>HYPERLINK("https://klasma.github.io/Logging_2283/kartor/A 57101-2024 karta.png", "A 57101-2024")</f>
        <v/>
      </c>
      <c r="V316">
        <f>HYPERLINK("https://klasma.github.io/Logging_2283/klagomål/A 57101-2024 FSC-klagomål.docx", "A 57101-2024")</f>
        <v/>
      </c>
      <c r="W316">
        <f>HYPERLINK("https://klasma.github.io/Logging_2283/klagomålsmail/A 57101-2024 FSC-klagomål mail.docx", "A 57101-2024")</f>
        <v/>
      </c>
      <c r="X316">
        <f>HYPERLINK("https://klasma.github.io/Logging_2283/tillsyn/A 57101-2024 tillsynsbegäran.docx", "A 57101-2024")</f>
        <v/>
      </c>
      <c r="Y316">
        <f>HYPERLINK("https://klasma.github.io/Logging_2283/tillsynsmail/A 57101-2024 tillsynsbegäran mail.docx", "A 57101-2024")</f>
        <v/>
      </c>
      <c r="Z316">
        <f>HYPERLINK("https://klasma.github.io/Logging_2283/fåglar/A 57101-2024 prioriterade fågelarter.docx", "A 57101-2024")</f>
        <v/>
      </c>
    </row>
    <row r="317" ht="15" customHeight="1">
      <c r="A317" t="inlineStr">
        <is>
          <t>A 5121-2025</t>
        </is>
      </c>
      <c r="B317" s="1" t="n">
        <v>45691</v>
      </c>
      <c r="C317" s="1" t="n">
        <v>45822</v>
      </c>
      <c r="D317" t="inlineStr">
        <is>
          <t>VÄSTERNORRLANDS LÄN</t>
        </is>
      </c>
      <c r="E317" t="inlineStr">
        <is>
          <t>SOLLEFTEÅ</t>
        </is>
      </c>
      <c r="G317" t="n">
        <v>3.4</v>
      </c>
      <c r="H317" t="n">
        <v>1</v>
      </c>
      <c r="I317" t="n">
        <v>0</v>
      </c>
      <c r="J317" t="n">
        <v>3</v>
      </c>
      <c r="K317" t="n">
        <v>0</v>
      </c>
      <c r="L317" t="n">
        <v>0</v>
      </c>
      <c r="M317" t="n">
        <v>0</v>
      </c>
      <c r="N317" t="n">
        <v>0</v>
      </c>
      <c r="O317" t="n">
        <v>3</v>
      </c>
      <c r="P317" t="n">
        <v>0</v>
      </c>
      <c r="Q317" t="n">
        <v>3</v>
      </c>
      <c r="R317" s="2" t="inlineStr">
        <is>
          <t>Granticka
Tretåig hackspett
Ullticka</t>
        </is>
      </c>
      <c r="S317">
        <f>HYPERLINK("https://klasma.github.io/Logging_2283/artfynd/A 5121-2025 artfynd.xlsx", "A 5121-2025")</f>
        <v/>
      </c>
      <c r="T317">
        <f>HYPERLINK("https://klasma.github.io/Logging_2283/kartor/A 5121-2025 karta.png", "A 5121-2025")</f>
        <v/>
      </c>
      <c r="V317">
        <f>HYPERLINK("https://klasma.github.io/Logging_2283/klagomål/A 5121-2025 FSC-klagomål.docx", "A 5121-2025")</f>
        <v/>
      </c>
      <c r="W317">
        <f>HYPERLINK("https://klasma.github.io/Logging_2283/klagomålsmail/A 5121-2025 FSC-klagomål mail.docx", "A 5121-2025")</f>
        <v/>
      </c>
      <c r="X317">
        <f>HYPERLINK("https://klasma.github.io/Logging_2283/tillsyn/A 5121-2025 tillsynsbegäran.docx", "A 5121-2025")</f>
        <v/>
      </c>
      <c r="Y317">
        <f>HYPERLINK("https://klasma.github.io/Logging_2283/tillsynsmail/A 5121-2025 tillsynsbegäran mail.docx", "A 5121-2025")</f>
        <v/>
      </c>
      <c r="Z317">
        <f>HYPERLINK("https://klasma.github.io/Logging_2283/fåglar/A 5121-2025 prioriterade fågelarter.docx", "A 5121-2025")</f>
        <v/>
      </c>
    </row>
    <row r="318" ht="15" customHeight="1">
      <c r="A318" t="inlineStr">
        <is>
          <t>A 8077-2025</t>
        </is>
      </c>
      <c r="B318" s="1" t="n">
        <v>45707</v>
      </c>
      <c r="C318" s="1" t="n">
        <v>45822</v>
      </c>
      <c r="D318" t="inlineStr">
        <is>
          <t>VÄSTERNORRLANDS LÄN</t>
        </is>
      </c>
      <c r="E318" t="inlineStr">
        <is>
          <t>SOLLEFTEÅ</t>
        </is>
      </c>
      <c r="F318" t="inlineStr">
        <is>
          <t>SCA</t>
        </is>
      </c>
      <c r="G318" t="n">
        <v>2.7</v>
      </c>
      <c r="H318" t="n">
        <v>3</v>
      </c>
      <c r="I318" t="n">
        <v>0</v>
      </c>
      <c r="J318" t="n">
        <v>2</v>
      </c>
      <c r="K318" t="n">
        <v>0</v>
      </c>
      <c r="L318" t="n">
        <v>0</v>
      </c>
      <c r="M318" t="n">
        <v>0</v>
      </c>
      <c r="N318" t="n">
        <v>0</v>
      </c>
      <c r="O318" t="n">
        <v>2</v>
      </c>
      <c r="P318" t="n">
        <v>0</v>
      </c>
      <c r="Q318" t="n">
        <v>3</v>
      </c>
      <c r="R318" s="2" t="inlineStr">
        <is>
          <t>Spillkråka
Tretåig hackspett
Tjäder</t>
        </is>
      </c>
      <c r="S318">
        <f>HYPERLINK("https://klasma.github.io/Logging_2283/artfynd/A 8077-2025 artfynd.xlsx", "A 8077-2025")</f>
        <v/>
      </c>
      <c r="T318">
        <f>HYPERLINK("https://klasma.github.io/Logging_2283/kartor/A 8077-2025 karta.png", "A 8077-2025")</f>
        <v/>
      </c>
      <c r="V318">
        <f>HYPERLINK("https://klasma.github.io/Logging_2283/klagomål/A 8077-2025 FSC-klagomål.docx", "A 8077-2025")</f>
        <v/>
      </c>
      <c r="W318">
        <f>HYPERLINK("https://klasma.github.io/Logging_2283/klagomålsmail/A 8077-2025 FSC-klagomål mail.docx", "A 8077-2025")</f>
        <v/>
      </c>
      <c r="X318">
        <f>HYPERLINK("https://klasma.github.io/Logging_2283/tillsyn/A 8077-2025 tillsynsbegäran.docx", "A 8077-2025")</f>
        <v/>
      </c>
      <c r="Y318">
        <f>HYPERLINK("https://klasma.github.io/Logging_2283/tillsynsmail/A 8077-2025 tillsynsbegäran mail.docx", "A 8077-2025")</f>
        <v/>
      </c>
      <c r="Z318">
        <f>HYPERLINK("https://klasma.github.io/Logging_2283/fåglar/A 8077-2025 prioriterade fågelarter.docx", "A 8077-2025")</f>
        <v/>
      </c>
    </row>
    <row r="319" ht="15" customHeight="1">
      <c r="A319" t="inlineStr">
        <is>
          <t>A 13877-2025</t>
        </is>
      </c>
      <c r="B319" s="1" t="n">
        <v>45737</v>
      </c>
      <c r="C319" s="1" t="n">
        <v>45822</v>
      </c>
      <c r="D319" t="inlineStr">
        <is>
          <t>VÄSTERNORRLANDS LÄN</t>
        </is>
      </c>
      <c r="E319" t="inlineStr">
        <is>
          <t>SOLLEFTEÅ</t>
        </is>
      </c>
      <c r="F319" t="inlineStr">
        <is>
          <t>SCA</t>
        </is>
      </c>
      <c r="G319" t="n">
        <v>3.9</v>
      </c>
      <c r="H319" t="n">
        <v>2</v>
      </c>
      <c r="I319" t="n">
        <v>0</v>
      </c>
      <c r="J319" t="n">
        <v>2</v>
      </c>
      <c r="K319" t="n">
        <v>0</v>
      </c>
      <c r="L319" t="n">
        <v>0</v>
      </c>
      <c r="M319" t="n">
        <v>0</v>
      </c>
      <c r="N319" t="n">
        <v>0</v>
      </c>
      <c r="O319" t="n">
        <v>2</v>
      </c>
      <c r="P319" t="n">
        <v>0</v>
      </c>
      <c r="Q319" t="n">
        <v>3</v>
      </c>
      <c r="R319" s="2" t="inlineStr">
        <is>
          <t>Granticka
Spillkråka
Revlummer</t>
        </is>
      </c>
      <c r="S319">
        <f>HYPERLINK("https://klasma.github.io/Logging_222283/artfynd/A 13877-2025 artfynd.xlsx", "A 13877-2025")</f>
        <v/>
      </c>
      <c r="T319">
        <f>HYPERLINK("https://klasma.github.io/Logging_222283/kartor/A 13877-2025 karta.png", "A 13877-2025")</f>
        <v/>
      </c>
      <c r="V319">
        <f>HYPERLINK("https://klasma.github.io/Logging_222283/klagomål/A 13877-2025 FSC-klagomål.docx", "A 13877-2025")</f>
        <v/>
      </c>
      <c r="W319">
        <f>HYPERLINK("https://klasma.github.io/Logging_222283/klagomålsmail/A 13877-2025 FSC-klagomål mail.docx", "A 13877-2025")</f>
        <v/>
      </c>
      <c r="X319">
        <f>HYPERLINK("https://klasma.github.io/Logging_222283/tillsyn/A 13877-2025 tillsynsbegäran.docx", "A 13877-2025")</f>
        <v/>
      </c>
      <c r="Y319">
        <f>HYPERLINK("https://klasma.github.io/Logging_222283/tillsynsmail/A 13877-2025 tillsynsbegäran mail.docx", "A 13877-2025")</f>
        <v/>
      </c>
      <c r="Z319">
        <f>HYPERLINK("https://klasma.github.io/Logging_222283/fåglar/A 13877-2025 prioriterade fågelarter.docx", "A 13877-2025")</f>
        <v/>
      </c>
    </row>
    <row r="320" ht="15" customHeight="1">
      <c r="A320" t="inlineStr">
        <is>
          <t>A 15298-2025</t>
        </is>
      </c>
      <c r="B320" s="1" t="n">
        <v>45746</v>
      </c>
      <c r="C320" s="1" t="n">
        <v>45822</v>
      </c>
      <c r="D320" t="inlineStr">
        <is>
          <t>VÄSTERNORRLANDS LÄN</t>
        </is>
      </c>
      <c r="E320" t="inlineStr">
        <is>
          <t>SOLLEFTEÅ</t>
        </is>
      </c>
      <c r="G320" t="n">
        <v>10.7</v>
      </c>
      <c r="H320" t="n">
        <v>2</v>
      </c>
      <c r="I320" t="n">
        <v>0</v>
      </c>
      <c r="J320" t="n">
        <v>1</v>
      </c>
      <c r="K320" t="n">
        <v>1</v>
      </c>
      <c r="L320" t="n">
        <v>0</v>
      </c>
      <c r="M320" t="n">
        <v>0</v>
      </c>
      <c r="N320" t="n">
        <v>0</v>
      </c>
      <c r="O320" t="n">
        <v>2</v>
      </c>
      <c r="P320" t="n">
        <v>1</v>
      </c>
      <c r="Q320" t="n">
        <v>3</v>
      </c>
      <c r="R320" s="2" t="inlineStr">
        <is>
          <t>Knärot
Ullticka
Revlummer</t>
        </is>
      </c>
      <c r="S320">
        <f>HYPERLINK("https://klasma.github.io/Logging_222283/artfynd/A 15298-2025 artfynd.xlsx", "A 15298-2025")</f>
        <v/>
      </c>
      <c r="T320">
        <f>HYPERLINK("https://klasma.github.io/Logging_222283/kartor/A 15298-2025 karta.png", "A 15298-2025")</f>
        <v/>
      </c>
      <c r="U320">
        <f>HYPERLINK("https://klasma.github.io/Logging_222283/knärot/A 15298-2025 karta knärot.png", "A 15298-2025")</f>
        <v/>
      </c>
      <c r="V320">
        <f>HYPERLINK("https://klasma.github.io/Logging_222283/klagomål/A 15298-2025 FSC-klagomål.docx", "A 15298-2025")</f>
        <v/>
      </c>
      <c r="W320">
        <f>HYPERLINK("https://klasma.github.io/Logging_222283/klagomålsmail/A 15298-2025 FSC-klagomål mail.docx", "A 15298-2025")</f>
        <v/>
      </c>
      <c r="X320">
        <f>HYPERLINK("https://klasma.github.io/Logging_222283/tillsyn/A 15298-2025 tillsynsbegäran.docx", "A 15298-2025")</f>
        <v/>
      </c>
      <c r="Y320">
        <f>HYPERLINK("https://klasma.github.io/Logging_222283/tillsynsmail/A 15298-2025 tillsynsbegäran mail.docx", "A 15298-2025")</f>
        <v/>
      </c>
    </row>
    <row r="321" ht="15" customHeight="1">
      <c r="A321" t="inlineStr">
        <is>
          <t>A 22209-2025</t>
        </is>
      </c>
      <c r="B321" s="1" t="n">
        <v>45785</v>
      </c>
      <c r="C321" s="1" t="n">
        <v>45822</v>
      </c>
      <c r="D321" t="inlineStr">
        <is>
          <t>VÄSTERNORRLANDS LÄN</t>
        </is>
      </c>
      <c r="E321" t="inlineStr">
        <is>
          <t>SOLLEFTEÅ</t>
        </is>
      </c>
      <c r="F321" t="inlineStr">
        <is>
          <t>SCA</t>
        </is>
      </c>
      <c r="G321" t="n">
        <v>10.1</v>
      </c>
      <c r="H321" t="n">
        <v>0</v>
      </c>
      <c r="I321" t="n">
        <v>1</v>
      </c>
      <c r="J321" t="n">
        <v>2</v>
      </c>
      <c r="K321" t="n">
        <v>0</v>
      </c>
      <c r="L321" t="n">
        <v>0</v>
      </c>
      <c r="M321" t="n">
        <v>0</v>
      </c>
      <c r="N321" t="n">
        <v>0</v>
      </c>
      <c r="O321" t="n">
        <v>2</v>
      </c>
      <c r="P321" t="n">
        <v>0</v>
      </c>
      <c r="Q321" t="n">
        <v>3</v>
      </c>
      <c r="R321" s="2" t="inlineStr">
        <is>
          <t>Garnlav
Lunglav
Stor aspticka</t>
        </is>
      </c>
      <c r="S321">
        <f>HYPERLINK("https://klasma.github.io/Logging_222283/artfynd/A 22209-2025 artfynd.xlsx", "A 22209-2025")</f>
        <v/>
      </c>
      <c r="T321">
        <f>HYPERLINK("https://klasma.github.io/Logging_222283/kartor/A 22209-2025 karta.png", "A 22209-2025")</f>
        <v/>
      </c>
      <c r="V321">
        <f>HYPERLINK("https://klasma.github.io/Logging_222283/klagomål/A 22209-2025 FSC-klagomål.docx", "A 22209-2025")</f>
        <v/>
      </c>
      <c r="W321">
        <f>HYPERLINK("https://klasma.github.io/Logging_222283/klagomålsmail/A 22209-2025 FSC-klagomål mail.docx", "A 22209-2025")</f>
        <v/>
      </c>
      <c r="X321">
        <f>HYPERLINK("https://klasma.github.io/Logging_222283/tillsyn/A 22209-2025 tillsynsbegäran.docx", "A 22209-2025")</f>
        <v/>
      </c>
      <c r="Y321">
        <f>HYPERLINK("https://klasma.github.io/Logging_222283/tillsynsmail/A 22209-2025 tillsynsbegäran mail.docx", "A 22209-2025")</f>
        <v/>
      </c>
    </row>
    <row r="322" ht="15" customHeight="1">
      <c r="A322" t="inlineStr">
        <is>
          <t>A 22183-2025</t>
        </is>
      </c>
      <c r="B322" s="1" t="n">
        <v>45785</v>
      </c>
      <c r="C322" s="1" t="n">
        <v>45822</v>
      </c>
      <c r="D322" t="inlineStr">
        <is>
          <t>VÄSTERNORRLANDS LÄN</t>
        </is>
      </c>
      <c r="E322" t="inlineStr">
        <is>
          <t>SOLLEFTEÅ</t>
        </is>
      </c>
      <c r="F322" t="inlineStr">
        <is>
          <t>SCA</t>
        </is>
      </c>
      <c r="G322" t="n">
        <v>0.3</v>
      </c>
      <c r="H322" t="n">
        <v>0</v>
      </c>
      <c r="I322" t="n">
        <v>1</v>
      </c>
      <c r="J322" t="n">
        <v>2</v>
      </c>
      <c r="K322" t="n">
        <v>0</v>
      </c>
      <c r="L322" t="n">
        <v>0</v>
      </c>
      <c r="M322" t="n">
        <v>0</v>
      </c>
      <c r="N322" t="n">
        <v>0</v>
      </c>
      <c r="O322" t="n">
        <v>2</v>
      </c>
      <c r="P322" t="n">
        <v>0</v>
      </c>
      <c r="Q322" t="n">
        <v>3</v>
      </c>
      <c r="R322" s="2" t="inlineStr">
        <is>
          <t>Garnlav
Rosenticka
Trådticka</t>
        </is>
      </c>
      <c r="S322">
        <f>HYPERLINK("https://klasma.github.io/Logging_222283/artfynd/A 22183-2025 artfynd.xlsx", "A 22183-2025")</f>
        <v/>
      </c>
      <c r="T322">
        <f>HYPERLINK("https://klasma.github.io/Logging_222283/kartor/A 22183-2025 karta.png", "A 22183-2025")</f>
        <v/>
      </c>
      <c r="V322">
        <f>HYPERLINK("https://klasma.github.io/Logging_222283/klagomål/A 22183-2025 FSC-klagomål.docx", "A 22183-2025")</f>
        <v/>
      </c>
      <c r="W322">
        <f>HYPERLINK("https://klasma.github.io/Logging_222283/klagomålsmail/A 22183-2025 FSC-klagomål mail.docx", "A 22183-2025")</f>
        <v/>
      </c>
      <c r="X322">
        <f>HYPERLINK("https://klasma.github.io/Logging_222283/tillsyn/A 22183-2025 tillsynsbegäran.docx", "A 22183-2025")</f>
        <v/>
      </c>
      <c r="Y322">
        <f>HYPERLINK("https://klasma.github.io/Logging_222283/tillsynsmail/A 22183-2025 tillsynsbegäran mail.docx", "A 22183-2025")</f>
        <v/>
      </c>
    </row>
    <row r="323" ht="15" customHeight="1">
      <c r="A323" t="inlineStr">
        <is>
          <t>A 24551-2025</t>
        </is>
      </c>
      <c r="B323" s="1" t="n">
        <v>45798</v>
      </c>
      <c r="C323" s="1" t="n">
        <v>45822</v>
      </c>
      <c r="D323" t="inlineStr">
        <is>
          <t>VÄSTERNORRLANDS LÄN</t>
        </is>
      </c>
      <c r="E323" t="inlineStr">
        <is>
          <t>SOLLEFTEÅ</t>
        </is>
      </c>
      <c r="F323" t="inlineStr">
        <is>
          <t>SCA</t>
        </is>
      </c>
      <c r="G323" t="n">
        <v>2.2</v>
      </c>
      <c r="H323" t="n">
        <v>1</v>
      </c>
      <c r="I323" t="n">
        <v>0</v>
      </c>
      <c r="J323" t="n">
        <v>2</v>
      </c>
      <c r="K323" t="n">
        <v>0</v>
      </c>
      <c r="L323" t="n">
        <v>0</v>
      </c>
      <c r="M323" t="n">
        <v>0</v>
      </c>
      <c r="N323" t="n">
        <v>0</v>
      </c>
      <c r="O323" t="n">
        <v>2</v>
      </c>
      <c r="P323" t="n">
        <v>0</v>
      </c>
      <c r="Q323" t="n">
        <v>3</v>
      </c>
      <c r="R323" s="2" t="inlineStr">
        <is>
          <t>Dvärgbägarlav
Vedskivlav
Tjäder</t>
        </is>
      </c>
      <c r="S323">
        <f>HYPERLINK("https://klasma.github.io/Logging_222283/artfynd/A 24551-2025 artfynd.xlsx", "A 24551-2025")</f>
        <v/>
      </c>
      <c r="T323">
        <f>HYPERLINK("https://klasma.github.io/Logging_222283/kartor/A 24551-2025 karta.png", "A 24551-2025")</f>
        <v/>
      </c>
      <c r="V323">
        <f>HYPERLINK("https://klasma.github.io/Logging_222283/klagomål/A 24551-2025 FSC-klagomål.docx", "A 24551-2025")</f>
        <v/>
      </c>
      <c r="W323">
        <f>HYPERLINK("https://klasma.github.io/Logging_222283/klagomålsmail/A 24551-2025 FSC-klagomål mail.docx", "A 24551-2025")</f>
        <v/>
      </c>
      <c r="X323">
        <f>HYPERLINK("https://klasma.github.io/Logging_222283/tillsyn/A 24551-2025 tillsynsbegäran.docx", "A 24551-2025")</f>
        <v/>
      </c>
      <c r="Y323">
        <f>HYPERLINK("https://klasma.github.io/Logging_222283/tillsynsmail/A 24551-2025 tillsynsbegäran mail.docx", "A 24551-2025")</f>
        <v/>
      </c>
      <c r="Z323">
        <f>HYPERLINK("https://klasma.github.io/Logging_222283/fåglar/A 24551-2025 prioriterade fågelarter.docx", "A 24551-2025")</f>
        <v/>
      </c>
    </row>
    <row r="324" ht="15" customHeight="1">
      <c r="A324" t="inlineStr">
        <is>
          <t>A 25707-2025</t>
        </is>
      </c>
      <c r="B324" s="1" t="n">
        <v>45803</v>
      </c>
      <c r="C324" s="1" t="n">
        <v>45822</v>
      </c>
      <c r="D324" t="inlineStr">
        <is>
          <t>VÄSTERNORRLANDS LÄN</t>
        </is>
      </c>
      <c r="E324" t="inlineStr">
        <is>
          <t>SOLLEFTEÅ</t>
        </is>
      </c>
      <c r="F324" t="inlineStr">
        <is>
          <t>SCA</t>
        </is>
      </c>
      <c r="G324" t="n">
        <v>2.6</v>
      </c>
      <c r="H324" t="n">
        <v>1</v>
      </c>
      <c r="I324" t="n">
        <v>1</v>
      </c>
      <c r="J324" t="n">
        <v>2</v>
      </c>
      <c r="K324" t="n">
        <v>0</v>
      </c>
      <c r="L324" t="n">
        <v>0</v>
      </c>
      <c r="M324" t="n">
        <v>0</v>
      </c>
      <c r="N324" t="n">
        <v>0</v>
      </c>
      <c r="O324" t="n">
        <v>2</v>
      </c>
      <c r="P324" t="n">
        <v>0</v>
      </c>
      <c r="Q324" t="n">
        <v>3</v>
      </c>
      <c r="R324" s="2" t="inlineStr">
        <is>
          <t>Kolflarnlav
Talltita
Norrlandslav</t>
        </is>
      </c>
      <c r="S324">
        <f>HYPERLINK("https://klasma.github.io/Logging_222283/artfynd/A 25707-2025 artfynd.xlsx", "A 25707-2025")</f>
        <v/>
      </c>
      <c r="T324">
        <f>HYPERLINK("https://klasma.github.io/Logging_222283/kartor/A 25707-2025 karta.png", "A 25707-2025")</f>
        <v/>
      </c>
      <c r="V324">
        <f>HYPERLINK("https://klasma.github.io/Logging_222283/klagomål/A 25707-2025 FSC-klagomål.docx", "A 25707-2025")</f>
        <v/>
      </c>
      <c r="W324">
        <f>HYPERLINK("https://klasma.github.io/Logging_222283/klagomålsmail/A 25707-2025 FSC-klagomål mail.docx", "A 25707-2025")</f>
        <v/>
      </c>
      <c r="X324">
        <f>HYPERLINK("https://klasma.github.io/Logging_222283/tillsyn/A 25707-2025 tillsynsbegäran.docx", "A 25707-2025")</f>
        <v/>
      </c>
      <c r="Y324">
        <f>HYPERLINK("https://klasma.github.io/Logging_222283/tillsynsmail/A 25707-2025 tillsynsbegäran mail.docx", "A 25707-2025")</f>
        <v/>
      </c>
      <c r="Z324">
        <f>HYPERLINK("https://klasma.github.io/Logging_222283/fåglar/A 25707-2025 prioriterade fågelarter.docx", "A 25707-2025")</f>
        <v/>
      </c>
    </row>
    <row r="325" ht="15" customHeight="1">
      <c r="A325" t="inlineStr">
        <is>
          <t>A 18452-2019</t>
        </is>
      </c>
      <c r="B325" s="1" t="n">
        <v>43559</v>
      </c>
      <c r="C325" s="1" t="n">
        <v>45822</v>
      </c>
      <c r="D325" t="inlineStr">
        <is>
          <t>VÄSTERNORRLANDS LÄN</t>
        </is>
      </c>
      <c r="E325" t="inlineStr">
        <is>
          <t>SOLLEFTEÅ</t>
        </is>
      </c>
      <c r="G325" t="n">
        <v>2.2</v>
      </c>
      <c r="H325" t="n">
        <v>0</v>
      </c>
      <c r="I325" t="n">
        <v>1</v>
      </c>
      <c r="J325" t="n">
        <v>1</v>
      </c>
      <c r="K325" t="n">
        <v>0</v>
      </c>
      <c r="L325" t="n">
        <v>0</v>
      </c>
      <c r="M325" t="n">
        <v>0</v>
      </c>
      <c r="N325" t="n">
        <v>0</v>
      </c>
      <c r="O325" t="n">
        <v>1</v>
      </c>
      <c r="P325" t="n">
        <v>0</v>
      </c>
      <c r="Q325" t="n">
        <v>2</v>
      </c>
      <c r="R325" s="2" t="inlineStr">
        <is>
          <t>Lunglav
Bollvitmossa</t>
        </is>
      </c>
      <c r="S325">
        <f>HYPERLINK("https://klasma.github.io/Logging_2283/artfynd/A 18452-2019 artfynd.xlsx", "A 18452-2019")</f>
        <v/>
      </c>
      <c r="T325">
        <f>HYPERLINK("https://klasma.github.io/Logging_2283/kartor/A 18452-2019 karta.png", "A 18452-2019")</f>
        <v/>
      </c>
      <c r="V325">
        <f>HYPERLINK("https://klasma.github.io/Logging_2283/klagomål/A 18452-2019 FSC-klagomål.docx", "A 18452-2019")</f>
        <v/>
      </c>
      <c r="W325">
        <f>HYPERLINK("https://klasma.github.io/Logging_2283/klagomålsmail/A 18452-2019 FSC-klagomål mail.docx", "A 18452-2019")</f>
        <v/>
      </c>
      <c r="X325">
        <f>HYPERLINK("https://klasma.github.io/Logging_2283/tillsyn/A 18452-2019 tillsynsbegäran.docx", "A 18452-2019")</f>
        <v/>
      </c>
      <c r="Y325">
        <f>HYPERLINK("https://klasma.github.io/Logging_2283/tillsynsmail/A 18452-2019 tillsynsbegäran mail.docx", "A 18452-2019")</f>
        <v/>
      </c>
    </row>
    <row r="326" ht="15" customHeight="1">
      <c r="A326" t="inlineStr">
        <is>
          <t>A 21120-2019</t>
        </is>
      </c>
      <c r="B326" s="1" t="n">
        <v>43578</v>
      </c>
      <c r="C326" s="1" t="n">
        <v>45822</v>
      </c>
      <c r="D326" t="inlineStr">
        <is>
          <t>VÄSTERNORRLANDS LÄN</t>
        </is>
      </c>
      <c r="E326" t="inlineStr">
        <is>
          <t>SOLLEFTEÅ</t>
        </is>
      </c>
      <c r="F326" t="inlineStr">
        <is>
          <t>SCA</t>
        </is>
      </c>
      <c r="G326" t="n">
        <v>54.4</v>
      </c>
      <c r="H326" t="n">
        <v>2</v>
      </c>
      <c r="I326" t="n">
        <v>0</v>
      </c>
      <c r="J326" t="n">
        <v>1</v>
      </c>
      <c r="K326" t="n">
        <v>0</v>
      </c>
      <c r="L326" t="n">
        <v>0</v>
      </c>
      <c r="M326" t="n">
        <v>0</v>
      </c>
      <c r="N326" t="n">
        <v>0</v>
      </c>
      <c r="O326" t="n">
        <v>1</v>
      </c>
      <c r="P326" t="n">
        <v>0</v>
      </c>
      <c r="Q326" t="n">
        <v>2</v>
      </c>
      <c r="R326" s="2" t="inlineStr">
        <is>
          <t>Buskskvätta
Revlummer</t>
        </is>
      </c>
      <c r="S326">
        <f>HYPERLINK("https://klasma.github.io/Logging_2283/artfynd/A 21120-2019 artfynd.xlsx", "A 21120-2019")</f>
        <v/>
      </c>
      <c r="T326">
        <f>HYPERLINK("https://klasma.github.io/Logging_2283/kartor/A 21120-2019 karta.png", "A 21120-2019")</f>
        <v/>
      </c>
      <c r="V326">
        <f>HYPERLINK("https://klasma.github.io/Logging_2283/klagomål/A 21120-2019 FSC-klagomål.docx", "A 21120-2019")</f>
        <v/>
      </c>
      <c r="W326">
        <f>HYPERLINK("https://klasma.github.io/Logging_2283/klagomålsmail/A 21120-2019 FSC-klagomål mail.docx", "A 21120-2019")</f>
        <v/>
      </c>
      <c r="X326">
        <f>HYPERLINK("https://klasma.github.io/Logging_2283/tillsyn/A 21120-2019 tillsynsbegäran.docx", "A 21120-2019")</f>
        <v/>
      </c>
      <c r="Y326">
        <f>HYPERLINK("https://klasma.github.io/Logging_2283/tillsynsmail/A 21120-2019 tillsynsbegäran mail.docx", "A 21120-2019")</f>
        <v/>
      </c>
      <c r="Z326">
        <f>HYPERLINK("https://klasma.github.io/Logging_2283/fåglar/A 21120-2019 prioriterade fågelarter.docx", "A 21120-2019")</f>
        <v/>
      </c>
    </row>
    <row r="327" ht="15" customHeight="1">
      <c r="A327" t="inlineStr">
        <is>
          <t>A 34918-2019</t>
        </is>
      </c>
      <c r="B327" s="1" t="n">
        <v>43658</v>
      </c>
      <c r="C327" s="1" t="n">
        <v>45822</v>
      </c>
      <c r="D327" t="inlineStr">
        <is>
          <t>VÄSTERNORRLANDS LÄN</t>
        </is>
      </c>
      <c r="E327" t="inlineStr">
        <is>
          <t>SOLLEFTEÅ</t>
        </is>
      </c>
      <c r="G327" t="n">
        <v>2.7</v>
      </c>
      <c r="H327" t="n">
        <v>0</v>
      </c>
      <c r="I327" t="n">
        <v>0</v>
      </c>
      <c r="J327" t="n">
        <v>2</v>
      </c>
      <c r="K327" t="n">
        <v>0</v>
      </c>
      <c r="L327" t="n">
        <v>0</v>
      </c>
      <c r="M327" t="n">
        <v>0</v>
      </c>
      <c r="N327" t="n">
        <v>0</v>
      </c>
      <c r="O327" t="n">
        <v>2</v>
      </c>
      <c r="P327" t="n">
        <v>0</v>
      </c>
      <c r="Q327" t="n">
        <v>2</v>
      </c>
      <c r="R327" s="2" t="inlineStr">
        <is>
          <t>Granticka
Ullticka</t>
        </is>
      </c>
      <c r="S327">
        <f>HYPERLINK("https://klasma.github.io/Logging_2283/artfynd/A 34918-2019 artfynd.xlsx", "A 34918-2019")</f>
        <v/>
      </c>
      <c r="T327">
        <f>HYPERLINK("https://klasma.github.io/Logging_2283/kartor/A 34918-2019 karta.png", "A 34918-2019")</f>
        <v/>
      </c>
      <c r="V327">
        <f>HYPERLINK("https://klasma.github.io/Logging_2283/klagomål/A 34918-2019 FSC-klagomål.docx", "A 34918-2019")</f>
        <v/>
      </c>
      <c r="W327">
        <f>HYPERLINK("https://klasma.github.io/Logging_2283/klagomålsmail/A 34918-2019 FSC-klagomål mail.docx", "A 34918-2019")</f>
        <v/>
      </c>
      <c r="X327">
        <f>HYPERLINK("https://klasma.github.io/Logging_2283/tillsyn/A 34918-2019 tillsynsbegäran.docx", "A 34918-2019")</f>
        <v/>
      </c>
      <c r="Y327">
        <f>HYPERLINK("https://klasma.github.io/Logging_2283/tillsynsmail/A 34918-2019 tillsynsbegäran mail.docx", "A 34918-2019")</f>
        <v/>
      </c>
    </row>
    <row r="328" ht="15" customHeight="1">
      <c r="A328" t="inlineStr">
        <is>
          <t>A 66366-2019</t>
        </is>
      </c>
      <c r="B328" s="1" t="n">
        <v>43808</v>
      </c>
      <c r="C328" s="1" t="n">
        <v>45822</v>
      </c>
      <c r="D328" t="inlineStr">
        <is>
          <t>VÄSTERNORRLANDS LÄN</t>
        </is>
      </c>
      <c r="E328" t="inlineStr">
        <is>
          <t>SOLLEFTEÅ</t>
        </is>
      </c>
      <c r="G328" t="n">
        <v>2.9</v>
      </c>
      <c r="H328" t="n">
        <v>0</v>
      </c>
      <c r="I328" t="n">
        <v>1</v>
      </c>
      <c r="J328" t="n">
        <v>1</v>
      </c>
      <c r="K328" t="n">
        <v>0</v>
      </c>
      <c r="L328" t="n">
        <v>0</v>
      </c>
      <c r="M328" t="n">
        <v>0</v>
      </c>
      <c r="N328" t="n">
        <v>0</v>
      </c>
      <c r="O328" t="n">
        <v>1</v>
      </c>
      <c r="P328" t="n">
        <v>0</v>
      </c>
      <c r="Q328" t="n">
        <v>2</v>
      </c>
      <c r="R328" s="2" t="inlineStr">
        <is>
          <t>Lunglav
Stor aspticka</t>
        </is>
      </c>
      <c r="S328">
        <f>HYPERLINK("https://klasma.github.io/Logging_2283/artfynd/A 66366-2019 artfynd.xlsx", "A 66366-2019")</f>
        <v/>
      </c>
      <c r="T328">
        <f>HYPERLINK("https://klasma.github.io/Logging_2283/kartor/A 66366-2019 karta.png", "A 66366-2019")</f>
        <v/>
      </c>
      <c r="V328">
        <f>HYPERLINK("https://klasma.github.io/Logging_2283/klagomål/A 66366-2019 FSC-klagomål.docx", "A 66366-2019")</f>
        <v/>
      </c>
      <c r="W328">
        <f>HYPERLINK("https://klasma.github.io/Logging_2283/klagomålsmail/A 66366-2019 FSC-klagomål mail.docx", "A 66366-2019")</f>
        <v/>
      </c>
      <c r="X328">
        <f>HYPERLINK("https://klasma.github.io/Logging_2283/tillsyn/A 66366-2019 tillsynsbegäran.docx", "A 66366-2019")</f>
        <v/>
      </c>
      <c r="Y328">
        <f>HYPERLINK("https://klasma.github.io/Logging_2283/tillsynsmail/A 66366-2019 tillsynsbegäran mail.docx", "A 66366-2019")</f>
        <v/>
      </c>
    </row>
    <row r="329" ht="15" customHeight="1">
      <c r="A329" t="inlineStr">
        <is>
          <t>A 5314-2020</t>
        </is>
      </c>
      <c r="B329" s="1" t="n">
        <v>43857</v>
      </c>
      <c r="C329" s="1" t="n">
        <v>45822</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Kolflarnlav
Vedskivlav</t>
        </is>
      </c>
      <c r="S329">
        <f>HYPERLINK("https://klasma.github.io/Logging_2283/artfynd/A 5314-2020 artfynd.xlsx", "A 5314-2020")</f>
        <v/>
      </c>
      <c r="T329">
        <f>HYPERLINK("https://klasma.github.io/Logging_2283/kartor/A 5314-2020 karta.png", "A 5314-2020")</f>
        <v/>
      </c>
      <c r="V329">
        <f>HYPERLINK("https://klasma.github.io/Logging_2283/klagomål/A 5314-2020 FSC-klagomål.docx", "A 5314-2020")</f>
        <v/>
      </c>
      <c r="W329">
        <f>HYPERLINK("https://klasma.github.io/Logging_2283/klagomålsmail/A 5314-2020 FSC-klagomål mail.docx", "A 5314-2020")</f>
        <v/>
      </c>
      <c r="X329">
        <f>HYPERLINK("https://klasma.github.io/Logging_2283/tillsyn/A 5314-2020 tillsynsbegäran.docx", "A 5314-2020")</f>
        <v/>
      </c>
      <c r="Y329">
        <f>HYPERLINK("https://klasma.github.io/Logging_2283/tillsynsmail/A 5314-2020 tillsynsbegäran mail.docx", "A 5314-2020")</f>
        <v/>
      </c>
    </row>
    <row r="330" ht="15" customHeight="1">
      <c r="A330" t="inlineStr">
        <is>
          <t>A 29505-2020</t>
        </is>
      </c>
      <c r="B330" s="1" t="n">
        <v>44004</v>
      </c>
      <c r="C330" s="1" t="n">
        <v>45822</v>
      </c>
      <c r="D330" t="inlineStr">
        <is>
          <t>VÄSTERNORRLANDS LÄN</t>
        </is>
      </c>
      <c r="E330" t="inlineStr">
        <is>
          <t>SOLLEFTEÅ</t>
        </is>
      </c>
      <c r="F330" t="inlineStr">
        <is>
          <t>SCA</t>
        </is>
      </c>
      <c r="G330" t="n">
        <v>1.9</v>
      </c>
      <c r="H330" t="n">
        <v>0</v>
      </c>
      <c r="I330" t="n">
        <v>1</v>
      </c>
      <c r="J330" t="n">
        <v>1</v>
      </c>
      <c r="K330" t="n">
        <v>0</v>
      </c>
      <c r="L330" t="n">
        <v>0</v>
      </c>
      <c r="M330" t="n">
        <v>0</v>
      </c>
      <c r="N330" t="n">
        <v>0</v>
      </c>
      <c r="O330" t="n">
        <v>1</v>
      </c>
      <c r="P330" t="n">
        <v>0</v>
      </c>
      <c r="Q330" t="n">
        <v>2</v>
      </c>
      <c r="R330" s="2" t="inlineStr">
        <is>
          <t>Lunglav
Bårdlav</t>
        </is>
      </c>
      <c r="S330">
        <f>HYPERLINK("https://klasma.github.io/Logging_2283/artfynd/A 29505-2020 artfynd.xlsx", "A 29505-2020")</f>
        <v/>
      </c>
      <c r="T330">
        <f>HYPERLINK("https://klasma.github.io/Logging_2283/kartor/A 29505-2020 karta.png", "A 29505-2020")</f>
        <v/>
      </c>
      <c r="V330">
        <f>HYPERLINK("https://klasma.github.io/Logging_2283/klagomål/A 29505-2020 FSC-klagomål.docx", "A 29505-2020")</f>
        <v/>
      </c>
      <c r="W330">
        <f>HYPERLINK("https://klasma.github.io/Logging_2283/klagomålsmail/A 29505-2020 FSC-klagomål mail.docx", "A 29505-2020")</f>
        <v/>
      </c>
      <c r="X330">
        <f>HYPERLINK("https://klasma.github.io/Logging_2283/tillsyn/A 29505-2020 tillsynsbegäran.docx", "A 29505-2020")</f>
        <v/>
      </c>
      <c r="Y330">
        <f>HYPERLINK("https://klasma.github.io/Logging_2283/tillsynsmail/A 29505-2020 tillsynsbegäran mail.docx", "A 29505-2020")</f>
        <v/>
      </c>
    </row>
    <row r="331" ht="15" customHeight="1">
      <c r="A331" t="inlineStr">
        <is>
          <t>A 35220-2020</t>
        </is>
      </c>
      <c r="B331" s="1" t="n">
        <v>44041</v>
      </c>
      <c r="C331" s="1" t="n">
        <v>45822</v>
      </c>
      <c r="D331" t="inlineStr">
        <is>
          <t>VÄSTERNORRLANDS LÄN</t>
        </is>
      </c>
      <c r="E331" t="inlineStr">
        <is>
          <t>SOLLEFTEÅ</t>
        </is>
      </c>
      <c r="F331" t="inlineStr">
        <is>
          <t>SCA</t>
        </is>
      </c>
      <c r="G331" t="n">
        <v>3.4</v>
      </c>
      <c r="H331" t="n">
        <v>2</v>
      </c>
      <c r="I331" t="n">
        <v>0</v>
      </c>
      <c r="J331" t="n">
        <v>1</v>
      </c>
      <c r="K331" t="n">
        <v>0</v>
      </c>
      <c r="L331" t="n">
        <v>0</v>
      </c>
      <c r="M331" t="n">
        <v>0</v>
      </c>
      <c r="N331" t="n">
        <v>0</v>
      </c>
      <c r="O331" t="n">
        <v>1</v>
      </c>
      <c r="P331" t="n">
        <v>0</v>
      </c>
      <c r="Q331" t="n">
        <v>2</v>
      </c>
      <c r="R331" s="2" t="inlineStr">
        <is>
          <t>Järpe
Tjäder</t>
        </is>
      </c>
      <c r="S331">
        <f>HYPERLINK("https://klasma.github.io/Logging_2283/artfynd/A 35220-2020 artfynd.xlsx", "A 35220-2020")</f>
        <v/>
      </c>
      <c r="T331">
        <f>HYPERLINK("https://klasma.github.io/Logging_2283/kartor/A 35220-2020 karta.png", "A 35220-2020")</f>
        <v/>
      </c>
      <c r="V331">
        <f>HYPERLINK("https://klasma.github.io/Logging_2283/klagomål/A 35220-2020 FSC-klagomål.docx", "A 35220-2020")</f>
        <v/>
      </c>
      <c r="W331">
        <f>HYPERLINK("https://klasma.github.io/Logging_2283/klagomålsmail/A 35220-2020 FSC-klagomål mail.docx", "A 35220-2020")</f>
        <v/>
      </c>
      <c r="X331">
        <f>HYPERLINK("https://klasma.github.io/Logging_2283/tillsyn/A 35220-2020 tillsynsbegäran.docx", "A 35220-2020")</f>
        <v/>
      </c>
      <c r="Y331">
        <f>HYPERLINK("https://klasma.github.io/Logging_2283/tillsynsmail/A 35220-2020 tillsynsbegäran mail.docx", "A 35220-2020")</f>
        <v/>
      </c>
      <c r="Z331">
        <f>HYPERLINK("https://klasma.github.io/Logging_2283/fåglar/A 35220-2020 prioriterade fågelarter.docx", "A 35220-2020")</f>
        <v/>
      </c>
    </row>
    <row r="332" ht="15" customHeight="1">
      <c r="A332" t="inlineStr">
        <is>
          <t>A 2309-2021</t>
        </is>
      </c>
      <c r="B332" s="1" t="n">
        <v>44213</v>
      </c>
      <c r="C332" s="1" t="n">
        <v>45822</v>
      </c>
      <c r="D332" t="inlineStr">
        <is>
          <t>VÄSTERNORRLANDS LÄN</t>
        </is>
      </c>
      <c r="E332" t="inlineStr">
        <is>
          <t>SOLLEFTEÅ</t>
        </is>
      </c>
      <c r="G332" t="n">
        <v>2.1</v>
      </c>
      <c r="H332" t="n">
        <v>1</v>
      </c>
      <c r="I332" t="n">
        <v>0</v>
      </c>
      <c r="J332" t="n">
        <v>2</v>
      </c>
      <c r="K332" t="n">
        <v>0</v>
      </c>
      <c r="L332" t="n">
        <v>0</v>
      </c>
      <c r="M332" t="n">
        <v>0</v>
      </c>
      <c r="N332" t="n">
        <v>0</v>
      </c>
      <c r="O332" t="n">
        <v>2</v>
      </c>
      <c r="P332" t="n">
        <v>0</v>
      </c>
      <c r="Q332" t="n">
        <v>2</v>
      </c>
      <c r="R332" s="2" t="inlineStr">
        <is>
          <t>Tretåig hackspett
Ullticka</t>
        </is>
      </c>
      <c r="S332">
        <f>HYPERLINK("https://klasma.github.io/Logging_2283/artfynd/A 2309-2021 artfynd.xlsx", "A 2309-2021")</f>
        <v/>
      </c>
      <c r="T332">
        <f>HYPERLINK("https://klasma.github.io/Logging_2283/kartor/A 2309-2021 karta.png", "A 2309-2021")</f>
        <v/>
      </c>
      <c r="V332">
        <f>HYPERLINK("https://klasma.github.io/Logging_2283/klagomål/A 2309-2021 FSC-klagomål.docx", "A 2309-2021")</f>
        <v/>
      </c>
      <c r="W332">
        <f>HYPERLINK("https://klasma.github.io/Logging_2283/klagomålsmail/A 2309-2021 FSC-klagomål mail.docx", "A 2309-2021")</f>
        <v/>
      </c>
      <c r="X332">
        <f>HYPERLINK("https://klasma.github.io/Logging_2283/tillsyn/A 2309-2021 tillsynsbegäran.docx", "A 2309-2021")</f>
        <v/>
      </c>
      <c r="Y332">
        <f>HYPERLINK("https://klasma.github.io/Logging_2283/tillsynsmail/A 2309-2021 tillsynsbegäran mail.docx", "A 2309-2021")</f>
        <v/>
      </c>
      <c r="Z332">
        <f>HYPERLINK("https://klasma.github.io/Logging_2283/fåglar/A 2309-2021 prioriterade fågelarter.docx", "A 2309-2021")</f>
        <v/>
      </c>
    </row>
    <row r="333" ht="15" customHeight="1">
      <c r="A333" t="inlineStr">
        <is>
          <t>A 20836-2021</t>
        </is>
      </c>
      <c r="B333" s="1" t="n">
        <v>44318</v>
      </c>
      <c r="C333" s="1" t="n">
        <v>45822</v>
      </c>
      <c r="D333" t="inlineStr">
        <is>
          <t>VÄSTERNORRLANDS LÄN</t>
        </is>
      </c>
      <c r="E333" t="inlineStr">
        <is>
          <t>SOLLEFTEÅ</t>
        </is>
      </c>
      <c r="F333" t="inlineStr">
        <is>
          <t>SCA</t>
        </is>
      </c>
      <c r="G333" t="n">
        <v>4.8</v>
      </c>
      <c r="H333" t="n">
        <v>1</v>
      </c>
      <c r="I333" t="n">
        <v>0</v>
      </c>
      <c r="J333" t="n">
        <v>2</v>
      </c>
      <c r="K333" t="n">
        <v>0</v>
      </c>
      <c r="L333" t="n">
        <v>0</v>
      </c>
      <c r="M333" t="n">
        <v>0</v>
      </c>
      <c r="N333" t="n">
        <v>0</v>
      </c>
      <c r="O333" t="n">
        <v>2</v>
      </c>
      <c r="P333" t="n">
        <v>0</v>
      </c>
      <c r="Q333" t="n">
        <v>2</v>
      </c>
      <c r="R333" s="2" t="inlineStr">
        <is>
          <t>Garnlav
Talltita</t>
        </is>
      </c>
      <c r="S333">
        <f>HYPERLINK("https://klasma.github.io/Logging_2283/artfynd/A 20836-2021 artfynd.xlsx", "A 20836-2021")</f>
        <v/>
      </c>
      <c r="T333">
        <f>HYPERLINK("https://klasma.github.io/Logging_2283/kartor/A 20836-2021 karta.png", "A 20836-2021")</f>
        <v/>
      </c>
      <c r="V333">
        <f>HYPERLINK("https://klasma.github.io/Logging_2283/klagomål/A 20836-2021 FSC-klagomål.docx", "A 20836-2021")</f>
        <v/>
      </c>
      <c r="W333">
        <f>HYPERLINK("https://klasma.github.io/Logging_2283/klagomålsmail/A 20836-2021 FSC-klagomål mail.docx", "A 20836-2021")</f>
        <v/>
      </c>
      <c r="X333">
        <f>HYPERLINK("https://klasma.github.io/Logging_2283/tillsyn/A 20836-2021 tillsynsbegäran.docx", "A 20836-2021")</f>
        <v/>
      </c>
      <c r="Y333">
        <f>HYPERLINK("https://klasma.github.io/Logging_2283/tillsynsmail/A 20836-2021 tillsynsbegäran mail.docx", "A 20836-2021")</f>
        <v/>
      </c>
      <c r="Z333">
        <f>HYPERLINK("https://klasma.github.io/Logging_2283/fåglar/A 20836-2021 prioriterade fågelarter.docx", "A 20836-2021")</f>
        <v/>
      </c>
    </row>
    <row r="334" ht="15" customHeight="1">
      <c r="A334" t="inlineStr">
        <is>
          <t>A 27983-2021</t>
        </is>
      </c>
      <c r="B334" s="1" t="n">
        <v>44354</v>
      </c>
      <c r="C334" s="1" t="n">
        <v>45822</v>
      </c>
      <c r="D334" t="inlineStr">
        <is>
          <t>VÄSTERNORRLANDS LÄN</t>
        </is>
      </c>
      <c r="E334" t="inlineStr">
        <is>
          <t>SOLLEFTEÅ</t>
        </is>
      </c>
      <c r="F334" t="inlineStr">
        <is>
          <t>SCA</t>
        </is>
      </c>
      <c r="G334" t="n">
        <v>5.4</v>
      </c>
      <c r="H334" t="n">
        <v>0</v>
      </c>
      <c r="I334" t="n">
        <v>0</v>
      </c>
      <c r="J334" t="n">
        <v>2</v>
      </c>
      <c r="K334" t="n">
        <v>0</v>
      </c>
      <c r="L334" t="n">
        <v>0</v>
      </c>
      <c r="M334" t="n">
        <v>0</v>
      </c>
      <c r="N334" t="n">
        <v>0</v>
      </c>
      <c r="O334" t="n">
        <v>2</v>
      </c>
      <c r="P334" t="n">
        <v>0</v>
      </c>
      <c r="Q334" t="n">
        <v>2</v>
      </c>
      <c r="R334" s="2" t="inlineStr">
        <is>
          <t>Rosenticka
Ullticka</t>
        </is>
      </c>
      <c r="S334">
        <f>HYPERLINK("https://klasma.github.io/Logging_2283/artfynd/A 27983-2021 artfynd.xlsx", "A 27983-2021")</f>
        <v/>
      </c>
      <c r="T334">
        <f>HYPERLINK("https://klasma.github.io/Logging_2283/kartor/A 27983-2021 karta.png", "A 27983-2021")</f>
        <v/>
      </c>
      <c r="V334">
        <f>HYPERLINK("https://klasma.github.io/Logging_2283/klagomål/A 27983-2021 FSC-klagomål.docx", "A 27983-2021")</f>
        <v/>
      </c>
      <c r="W334">
        <f>HYPERLINK("https://klasma.github.io/Logging_2283/klagomålsmail/A 27983-2021 FSC-klagomål mail.docx", "A 27983-2021")</f>
        <v/>
      </c>
      <c r="X334">
        <f>HYPERLINK("https://klasma.github.io/Logging_2283/tillsyn/A 27983-2021 tillsynsbegäran.docx", "A 27983-2021")</f>
        <v/>
      </c>
      <c r="Y334">
        <f>HYPERLINK("https://klasma.github.io/Logging_2283/tillsynsmail/A 27983-2021 tillsynsbegäran mail.docx", "A 27983-2021")</f>
        <v/>
      </c>
    </row>
    <row r="335" ht="15" customHeight="1">
      <c r="A335" t="inlineStr">
        <is>
          <t>A 35071-2021</t>
        </is>
      </c>
      <c r="B335" s="1" t="n">
        <v>44383</v>
      </c>
      <c r="C335" s="1" t="n">
        <v>45822</v>
      </c>
      <c r="D335" t="inlineStr">
        <is>
          <t>VÄSTERNORRLANDS LÄN</t>
        </is>
      </c>
      <c r="E335" t="inlineStr">
        <is>
          <t>SOLLEFTEÅ</t>
        </is>
      </c>
      <c r="F335" t="inlineStr">
        <is>
          <t>SCA</t>
        </is>
      </c>
      <c r="G335" t="n">
        <v>1.8</v>
      </c>
      <c r="H335" t="n">
        <v>0</v>
      </c>
      <c r="I335" t="n">
        <v>2</v>
      </c>
      <c r="J335" t="n">
        <v>0</v>
      </c>
      <c r="K335" t="n">
        <v>0</v>
      </c>
      <c r="L335" t="n">
        <v>0</v>
      </c>
      <c r="M335" t="n">
        <v>0</v>
      </c>
      <c r="N335" t="n">
        <v>0</v>
      </c>
      <c r="O335" t="n">
        <v>0</v>
      </c>
      <c r="P335" t="n">
        <v>0</v>
      </c>
      <c r="Q335" t="n">
        <v>2</v>
      </c>
      <c r="R335" s="2" t="inlineStr">
        <is>
          <t>Norrlandslav
Vedticka</t>
        </is>
      </c>
      <c r="S335">
        <f>HYPERLINK("https://klasma.github.io/Logging_2283/artfynd/A 35071-2021 artfynd.xlsx", "A 35071-2021")</f>
        <v/>
      </c>
      <c r="T335">
        <f>HYPERLINK("https://klasma.github.io/Logging_2283/kartor/A 35071-2021 karta.png", "A 35071-2021")</f>
        <v/>
      </c>
      <c r="V335">
        <f>HYPERLINK("https://klasma.github.io/Logging_2283/klagomål/A 35071-2021 FSC-klagomål.docx", "A 35071-2021")</f>
        <v/>
      </c>
      <c r="W335">
        <f>HYPERLINK("https://klasma.github.io/Logging_2283/klagomålsmail/A 35071-2021 FSC-klagomål mail.docx", "A 35071-2021")</f>
        <v/>
      </c>
      <c r="X335">
        <f>HYPERLINK("https://klasma.github.io/Logging_2283/tillsyn/A 35071-2021 tillsynsbegäran.docx", "A 35071-2021")</f>
        <v/>
      </c>
      <c r="Y335">
        <f>HYPERLINK("https://klasma.github.io/Logging_2283/tillsynsmail/A 35071-2021 tillsynsbegäran mail.docx", "A 35071-2021")</f>
        <v/>
      </c>
    </row>
    <row r="336" ht="15" customHeight="1">
      <c r="A336" t="inlineStr">
        <is>
          <t>A 39329-2021</t>
        </is>
      </c>
      <c r="B336" s="1" t="n">
        <v>44414</v>
      </c>
      <c r="C336" s="1" t="n">
        <v>45822</v>
      </c>
      <c r="D336" t="inlineStr">
        <is>
          <t>VÄSTERNORRLANDS LÄN</t>
        </is>
      </c>
      <c r="E336" t="inlineStr">
        <is>
          <t>SOLLEFTEÅ</t>
        </is>
      </c>
      <c r="F336" t="inlineStr">
        <is>
          <t>SCA</t>
        </is>
      </c>
      <c r="G336" t="n">
        <v>2.7</v>
      </c>
      <c r="H336" t="n">
        <v>0</v>
      </c>
      <c r="I336" t="n">
        <v>1</v>
      </c>
      <c r="J336" t="n">
        <v>1</v>
      </c>
      <c r="K336" t="n">
        <v>0</v>
      </c>
      <c r="L336" t="n">
        <v>0</v>
      </c>
      <c r="M336" t="n">
        <v>0</v>
      </c>
      <c r="N336" t="n">
        <v>0</v>
      </c>
      <c r="O336" t="n">
        <v>1</v>
      </c>
      <c r="P336" t="n">
        <v>0</v>
      </c>
      <c r="Q336" t="n">
        <v>2</v>
      </c>
      <c r="R336" s="2" t="inlineStr">
        <is>
          <t>Mörk kolflarnlav
Bollvitmossa</t>
        </is>
      </c>
      <c r="S336">
        <f>HYPERLINK("https://klasma.github.io/Logging_2283/artfynd/A 39329-2021 artfynd.xlsx", "A 39329-2021")</f>
        <v/>
      </c>
      <c r="T336">
        <f>HYPERLINK("https://klasma.github.io/Logging_2283/kartor/A 39329-2021 karta.png", "A 39329-2021")</f>
        <v/>
      </c>
      <c r="V336">
        <f>HYPERLINK("https://klasma.github.io/Logging_2283/klagomål/A 39329-2021 FSC-klagomål.docx", "A 39329-2021")</f>
        <v/>
      </c>
      <c r="W336">
        <f>HYPERLINK("https://klasma.github.io/Logging_2283/klagomålsmail/A 39329-2021 FSC-klagomål mail.docx", "A 39329-2021")</f>
        <v/>
      </c>
      <c r="X336">
        <f>HYPERLINK("https://klasma.github.io/Logging_2283/tillsyn/A 39329-2021 tillsynsbegäran.docx", "A 39329-2021")</f>
        <v/>
      </c>
      <c r="Y336">
        <f>HYPERLINK("https://klasma.github.io/Logging_2283/tillsynsmail/A 39329-2021 tillsynsbegäran mail.docx", "A 39329-2021")</f>
        <v/>
      </c>
    </row>
    <row r="337" ht="15" customHeight="1">
      <c r="A337" t="inlineStr">
        <is>
          <t>A 45213-2021</t>
        </is>
      </c>
      <c r="B337" s="1" t="n">
        <v>44431</v>
      </c>
      <c r="C337" s="1" t="n">
        <v>45822</v>
      </c>
      <c r="D337" t="inlineStr">
        <is>
          <t>VÄSTERNORRLANDS LÄN</t>
        </is>
      </c>
      <c r="E337" t="inlineStr">
        <is>
          <t>SOLLEFTEÅ</t>
        </is>
      </c>
      <c r="F337" t="inlineStr">
        <is>
          <t>SCA</t>
        </is>
      </c>
      <c r="G337" t="n">
        <v>2.3</v>
      </c>
      <c r="H337" t="n">
        <v>0</v>
      </c>
      <c r="I337" t="n">
        <v>0</v>
      </c>
      <c r="J337" t="n">
        <v>2</v>
      </c>
      <c r="K337" t="n">
        <v>0</v>
      </c>
      <c r="L337" t="n">
        <v>0</v>
      </c>
      <c r="M337" t="n">
        <v>0</v>
      </c>
      <c r="N337" t="n">
        <v>0</v>
      </c>
      <c r="O337" t="n">
        <v>2</v>
      </c>
      <c r="P337" t="n">
        <v>0</v>
      </c>
      <c r="Q337" t="n">
        <v>2</v>
      </c>
      <c r="R337" s="2" t="inlineStr">
        <is>
          <t>Garnlav
Granticka</t>
        </is>
      </c>
      <c r="S337">
        <f>HYPERLINK("https://klasma.github.io/Logging_2283/artfynd/A 45213-2021 artfynd.xlsx", "A 45213-2021")</f>
        <v/>
      </c>
      <c r="T337">
        <f>HYPERLINK("https://klasma.github.io/Logging_2283/kartor/A 45213-2021 karta.png", "A 45213-2021")</f>
        <v/>
      </c>
      <c r="V337">
        <f>HYPERLINK("https://klasma.github.io/Logging_2283/klagomål/A 45213-2021 FSC-klagomål.docx", "A 45213-2021")</f>
        <v/>
      </c>
      <c r="W337">
        <f>HYPERLINK("https://klasma.github.io/Logging_2283/klagomålsmail/A 45213-2021 FSC-klagomål mail.docx", "A 45213-2021")</f>
        <v/>
      </c>
      <c r="X337">
        <f>HYPERLINK("https://klasma.github.io/Logging_2283/tillsyn/A 45213-2021 tillsynsbegäran.docx", "A 45213-2021")</f>
        <v/>
      </c>
      <c r="Y337">
        <f>HYPERLINK("https://klasma.github.io/Logging_2283/tillsynsmail/A 45213-2021 tillsynsbegäran mail.docx", "A 45213-2021")</f>
        <v/>
      </c>
    </row>
    <row r="338" ht="15" customHeight="1">
      <c r="A338" t="inlineStr">
        <is>
          <t>A 47858-2021</t>
        </is>
      </c>
      <c r="B338" s="1" t="n">
        <v>44448</v>
      </c>
      <c r="C338" s="1" t="n">
        <v>45822</v>
      </c>
      <c r="D338" t="inlineStr">
        <is>
          <t>VÄSTERNORRLANDS LÄN</t>
        </is>
      </c>
      <c r="E338" t="inlineStr">
        <is>
          <t>SOLLEFTEÅ</t>
        </is>
      </c>
      <c r="G338" t="n">
        <v>7.7</v>
      </c>
      <c r="H338" t="n">
        <v>0</v>
      </c>
      <c r="I338" t="n">
        <v>0</v>
      </c>
      <c r="J338" t="n">
        <v>2</v>
      </c>
      <c r="K338" t="n">
        <v>0</v>
      </c>
      <c r="L338" t="n">
        <v>0</v>
      </c>
      <c r="M338" t="n">
        <v>0</v>
      </c>
      <c r="N338" t="n">
        <v>0</v>
      </c>
      <c r="O338" t="n">
        <v>2</v>
      </c>
      <c r="P338" t="n">
        <v>0</v>
      </c>
      <c r="Q338" t="n">
        <v>2</v>
      </c>
      <c r="R338" s="2" t="inlineStr">
        <is>
          <t>Rosenticka
Ullticka</t>
        </is>
      </c>
      <c r="S338">
        <f>HYPERLINK("https://klasma.github.io/Logging_2283/artfynd/A 47858-2021 artfynd.xlsx", "A 47858-2021")</f>
        <v/>
      </c>
      <c r="T338">
        <f>HYPERLINK("https://klasma.github.io/Logging_2283/kartor/A 47858-2021 karta.png", "A 47858-2021")</f>
        <v/>
      </c>
      <c r="V338">
        <f>HYPERLINK("https://klasma.github.io/Logging_2283/klagomål/A 47858-2021 FSC-klagomål.docx", "A 47858-2021")</f>
        <v/>
      </c>
      <c r="W338">
        <f>HYPERLINK("https://klasma.github.io/Logging_2283/klagomålsmail/A 47858-2021 FSC-klagomål mail.docx", "A 47858-2021")</f>
        <v/>
      </c>
      <c r="X338">
        <f>HYPERLINK("https://klasma.github.io/Logging_2283/tillsyn/A 47858-2021 tillsynsbegäran.docx", "A 47858-2021")</f>
        <v/>
      </c>
      <c r="Y338">
        <f>HYPERLINK("https://klasma.github.io/Logging_2283/tillsynsmail/A 47858-2021 tillsynsbegäran mail.docx", "A 47858-2021")</f>
        <v/>
      </c>
    </row>
    <row r="339" ht="15" customHeight="1">
      <c r="A339" t="inlineStr">
        <is>
          <t>A 51024-2021</t>
        </is>
      </c>
      <c r="B339" s="1" t="n">
        <v>44461</v>
      </c>
      <c r="C339" s="1" t="n">
        <v>45822</v>
      </c>
      <c r="D339" t="inlineStr">
        <is>
          <t>VÄSTERNORRLANDS LÄN</t>
        </is>
      </c>
      <c r="E339" t="inlineStr">
        <is>
          <t>SOLLEFTEÅ</t>
        </is>
      </c>
      <c r="F339" t="inlineStr">
        <is>
          <t>SCA</t>
        </is>
      </c>
      <c r="G339" t="n">
        <v>7.1</v>
      </c>
      <c r="H339" t="n">
        <v>0</v>
      </c>
      <c r="I339" t="n">
        <v>0</v>
      </c>
      <c r="J339" t="n">
        <v>2</v>
      </c>
      <c r="K339" t="n">
        <v>0</v>
      </c>
      <c r="L339" t="n">
        <v>0</v>
      </c>
      <c r="M339" t="n">
        <v>0</v>
      </c>
      <c r="N339" t="n">
        <v>0</v>
      </c>
      <c r="O339" t="n">
        <v>2</v>
      </c>
      <c r="P339" t="n">
        <v>0</v>
      </c>
      <c r="Q339" t="n">
        <v>2</v>
      </c>
      <c r="R339" s="2" t="inlineStr">
        <is>
          <t>Tallticka
Ullticka</t>
        </is>
      </c>
      <c r="S339">
        <f>HYPERLINK("https://klasma.github.io/Logging_2283/artfynd/A 51024-2021 artfynd.xlsx", "A 51024-2021")</f>
        <v/>
      </c>
      <c r="T339">
        <f>HYPERLINK("https://klasma.github.io/Logging_2283/kartor/A 51024-2021 karta.png", "A 51024-2021")</f>
        <v/>
      </c>
      <c r="V339">
        <f>HYPERLINK("https://klasma.github.io/Logging_2283/klagomål/A 51024-2021 FSC-klagomål.docx", "A 51024-2021")</f>
        <v/>
      </c>
      <c r="W339">
        <f>HYPERLINK("https://klasma.github.io/Logging_2283/klagomålsmail/A 51024-2021 FSC-klagomål mail.docx", "A 51024-2021")</f>
        <v/>
      </c>
      <c r="X339">
        <f>HYPERLINK("https://klasma.github.io/Logging_2283/tillsyn/A 51024-2021 tillsynsbegäran.docx", "A 51024-2021")</f>
        <v/>
      </c>
      <c r="Y339">
        <f>HYPERLINK("https://klasma.github.io/Logging_2283/tillsynsmail/A 51024-2021 tillsynsbegäran mail.docx", "A 51024-2021")</f>
        <v/>
      </c>
    </row>
    <row r="340" ht="15" customHeight="1">
      <c r="A340" t="inlineStr">
        <is>
          <t>A 54153-2021</t>
        </is>
      </c>
      <c r="B340" s="1" t="n">
        <v>44469</v>
      </c>
      <c r="C340" s="1" t="n">
        <v>45822</v>
      </c>
      <c r="D340" t="inlineStr">
        <is>
          <t>VÄSTERNORRLANDS LÄN</t>
        </is>
      </c>
      <c r="E340" t="inlineStr">
        <is>
          <t>SOLLEFTEÅ</t>
        </is>
      </c>
      <c r="G340" t="n">
        <v>1.4</v>
      </c>
      <c r="H340" t="n">
        <v>0</v>
      </c>
      <c r="I340" t="n">
        <v>0</v>
      </c>
      <c r="J340" t="n">
        <v>2</v>
      </c>
      <c r="K340" t="n">
        <v>0</v>
      </c>
      <c r="L340" t="n">
        <v>0</v>
      </c>
      <c r="M340" t="n">
        <v>0</v>
      </c>
      <c r="N340" t="n">
        <v>0</v>
      </c>
      <c r="O340" t="n">
        <v>2</v>
      </c>
      <c r="P340" t="n">
        <v>0</v>
      </c>
      <c r="Q340" t="n">
        <v>2</v>
      </c>
      <c r="R340" s="2" t="inlineStr">
        <is>
          <t>Garnlav
Rosenticka</t>
        </is>
      </c>
      <c r="S340">
        <f>HYPERLINK("https://klasma.github.io/Logging_2283/artfynd/A 54153-2021 artfynd.xlsx", "A 54153-2021")</f>
        <v/>
      </c>
      <c r="T340">
        <f>HYPERLINK("https://klasma.github.io/Logging_2283/kartor/A 54153-2021 karta.png", "A 54153-2021")</f>
        <v/>
      </c>
      <c r="V340">
        <f>HYPERLINK("https://klasma.github.io/Logging_2283/klagomål/A 54153-2021 FSC-klagomål.docx", "A 54153-2021")</f>
        <v/>
      </c>
      <c r="W340">
        <f>HYPERLINK("https://klasma.github.io/Logging_2283/klagomålsmail/A 54153-2021 FSC-klagomål mail.docx", "A 54153-2021")</f>
        <v/>
      </c>
      <c r="X340">
        <f>HYPERLINK("https://klasma.github.io/Logging_2283/tillsyn/A 54153-2021 tillsynsbegäran.docx", "A 54153-2021")</f>
        <v/>
      </c>
      <c r="Y340">
        <f>HYPERLINK("https://klasma.github.io/Logging_2283/tillsynsmail/A 54153-2021 tillsynsbegäran mail.docx", "A 54153-2021")</f>
        <v/>
      </c>
    </row>
    <row r="341" ht="15" customHeight="1">
      <c r="A341" t="inlineStr">
        <is>
          <t>A 65419-2021</t>
        </is>
      </c>
      <c r="B341" s="1" t="n">
        <v>44515</v>
      </c>
      <c r="C341" s="1" t="n">
        <v>45822</v>
      </c>
      <c r="D341" t="inlineStr">
        <is>
          <t>VÄSTERNORRLANDS LÄN</t>
        </is>
      </c>
      <c r="E341" t="inlineStr">
        <is>
          <t>SOLLEFTEÅ</t>
        </is>
      </c>
      <c r="F341" t="inlineStr">
        <is>
          <t>SCA</t>
        </is>
      </c>
      <c r="G341" t="n">
        <v>2.3</v>
      </c>
      <c r="H341" t="n">
        <v>0</v>
      </c>
      <c r="I341" t="n">
        <v>0</v>
      </c>
      <c r="J341" t="n">
        <v>2</v>
      </c>
      <c r="K341" t="n">
        <v>0</v>
      </c>
      <c r="L341" t="n">
        <v>0</v>
      </c>
      <c r="M341" t="n">
        <v>0</v>
      </c>
      <c r="N341" t="n">
        <v>0</v>
      </c>
      <c r="O341" t="n">
        <v>2</v>
      </c>
      <c r="P341" t="n">
        <v>0</v>
      </c>
      <c r="Q341" t="n">
        <v>2</v>
      </c>
      <c r="R341" s="2" t="inlineStr">
        <is>
          <t>Garnlav
Granticka</t>
        </is>
      </c>
      <c r="S341">
        <f>HYPERLINK("https://klasma.github.io/Logging_2283/artfynd/A 65419-2021 artfynd.xlsx", "A 65419-2021")</f>
        <v/>
      </c>
      <c r="T341">
        <f>HYPERLINK("https://klasma.github.io/Logging_2283/kartor/A 65419-2021 karta.png", "A 65419-2021")</f>
        <v/>
      </c>
      <c r="V341">
        <f>HYPERLINK("https://klasma.github.io/Logging_2283/klagomål/A 65419-2021 FSC-klagomål.docx", "A 65419-2021")</f>
        <v/>
      </c>
      <c r="W341">
        <f>HYPERLINK("https://klasma.github.io/Logging_2283/klagomålsmail/A 65419-2021 FSC-klagomål mail.docx", "A 65419-2021")</f>
        <v/>
      </c>
      <c r="X341">
        <f>HYPERLINK("https://klasma.github.io/Logging_2283/tillsyn/A 65419-2021 tillsynsbegäran.docx", "A 65419-2021")</f>
        <v/>
      </c>
      <c r="Y341">
        <f>HYPERLINK("https://klasma.github.io/Logging_2283/tillsynsmail/A 65419-2021 tillsynsbegäran mail.docx", "A 65419-2021")</f>
        <v/>
      </c>
    </row>
    <row r="342" ht="15" customHeight="1">
      <c r="A342" t="inlineStr">
        <is>
          <t>A 9583-2022</t>
        </is>
      </c>
      <c r="B342" s="1" t="n">
        <v>44617</v>
      </c>
      <c r="C342" s="1" t="n">
        <v>45822</v>
      </c>
      <c r="D342" t="inlineStr">
        <is>
          <t>VÄSTERNORRLANDS LÄN</t>
        </is>
      </c>
      <c r="E342" t="inlineStr">
        <is>
          <t>SOLLEFTEÅ</t>
        </is>
      </c>
      <c r="F342" t="inlineStr">
        <is>
          <t>Övriga Aktiebolag</t>
        </is>
      </c>
      <c r="G342" t="n">
        <v>2.3</v>
      </c>
      <c r="H342" t="n">
        <v>0</v>
      </c>
      <c r="I342" t="n">
        <v>0</v>
      </c>
      <c r="J342" t="n">
        <v>2</v>
      </c>
      <c r="K342" t="n">
        <v>0</v>
      </c>
      <c r="L342" t="n">
        <v>0</v>
      </c>
      <c r="M342" t="n">
        <v>0</v>
      </c>
      <c r="N342" t="n">
        <v>0</v>
      </c>
      <c r="O342" t="n">
        <v>2</v>
      </c>
      <c r="P342" t="n">
        <v>0</v>
      </c>
      <c r="Q342" t="n">
        <v>2</v>
      </c>
      <c r="R342" s="2" t="inlineStr">
        <is>
          <t>Garnlav
Lunglav</t>
        </is>
      </c>
      <c r="S342">
        <f>HYPERLINK("https://klasma.github.io/Logging_2283/artfynd/A 9583-2022 artfynd.xlsx", "A 9583-2022")</f>
        <v/>
      </c>
      <c r="T342">
        <f>HYPERLINK("https://klasma.github.io/Logging_2283/kartor/A 9583-2022 karta.png", "A 9583-2022")</f>
        <v/>
      </c>
      <c r="V342">
        <f>HYPERLINK("https://klasma.github.io/Logging_2283/klagomål/A 9583-2022 FSC-klagomål.docx", "A 9583-2022")</f>
        <v/>
      </c>
      <c r="W342">
        <f>HYPERLINK("https://klasma.github.io/Logging_2283/klagomålsmail/A 9583-2022 FSC-klagomål mail.docx", "A 9583-2022")</f>
        <v/>
      </c>
      <c r="X342">
        <f>HYPERLINK("https://klasma.github.io/Logging_2283/tillsyn/A 9583-2022 tillsynsbegäran.docx", "A 9583-2022")</f>
        <v/>
      </c>
      <c r="Y342">
        <f>HYPERLINK("https://klasma.github.io/Logging_2283/tillsynsmail/A 9583-2022 tillsynsbegäran mail.docx", "A 9583-2022")</f>
        <v/>
      </c>
    </row>
    <row r="343" ht="15" customHeight="1">
      <c r="A343" t="inlineStr">
        <is>
          <t>A 13059-2022</t>
        </is>
      </c>
      <c r="B343" s="1" t="n">
        <v>44643</v>
      </c>
      <c r="C343" s="1" t="n">
        <v>45822</v>
      </c>
      <c r="D343" t="inlineStr">
        <is>
          <t>VÄSTERNORRLANDS LÄN</t>
        </is>
      </c>
      <c r="E343" t="inlineStr">
        <is>
          <t>SOLLEFTEÅ</t>
        </is>
      </c>
      <c r="G343" t="n">
        <v>9.9</v>
      </c>
      <c r="H343" t="n">
        <v>0</v>
      </c>
      <c r="I343" t="n">
        <v>0</v>
      </c>
      <c r="J343" t="n">
        <v>2</v>
      </c>
      <c r="K343" t="n">
        <v>0</v>
      </c>
      <c r="L343" t="n">
        <v>0</v>
      </c>
      <c r="M343" t="n">
        <v>0</v>
      </c>
      <c r="N343" t="n">
        <v>0</v>
      </c>
      <c r="O343" t="n">
        <v>2</v>
      </c>
      <c r="P343" t="n">
        <v>0</v>
      </c>
      <c r="Q343" t="n">
        <v>2</v>
      </c>
      <c r="R343" s="2" t="inlineStr">
        <is>
          <t>Garnlav
Ullticka</t>
        </is>
      </c>
      <c r="S343">
        <f>HYPERLINK("https://klasma.github.io/Logging_2283/artfynd/A 13059-2022 artfynd.xlsx", "A 13059-2022")</f>
        <v/>
      </c>
      <c r="T343">
        <f>HYPERLINK("https://klasma.github.io/Logging_2283/kartor/A 13059-2022 karta.png", "A 13059-2022")</f>
        <v/>
      </c>
      <c r="V343">
        <f>HYPERLINK("https://klasma.github.io/Logging_2283/klagomål/A 13059-2022 FSC-klagomål.docx", "A 13059-2022")</f>
        <v/>
      </c>
      <c r="W343">
        <f>HYPERLINK("https://klasma.github.io/Logging_2283/klagomålsmail/A 13059-2022 FSC-klagomål mail.docx", "A 13059-2022")</f>
        <v/>
      </c>
      <c r="X343">
        <f>HYPERLINK("https://klasma.github.io/Logging_2283/tillsyn/A 13059-2022 tillsynsbegäran.docx", "A 13059-2022")</f>
        <v/>
      </c>
      <c r="Y343">
        <f>HYPERLINK("https://klasma.github.io/Logging_2283/tillsynsmail/A 13059-2022 tillsynsbegäran mail.docx", "A 13059-2022")</f>
        <v/>
      </c>
    </row>
    <row r="344" ht="15" customHeight="1">
      <c r="A344" t="inlineStr">
        <is>
          <t>A 13658-2022</t>
        </is>
      </c>
      <c r="B344" s="1" t="n">
        <v>44648</v>
      </c>
      <c r="C344" s="1" t="n">
        <v>45822</v>
      </c>
      <c r="D344" t="inlineStr">
        <is>
          <t>VÄSTERNORRLANDS LÄN</t>
        </is>
      </c>
      <c r="E344" t="inlineStr">
        <is>
          <t>SOLLEFTEÅ</t>
        </is>
      </c>
      <c r="G344" t="n">
        <v>7.4</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13658-2022 artfynd.xlsx", "A 13658-2022")</f>
        <v/>
      </c>
      <c r="T344">
        <f>HYPERLINK("https://klasma.github.io/Logging_2283/kartor/A 13658-2022 karta.png", "A 13658-2022")</f>
        <v/>
      </c>
      <c r="V344">
        <f>HYPERLINK("https://klasma.github.io/Logging_2283/klagomål/A 13658-2022 FSC-klagomål.docx", "A 13658-2022")</f>
        <v/>
      </c>
      <c r="W344">
        <f>HYPERLINK("https://klasma.github.io/Logging_2283/klagomålsmail/A 13658-2022 FSC-klagomål mail.docx", "A 13658-2022")</f>
        <v/>
      </c>
      <c r="X344">
        <f>HYPERLINK("https://klasma.github.io/Logging_2283/tillsyn/A 13658-2022 tillsynsbegäran.docx", "A 13658-2022")</f>
        <v/>
      </c>
      <c r="Y344">
        <f>HYPERLINK("https://klasma.github.io/Logging_2283/tillsynsmail/A 13658-2022 tillsynsbegäran mail.docx", "A 13658-2022")</f>
        <v/>
      </c>
    </row>
    <row r="345" ht="15" customHeight="1">
      <c r="A345" t="inlineStr">
        <is>
          <t>A 18019-2022</t>
        </is>
      </c>
      <c r="B345" s="1" t="n">
        <v>44684</v>
      </c>
      <c r="C345" s="1" t="n">
        <v>45822</v>
      </c>
      <c r="D345" t="inlineStr">
        <is>
          <t>VÄSTERNORRLANDS LÄN</t>
        </is>
      </c>
      <c r="E345" t="inlineStr">
        <is>
          <t>SOLLEFTEÅ</t>
        </is>
      </c>
      <c r="F345" t="inlineStr">
        <is>
          <t>SCA</t>
        </is>
      </c>
      <c r="G345" t="n">
        <v>2.6</v>
      </c>
      <c r="H345" t="n">
        <v>0</v>
      </c>
      <c r="I345" t="n">
        <v>0</v>
      </c>
      <c r="J345" t="n">
        <v>2</v>
      </c>
      <c r="K345" t="n">
        <v>0</v>
      </c>
      <c r="L345" t="n">
        <v>0</v>
      </c>
      <c r="M345" t="n">
        <v>0</v>
      </c>
      <c r="N345" t="n">
        <v>0</v>
      </c>
      <c r="O345" t="n">
        <v>2</v>
      </c>
      <c r="P345" t="n">
        <v>0</v>
      </c>
      <c r="Q345" t="n">
        <v>2</v>
      </c>
      <c r="R345" s="2" t="inlineStr">
        <is>
          <t>Gammelgransskål
Ullticka</t>
        </is>
      </c>
      <c r="S345">
        <f>HYPERLINK("https://klasma.github.io/Logging_2283/artfynd/A 18019-2022 artfynd.xlsx", "A 18019-2022")</f>
        <v/>
      </c>
      <c r="T345">
        <f>HYPERLINK("https://klasma.github.io/Logging_2283/kartor/A 18019-2022 karta.png", "A 18019-2022")</f>
        <v/>
      </c>
      <c r="V345">
        <f>HYPERLINK("https://klasma.github.io/Logging_2283/klagomål/A 18019-2022 FSC-klagomål.docx", "A 18019-2022")</f>
        <v/>
      </c>
      <c r="W345">
        <f>HYPERLINK("https://klasma.github.io/Logging_2283/klagomålsmail/A 18019-2022 FSC-klagomål mail.docx", "A 18019-2022")</f>
        <v/>
      </c>
      <c r="X345">
        <f>HYPERLINK("https://klasma.github.io/Logging_2283/tillsyn/A 18019-2022 tillsynsbegäran.docx", "A 18019-2022")</f>
        <v/>
      </c>
      <c r="Y345">
        <f>HYPERLINK("https://klasma.github.io/Logging_2283/tillsynsmail/A 18019-2022 tillsynsbegäran mail.docx", "A 18019-2022")</f>
        <v/>
      </c>
    </row>
    <row r="346" ht="15" customHeight="1">
      <c r="A346" t="inlineStr">
        <is>
          <t>A 20956-2022</t>
        </is>
      </c>
      <c r="B346" s="1" t="n">
        <v>44701</v>
      </c>
      <c r="C346" s="1" t="n">
        <v>45822</v>
      </c>
      <c r="D346" t="inlineStr">
        <is>
          <t>VÄSTERNORRLANDS LÄN</t>
        </is>
      </c>
      <c r="E346" t="inlineStr">
        <is>
          <t>SOLLEFTEÅ</t>
        </is>
      </c>
      <c r="F346" t="inlineStr">
        <is>
          <t>SCA</t>
        </is>
      </c>
      <c r="G346" t="n">
        <v>2.5</v>
      </c>
      <c r="H346" t="n">
        <v>0</v>
      </c>
      <c r="I346" t="n">
        <v>0</v>
      </c>
      <c r="J346" t="n">
        <v>2</v>
      </c>
      <c r="K346" t="n">
        <v>0</v>
      </c>
      <c r="L346" t="n">
        <v>0</v>
      </c>
      <c r="M346" t="n">
        <v>0</v>
      </c>
      <c r="N346" t="n">
        <v>0</v>
      </c>
      <c r="O346" t="n">
        <v>2</v>
      </c>
      <c r="P346" t="n">
        <v>0</v>
      </c>
      <c r="Q346" t="n">
        <v>2</v>
      </c>
      <c r="R346" s="2" t="inlineStr">
        <is>
          <t>Kandelabersvamp
Stiftgelélav</t>
        </is>
      </c>
      <c r="S346">
        <f>HYPERLINK("https://klasma.github.io/Logging_2283/artfynd/A 20956-2022 artfynd.xlsx", "A 20956-2022")</f>
        <v/>
      </c>
      <c r="T346">
        <f>HYPERLINK("https://klasma.github.io/Logging_2283/kartor/A 20956-2022 karta.png", "A 20956-2022")</f>
        <v/>
      </c>
      <c r="V346">
        <f>HYPERLINK("https://klasma.github.io/Logging_2283/klagomål/A 20956-2022 FSC-klagomål.docx", "A 20956-2022")</f>
        <v/>
      </c>
      <c r="W346">
        <f>HYPERLINK("https://klasma.github.io/Logging_2283/klagomålsmail/A 20956-2022 FSC-klagomål mail.docx", "A 20956-2022")</f>
        <v/>
      </c>
      <c r="X346">
        <f>HYPERLINK("https://klasma.github.io/Logging_2283/tillsyn/A 20956-2022 tillsynsbegäran.docx", "A 20956-2022")</f>
        <v/>
      </c>
      <c r="Y346">
        <f>HYPERLINK("https://klasma.github.io/Logging_2283/tillsynsmail/A 20956-2022 tillsynsbegäran mail.docx", "A 20956-2022")</f>
        <v/>
      </c>
    </row>
    <row r="347" ht="15" customHeight="1">
      <c r="A347" t="inlineStr">
        <is>
          <t>A 24321-2022</t>
        </is>
      </c>
      <c r="B347" s="1" t="n">
        <v>44725</v>
      </c>
      <c r="C347" s="1" t="n">
        <v>45822</v>
      </c>
      <c r="D347" t="inlineStr">
        <is>
          <t>VÄSTERNORRLANDS LÄN</t>
        </is>
      </c>
      <c r="E347" t="inlineStr">
        <is>
          <t>SOLLEFTEÅ</t>
        </is>
      </c>
      <c r="F347" t="inlineStr">
        <is>
          <t>SCA</t>
        </is>
      </c>
      <c r="G347" t="n">
        <v>1.1</v>
      </c>
      <c r="H347" t="n">
        <v>1</v>
      </c>
      <c r="I347" t="n">
        <v>0</v>
      </c>
      <c r="J347" t="n">
        <v>1</v>
      </c>
      <c r="K347" t="n">
        <v>1</v>
      </c>
      <c r="L347" t="n">
        <v>0</v>
      </c>
      <c r="M347" t="n">
        <v>0</v>
      </c>
      <c r="N347" t="n">
        <v>0</v>
      </c>
      <c r="O347" t="n">
        <v>2</v>
      </c>
      <c r="P347" t="n">
        <v>1</v>
      </c>
      <c r="Q347" t="n">
        <v>2</v>
      </c>
      <c r="R347" s="2" t="inlineStr">
        <is>
          <t>Knärot
Garnlav</t>
        </is>
      </c>
      <c r="S347">
        <f>HYPERLINK("https://klasma.github.io/Logging_2283/artfynd/A 24321-2022 artfynd.xlsx", "A 24321-2022")</f>
        <v/>
      </c>
      <c r="T347">
        <f>HYPERLINK("https://klasma.github.io/Logging_2283/kartor/A 24321-2022 karta.png", "A 24321-2022")</f>
        <v/>
      </c>
      <c r="U347">
        <f>HYPERLINK("https://klasma.github.io/Logging_2283/knärot/A 24321-2022 karta knärot.png", "A 24321-2022")</f>
        <v/>
      </c>
      <c r="V347">
        <f>HYPERLINK("https://klasma.github.io/Logging_2283/klagomål/A 24321-2022 FSC-klagomål.docx", "A 24321-2022")</f>
        <v/>
      </c>
      <c r="W347">
        <f>HYPERLINK("https://klasma.github.io/Logging_2283/klagomålsmail/A 24321-2022 FSC-klagomål mail.docx", "A 24321-2022")</f>
        <v/>
      </c>
      <c r="X347">
        <f>HYPERLINK("https://klasma.github.io/Logging_2283/tillsyn/A 24321-2022 tillsynsbegäran.docx", "A 24321-2022")</f>
        <v/>
      </c>
      <c r="Y347">
        <f>HYPERLINK("https://klasma.github.io/Logging_2283/tillsynsmail/A 24321-2022 tillsynsbegäran mail.docx", "A 24321-2022")</f>
        <v/>
      </c>
    </row>
    <row r="348" ht="15" customHeight="1">
      <c r="A348" t="inlineStr">
        <is>
          <t>A 29549-2022</t>
        </is>
      </c>
      <c r="B348" s="1" t="n">
        <v>44753</v>
      </c>
      <c r="C348" s="1" t="n">
        <v>45822</v>
      </c>
      <c r="D348" t="inlineStr">
        <is>
          <t>VÄSTERNORRLANDS LÄN</t>
        </is>
      </c>
      <c r="E348" t="inlineStr">
        <is>
          <t>SOLLEFTEÅ</t>
        </is>
      </c>
      <c r="F348" t="inlineStr">
        <is>
          <t>SCA</t>
        </is>
      </c>
      <c r="G348" t="n">
        <v>36.7</v>
      </c>
      <c r="H348" t="n">
        <v>0</v>
      </c>
      <c r="I348" t="n">
        <v>0</v>
      </c>
      <c r="J348" t="n">
        <v>2</v>
      </c>
      <c r="K348" t="n">
        <v>0</v>
      </c>
      <c r="L348" t="n">
        <v>0</v>
      </c>
      <c r="M348" t="n">
        <v>0</v>
      </c>
      <c r="N348" t="n">
        <v>0</v>
      </c>
      <c r="O348" t="n">
        <v>2</v>
      </c>
      <c r="P348" t="n">
        <v>0</v>
      </c>
      <c r="Q348" t="n">
        <v>2</v>
      </c>
      <c r="R348" s="2" t="inlineStr">
        <is>
          <t>Kolflarnlav
Skrovlig taggsvamp</t>
        </is>
      </c>
      <c r="S348">
        <f>HYPERLINK("https://klasma.github.io/Logging_2283/artfynd/A 29549-2022 artfynd.xlsx", "A 29549-2022")</f>
        <v/>
      </c>
      <c r="T348">
        <f>HYPERLINK("https://klasma.github.io/Logging_2283/kartor/A 29549-2022 karta.png", "A 29549-2022")</f>
        <v/>
      </c>
      <c r="V348">
        <f>HYPERLINK("https://klasma.github.io/Logging_2283/klagomål/A 29549-2022 FSC-klagomål.docx", "A 29549-2022")</f>
        <v/>
      </c>
      <c r="W348">
        <f>HYPERLINK("https://klasma.github.io/Logging_2283/klagomålsmail/A 29549-2022 FSC-klagomål mail.docx", "A 29549-2022")</f>
        <v/>
      </c>
      <c r="X348">
        <f>HYPERLINK("https://klasma.github.io/Logging_2283/tillsyn/A 29549-2022 tillsynsbegäran.docx", "A 29549-2022")</f>
        <v/>
      </c>
      <c r="Y348">
        <f>HYPERLINK("https://klasma.github.io/Logging_2283/tillsynsmail/A 29549-2022 tillsynsbegäran mail.docx", "A 29549-2022")</f>
        <v/>
      </c>
    </row>
    <row r="349" ht="15" customHeight="1">
      <c r="A349" t="inlineStr">
        <is>
          <t>A 33087-2022</t>
        </is>
      </c>
      <c r="B349" s="1" t="n">
        <v>44785</v>
      </c>
      <c r="C349" s="1" t="n">
        <v>45822</v>
      </c>
      <c r="D349" t="inlineStr">
        <is>
          <t>VÄSTERNORRLANDS LÄN</t>
        </is>
      </c>
      <c r="E349" t="inlineStr">
        <is>
          <t>SOLLEFTEÅ</t>
        </is>
      </c>
      <c r="G349" t="n">
        <v>0.5</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33087-2022 artfynd.xlsx", "A 33087-2022")</f>
        <v/>
      </c>
      <c r="T349">
        <f>HYPERLINK("https://klasma.github.io/Logging_2283/kartor/A 33087-2022 karta.png", "A 33087-2022")</f>
        <v/>
      </c>
      <c r="V349">
        <f>HYPERLINK("https://klasma.github.io/Logging_2283/klagomål/A 33087-2022 FSC-klagomål.docx", "A 33087-2022")</f>
        <v/>
      </c>
      <c r="W349">
        <f>HYPERLINK("https://klasma.github.io/Logging_2283/klagomålsmail/A 33087-2022 FSC-klagomål mail.docx", "A 33087-2022")</f>
        <v/>
      </c>
      <c r="X349">
        <f>HYPERLINK("https://klasma.github.io/Logging_2283/tillsyn/A 33087-2022 tillsynsbegäran.docx", "A 33087-2022")</f>
        <v/>
      </c>
      <c r="Y349">
        <f>HYPERLINK("https://klasma.github.io/Logging_2283/tillsynsmail/A 33087-2022 tillsynsbegäran mail.docx", "A 33087-2022")</f>
        <v/>
      </c>
    </row>
    <row r="350" ht="15" customHeight="1">
      <c r="A350" t="inlineStr">
        <is>
          <t>A 34526-2022</t>
        </is>
      </c>
      <c r="B350" s="1" t="n">
        <v>44792</v>
      </c>
      <c r="C350" s="1" t="n">
        <v>45822</v>
      </c>
      <c r="D350" t="inlineStr">
        <is>
          <t>VÄSTERNORRLANDS LÄN</t>
        </is>
      </c>
      <c r="E350" t="inlineStr">
        <is>
          <t>SOLLEFTEÅ</t>
        </is>
      </c>
      <c r="F350" t="inlineStr">
        <is>
          <t>SCA</t>
        </is>
      </c>
      <c r="G350" t="n">
        <v>1.4</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34526-2022 artfynd.xlsx", "A 34526-2022")</f>
        <v/>
      </c>
      <c r="T350">
        <f>HYPERLINK("https://klasma.github.io/Logging_2283/kartor/A 34526-2022 karta.png", "A 34526-2022")</f>
        <v/>
      </c>
      <c r="V350">
        <f>HYPERLINK("https://klasma.github.io/Logging_2283/klagomål/A 34526-2022 FSC-klagomål.docx", "A 34526-2022")</f>
        <v/>
      </c>
      <c r="W350">
        <f>HYPERLINK("https://klasma.github.io/Logging_2283/klagomålsmail/A 34526-2022 FSC-klagomål mail.docx", "A 34526-2022")</f>
        <v/>
      </c>
      <c r="X350">
        <f>HYPERLINK("https://klasma.github.io/Logging_2283/tillsyn/A 34526-2022 tillsynsbegäran.docx", "A 34526-2022")</f>
        <v/>
      </c>
      <c r="Y350">
        <f>HYPERLINK("https://klasma.github.io/Logging_2283/tillsynsmail/A 34526-2022 tillsynsbegäran mail.docx", "A 34526-2022")</f>
        <v/>
      </c>
    </row>
    <row r="351" ht="15" customHeight="1">
      <c r="A351" t="inlineStr">
        <is>
          <t>A 37243-2022</t>
        </is>
      </c>
      <c r="B351" s="1" t="n">
        <v>44806</v>
      </c>
      <c r="C351" s="1" t="n">
        <v>45822</v>
      </c>
      <c r="D351" t="inlineStr">
        <is>
          <t>VÄSTERNORRLANDS LÄN</t>
        </is>
      </c>
      <c r="E351" t="inlineStr">
        <is>
          <t>SOLLEFTEÅ</t>
        </is>
      </c>
      <c r="F351" t="inlineStr">
        <is>
          <t>SCA</t>
        </is>
      </c>
      <c r="G351" t="n">
        <v>7.1</v>
      </c>
      <c r="H351" t="n">
        <v>0</v>
      </c>
      <c r="I351" t="n">
        <v>1</v>
      </c>
      <c r="J351" t="n">
        <v>1</v>
      </c>
      <c r="K351" t="n">
        <v>0</v>
      </c>
      <c r="L351" t="n">
        <v>0</v>
      </c>
      <c r="M351" t="n">
        <v>0</v>
      </c>
      <c r="N351" t="n">
        <v>0</v>
      </c>
      <c r="O351" t="n">
        <v>1</v>
      </c>
      <c r="P351" t="n">
        <v>0</v>
      </c>
      <c r="Q351" t="n">
        <v>2</v>
      </c>
      <c r="R351" s="2" t="inlineStr">
        <is>
          <t>Violettgrå tagellav
Dropptaggsvamp</t>
        </is>
      </c>
      <c r="S351">
        <f>HYPERLINK("https://klasma.github.io/Logging_2283/artfynd/A 37243-2022 artfynd.xlsx", "A 37243-2022")</f>
        <v/>
      </c>
      <c r="T351">
        <f>HYPERLINK("https://klasma.github.io/Logging_2283/kartor/A 37243-2022 karta.png", "A 37243-2022")</f>
        <v/>
      </c>
      <c r="V351">
        <f>HYPERLINK("https://klasma.github.io/Logging_2283/klagomål/A 37243-2022 FSC-klagomål.docx", "A 37243-2022")</f>
        <v/>
      </c>
      <c r="W351">
        <f>HYPERLINK("https://klasma.github.io/Logging_2283/klagomålsmail/A 37243-2022 FSC-klagomål mail.docx", "A 37243-2022")</f>
        <v/>
      </c>
      <c r="X351">
        <f>HYPERLINK("https://klasma.github.io/Logging_2283/tillsyn/A 37243-2022 tillsynsbegäran.docx", "A 37243-2022")</f>
        <v/>
      </c>
      <c r="Y351">
        <f>HYPERLINK("https://klasma.github.io/Logging_2283/tillsynsmail/A 37243-2022 tillsynsbegäran mail.docx", "A 37243-2022")</f>
        <v/>
      </c>
    </row>
    <row r="352" ht="15" customHeight="1">
      <c r="A352" t="inlineStr">
        <is>
          <t>A 45083-2022</t>
        </is>
      </c>
      <c r="B352" s="1" t="n">
        <v>44841</v>
      </c>
      <c r="C352" s="1" t="n">
        <v>45822</v>
      </c>
      <c r="D352" t="inlineStr">
        <is>
          <t>VÄSTERNORRLANDS LÄN</t>
        </is>
      </c>
      <c r="E352" t="inlineStr">
        <is>
          <t>SOLLEFTEÅ</t>
        </is>
      </c>
      <c r="F352" t="inlineStr">
        <is>
          <t>SCA</t>
        </is>
      </c>
      <c r="G352" t="n">
        <v>4.3</v>
      </c>
      <c r="H352" t="n">
        <v>2</v>
      </c>
      <c r="I352" t="n">
        <v>0</v>
      </c>
      <c r="J352" t="n">
        <v>1</v>
      </c>
      <c r="K352" t="n">
        <v>0</v>
      </c>
      <c r="L352" t="n">
        <v>0</v>
      </c>
      <c r="M352" t="n">
        <v>0</v>
      </c>
      <c r="N352" t="n">
        <v>0</v>
      </c>
      <c r="O352" t="n">
        <v>1</v>
      </c>
      <c r="P352" t="n">
        <v>0</v>
      </c>
      <c r="Q352" t="n">
        <v>2</v>
      </c>
      <c r="R352" s="2" t="inlineStr">
        <is>
          <t>Talltita
Blåsippa</t>
        </is>
      </c>
      <c r="S352">
        <f>HYPERLINK("https://klasma.github.io/Logging_2283/artfynd/A 45083-2022 artfynd.xlsx", "A 45083-2022")</f>
        <v/>
      </c>
      <c r="T352">
        <f>HYPERLINK("https://klasma.github.io/Logging_2283/kartor/A 45083-2022 karta.png", "A 45083-2022")</f>
        <v/>
      </c>
      <c r="V352">
        <f>HYPERLINK("https://klasma.github.io/Logging_2283/klagomål/A 45083-2022 FSC-klagomål.docx", "A 45083-2022")</f>
        <v/>
      </c>
      <c r="W352">
        <f>HYPERLINK("https://klasma.github.io/Logging_2283/klagomålsmail/A 45083-2022 FSC-klagomål mail.docx", "A 45083-2022")</f>
        <v/>
      </c>
      <c r="X352">
        <f>HYPERLINK("https://klasma.github.io/Logging_2283/tillsyn/A 45083-2022 tillsynsbegäran.docx", "A 45083-2022")</f>
        <v/>
      </c>
      <c r="Y352">
        <f>HYPERLINK("https://klasma.github.io/Logging_2283/tillsynsmail/A 45083-2022 tillsynsbegäran mail.docx", "A 45083-2022")</f>
        <v/>
      </c>
      <c r="Z352">
        <f>HYPERLINK("https://klasma.github.io/Logging_2283/fåglar/A 45083-2022 prioriterade fågelarter.docx", "A 45083-2022")</f>
        <v/>
      </c>
    </row>
    <row r="353" ht="15" customHeight="1">
      <c r="A353" t="inlineStr">
        <is>
          <t>A 46630-2022</t>
        </is>
      </c>
      <c r="B353" s="1" t="n">
        <v>44848</v>
      </c>
      <c r="C353" s="1" t="n">
        <v>45822</v>
      </c>
      <c r="D353" t="inlineStr">
        <is>
          <t>VÄSTERNORRLANDS LÄN</t>
        </is>
      </c>
      <c r="E353" t="inlineStr">
        <is>
          <t>SOLLEFTEÅ</t>
        </is>
      </c>
      <c r="F353" t="inlineStr">
        <is>
          <t>SCA</t>
        </is>
      </c>
      <c r="G353" t="n">
        <v>3.1</v>
      </c>
      <c r="H353" t="n">
        <v>2</v>
      </c>
      <c r="I353" t="n">
        <v>0</v>
      </c>
      <c r="J353" t="n">
        <v>1</v>
      </c>
      <c r="K353" t="n">
        <v>1</v>
      </c>
      <c r="L353" t="n">
        <v>0</v>
      </c>
      <c r="M353" t="n">
        <v>0</v>
      </c>
      <c r="N353" t="n">
        <v>0</v>
      </c>
      <c r="O353" t="n">
        <v>2</v>
      </c>
      <c r="P353" t="n">
        <v>1</v>
      </c>
      <c r="Q353" t="n">
        <v>2</v>
      </c>
      <c r="R353" s="2" t="inlineStr">
        <is>
          <t>Knärot
Tretåig hackspett</t>
        </is>
      </c>
      <c r="S353">
        <f>HYPERLINK("https://klasma.github.io/Logging_2283/artfynd/A 46630-2022 artfynd.xlsx", "A 46630-2022")</f>
        <v/>
      </c>
      <c r="T353">
        <f>HYPERLINK("https://klasma.github.io/Logging_2283/kartor/A 46630-2022 karta.png", "A 46630-2022")</f>
        <v/>
      </c>
      <c r="U353">
        <f>HYPERLINK("https://klasma.github.io/Logging_2283/knärot/A 46630-2022 karta knärot.png", "A 46630-2022")</f>
        <v/>
      </c>
      <c r="V353">
        <f>HYPERLINK("https://klasma.github.io/Logging_2283/klagomål/A 46630-2022 FSC-klagomål.docx", "A 46630-2022")</f>
        <v/>
      </c>
      <c r="W353">
        <f>HYPERLINK("https://klasma.github.io/Logging_2283/klagomålsmail/A 46630-2022 FSC-klagomål mail.docx", "A 46630-2022")</f>
        <v/>
      </c>
      <c r="X353">
        <f>HYPERLINK("https://klasma.github.io/Logging_2283/tillsyn/A 46630-2022 tillsynsbegäran.docx", "A 46630-2022")</f>
        <v/>
      </c>
      <c r="Y353">
        <f>HYPERLINK("https://klasma.github.io/Logging_2283/tillsynsmail/A 46630-2022 tillsynsbegäran mail.docx", "A 46630-2022")</f>
        <v/>
      </c>
      <c r="Z353">
        <f>HYPERLINK("https://klasma.github.io/Logging_2283/fåglar/A 46630-2022 prioriterade fågelarter.docx", "A 46630-2022")</f>
        <v/>
      </c>
    </row>
    <row r="354" ht="15" customHeight="1">
      <c r="A354" t="inlineStr">
        <is>
          <t>A 48073-2022</t>
        </is>
      </c>
      <c r="B354" s="1" t="n">
        <v>44855</v>
      </c>
      <c r="C354" s="1" t="n">
        <v>45822</v>
      </c>
      <c r="D354" t="inlineStr">
        <is>
          <t>VÄSTERNORRLANDS LÄN</t>
        </is>
      </c>
      <c r="E354" t="inlineStr">
        <is>
          <t>SOLLEFTEÅ</t>
        </is>
      </c>
      <c r="F354" t="inlineStr">
        <is>
          <t>SCA</t>
        </is>
      </c>
      <c r="G354" t="n">
        <v>4.3</v>
      </c>
      <c r="H354" t="n">
        <v>2</v>
      </c>
      <c r="I354" t="n">
        <v>0</v>
      </c>
      <c r="J354" t="n">
        <v>1</v>
      </c>
      <c r="K354" t="n">
        <v>0</v>
      </c>
      <c r="L354" t="n">
        <v>0</v>
      </c>
      <c r="M354" t="n">
        <v>0</v>
      </c>
      <c r="N354" t="n">
        <v>0</v>
      </c>
      <c r="O354" t="n">
        <v>1</v>
      </c>
      <c r="P354" t="n">
        <v>0</v>
      </c>
      <c r="Q354" t="n">
        <v>2</v>
      </c>
      <c r="R354" s="2" t="inlineStr">
        <is>
          <t>Talltita
Blåsippa</t>
        </is>
      </c>
      <c r="S354">
        <f>HYPERLINK("https://klasma.github.io/Logging_2283/artfynd/A 48073-2022 artfynd.xlsx", "A 48073-2022")</f>
        <v/>
      </c>
      <c r="T354">
        <f>HYPERLINK("https://klasma.github.io/Logging_2283/kartor/A 48073-2022 karta.png", "A 48073-2022")</f>
        <v/>
      </c>
      <c r="V354">
        <f>HYPERLINK("https://klasma.github.io/Logging_2283/klagomål/A 48073-2022 FSC-klagomål.docx", "A 48073-2022")</f>
        <v/>
      </c>
      <c r="W354">
        <f>HYPERLINK("https://klasma.github.io/Logging_2283/klagomålsmail/A 48073-2022 FSC-klagomål mail.docx", "A 48073-2022")</f>
        <v/>
      </c>
      <c r="X354">
        <f>HYPERLINK("https://klasma.github.io/Logging_2283/tillsyn/A 48073-2022 tillsynsbegäran.docx", "A 48073-2022")</f>
        <v/>
      </c>
      <c r="Y354">
        <f>HYPERLINK("https://klasma.github.io/Logging_2283/tillsynsmail/A 48073-2022 tillsynsbegäran mail.docx", "A 48073-2022")</f>
        <v/>
      </c>
      <c r="Z354">
        <f>HYPERLINK("https://klasma.github.io/Logging_2283/fåglar/A 48073-2022 prioriterade fågelarter.docx", "A 48073-2022")</f>
        <v/>
      </c>
    </row>
    <row r="355" ht="15" customHeight="1">
      <c r="A355" t="inlineStr">
        <is>
          <t>A 3017-2023</t>
        </is>
      </c>
      <c r="B355" s="1" t="n">
        <v>44945</v>
      </c>
      <c r="C355" s="1" t="n">
        <v>45822</v>
      </c>
      <c r="D355" t="inlineStr">
        <is>
          <t>VÄSTERNORRLANDS LÄN</t>
        </is>
      </c>
      <c r="E355" t="inlineStr">
        <is>
          <t>SOLLEFTEÅ</t>
        </is>
      </c>
      <c r="G355" t="n">
        <v>3.6</v>
      </c>
      <c r="H355" t="n">
        <v>0</v>
      </c>
      <c r="I355" t="n">
        <v>0</v>
      </c>
      <c r="J355" t="n">
        <v>2</v>
      </c>
      <c r="K355" t="n">
        <v>0</v>
      </c>
      <c r="L355" t="n">
        <v>0</v>
      </c>
      <c r="M355" t="n">
        <v>0</v>
      </c>
      <c r="N355" t="n">
        <v>0</v>
      </c>
      <c r="O355" t="n">
        <v>2</v>
      </c>
      <c r="P355" t="n">
        <v>0</v>
      </c>
      <c r="Q355" t="n">
        <v>2</v>
      </c>
      <c r="R355" s="2" t="inlineStr">
        <is>
          <t>Harticka
Ullticka</t>
        </is>
      </c>
      <c r="S355">
        <f>HYPERLINK("https://klasma.github.io/Logging_2283/artfynd/A 3017-2023 artfynd.xlsx", "A 3017-2023")</f>
        <v/>
      </c>
      <c r="T355">
        <f>HYPERLINK("https://klasma.github.io/Logging_2283/kartor/A 3017-2023 karta.png", "A 3017-2023")</f>
        <v/>
      </c>
      <c r="V355">
        <f>HYPERLINK("https://klasma.github.io/Logging_2283/klagomål/A 3017-2023 FSC-klagomål.docx", "A 3017-2023")</f>
        <v/>
      </c>
      <c r="W355">
        <f>HYPERLINK("https://klasma.github.io/Logging_2283/klagomålsmail/A 3017-2023 FSC-klagomål mail.docx", "A 3017-2023")</f>
        <v/>
      </c>
      <c r="X355">
        <f>HYPERLINK("https://klasma.github.io/Logging_2283/tillsyn/A 3017-2023 tillsynsbegäran.docx", "A 3017-2023")</f>
        <v/>
      </c>
      <c r="Y355">
        <f>HYPERLINK("https://klasma.github.io/Logging_2283/tillsynsmail/A 3017-2023 tillsynsbegäran mail.docx", "A 3017-2023")</f>
        <v/>
      </c>
    </row>
    <row r="356" ht="15" customHeight="1">
      <c r="A356" t="inlineStr">
        <is>
          <t>A 8669-2023</t>
        </is>
      </c>
      <c r="B356" s="1" t="n">
        <v>44977</v>
      </c>
      <c r="C356" s="1" t="n">
        <v>45822</v>
      </c>
      <c r="D356" t="inlineStr">
        <is>
          <t>VÄSTERNORRLANDS LÄN</t>
        </is>
      </c>
      <c r="E356" t="inlineStr">
        <is>
          <t>SOLLEFTEÅ</t>
        </is>
      </c>
      <c r="F356" t="inlineStr">
        <is>
          <t>SCA</t>
        </is>
      </c>
      <c r="G356" t="n">
        <v>2.3</v>
      </c>
      <c r="H356" t="n">
        <v>1</v>
      </c>
      <c r="I356" t="n">
        <v>1</v>
      </c>
      <c r="J356" t="n">
        <v>1</v>
      </c>
      <c r="K356" t="n">
        <v>0</v>
      </c>
      <c r="L356" t="n">
        <v>0</v>
      </c>
      <c r="M356" t="n">
        <v>0</v>
      </c>
      <c r="N356" t="n">
        <v>0</v>
      </c>
      <c r="O356" t="n">
        <v>1</v>
      </c>
      <c r="P356" t="n">
        <v>0</v>
      </c>
      <c r="Q356" t="n">
        <v>2</v>
      </c>
      <c r="R356" s="2" t="inlineStr">
        <is>
          <t>Garnlav
Lappranunkel</t>
        </is>
      </c>
      <c r="S356">
        <f>HYPERLINK("https://klasma.github.io/Logging_2283/artfynd/A 8669-2023 artfynd.xlsx", "A 8669-2023")</f>
        <v/>
      </c>
      <c r="T356">
        <f>HYPERLINK("https://klasma.github.io/Logging_2283/kartor/A 8669-2023 karta.png", "A 8669-2023")</f>
        <v/>
      </c>
      <c r="V356">
        <f>HYPERLINK("https://klasma.github.io/Logging_2283/klagomål/A 8669-2023 FSC-klagomål.docx", "A 8669-2023")</f>
        <v/>
      </c>
      <c r="W356">
        <f>HYPERLINK("https://klasma.github.io/Logging_2283/klagomålsmail/A 8669-2023 FSC-klagomål mail.docx", "A 8669-2023")</f>
        <v/>
      </c>
      <c r="X356">
        <f>HYPERLINK("https://klasma.github.io/Logging_2283/tillsyn/A 8669-2023 tillsynsbegäran.docx", "A 8669-2023")</f>
        <v/>
      </c>
      <c r="Y356">
        <f>HYPERLINK("https://klasma.github.io/Logging_2283/tillsynsmail/A 8669-2023 tillsynsbegäran mail.docx", "A 8669-2023")</f>
        <v/>
      </c>
    </row>
    <row r="357" ht="15" customHeight="1">
      <c r="A357" t="inlineStr">
        <is>
          <t>A 9363-2023</t>
        </is>
      </c>
      <c r="B357" s="1" t="n">
        <v>44980</v>
      </c>
      <c r="C357" s="1" t="n">
        <v>45822</v>
      </c>
      <c r="D357" t="inlineStr">
        <is>
          <t>VÄSTERNORRLANDS LÄN</t>
        </is>
      </c>
      <c r="E357" t="inlineStr">
        <is>
          <t>SOLLEFTEÅ</t>
        </is>
      </c>
      <c r="F357" t="inlineStr">
        <is>
          <t>SCA</t>
        </is>
      </c>
      <c r="G357" t="n">
        <v>4.7</v>
      </c>
      <c r="H357" t="n">
        <v>0</v>
      </c>
      <c r="I357" t="n">
        <v>0</v>
      </c>
      <c r="J357" t="n">
        <v>2</v>
      </c>
      <c r="K357" t="n">
        <v>0</v>
      </c>
      <c r="L357" t="n">
        <v>0</v>
      </c>
      <c r="M357" t="n">
        <v>0</v>
      </c>
      <c r="N357" t="n">
        <v>0</v>
      </c>
      <c r="O357" t="n">
        <v>2</v>
      </c>
      <c r="P357" t="n">
        <v>0</v>
      </c>
      <c r="Q357" t="n">
        <v>2</v>
      </c>
      <c r="R357" s="2" t="inlineStr">
        <is>
          <t>Garnlav
Vedskivlav</t>
        </is>
      </c>
      <c r="S357">
        <f>HYPERLINK("https://klasma.github.io/Logging_2283/artfynd/A 9363-2023 artfynd.xlsx", "A 9363-2023")</f>
        <v/>
      </c>
      <c r="T357">
        <f>HYPERLINK("https://klasma.github.io/Logging_2283/kartor/A 9363-2023 karta.png", "A 9363-2023")</f>
        <v/>
      </c>
      <c r="V357">
        <f>HYPERLINK("https://klasma.github.io/Logging_2283/klagomål/A 9363-2023 FSC-klagomål.docx", "A 9363-2023")</f>
        <v/>
      </c>
      <c r="W357">
        <f>HYPERLINK("https://klasma.github.io/Logging_2283/klagomålsmail/A 9363-2023 FSC-klagomål mail.docx", "A 9363-2023")</f>
        <v/>
      </c>
      <c r="X357">
        <f>HYPERLINK("https://klasma.github.io/Logging_2283/tillsyn/A 9363-2023 tillsynsbegäran.docx", "A 9363-2023")</f>
        <v/>
      </c>
      <c r="Y357">
        <f>HYPERLINK("https://klasma.github.io/Logging_2283/tillsynsmail/A 9363-2023 tillsynsbegäran mail.docx", "A 9363-2023")</f>
        <v/>
      </c>
    </row>
    <row r="358" ht="15" customHeight="1">
      <c r="A358" t="inlineStr">
        <is>
          <t>A 13000-2023</t>
        </is>
      </c>
      <c r="B358" s="1" t="n">
        <v>45002</v>
      </c>
      <c r="C358" s="1" t="n">
        <v>45822</v>
      </c>
      <c r="D358" t="inlineStr">
        <is>
          <t>VÄSTERNORRLANDS LÄN</t>
        </is>
      </c>
      <c r="E358" t="inlineStr">
        <is>
          <t>SOLLEFTEÅ</t>
        </is>
      </c>
      <c r="F358" t="inlineStr">
        <is>
          <t>SCA</t>
        </is>
      </c>
      <c r="G358" t="n">
        <v>93.5</v>
      </c>
      <c r="H358" t="n">
        <v>1</v>
      </c>
      <c r="I358" t="n">
        <v>0</v>
      </c>
      <c r="J358" t="n">
        <v>1</v>
      </c>
      <c r="K358" t="n">
        <v>0</v>
      </c>
      <c r="L358" t="n">
        <v>0</v>
      </c>
      <c r="M358" t="n">
        <v>0</v>
      </c>
      <c r="N358" t="n">
        <v>0</v>
      </c>
      <c r="O358" t="n">
        <v>1</v>
      </c>
      <c r="P358" t="n">
        <v>0</v>
      </c>
      <c r="Q358" t="n">
        <v>2</v>
      </c>
      <c r="R358" s="2" t="inlineStr">
        <is>
          <t>Månlåsbräken
Fläcknycklar</t>
        </is>
      </c>
      <c r="S358">
        <f>HYPERLINK("https://klasma.github.io/Logging_2283/artfynd/A 13000-2023 artfynd.xlsx", "A 13000-2023")</f>
        <v/>
      </c>
      <c r="T358">
        <f>HYPERLINK("https://klasma.github.io/Logging_2283/kartor/A 13000-2023 karta.png", "A 13000-2023")</f>
        <v/>
      </c>
      <c r="U358">
        <f>HYPERLINK("https://klasma.github.io/Logging_2283/knärot/A 13000-2023 karta knärot.png", "A 13000-2023")</f>
        <v/>
      </c>
      <c r="V358">
        <f>HYPERLINK("https://klasma.github.io/Logging_2283/klagomål/A 13000-2023 FSC-klagomål.docx", "A 13000-2023")</f>
        <v/>
      </c>
      <c r="W358">
        <f>HYPERLINK("https://klasma.github.io/Logging_2283/klagomålsmail/A 13000-2023 FSC-klagomål mail.docx", "A 13000-2023")</f>
        <v/>
      </c>
      <c r="X358">
        <f>HYPERLINK("https://klasma.github.io/Logging_2283/tillsyn/A 13000-2023 tillsynsbegäran.docx", "A 13000-2023")</f>
        <v/>
      </c>
      <c r="Y358">
        <f>HYPERLINK("https://klasma.github.io/Logging_2283/tillsynsmail/A 13000-2023 tillsynsbegäran mail.docx", "A 13000-2023")</f>
        <v/>
      </c>
    </row>
    <row r="359" ht="15" customHeight="1">
      <c r="A359" t="inlineStr">
        <is>
          <t>A 18781-2023</t>
        </is>
      </c>
      <c r="B359" s="1" t="n">
        <v>45043</v>
      </c>
      <c r="C359" s="1" t="n">
        <v>45822</v>
      </c>
      <c r="D359" t="inlineStr">
        <is>
          <t>VÄSTERNORRLANDS LÄN</t>
        </is>
      </c>
      <c r="E359" t="inlineStr">
        <is>
          <t>SOLLEFTEÅ</t>
        </is>
      </c>
      <c r="F359" t="inlineStr">
        <is>
          <t>SCA</t>
        </is>
      </c>
      <c r="G359" t="n">
        <v>5.3</v>
      </c>
      <c r="H359" t="n">
        <v>1</v>
      </c>
      <c r="I359" t="n">
        <v>0</v>
      </c>
      <c r="J359" t="n">
        <v>1</v>
      </c>
      <c r="K359" t="n">
        <v>0</v>
      </c>
      <c r="L359" t="n">
        <v>0</v>
      </c>
      <c r="M359" t="n">
        <v>0</v>
      </c>
      <c r="N359" t="n">
        <v>0</v>
      </c>
      <c r="O359" t="n">
        <v>1</v>
      </c>
      <c r="P359" t="n">
        <v>0</v>
      </c>
      <c r="Q359" t="n">
        <v>2</v>
      </c>
      <c r="R359" s="2" t="inlineStr">
        <is>
          <t>Lunglav
Tjäder</t>
        </is>
      </c>
      <c r="S359">
        <f>HYPERLINK("https://klasma.github.io/Logging_2283/artfynd/A 18781-2023 artfynd.xlsx", "A 18781-2023")</f>
        <v/>
      </c>
      <c r="T359">
        <f>HYPERLINK("https://klasma.github.io/Logging_2283/kartor/A 18781-2023 karta.png", "A 18781-2023")</f>
        <v/>
      </c>
      <c r="V359">
        <f>HYPERLINK("https://klasma.github.io/Logging_2283/klagomål/A 18781-2023 FSC-klagomål.docx", "A 18781-2023")</f>
        <v/>
      </c>
      <c r="W359">
        <f>HYPERLINK("https://klasma.github.io/Logging_2283/klagomålsmail/A 18781-2023 FSC-klagomål mail.docx", "A 18781-2023")</f>
        <v/>
      </c>
      <c r="X359">
        <f>HYPERLINK("https://klasma.github.io/Logging_2283/tillsyn/A 18781-2023 tillsynsbegäran.docx", "A 18781-2023")</f>
        <v/>
      </c>
      <c r="Y359">
        <f>HYPERLINK("https://klasma.github.io/Logging_2283/tillsynsmail/A 18781-2023 tillsynsbegäran mail.docx", "A 18781-2023")</f>
        <v/>
      </c>
      <c r="Z359">
        <f>HYPERLINK("https://klasma.github.io/Logging_2283/fåglar/A 18781-2023 prioriterade fågelarter.docx", "A 18781-2023")</f>
        <v/>
      </c>
    </row>
    <row r="360" ht="15" customHeight="1">
      <c r="A360" t="inlineStr">
        <is>
          <t>A 33036-2023</t>
        </is>
      </c>
      <c r="B360" s="1" t="n">
        <v>45125</v>
      </c>
      <c r="C360" s="1" t="n">
        <v>45822</v>
      </c>
      <c r="D360" t="inlineStr">
        <is>
          <t>VÄSTERNORRLANDS LÄN</t>
        </is>
      </c>
      <c r="E360" t="inlineStr">
        <is>
          <t>SOLLEFTEÅ</t>
        </is>
      </c>
      <c r="F360" t="inlineStr">
        <is>
          <t>SCA</t>
        </is>
      </c>
      <c r="G360" t="n">
        <v>12</v>
      </c>
      <c r="H360" t="n">
        <v>0</v>
      </c>
      <c r="I360" t="n">
        <v>1</v>
      </c>
      <c r="J360" t="n">
        <v>1</v>
      </c>
      <c r="K360" t="n">
        <v>0</v>
      </c>
      <c r="L360" t="n">
        <v>0</v>
      </c>
      <c r="M360" t="n">
        <v>0</v>
      </c>
      <c r="N360" t="n">
        <v>0</v>
      </c>
      <c r="O360" t="n">
        <v>1</v>
      </c>
      <c r="P360" t="n">
        <v>0</v>
      </c>
      <c r="Q360" t="n">
        <v>2</v>
      </c>
      <c r="R360" s="2" t="inlineStr">
        <is>
          <t>Småflikig brosklav
Stuplav</t>
        </is>
      </c>
      <c r="S360">
        <f>HYPERLINK("https://klasma.github.io/Logging_2283/artfynd/A 33036-2023 artfynd.xlsx", "A 33036-2023")</f>
        <v/>
      </c>
      <c r="T360">
        <f>HYPERLINK("https://klasma.github.io/Logging_2283/kartor/A 33036-2023 karta.png", "A 33036-2023")</f>
        <v/>
      </c>
      <c r="V360">
        <f>HYPERLINK("https://klasma.github.io/Logging_2283/klagomål/A 33036-2023 FSC-klagomål.docx", "A 33036-2023")</f>
        <v/>
      </c>
      <c r="W360">
        <f>HYPERLINK("https://klasma.github.io/Logging_2283/klagomålsmail/A 33036-2023 FSC-klagomål mail.docx", "A 33036-2023")</f>
        <v/>
      </c>
      <c r="X360">
        <f>HYPERLINK("https://klasma.github.io/Logging_2283/tillsyn/A 33036-2023 tillsynsbegäran.docx", "A 33036-2023")</f>
        <v/>
      </c>
      <c r="Y360">
        <f>HYPERLINK("https://klasma.github.io/Logging_2283/tillsynsmail/A 33036-2023 tillsynsbegäran mail.docx", "A 33036-2023")</f>
        <v/>
      </c>
    </row>
    <row r="361" ht="15" customHeight="1">
      <c r="A361" t="inlineStr">
        <is>
          <t>A 35587-2023</t>
        </is>
      </c>
      <c r="B361" s="1" t="n">
        <v>45147</v>
      </c>
      <c r="C361" s="1" t="n">
        <v>45822</v>
      </c>
      <c r="D361" t="inlineStr">
        <is>
          <t>VÄSTERNORRLANDS LÄN</t>
        </is>
      </c>
      <c r="E361" t="inlineStr">
        <is>
          <t>SOLLEFTEÅ</t>
        </is>
      </c>
      <c r="F361" t="inlineStr">
        <is>
          <t>Holmen skog AB</t>
        </is>
      </c>
      <c r="G361" t="n">
        <v>5.1</v>
      </c>
      <c r="H361" t="n">
        <v>0</v>
      </c>
      <c r="I361" t="n">
        <v>1</v>
      </c>
      <c r="J361" t="n">
        <v>0</v>
      </c>
      <c r="K361" t="n">
        <v>1</v>
      </c>
      <c r="L361" t="n">
        <v>0</v>
      </c>
      <c r="M361" t="n">
        <v>0</v>
      </c>
      <c r="N361" t="n">
        <v>0</v>
      </c>
      <c r="O361" t="n">
        <v>1</v>
      </c>
      <c r="P361" t="n">
        <v>1</v>
      </c>
      <c r="Q361" t="n">
        <v>2</v>
      </c>
      <c r="R361" s="2" t="inlineStr">
        <is>
          <t>Fläckporing
Dropptaggsvamp</t>
        </is>
      </c>
      <c r="S361">
        <f>HYPERLINK("https://klasma.github.io/Logging_2283/artfynd/A 35587-2023 artfynd.xlsx", "A 35587-2023")</f>
        <v/>
      </c>
      <c r="T361">
        <f>HYPERLINK("https://klasma.github.io/Logging_2283/kartor/A 35587-2023 karta.png", "A 35587-2023")</f>
        <v/>
      </c>
      <c r="V361">
        <f>HYPERLINK("https://klasma.github.io/Logging_2283/klagomål/A 35587-2023 FSC-klagomål.docx", "A 35587-2023")</f>
        <v/>
      </c>
      <c r="W361">
        <f>HYPERLINK("https://klasma.github.io/Logging_2283/klagomålsmail/A 35587-2023 FSC-klagomål mail.docx", "A 35587-2023")</f>
        <v/>
      </c>
      <c r="X361">
        <f>HYPERLINK("https://klasma.github.io/Logging_2283/tillsyn/A 35587-2023 tillsynsbegäran.docx", "A 35587-2023")</f>
        <v/>
      </c>
      <c r="Y361">
        <f>HYPERLINK("https://klasma.github.io/Logging_2283/tillsynsmail/A 35587-2023 tillsynsbegäran mail.docx", "A 35587-2023")</f>
        <v/>
      </c>
    </row>
    <row r="362" ht="15" customHeight="1">
      <c r="A362" t="inlineStr">
        <is>
          <t>A 40419-2023</t>
        </is>
      </c>
      <c r="B362" s="1" t="n">
        <v>45169</v>
      </c>
      <c r="C362" s="1" t="n">
        <v>45822</v>
      </c>
      <c r="D362" t="inlineStr">
        <is>
          <t>VÄSTERNORRLANDS LÄN</t>
        </is>
      </c>
      <c r="E362" t="inlineStr">
        <is>
          <t>SOLLEFTEÅ</t>
        </is>
      </c>
      <c r="F362" t="inlineStr">
        <is>
          <t>SCA</t>
        </is>
      </c>
      <c r="G362" t="n">
        <v>7.9</v>
      </c>
      <c r="H362" t="n">
        <v>1</v>
      </c>
      <c r="I362" t="n">
        <v>0</v>
      </c>
      <c r="J362" t="n">
        <v>1</v>
      </c>
      <c r="K362" t="n">
        <v>1</v>
      </c>
      <c r="L362" t="n">
        <v>0</v>
      </c>
      <c r="M362" t="n">
        <v>0</v>
      </c>
      <c r="N362" t="n">
        <v>0</v>
      </c>
      <c r="O362" t="n">
        <v>2</v>
      </c>
      <c r="P362" t="n">
        <v>1</v>
      </c>
      <c r="Q362" t="n">
        <v>2</v>
      </c>
      <c r="R362" s="2" t="inlineStr">
        <is>
          <t>Knärot
Lunglav</t>
        </is>
      </c>
      <c r="S362">
        <f>HYPERLINK("https://klasma.github.io/Logging_2283/artfynd/A 40419-2023 artfynd.xlsx", "A 40419-2023")</f>
        <v/>
      </c>
      <c r="T362">
        <f>HYPERLINK("https://klasma.github.io/Logging_2283/kartor/A 40419-2023 karta.png", "A 40419-2023")</f>
        <v/>
      </c>
      <c r="U362">
        <f>HYPERLINK("https://klasma.github.io/Logging_2283/knärot/A 40419-2023 karta knärot.png", "A 40419-2023")</f>
        <v/>
      </c>
      <c r="V362">
        <f>HYPERLINK("https://klasma.github.io/Logging_2283/klagomål/A 40419-2023 FSC-klagomål.docx", "A 40419-2023")</f>
        <v/>
      </c>
      <c r="W362">
        <f>HYPERLINK("https://klasma.github.io/Logging_2283/klagomålsmail/A 40419-2023 FSC-klagomål mail.docx", "A 40419-2023")</f>
        <v/>
      </c>
      <c r="X362">
        <f>HYPERLINK("https://klasma.github.io/Logging_2283/tillsyn/A 40419-2023 tillsynsbegäran.docx", "A 40419-2023")</f>
        <v/>
      </c>
      <c r="Y362">
        <f>HYPERLINK("https://klasma.github.io/Logging_2283/tillsynsmail/A 40419-2023 tillsynsbegäran mail.docx", "A 40419-2023")</f>
        <v/>
      </c>
    </row>
    <row r="363" ht="15" customHeight="1">
      <c r="A363" t="inlineStr">
        <is>
          <t>A 45016-2023</t>
        </is>
      </c>
      <c r="B363" s="1" t="n">
        <v>45191</v>
      </c>
      <c r="C363" s="1" t="n">
        <v>45822</v>
      </c>
      <c r="D363" t="inlineStr">
        <is>
          <t>VÄSTERNORRLANDS LÄN</t>
        </is>
      </c>
      <c r="E363" t="inlineStr">
        <is>
          <t>SOLLEFTEÅ</t>
        </is>
      </c>
      <c r="F363" t="inlineStr">
        <is>
          <t>SCA</t>
        </is>
      </c>
      <c r="G363" t="n">
        <v>1.5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45016-2023 artfynd.xlsx", "A 45016-2023")</f>
        <v/>
      </c>
      <c r="T363">
        <f>HYPERLINK("https://klasma.github.io/Logging_2283/kartor/A 45016-2023 karta.png", "A 45016-2023")</f>
        <v/>
      </c>
      <c r="V363">
        <f>HYPERLINK("https://klasma.github.io/Logging_2283/klagomål/A 45016-2023 FSC-klagomål.docx", "A 45016-2023")</f>
        <v/>
      </c>
      <c r="W363">
        <f>HYPERLINK("https://klasma.github.io/Logging_2283/klagomålsmail/A 45016-2023 FSC-klagomål mail.docx", "A 45016-2023")</f>
        <v/>
      </c>
      <c r="X363">
        <f>HYPERLINK("https://klasma.github.io/Logging_2283/tillsyn/A 45016-2023 tillsynsbegäran.docx", "A 45016-2023")</f>
        <v/>
      </c>
      <c r="Y363">
        <f>HYPERLINK("https://klasma.github.io/Logging_2283/tillsynsmail/A 45016-2023 tillsynsbegäran mail.docx", "A 45016-2023")</f>
        <v/>
      </c>
    </row>
    <row r="364" ht="15" customHeight="1">
      <c r="A364" t="inlineStr">
        <is>
          <t>A 48489-2023</t>
        </is>
      </c>
      <c r="B364" s="1" t="n">
        <v>45206</v>
      </c>
      <c r="C364" s="1" t="n">
        <v>45822</v>
      </c>
      <c r="D364" t="inlineStr">
        <is>
          <t>VÄSTERNORRLANDS LÄN</t>
        </is>
      </c>
      <c r="E364" t="inlineStr">
        <is>
          <t>SOLLEFTEÅ</t>
        </is>
      </c>
      <c r="F364" t="inlineStr">
        <is>
          <t>SCA</t>
        </is>
      </c>
      <c r="G364" t="n">
        <v>51.8</v>
      </c>
      <c r="H364" t="n">
        <v>2</v>
      </c>
      <c r="I364" t="n">
        <v>0</v>
      </c>
      <c r="J364" t="n">
        <v>2</v>
      </c>
      <c r="K364" t="n">
        <v>0</v>
      </c>
      <c r="L364" t="n">
        <v>0</v>
      </c>
      <c r="M364" t="n">
        <v>0</v>
      </c>
      <c r="N364" t="n">
        <v>0</v>
      </c>
      <c r="O364" t="n">
        <v>2</v>
      </c>
      <c r="P364" t="n">
        <v>0</v>
      </c>
      <c r="Q364" t="n">
        <v>2</v>
      </c>
      <c r="R364" s="2" t="inlineStr">
        <is>
          <t>Spillkråka
Talltita</t>
        </is>
      </c>
      <c r="S364">
        <f>HYPERLINK("https://klasma.github.io/Logging_2283/artfynd/A 48489-2023 artfynd.xlsx", "A 48489-2023")</f>
        <v/>
      </c>
      <c r="T364">
        <f>HYPERLINK("https://klasma.github.io/Logging_2283/kartor/A 48489-2023 karta.png", "A 48489-2023")</f>
        <v/>
      </c>
      <c r="V364">
        <f>HYPERLINK("https://klasma.github.io/Logging_2283/klagomål/A 48489-2023 FSC-klagomål.docx", "A 48489-2023")</f>
        <v/>
      </c>
      <c r="W364">
        <f>HYPERLINK("https://klasma.github.io/Logging_2283/klagomålsmail/A 48489-2023 FSC-klagomål mail.docx", "A 48489-2023")</f>
        <v/>
      </c>
      <c r="X364">
        <f>HYPERLINK("https://klasma.github.io/Logging_2283/tillsyn/A 48489-2023 tillsynsbegäran.docx", "A 48489-2023")</f>
        <v/>
      </c>
      <c r="Y364">
        <f>HYPERLINK("https://klasma.github.io/Logging_2283/tillsynsmail/A 48489-2023 tillsynsbegäran mail.docx", "A 48489-2023")</f>
        <v/>
      </c>
      <c r="Z364">
        <f>HYPERLINK("https://klasma.github.io/Logging_2283/fåglar/A 48489-2023 prioriterade fågelarter.docx", "A 48489-2023")</f>
        <v/>
      </c>
    </row>
    <row r="365" ht="15" customHeight="1">
      <c r="A365" t="inlineStr">
        <is>
          <t>A 53949-2023</t>
        </is>
      </c>
      <c r="B365" s="1" t="n">
        <v>45224</v>
      </c>
      <c r="C365" s="1" t="n">
        <v>45822</v>
      </c>
      <c r="D365" t="inlineStr">
        <is>
          <t>VÄSTERNORRLANDS LÄN</t>
        </is>
      </c>
      <c r="E365" t="inlineStr">
        <is>
          <t>SOLLEFTEÅ</t>
        </is>
      </c>
      <c r="G365" t="n">
        <v>4</v>
      </c>
      <c r="H365" t="n">
        <v>1</v>
      </c>
      <c r="I365" t="n">
        <v>0</v>
      </c>
      <c r="J365" t="n">
        <v>1</v>
      </c>
      <c r="K365" t="n">
        <v>0</v>
      </c>
      <c r="L365" t="n">
        <v>0</v>
      </c>
      <c r="M365" t="n">
        <v>0</v>
      </c>
      <c r="N365" t="n">
        <v>0</v>
      </c>
      <c r="O365" t="n">
        <v>1</v>
      </c>
      <c r="P365" t="n">
        <v>0</v>
      </c>
      <c r="Q365" t="n">
        <v>2</v>
      </c>
      <c r="R365" s="2" t="inlineStr">
        <is>
          <t>Granticka
Fläcknycklar</t>
        </is>
      </c>
      <c r="S365">
        <f>HYPERLINK("https://klasma.github.io/Logging_2283/artfynd/A 53949-2023 artfynd.xlsx", "A 53949-2023")</f>
        <v/>
      </c>
      <c r="T365">
        <f>HYPERLINK("https://klasma.github.io/Logging_2283/kartor/A 53949-2023 karta.png", "A 53949-2023")</f>
        <v/>
      </c>
      <c r="V365">
        <f>HYPERLINK("https://klasma.github.io/Logging_2283/klagomål/A 53949-2023 FSC-klagomål.docx", "A 53949-2023")</f>
        <v/>
      </c>
      <c r="W365">
        <f>HYPERLINK("https://klasma.github.io/Logging_2283/klagomålsmail/A 53949-2023 FSC-klagomål mail.docx", "A 53949-2023")</f>
        <v/>
      </c>
      <c r="X365">
        <f>HYPERLINK("https://klasma.github.io/Logging_2283/tillsyn/A 53949-2023 tillsynsbegäran.docx", "A 53949-2023")</f>
        <v/>
      </c>
      <c r="Y365">
        <f>HYPERLINK("https://klasma.github.io/Logging_2283/tillsynsmail/A 53949-2023 tillsynsbegäran mail.docx", "A 53949-2023")</f>
        <v/>
      </c>
    </row>
    <row r="366" ht="15" customHeight="1">
      <c r="A366" t="inlineStr">
        <is>
          <t>A 58827-2023</t>
        </is>
      </c>
      <c r="B366" s="1" t="n">
        <v>45247</v>
      </c>
      <c r="C366" s="1" t="n">
        <v>45822</v>
      </c>
      <c r="D366" t="inlineStr">
        <is>
          <t>VÄSTERNORRLANDS LÄN</t>
        </is>
      </c>
      <c r="E366" t="inlineStr">
        <is>
          <t>SOLLEFTEÅ</t>
        </is>
      </c>
      <c r="G366" t="n">
        <v>2.2</v>
      </c>
      <c r="H366" t="n">
        <v>1</v>
      </c>
      <c r="I366" t="n">
        <v>0</v>
      </c>
      <c r="J366" t="n">
        <v>1</v>
      </c>
      <c r="K366" t="n">
        <v>0</v>
      </c>
      <c r="L366" t="n">
        <v>0</v>
      </c>
      <c r="M366" t="n">
        <v>0</v>
      </c>
      <c r="N366" t="n">
        <v>0</v>
      </c>
      <c r="O366" t="n">
        <v>1</v>
      </c>
      <c r="P366" t="n">
        <v>0</v>
      </c>
      <c r="Q366" t="n">
        <v>2</v>
      </c>
      <c r="R366" s="2" t="inlineStr">
        <is>
          <t>Garnlav
Mattlummer</t>
        </is>
      </c>
      <c r="S366">
        <f>HYPERLINK("https://klasma.github.io/Logging_2283/artfynd/A 58827-2023 artfynd.xlsx", "A 58827-2023")</f>
        <v/>
      </c>
      <c r="T366">
        <f>HYPERLINK("https://klasma.github.io/Logging_2283/kartor/A 58827-2023 karta.png", "A 58827-2023")</f>
        <v/>
      </c>
      <c r="V366">
        <f>HYPERLINK("https://klasma.github.io/Logging_2283/klagomål/A 58827-2023 FSC-klagomål.docx", "A 58827-2023")</f>
        <v/>
      </c>
      <c r="W366">
        <f>HYPERLINK("https://klasma.github.io/Logging_2283/klagomålsmail/A 58827-2023 FSC-klagomål mail.docx", "A 58827-2023")</f>
        <v/>
      </c>
      <c r="X366">
        <f>HYPERLINK("https://klasma.github.io/Logging_2283/tillsyn/A 58827-2023 tillsynsbegäran.docx", "A 58827-2023")</f>
        <v/>
      </c>
      <c r="Y366">
        <f>HYPERLINK("https://klasma.github.io/Logging_2283/tillsynsmail/A 58827-2023 tillsynsbegäran mail.docx", "A 58827-2023")</f>
        <v/>
      </c>
    </row>
    <row r="367" ht="15" customHeight="1">
      <c r="A367" t="inlineStr">
        <is>
          <t>A 2515-2024</t>
        </is>
      </c>
      <c r="B367" s="1" t="n">
        <v>45313</v>
      </c>
      <c r="C367" s="1" t="n">
        <v>45822</v>
      </c>
      <c r="D367" t="inlineStr">
        <is>
          <t>VÄSTERNORRLANDS LÄN</t>
        </is>
      </c>
      <c r="E367" t="inlineStr">
        <is>
          <t>SOLLEFTEÅ</t>
        </is>
      </c>
      <c r="F367" t="inlineStr">
        <is>
          <t>Kommuner</t>
        </is>
      </c>
      <c r="G367" t="n">
        <v>8.699999999999999</v>
      </c>
      <c r="H367" t="n">
        <v>1</v>
      </c>
      <c r="I367" t="n">
        <v>0</v>
      </c>
      <c r="J367" t="n">
        <v>2</v>
      </c>
      <c r="K367" t="n">
        <v>0</v>
      </c>
      <c r="L367" t="n">
        <v>0</v>
      </c>
      <c r="M367" t="n">
        <v>0</v>
      </c>
      <c r="N367" t="n">
        <v>0</v>
      </c>
      <c r="O367" t="n">
        <v>2</v>
      </c>
      <c r="P367" t="n">
        <v>0</v>
      </c>
      <c r="Q367" t="n">
        <v>2</v>
      </c>
      <c r="R367" s="2" t="inlineStr">
        <is>
          <t>Granticka
Talltita</t>
        </is>
      </c>
      <c r="S367">
        <f>HYPERLINK("https://klasma.github.io/Logging_2283/artfynd/A 2515-2024 artfynd.xlsx", "A 2515-2024")</f>
        <v/>
      </c>
      <c r="T367">
        <f>HYPERLINK("https://klasma.github.io/Logging_2283/kartor/A 2515-2024 karta.png", "A 2515-2024")</f>
        <v/>
      </c>
      <c r="V367">
        <f>HYPERLINK("https://klasma.github.io/Logging_2283/klagomål/A 2515-2024 FSC-klagomål.docx", "A 2515-2024")</f>
        <v/>
      </c>
      <c r="W367">
        <f>HYPERLINK("https://klasma.github.io/Logging_2283/klagomålsmail/A 2515-2024 FSC-klagomål mail.docx", "A 2515-2024")</f>
        <v/>
      </c>
      <c r="X367">
        <f>HYPERLINK("https://klasma.github.io/Logging_2283/tillsyn/A 2515-2024 tillsynsbegäran.docx", "A 2515-2024")</f>
        <v/>
      </c>
      <c r="Y367">
        <f>HYPERLINK("https://klasma.github.io/Logging_2283/tillsynsmail/A 2515-2024 tillsynsbegäran mail.docx", "A 2515-2024")</f>
        <v/>
      </c>
      <c r="Z367">
        <f>HYPERLINK("https://klasma.github.io/Logging_2283/fåglar/A 2515-2024 prioriterade fågelarter.docx", "A 2515-2024")</f>
        <v/>
      </c>
    </row>
    <row r="368" ht="15" customHeight="1">
      <c r="A368" t="inlineStr">
        <is>
          <t>A 6698-2024</t>
        </is>
      </c>
      <c r="B368" s="1" t="n">
        <v>45341</v>
      </c>
      <c r="C368" s="1" t="n">
        <v>45822</v>
      </c>
      <c r="D368" t="inlineStr">
        <is>
          <t>VÄSTERNORRLANDS LÄN</t>
        </is>
      </c>
      <c r="E368" t="inlineStr">
        <is>
          <t>SOLLEFTEÅ</t>
        </is>
      </c>
      <c r="F368" t="inlineStr">
        <is>
          <t>SCA</t>
        </is>
      </c>
      <c r="G368" t="n">
        <v>3</v>
      </c>
      <c r="H368" t="n">
        <v>0</v>
      </c>
      <c r="I368" t="n">
        <v>0</v>
      </c>
      <c r="J368" t="n">
        <v>2</v>
      </c>
      <c r="K368" t="n">
        <v>0</v>
      </c>
      <c r="L368" t="n">
        <v>0</v>
      </c>
      <c r="M368" t="n">
        <v>0</v>
      </c>
      <c r="N368" t="n">
        <v>0</v>
      </c>
      <c r="O368" t="n">
        <v>2</v>
      </c>
      <c r="P368" t="n">
        <v>0</v>
      </c>
      <c r="Q368" t="n">
        <v>2</v>
      </c>
      <c r="R368" s="2" t="inlineStr">
        <is>
          <t>Granticka
Harticka</t>
        </is>
      </c>
      <c r="S368">
        <f>HYPERLINK("https://klasma.github.io/Logging_2283/artfynd/A 6698-2024 artfynd.xlsx", "A 6698-2024")</f>
        <v/>
      </c>
      <c r="T368">
        <f>HYPERLINK("https://klasma.github.io/Logging_2283/kartor/A 6698-2024 karta.png", "A 6698-2024")</f>
        <v/>
      </c>
      <c r="V368">
        <f>HYPERLINK("https://klasma.github.io/Logging_2283/klagomål/A 6698-2024 FSC-klagomål.docx", "A 6698-2024")</f>
        <v/>
      </c>
      <c r="W368">
        <f>HYPERLINK("https://klasma.github.io/Logging_2283/klagomålsmail/A 6698-2024 FSC-klagomål mail.docx", "A 6698-2024")</f>
        <v/>
      </c>
      <c r="X368">
        <f>HYPERLINK("https://klasma.github.io/Logging_2283/tillsyn/A 6698-2024 tillsynsbegäran.docx", "A 6698-2024")</f>
        <v/>
      </c>
      <c r="Y368">
        <f>HYPERLINK("https://klasma.github.io/Logging_2283/tillsynsmail/A 6698-2024 tillsynsbegäran mail.docx", "A 6698-2024")</f>
        <v/>
      </c>
    </row>
    <row r="369" ht="15" customHeight="1">
      <c r="A369" t="inlineStr">
        <is>
          <t>A 7108-2024</t>
        </is>
      </c>
      <c r="B369" s="1" t="n">
        <v>45343</v>
      </c>
      <c r="C369" s="1" t="n">
        <v>45822</v>
      </c>
      <c r="D369" t="inlineStr">
        <is>
          <t>VÄSTERNORRLANDS LÄN</t>
        </is>
      </c>
      <c r="E369" t="inlineStr">
        <is>
          <t>SOLLEFTEÅ</t>
        </is>
      </c>
      <c r="F369" t="inlineStr">
        <is>
          <t>SCA</t>
        </is>
      </c>
      <c r="G369" t="n">
        <v>3.8</v>
      </c>
      <c r="H369" t="n">
        <v>2</v>
      </c>
      <c r="I369" t="n">
        <v>0</v>
      </c>
      <c r="J369" t="n">
        <v>1</v>
      </c>
      <c r="K369" t="n">
        <v>0</v>
      </c>
      <c r="L369" t="n">
        <v>0</v>
      </c>
      <c r="M369" t="n">
        <v>0</v>
      </c>
      <c r="N369" t="n">
        <v>0</v>
      </c>
      <c r="O369" t="n">
        <v>1</v>
      </c>
      <c r="P369" t="n">
        <v>0</v>
      </c>
      <c r="Q369" t="n">
        <v>2</v>
      </c>
      <c r="R369" s="2" t="inlineStr">
        <is>
          <t>Nordfladdermus
Vattenfladdermus</t>
        </is>
      </c>
      <c r="S369">
        <f>HYPERLINK("https://klasma.github.io/Logging_2283/artfynd/A 7108-2024 artfynd.xlsx", "A 7108-2024")</f>
        <v/>
      </c>
      <c r="T369">
        <f>HYPERLINK("https://klasma.github.io/Logging_2283/kartor/A 7108-2024 karta.png", "A 7108-2024")</f>
        <v/>
      </c>
      <c r="V369">
        <f>HYPERLINK("https://klasma.github.io/Logging_2283/klagomål/A 7108-2024 FSC-klagomål.docx", "A 7108-2024")</f>
        <v/>
      </c>
      <c r="W369">
        <f>HYPERLINK("https://klasma.github.io/Logging_2283/klagomålsmail/A 7108-2024 FSC-klagomål mail.docx", "A 7108-2024")</f>
        <v/>
      </c>
      <c r="X369">
        <f>HYPERLINK("https://klasma.github.io/Logging_2283/tillsyn/A 7108-2024 tillsynsbegäran.docx", "A 7108-2024")</f>
        <v/>
      </c>
      <c r="Y369">
        <f>HYPERLINK("https://klasma.github.io/Logging_2283/tillsynsmail/A 7108-2024 tillsynsbegäran mail.docx", "A 7108-2024")</f>
        <v/>
      </c>
    </row>
    <row r="370" ht="15" customHeight="1">
      <c r="A370" t="inlineStr">
        <is>
          <t>A 7109-2024</t>
        </is>
      </c>
      <c r="B370" s="1" t="n">
        <v>45343</v>
      </c>
      <c r="C370" s="1" t="n">
        <v>45822</v>
      </c>
      <c r="D370" t="inlineStr">
        <is>
          <t>VÄSTERNORRLANDS LÄN</t>
        </is>
      </c>
      <c r="E370" t="inlineStr">
        <is>
          <t>SOLLEFTEÅ</t>
        </is>
      </c>
      <c r="F370" t="inlineStr">
        <is>
          <t>SCA</t>
        </is>
      </c>
      <c r="G370" t="n">
        <v>11</v>
      </c>
      <c r="H370" t="n">
        <v>1</v>
      </c>
      <c r="I370" t="n">
        <v>0</v>
      </c>
      <c r="J370" t="n">
        <v>2</v>
      </c>
      <c r="K370" t="n">
        <v>0</v>
      </c>
      <c r="L370" t="n">
        <v>0</v>
      </c>
      <c r="M370" t="n">
        <v>0</v>
      </c>
      <c r="N370" t="n">
        <v>0</v>
      </c>
      <c r="O370" t="n">
        <v>2</v>
      </c>
      <c r="P370" t="n">
        <v>0</v>
      </c>
      <c r="Q370" t="n">
        <v>2</v>
      </c>
      <c r="R370" s="2" t="inlineStr">
        <is>
          <t>Garnlav
Tretåig hackspett</t>
        </is>
      </c>
      <c r="S370">
        <f>HYPERLINK("https://klasma.github.io/Logging_2283/artfynd/A 7109-2024 artfynd.xlsx", "A 7109-2024")</f>
        <v/>
      </c>
      <c r="T370">
        <f>HYPERLINK("https://klasma.github.io/Logging_2283/kartor/A 7109-2024 karta.png", "A 7109-2024")</f>
        <v/>
      </c>
      <c r="V370">
        <f>HYPERLINK("https://klasma.github.io/Logging_2283/klagomål/A 7109-2024 FSC-klagomål.docx", "A 7109-2024")</f>
        <v/>
      </c>
      <c r="W370">
        <f>HYPERLINK("https://klasma.github.io/Logging_2283/klagomålsmail/A 7109-2024 FSC-klagomål mail.docx", "A 7109-2024")</f>
        <v/>
      </c>
      <c r="X370">
        <f>HYPERLINK("https://klasma.github.io/Logging_2283/tillsyn/A 7109-2024 tillsynsbegäran.docx", "A 7109-2024")</f>
        <v/>
      </c>
      <c r="Y370">
        <f>HYPERLINK("https://klasma.github.io/Logging_2283/tillsynsmail/A 7109-2024 tillsynsbegäran mail.docx", "A 7109-2024")</f>
        <v/>
      </c>
      <c r="Z370">
        <f>HYPERLINK("https://klasma.github.io/Logging_2283/fåglar/A 7109-2024 prioriterade fågelarter.docx", "A 7109-2024")</f>
        <v/>
      </c>
    </row>
    <row r="371" ht="15" customHeight="1">
      <c r="A371" t="inlineStr">
        <is>
          <t>A 9554-2024</t>
        </is>
      </c>
      <c r="B371" s="1" t="n">
        <v>45360</v>
      </c>
      <c r="C371" s="1" t="n">
        <v>45822</v>
      </c>
      <c r="D371" t="inlineStr">
        <is>
          <t>VÄSTERNORRLANDS LÄN</t>
        </is>
      </c>
      <c r="E371" t="inlineStr">
        <is>
          <t>SOLLEFTEÅ</t>
        </is>
      </c>
      <c r="F371" t="inlineStr">
        <is>
          <t>SCA</t>
        </is>
      </c>
      <c r="G371" t="n">
        <v>7.3</v>
      </c>
      <c r="H371" t="n">
        <v>2</v>
      </c>
      <c r="I371" t="n">
        <v>0</v>
      </c>
      <c r="J371" t="n">
        <v>0</v>
      </c>
      <c r="K371" t="n">
        <v>1</v>
      </c>
      <c r="L371" t="n">
        <v>0</v>
      </c>
      <c r="M371" t="n">
        <v>0</v>
      </c>
      <c r="N371" t="n">
        <v>0</v>
      </c>
      <c r="O371" t="n">
        <v>1</v>
      </c>
      <c r="P371" t="n">
        <v>1</v>
      </c>
      <c r="Q371" t="n">
        <v>2</v>
      </c>
      <c r="R371" s="2" t="inlineStr">
        <is>
          <t>Knärot
Revlummer</t>
        </is>
      </c>
      <c r="S371">
        <f>HYPERLINK("https://klasma.github.io/Logging_2283/artfynd/A 9554-2024 artfynd.xlsx", "A 9554-2024")</f>
        <v/>
      </c>
      <c r="T371">
        <f>HYPERLINK("https://klasma.github.io/Logging_2283/kartor/A 9554-2024 karta.png", "A 9554-2024")</f>
        <v/>
      </c>
      <c r="U371">
        <f>HYPERLINK("https://klasma.github.io/Logging_2283/knärot/A 9554-2024 karta knärot.png", "A 9554-2024")</f>
        <v/>
      </c>
      <c r="V371">
        <f>HYPERLINK("https://klasma.github.io/Logging_2283/klagomål/A 9554-2024 FSC-klagomål.docx", "A 9554-2024")</f>
        <v/>
      </c>
      <c r="W371">
        <f>HYPERLINK("https://klasma.github.io/Logging_2283/klagomålsmail/A 9554-2024 FSC-klagomål mail.docx", "A 9554-2024")</f>
        <v/>
      </c>
      <c r="X371">
        <f>HYPERLINK("https://klasma.github.io/Logging_2283/tillsyn/A 9554-2024 tillsynsbegäran.docx", "A 9554-2024")</f>
        <v/>
      </c>
      <c r="Y371">
        <f>HYPERLINK("https://klasma.github.io/Logging_2283/tillsynsmail/A 9554-2024 tillsynsbegäran mail.docx", "A 9554-2024")</f>
        <v/>
      </c>
    </row>
    <row r="372" ht="15" customHeight="1">
      <c r="A372" t="inlineStr">
        <is>
          <t>A 19080-2024</t>
        </is>
      </c>
      <c r="B372" s="1" t="n">
        <v>45428</v>
      </c>
      <c r="C372" s="1" t="n">
        <v>45822</v>
      </c>
      <c r="D372" t="inlineStr">
        <is>
          <t>VÄSTERNORRLANDS LÄN</t>
        </is>
      </c>
      <c r="E372" t="inlineStr">
        <is>
          <t>SOLLEFTEÅ</t>
        </is>
      </c>
      <c r="F372" t="inlineStr">
        <is>
          <t>SCA</t>
        </is>
      </c>
      <c r="G372" t="n">
        <v>1.2</v>
      </c>
      <c r="H372" t="n">
        <v>0</v>
      </c>
      <c r="I372" t="n">
        <v>1</v>
      </c>
      <c r="J372" t="n">
        <v>1</v>
      </c>
      <c r="K372" t="n">
        <v>0</v>
      </c>
      <c r="L372" t="n">
        <v>0</v>
      </c>
      <c r="M372" t="n">
        <v>0</v>
      </c>
      <c r="N372" t="n">
        <v>0</v>
      </c>
      <c r="O372" t="n">
        <v>1</v>
      </c>
      <c r="P372" t="n">
        <v>0</v>
      </c>
      <c r="Q372" t="n">
        <v>2</v>
      </c>
      <c r="R372" s="2" t="inlineStr">
        <is>
          <t>Garnlav
Stor aspticka</t>
        </is>
      </c>
      <c r="S372">
        <f>HYPERLINK("https://klasma.github.io/Logging_2283/artfynd/A 19080-2024 artfynd.xlsx", "A 19080-2024")</f>
        <v/>
      </c>
      <c r="T372">
        <f>HYPERLINK("https://klasma.github.io/Logging_2283/kartor/A 19080-2024 karta.png", "A 19080-2024")</f>
        <v/>
      </c>
      <c r="V372">
        <f>HYPERLINK("https://klasma.github.io/Logging_2283/klagomål/A 19080-2024 FSC-klagomål.docx", "A 19080-2024")</f>
        <v/>
      </c>
      <c r="W372">
        <f>HYPERLINK("https://klasma.github.io/Logging_2283/klagomålsmail/A 19080-2024 FSC-klagomål mail.docx", "A 19080-2024")</f>
        <v/>
      </c>
      <c r="X372">
        <f>HYPERLINK("https://klasma.github.io/Logging_2283/tillsyn/A 19080-2024 tillsynsbegäran.docx", "A 19080-2024")</f>
        <v/>
      </c>
      <c r="Y372">
        <f>HYPERLINK("https://klasma.github.io/Logging_2283/tillsynsmail/A 19080-2024 tillsynsbegäran mail.docx", "A 19080-2024")</f>
        <v/>
      </c>
    </row>
    <row r="373" ht="15" customHeight="1">
      <c r="A373" t="inlineStr">
        <is>
          <t>A 27644-2024</t>
        </is>
      </c>
      <c r="B373" s="1" t="n">
        <v>45474</v>
      </c>
      <c r="C373" s="1" t="n">
        <v>45822</v>
      </c>
      <c r="D373" t="inlineStr">
        <is>
          <t>VÄSTERNORRLANDS LÄN</t>
        </is>
      </c>
      <c r="E373" t="inlineStr">
        <is>
          <t>SOLLEFTEÅ</t>
        </is>
      </c>
      <c r="F373" t="inlineStr">
        <is>
          <t>SCA</t>
        </is>
      </c>
      <c r="G373" t="n">
        <v>2.8</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27644-2024 artfynd.xlsx", "A 27644-2024")</f>
        <v/>
      </c>
      <c r="T373">
        <f>HYPERLINK("https://klasma.github.io/Logging_2283/kartor/A 27644-2024 karta.png", "A 27644-2024")</f>
        <v/>
      </c>
      <c r="V373">
        <f>HYPERLINK("https://klasma.github.io/Logging_2283/klagomål/A 27644-2024 FSC-klagomål.docx", "A 27644-2024")</f>
        <v/>
      </c>
      <c r="W373">
        <f>HYPERLINK("https://klasma.github.io/Logging_2283/klagomålsmail/A 27644-2024 FSC-klagomål mail.docx", "A 27644-2024")</f>
        <v/>
      </c>
      <c r="X373">
        <f>HYPERLINK("https://klasma.github.io/Logging_2283/tillsyn/A 27644-2024 tillsynsbegäran.docx", "A 27644-2024")</f>
        <v/>
      </c>
      <c r="Y373">
        <f>HYPERLINK("https://klasma.github.io/Logging_2283/tillsynsmail/A 27644-2024 tillsynsbegäran mail.docx", "A 27644-2024")</f>
        <v/>
      </c>
    </row>
    <row r="374" ht="15" customHeight="1">
      <c r="A374" t="inlineStr">
        <is>
          <t>A 29264-2024</t>
        </is>
      </c>
      <c r="B374" s="1" t="n">
        <v>45482</v>
      </c>
      <c r="C374" s="1" t="n">
        <v>45822</v>
      </c>
      <c r="D374" t="inlineStr">
        <is>
          <t>VÄSTERNORRLANDS LÄN</t>
        </is>
      </c>
      <c r="E374" t="inlineStr">
        <is>
          <t>SOLLEFTEÅ</t>
        </is>
      </c>
      <c r="F374" t="inlineStr">
        <is>
          <t>SCA</t>
        </is>
      </c>
      <c r="G374" t="n">
        <v>3</v>
      </c>
      <c r="H374" t="n">
        <v>2</v>
      </c>
      <c r="I374" t="n">
        <v>0</v>
      </c>
      <c r="J374" t="n">
        <v>1</v>
      </c>
      <c r="K374" t="n">
        <v>0</v>
      </c>
      <c r="L374" t="n">
        <v>0</v>
      </c>
      <c r="M374" t="n">
        <v>0</v>
      </c>
      <c r="N374" t="n">
        <v>0</v>
      </c>
      <c r="O374" t="n">
        <v>1</v>
      </c>
      <c r="P374" t="n">
        <v>0</v>
      </c>
      <c r="Q374" t="n">
        <v>2</v>
      </c>
      <c r="R374" s="2" t="inlineStr">
        <is>
          <t>Tretåig hackspett
Fläcknycklar</t>
        </is>
      </c>
      <c r="S374">
        <f>HYPERLINK("https://klasma.github.io/Logging_2283/artfynd/A 29264-2024 artfynd.xlsx", "A 29264-2024")</f>
        <v/>
      </c>
      <c r="T374">
        <f>HYPERLINK("https://klasma.github.io/Logging_2283/kartor/A 29264-2024 karta.png", "A 29264-2024")</f>
        <v/>
      </c>
      <c r="V374">
        <f>HYPERLINK("https://klasma.github.io/Logging_2283/klagomål/A 29264-2024 FSC-klagomål.docx", "A 29264-2024")</f>
        <v/>
      </c>
      <c r="W374">
        <f>HYPERLINK("https://klasma.github.io/Logging_2283/klagomålsmail/A 29264-2024 FSC-klagomål mail.docx", "A 29264-2024")</f>
        <v/>
      </c>
      <c r="X374">
        <f>HYPERLINK("https://klasma.github.io/Logging_2283/tillsyn/A 29264-2024 tillsynsbegäran.docx", "A 29264-2024")</f>
        <v/>
      </c>
      <c r="Y374">
        <f>HYPERLINK("https://klasma.github.io/Logging_2283/tillsynsmail/A 29264-2024 tillsynsbegäran mail.docx", "A 29264-2024")</f>
        <v/>
      </c>
      <c r="Z374">
        <f>HYPERLINK("https://klasma.github.io/Logging_2283/fåglar/A 29264-2024 prioriterade fågelarter.docx", "A 29264-2024")</f>
        <v/>
      </c>
    </row>
    <row r="375" ht="15" customHeight="1">
      <c r="A375" t="inlineStr">
        <is>
          <t>A 29919-2024</t>
        </is>
      </c>
      <c r="B375" s="1" t="n">
        <v>45488</v>
      </c>
      <c r="C375" s="1" t="n">
        <v>45822</v>
      </c>
      <c r="D375" t="inlineStr">
        <is>
          <t>VÄSTERNORRLANDS LÄN</t>
        </is>
      </c>
      <c r="E375" t="inlineStr">
        <is>
          <t>SOLLEFTEÅ</t>
        </is>
      </c>
      <c r="G375" t="n">
        <v>8.1</v>
      </c>
      <c r="H375" t="n">
        <v>0</v>
      </c>
      <c r="I375" t="n">
        <v>0</v>
      </c>
      <c r="J375" t="n">
        <v>2</v>
      </c>
      <c r="K375" t="n">
        <v>0</v>
      </c>
      <c r="L375" t="n">
        <v>0</v>
      </c>
      <c r="M375" t="n">
        <v>0</v>
      </c>
      <c r="N375" t="n">
        <v>0</v>
      </c>
      <c r="O375" t="n">
        <v>2</v>
      </c>
      <c r="P375" t="n">
        <v>0</v>
      </c>
      <c r="Q375" t="n">
        <v>2</v>
      </c>
      <c r="R375" s="2" t="inlineStr">
        <is>
          <t>Garnlav
Rosenticka</t>
        </is>
      </c>
      <c r="S375">
        <f>HYPERLINK("https://klasma.github.io/Logging_2283/artfynd/A 29919-2024 artfynd.xlsx", "A 29919-2024")</f>
        <v/>
      </c>
      <c r="T375">
        <f>HYPERLINK("https://klasma.github.io/Logging_2283/kartor/A 29919-2024 karta.png", "A 29919-2024")</f>
        <v/>
      </c>
      <c r="V375">
        <f>HYPERLINK("https://klasma.github.io/Logging_2283/klagomål/A 29919-2024 FSC-klagomål.docx", "A 29919-2024")</f>
        <v/>
      </c>
      <c r="W375">
        <f>HYPERLINK("https://klasma.github.io/Logging_2283/klagomålsmail/A 29919-2024 FSC-klagomål mail.docx", "A 29919-2024")</f>
        <v/>
      </c>
      <c r="X375">
        <f>HYPERLINK("https://klasma.github.io/Logging_2283/tillsyn/A 29919-2024 tillsynsbegäran.docx", "A 29919-2024")</f>
        <v/>
      </c>
      <c r="Y375">
        <f>HYPERLINK("https://klasma.github.io/Logging_2283/tillsynsmail/A 29919-2024 tillsynsbegäran mail.docx", "A 29919-2024")</f>
        <v/>
      </c>
    </row>
    <row r="376" ht="15" customHeight="1">
      <c r="A376" t="inlineStr">
        <is>
          <t>A 29917-2024</t>
        </is>
      </c>
      <c r="B376" s="1" t="n">
        <v>45487</v>
      </c>
      <c r="C376" s="1" t="n">
        <v>45822</v>
      </c>
      <c r="D376" t="inlineStr">
        <is>
          <t>VÄSTERNORRLANDS LÄN</t>
        </is>
      </c>
      <c r="E376" t="inlineStr">
        <is>
          <t>SOLLEFTEÅ</t>
        </is>
      </c>
      <c r="G376" t="n">
        <v>1.1</v>
      </c>
      <c r="H376" t="n">
        <v>0</v>
      </c>
      <c r="I376" t="n">
        <v>0</v>
      </c>
      <c r="J376" t="n">
        <v>2</v>
      </c>
      <c r="K376" t="n">
        <v>0</v>
      </c>
      <c r="L376" t="n">
        <v>0</v>
      </c>
      <c r="M376" t="n">
        <v>0</v>
      </c>
      <c r="N376" t="n">
        <v>0</v>
      </c>
      <c r="O376" t="n">
        <v>2</v>
      </c>
      <c r="P376" t="n">
        <v>0</v>
      </c>
      <c r="Q376" t="n">
        <v>2</v>
      </c>
      <c r="R376" s="2" t="inlineStr">
        <is>
          <t>Garnlav
Mörk kolflarnlav</t>
        </is>
      </c>
      <c r="S376">
        <f>HYPERLINK("https://klasma.github.io/Logging_2283/artfynd/A 29917-2024 artfynd.xlsx", "A 29917-2024")</f>
        <v/>
      </c>
      <c r="T376">
        <f>HYPERLINK("https://klasma.github.io/Logging_2283/kartor/A 29917-2024 karta.png", "A 29917-2024")</f>
        <v/>
      </c>
      <c r="V376">
        <f>HYPERLINK("https://klasma.github.io/Logging_2283/klagomål/A 29917-2024 FSC-klagomål.docx", "A 29917-2024")</f>
        <v/>
      </c>
      <c r="W376">
        <f>HYPERLINK("https://klasma.github.io/Logging_2283/klagomålsmail/A 29917-2024 FSC-klagomål mail.docx", "A 29917-2024")</f>
        <v/>
      </c>
      <c r="X376">
        <f>HYPERLINK("https://klasma.github.io/Logging_2283/tillsyn/A 29917-2024 tillsynsbegäran.docx", "A 29917-2024")</f>
        <v/>
      </c>
      <c r="Y376">
        <f>HYPERLINK("https://klasma.github.io/Logging_2283/tillsynsmail/A 29917-2024 tillsynsbegäran mail.docx", "A 29917-2024")</f>
        <v/>
      </c>
    </row>
    <row r="377" ht="15" customHeight="1">
      <c r="A377" t="inlineStr">
        <is>
          <t>A 31491-2024</t>
        </is>
      </c>
      <c r="B377" s="1" t="n">
        <v>45505</v>
      </c>
      <c r="C377" s="1" t="n">
        <v>45822</v>
      </c>
      <c r="D377" t="inlineStr">
        <is>
          <t>VÄSTERNORRLANDS LÄN</t>
        </is>
      </c>
      <c r="E377" t="inlineStr">
        <is>
          <t>SOLLEFTEÅ</t>
        </is>
      </c>
      <c r="F377" t="inlineStr">
        <is>
          <t>SCA</t>
        </is>
      </c>
      <c r="G377" t="n">
        <v>17.2</v>
      </c>
      <c r="H377" t="n">
        <v>1</v>
      </c>
      <c r="I377" t="n">
        <v>0</v>
      </c>
      <c r="J377" t="n">
        <v>2</v>
      </c>
      <c r="K377" t="n">
        <v>0</v>
      </c>
      <c r="L377" t="n">
        <v>0</v>
      </c>
      <c r="M377" t="n">
        <v>0</v>
      </c>
      <c r="N377" t="n">
        <v>0</v>
      </c>
      <c r="O377" t="n">
        <v>2</v>
      </c>
      <c r="P377" t="n">
        <v>0</v>
      </c>
      <c r="Q377" t="n">
        <v>2</v>
      </c>
      <c r="R377" s="2" t="inlineStr">
        <is>
          <t>Lunglav
Tretåig hackspett</t>
        </is>
      </c>
      <c r="S377">
        <f>HYPERLINK("https://klasma.github.io/Logging_2283/artfynd/A 31491-2024 artfynd.xlsx", "A 31491-2024")</f>
        <v/>
      </c>
      <c r="T377">
        <f>HYPERLINK("https://klasma.github.io/Logging_2283/kartor/A 31491-2024 karta.png", "A 31491-2024")</f>
        <v/>
      </c>
      <c r="V377">
        <f>HYPERLINK("https://klasma.github.io/Logging_2283/klagomål/A 31491-2024 FSC-klagomål.docx", "A 31491-2024")</f>
        <v/>
      </c>
      <c r="W377">
        <f>HYPERLINK("https://klasma.github.io/Logging_2283/klagomålsmail/A 31491-2024 FSC-klagomål mail.docx", "A 31491-2024")</f>
        <v/>
      </c>
      <c r="X377">
        <f>HYPERLINK("https://klasma.github.io/Logging_2283/tillsyn/A 31491-2024 tillsynsbegäran.docx", "A 31491-2024")</f>
        <v/>
      </c>
      <c r="Y377">
        <f>HYPERLINK("https://klasma.github.io/Logging_2283/tillsynsmail/A 31491-2024 tillsynsbegäran mail.docx", "A 31491-2024")</f>
        <v/>
      </c>
      <c r="Z377">
        <f>HYPERLINK("https://klasma.github.io/Logging_2283/fåglar/A 31491-2024 prioriterade fågelarter.docx", "A 31491-2024")</f>
        <v/>
      </c>
    </row>
    <row r="378" ht="15" customHeight="1">
      <c r="A378" t="inlineStr">
        <is>
          <t>A 34812-2024</t>
        </is>
      </c>
      <c r="B378" s="1" t="n">
        <v>45526</v>
      </c>
      <c r="C378" s="1" t="n">
        <v>45822</v>
      </c>
      <c r="D378" t="inlineStr">
        <is>
          <t>VÄSTERNORRLANDS LÄN</t>
        </is>
      </c>
      <c r="E378" t="inlineStr">
        <is>
          <t>SOLLEFTEÅ</t>
        </is>
      </c>
      <c r="G378" t="n">
        <v>8.1</v>
      </c>
      <c r="H378" t="n">
        <v>0</v>
      </c>
      <c r="I378" t="n">
        <v>1</v>
      </c>
      <c r="J378" t="n">
        <v>1</v>
      </c>
      <c r="K378" t="n">
        <v>0</v>
      </c>
      <c r="L378" t="n">
        <v>0</v>
      </c>
      <c r="M378" t="n">
        <v>0</v>
      </c>
      <c r="N378" t="n">
        <v>0</v>
      </c>
      <c r="O378" t="n">
        <v>1</v>
      </c>
      <c r="P378" t="n">
        <v>0</v>
      </c>
      <c r="Q378" t="n">
        <v>2</v>
      </c>
      <c r="R378" s="2" t="inlineStr">
        <is>
          <t>Garnlav
Dropptaggsvamp</t>
        </is>
      </c>
      <c r="S378">
        <f>HYPERLINK("https://klasma.github.io/Logging_2283/artfynd/A 34812-2024 artfynd.xlsx", "A 34812-2024")</f>
        <v/>
      </c>
      <c r="T378">
        <f>HYPERLINK("https://klasma.github.io/Logging_2283/kartor/A 34812-2024 karta.png", "A 34812-2024")</f>
        <v/>
      </c>
      <c r="V378">
        <f>HYPERLINK("https://klasma.github.io/Logging_2283/klagomål/A 34812-2024 FSC-klagomål.docx", "A 34812-2024")</f>
        <v/>
      </c>
      <c r="W378">
        <f>HYPERLINK("https://klasma.github.io/Logging_2283/klagomålsmail/A 34812-2024 FSC-klagomål mail.docx", "A 34812-2024")</f>
        <v/>
      </c>
      <c r="X378">
        <f>HYPERLINK("https://klasma.github.io/Logging_2283/tillsyn/A 34812-2024 tillsynsbegäran.docx", "A 34812-2024")</f>
        <v/>
      </c>
      <c r="Y378">
        <f>HYPERLINK("https://klasma.github.io/Logging_2283/tillsynsmail/A 34812-2024 tillsynsbegäran mail.docx", "A 34812-2024")</f>
        <v/>
      </c>
    </row>
    <row r="379" ht="15" customHeight="1">
      <c r="A379" t="inlineStr">
        <is>
          <t>A 34814-2024</t>
        </is>
      </c>
      <c r="B379" s="1" t="n">
        <v>45526</v>
      </c>
      <c r="C379" s="1" t="n">
        <v>45822</v>
      </c>
      <c r="D379" t="inlineStr">
        <is>
          <t>VÄSTERNORRLANDS LÄN</t>
        </is>
      </c>
      <c r="E379" t="inlineStr">
        <is>
          <t>SOLLEFTEÅ</t>
        </is>
      </c>
      <c r="F379" t="inlineStr">
        <is>
          <t>SCA</t>
        </is>
      </c>
      <c r="G379" t="n">
        <v>6.9</v>
      </c>
      <c r="H379" t="n">
        <v>0</v>
      </c>
      <c r="I379" t="n">
        <v>0</v>
      </c>
      <c r="J379" t="n">
        <v>2</v>
      </c>
      <c r="K379" t="n">
        <v>0</v>
      </c>
      <c r="L379" t="n">
        <v>0</v>
      </c>
      <c r="M379" t="n">
        <v>0</v>
      </c>
      <c r="N379" t="n">
        <v>0</v>
      </c>
      <c r="O379" t="n">
        <v>2</v>
      </c>
      <c r="P379" t="n">
        <v>0</v>
      </c>
      <c r="Q379" t="n">
        <v>2</v>
      </c>
      <c r="R379" s="2" t="inlineStr">
        <is>
          <t>Kolflarnlav
Lunglav</t>
        </is>
      </c>
      <c r="S379">
        <f>HYPERLINK("https://klasma.github.io/Logging_2283/artfynd/A 34814-2024 artfynd.xlsx", "A 34814-2024")</f>
        <v/>
      </c>
      <c r="T379">
        <f>HYPERLINK("https://klasma.github.io/Logging_2283/kartor/A 34814-2024 karta.png", "A 34814-2024")</f>
        <v/>
      </c>
      <c r="V379">
        <f>HYPERLINK("https://klasma.github.io/Logging_2283/klagomål/A 34814-2024 FSC-klagomål.docx", "A 34814-2024")</f>
        <v/>
      </c>
      <c r="W379">
        <f>HYPERLINK("https://klasma.github.io/Logging_2283/klagomålsmail/A 34814-2024 FSC-klagomål mail.docx", "A 34814-2024")</f>
        <v/>
      </c>
      <c r="X379">
        <f>HYPERLINK("https://klasma.github.io/Logging_2283/tillsyn/A 34814-2024 tillsynsbegäran.docx", "A 34814-2024")</f>
        <v/>
      </c>
      <c r="Y379">
        <f>HYPERLINK("https://klasma.github.io/Logging_2283/tillsynsmail/A 34814-2024 tillsynsbegäran mail.docx", "A 34814-2024")</f>
        <v/>
      </c>
    </row>
    <row r="380" ht="15" customHeight="1">
      <c r="A380" t="inlineStr">
        <is>
          <t>A 36912-2024</t>
        </is>
      </c>
      <c r="B380" s="1" t="n">
        <v>45538</v>
      </c>
      <c r="C380" s="1" t="n">
        <v>45822</v>
      </c>
      <c r="D380" t="inlineStr">
        <is>
          <t>VÄSTERNORRLANDS LÄN</t>
        </is>
      </c>
      <c r="E380" t="inlineStr">
        <is>
          <t>SOLLEFTEÅ</t>
        </is>
      </c>
      <c r="F380" t="inlineStr">
        <is>
          <t>SCA</t>
        </is>
      </c>
      <c r="G380" t="n">
        <v>2</v>
      </c>
      <c r="H380" t="n">
        <v>1</v>
      </c>
      <c r="I380" t="n">
        <v>0</v>
      </c>
      <c r="J380" t="n">
        <v>2</v>
      </c>
      <c r="K380" t="n">
        <v>0</v>
      </c>
      <c r="L380" t="n">
        <v>0</v>
      </c>
      <c r="M380" t="n">
        <v>0</v>
      </c>
      <c r="N380" t="n">
        <v>0</v>
      </c>
      <c r="O380" t="n">
        <v>2</v>
      </c>
      <c r="P380" t="n">
        <v>0</v>
      </c>
      <c r="Q380" t="n">
        <v>2</v>
      </c>
      <c r="R380" s="2" t="inlineStr">
        <is>
          <t>Talltita
Ullticka</t>
        </is>
      </c>
      <c r="S380">
        <f>HYPERLINK("https://klasma.github.io/Logging_2283/artfynd/A 36912-2024 artfynd.xlsx", "A 36912-2024")</f>
        <v/>
      </c>
      <c r="T380">
        <f>HYPERLINK("https://klasma.github.io/Logging_2283/kartor/A 36912-2024 karta.png", "A 36912-2024")</f>
        <v/>
      </c>
      <c r="V380">
        <f>HYPERLINK("https://klasma.github.io/Logging_2283/klagomål/A 36912-2024 FSC-klagomål.docx", "A 36912-2024")</f>
        <v/>
      </c>
      <c r="W380">
        <f>HYPERLINK("https://klasma.github.io/Logging_2283/klagomålsmail/A 36912-2024 FSC-klagomål mail.docx", "A 36912-2024")</f>
        <v/>
      </c>
      <c r="X380">
        <f>HYPERLINK("https://klasma.github.io/Logging_2283/tillsyn/A 36912-2024 tillsynsbegäran.docx", "A 36912-2024")</f>
        <v/>
      </c>
      <c r="Y380">
        <f>HYPERLINK("https://klasma.github.io/Logging_2283/tillsynsmail/A 36912-2024 tillsynsbegäran mail.docx", "A 36912-2024")</f>
        <v/>
      </c>
      <c r="Z380">
        <f>HYPERLINK("https://klasma.github.io/Logging_2283/fåglar/A 36912-2024 prioriterade fågelarter.docx", "A 36912-2024")</f>
        <v/>
      </c>
    </row>
    <row r="381" ht="15" customHeight="1">
      <c r="A381" t="inlineStr">
        <is>
          <t>A 38017-2024</t>
        </is>
      </c>
      <c r="B381" s="1" t="n">
        <v>45544</v>
      </c>
      <c r="C381" s="1" t="n">
        <v>45822</v>
      </c>
      <c r="D381" t="inlineStr">
        <is>
          <t>VÄSTERNORRLANDS LÄN</t>
        </is>
      </c>
      <c r="E381" t="inlineStr">
        <is>
          <t>SOLLEFTEÅ</t>
        </is>
      </c>
      <c r="F381" t="inlineStr">
        <is>
          <t>SCA</t>
        </is>
      </c>
      <c r="G381" t="n">
        <v>1.9</v>
      </c>
      <c r="H381" t="n">
        <v>0</v>
      </c>
      <c r="I381" t="n">
        <v>1</v>
      </c>
      <c r="J381" t="n">
        <v>1</v>
      </c>
      <c r="K381" t="n">
        <v>0</v>
      </c>
      <c r="L381" t="n">
        <v>0</v>
      </c>
      <c r="M381" t="n">
        <v>0</v>
      </c>
      <c r="N381" t="n">
        <v>0</v>
      </c>
      <c r="O381" t="n">
        <v>1</v>
      </c>
      <c r="P381" t="n">
        <v>0</v>
      </c>
      <c r="Q381" t="n">
        <v>2</v>
      </c>
      <c r="R381" s="2" t="inlineStr">
        <is>
          <t>Garnlav
Bårdlav</t>
        </is>
      </c>
      <c r="S381">
        <f>HYPERLINK("https://klasma.github.io/Logging_2283/artfynd/A 38017-2024 artfynd.xlsx", "A 38017-2024")</f>
        <v/>
      </c>
      <c r="T381">
        <f>HYPERLINK("https://klasma.github.io/Logging_2283/kartor/A 38017-2024 karta.png", "A 38017-2024")</f>
        <v/>
      </c>
      <c r="V381">
        <f>HYPERLINK("https://klasma.github.io/Logging_2283/klagomål/A 38017-2024 FSC-klagomål.docx", "A 38017-2024")</f>
        <v/>
      </c>
      <c r="W381">
        <f>HYPERLINK("https://klasma.github.io/Logging_2283/klagomålsmail/A 38017-2024 FSC-klagomål mail.docx", "A 38017-2024")</f>
        <v/>
      </c>
      <c r="X381">
        <f>HYPERLINK("https://klasma.github.io/Logging_2283/tillsyn/A 38017-2024 tillsynsbegäran.docx", "A 38017-2024")</f>
        <v/>
      </c>
      <c r="Y381">
        <f>HYPERLINK("https://klasma.github.io/Logging_2283/tillsynsmail/A 38017-2024 tillsynsbegäran mail.docx", "A 38017-2024")</f>
        <v/>
      </c>
    </row>
    <row r="382" ht="15" customHeight="1">
      <c r="A382" t="inlineStr">
        <is>
          <t>A 40576-2024</t>
        </is>
      </c>
      <c r="B382" s="1" t="n">
        <v>45555</v>
      </c>
      <c r="C382" s="1" t="n">
        <v>45822</v>
      </c>
      <c r="D382" t="inlineStr">
        <is>
          <t>VÄSTERNORRLANDS LÄN</t>
        </is>
      </c>
      <c r="E382" t="inlineStr">
        <is>
          <t>SOLLEFTEÅ</t>
        </is>
      </c>
      <c r="F382" t="inlineStr">
        <is>
          <t>SCA</t>
        </is>
      </c>
      <c r="G382" t="n">
        <v>11.7</v>
      </c>
      <c r="H382" t="n">
        <v>1</v>
      </c>
      <c r="I382" t="n">
        <v>0</v>
      </c>
      <c r="J382" t="n">
        <v>2</v>
      </c>
      <c r="K382" t="n">
        <v>0</v>
      </c>
      <c r="L382" t="n">
        <v>0</v>
      </c>
      <c r="M382" t="n">
        <v>0</v>
      </c>
      <c r="N382" t="n">
        <v>0</v>
      </c>
      <c r="O382" t="n">
        <v>2</v>
      </c>
      <c r="P382" t="n">
        <v>0</v>
      </c>
      <c r="Q382" t="n">
        <v>2</v>
      </c>
      <c r="R382" s="2" t="inlineStr">
        <is>
          <t>Granticka
Tretåig hackspett</t>
        </is>
      </c>
      <c r="S382">
        <f>HYPERLINK("https://klasma.github.io/Logging_2283/artfynd/A 40576-2024 artfynd.xlsx", "A 40576-2024")</f>
        <v/>
      </c>
      <c r="T382">
        <f>HYPERLINK("https://klasma.github.io/Logging_2283/kartor/A 40576-2024 karta.png", "A 40576-2024")</f>
        <v/>
      </c>
      <c r="V382">
        <f>HYPERLINK("https://klasma.github.io/Logging_2283/klagomål/A 40576-2024 FSC-klagomål.docx", "A 40576-2024")</f>
        <v/>
      </c>
      <c r="W382">
        <f>HYPERLINK("https://klasma.github.io/Logging_2283/klagomålsmail/A 40576-2024 FSC-klagomål mail.docx", "A 40576-2024")</f>
        <v/>
      </c>
      <c r="X382">
        <f>HYPERLINK("https://klasma.github.io/Logging_2283/tillsyn/A 40576-2024 tillsynsbegäran.docx", "A 40576-2024")</f>
        <v/>
      </c>
      <c r="Y382">
        <f>HYPERLINK("https://klasma.github.io/Logging_2283/tillsynsmail/A 40576-2024 tillsynsbegäran mail.docx", "A 40576-2024")</f>
        <v/>
      </c>
      <c r="Z382">
        <f>HYPERLINK("https://klasma.github.io/Logging_2283/fåglar/A 40576-2024 prioriterade fågelarter.docx", "A 40576-2024")</f>
        <v/>
      </c>
    </row>
    <row r="383" ht="15" customHeight="1">
      <c r="A383" t="inlineStr">
        <is>
          <t>A 41337-2024</t>
        </is>
      </c>
      <c r="B383" s="1" t="n">
        <v>45559</v>
      </c>
      <c r="C383" s="1" t="n">
        <v>45822</v>
      </c>
      <c r="D383" t="inlineStr">
        <is>
          <t>VÄSTERNORRLANDS LÄN</t>
        </is>
      </c>
      <c r="E383" t="inlineStr">
        <is>
          <t>SOLLEFTEÅ</t>
        </is>
      </c>
      <c r="G383" t="n">
        <v>30.1</v>
      </c>
      <c r="H383" t="n">
        <v>0</v>
      </c>
      <c r="I383" t="n">
        <v>0</v>
      </c>
      <c r="J383" t="n">
        <v>2</v>
      </c>
      <c r="K383" t="n">
        <v>0</v>
      </c>
      <c r="L383" t="n">
        <v>0</v>
      </c>
      <c r="M383" t="n">
        <v>0</v>
      </c>
      <c r="N383" t="n">
        <v>0</v>
      </c>
      <c r="O383" t="n">
        <v>2</v>
      </c>
      <c r="P383" t="n">
        <v>0</v>
      </c>
      <c r="Q383" t="n">
        <v>2</v>
      </c>
      <c r="R383" s="2" t="inlineStr">
        <is>
          <t>Granticka
Rosenticka</t>
        </is>
      </c>
      <c r="S383">
        <f>HYPERLINK("https://klasma.github.io/Logging_2283/artfynd/A 41337-2024 artfynd.xlsx", "A 41337-2024")</f>
        <v/>
      </c>
      <c r="T383">
        <f>HYPERLINK("https://klasma.github.io/Logging_2283/kartor/A 41337-2024 karta.png", "A 41337-2024")</f>
        <v/>
      </c>
      <c r="V383">
        <f>HYPERLINK("https://klasma.github.io/Logging_2283/klagomål/A 41337-2024 FSC-klagomål.docx", "A 41337-2024")</f>
        <v/>
      </c>
      <c r="W383">
        <f>HYPERLINK("https://klasma.github.io/Logging_2283/klagomålsmail/A 41337-2024 FSC-klagomål mail.docx", "A 41337-2024")</f>
        <v/>
      </c>
      <c r="X383">
        <f>HYPERLINK("https://klasma.github.io/Logging_2283/tillsyn/A 41337-2024 tillsynsbegäran.docx", "A 41337-2024")</f>
        <v/>
      </c>
      <c r="Y383">
        <f>HYPERLINK("https://klasma.github.io/Logging_2283/tillsynsmail/A 41337-2024 tillsynsbegäran mail.docx", "A 41337-2024")</f>
        <v/>
      </c>
    </row>
    <row r="384" ht="15" customHeight="1">
      <c r="A384" t="inlineStr">
        <is>
          <t>A 45590-2024</t>
        </is>
      </c>
      <c r="B384" s="1" t="n">
        <v>45579</v>
      </c>
      <c r="C384" s="1" t="n">
        <v>45822</v>
      </c>
      <c r="D384" t="inlineStr">
        <is>
          <t>VÄSTERNORRLANDS LÄN</t>
        </is>
      </c>
      <c r="E384" t="inlineStr">
        <is>
          <t>SOLLEFTEÅ</t>
        </is>
      </c>
      <c r="F384" t="inlineStr">
        <is>
          <t>Holmen skog AB</t>
        </is>
      </c>
      <c r="G384" t="n">
        <v>1.9</v>
      </c>
      <c r="H384" t="n">
        <v>0</v>
      </c>
      <c r="I384" t="n">
        <v>1</v>
      </c>
      <c r="J384" t="n">
        <v>1</v>
      </c>
      <c r="K384" t="n">
        <v>0</v>
      </c>
      <c r="L384" t="n">
        <v>0</v>
      </c>
      <c r="M384" t="n">
        <v>0</v>
      </c>
      <c r="N384" t="n">
        <v>0</v>
      </c>
      <c r="O384" t="n">
        <v>1</v>
      </c>
      <c r="P384" t="n">
        <v>0</v>
      </c>
      <c r="Q384" t="n">
        <v>2</v>
      </c>
      <c r="R384" s="2" t="inlineStr">
        <is>
          <t>Granticka
Trådticka</t>
        </is>
      </c>
      <c r="S384">
        <f>HYPERLINK("https://klasma.github.io/Logging_2283/artfynd/A 45590-2024 artfynd.xlsx", "A 45590-2024")</f>
        <v/>
      </c>
      <c r="T384">
        <f>HYPERLINK("https://klasma.github.io/Logging_2283/kartor/A 45590-2024 karta.png", "A 45590-2024")</f>
        <v/>
      </c>
      <c r="V384">
        <f>HYPERLINK("https://klasma.github.io/Logging_2283/klagomål/A 45590-2024 FSC-klagomål.docx", "A 45590-2024")</f>
        <v/>
      </c>
      <c r="W384">
        <f>HYPERLINK("https://klasma.github.io/Logging_2283/klagomålsmail/A 45590-2024 FSC-klagomål mail.docx", "A 45590-2024")</f>
        <v/>
      </c>
      <c r="X384">
        <f>HYPERLINK("https://klasma.github.io/Logging_2283/tillsyn/A 45590-2024 tillsynsbegäran.docx", "A 45590-2024")</f>
        <v/>
      </c>
      <c r="Y384">
        <f>HYPERLINK("https://klasma.github.io/Logging_2283/tillsynsmail/A 45590-2024 tillsynsbegäran mail.docx", "A 45590-2024")</f>
        <v/>
      </c>
    </row>
    <row r="385" ht="15" customHeight="1">
      <c r="A385" t="inlineStr">
        <is>
          <t>A 48016-2024</t>
        </is>
      </c>
      <c r="B385" s="1" t="n">
        <v>45589</v>
      </c>
      <c r="C385" s="1" t="n">
        <v>45822</v>
      </c>
      <c r="D385" t="inlineStr">
        <is>
          <t>VÄSTERNORRLANDS LÄN</t>
        </is>
      </c>
      <c r="E385" t="inlineStr">
        <is>
          <t>SOLLEFTEÅ</t>
        </is>
      </c>
      <c r="F385" t="inlineStr">
        <is>
          <t>SCA</t>
        </is>
      </c>
      <c r="G385" t="n">
        <v>2.6</v>
      </c>
      <c r="H385" t="n">
        <v>1</v>
      </c>
      <c r="I385" t="n">
        <v>0</v>
      </c>
      <c r="J385" t="n">
        <v>2</v>
      </c>
      <c r="K385" t="n">
        <v>0</v>
      </c>
      <c r="L385" t="n">
        <v>0</v>
      </c>
      <c r="M385" t="n">
        <v>0</v>
      </c>
      <c r="N385" t="n">
        <v>0</v>
      </c>
      <c r="O385" t="n">
        <v>2</v>
      </c>
      <c r="P385" t="n">
        <v>0</v>
      </c>
      <c r="Q385" t="n">
        <v>2</v>
      </c>
      <c r="R385" s="2" t="inlineStr">
        <is>
          <t>Järpe
Ullticka</t>
        </is>
      </c>
      <c r="S385">
        <f>HYPERLINK("https://klasma.github.io/Logging_2283/artfynd/A 48016-2024 artfynd.xlsx", "A 48016-2024")</f>
        <v/>
      </c>
      <c r="T385">
        <f>HYPERLINK("https://klasma.github.io/Logging_2283/kartor/A 48016-2024 karta.png", "A 48016-2024")</f>
        <v/>
      </c>
      <c r="V385">
        <f>HYPERLINK("https://klasma.github.io/Logging_2283/klagomål/A 48016-2024 FSC-klagomål.docx", "A 48016-2024")</f>
        <v/>
      </c>
      <c r="W385">
        <f>HYPERLINK("https://klasma.github.io/Logging_2283/klagomålsmail/A 48016-2024 FSC-klagomål mail.docx", "A 48016-2024")</f>
        <v/>
      </c>
      <c r="X385">
        <f>HYPERLINK("https://klasma.github.io/Logging_2283/tillsyn/A 48016-2024 tillsynsbegäran.docx", "A 48016-2024")</f>
        <v/>
      </c>
      <c r="Y385">
        <f>HYPERLINK("https://klasma.github.io/Logging_2283/tillsynsmail/A 48016-2024 tillsynsbegäran mail.docx", "A 48016-2024")</f>
        <v/>
      </c>
      <c r="Z385">
        <f>HYPERLINK("https://klasma.github.io/Logging_2283/fåglar/A 48016-2024 prioriterade fågelarter.docx", "A 48016-2024")</f>
        <v/>
      </c>
    </row>
    <row r="386" ht="15" customHeight="1">
      <c r="A386" t="inlineStr">
        <is>
          <t>A 48533-2024</t>
        </is>
      </c>
      <c r="B386" s="1" t="n">
        <v>45593</v>
      </c>
      <c r="C386" s="1" t="n">
        <v>45822</v>
      </c>
      <c r="D386" t="inlineStr">
        <is>
          <t>VÄSTERNORRLANDS LÄN</t>
        </is>
      </c>
      <c r="E386" t="inlineStr">
        <is>
          <t>SOLLEFTEÅ</t>
        </is>
      </c>
      <c r="F386" t="inlineStr">
        <is>
          <t>SCA</t>
        </is>
      </c>
      <c r="G386" t="n">
        <v>3.3</v>
      </c>
      <c r="H386" t="n">
        <v>0</v>
      </c>
      <c r="I386" t="n">
        <v>0</v>
      </c>
      <c r="J386" t="n">
        <v>2</v>
      </c>
      <c r="K386" t="n">
        <v>0</v>
      </c>
      <c r="L386" t="n">
        <v>0</v>
      </c>
      <c r="M386" t="n">
        <v>0</v>
      </c>
      <c r="N386" t="n">
        <v>0</v>
      </c>
      <c r="O386" t="n">
        <v>2</v>
      </c>
      <c r="P386" t="n">
        <v>0</v>
      </c>
      <c r="Q386" t="n">
        <v>2</v>
      </c>
      <c r="R386" s="2" t="inlineStr">
        <is>
          <t>Gammelgransskål
Garnlav</t>
        </is>
      </c>
      <c r="S386">
        <f>HYPERLINK("https://klasma.github.io/Logging_2283/artfynd/A 48533-2024 artfynd.xlsx", "A 48533-2024")</f>
        <v/>
      </c>
      <c r="T386">
        <f>HYPERLINK("https://klasma.github.io/Logging_2283/kartor/A 48533-2024 karta.png", "A 48533-2024")</f>
        <v/>
      </c>
      <c r="V386">
        <f>HYPERLINK("https://klasma.github.io/Logging_2283/klagomål/A 48533-2024 FSC-klagomål.docx", "A 48533-2024")</f>
        <v/>
      </c>
      <c r="W386">
        <f>HYPERLINK("https://klasma.github.io/Logging_2283/klagomålsmail/A 48533-2024 FSC-klagomål mail.docx", "A 48533-2024")</f>
        <v/>
      </c>
      <c r="X386">
        <f>HYPERLINK("https://klasma.github.io/Logging_2283/tillsyn/A 48533-2024 tillsynsbegäran.docx", "A 48533-2024")</f>
        <v/>
      </c>
      <c r="Y386">
        <f>HYPERLINK("https://klasma.github.io/Logging_2283/tillsynsmail/A 48533-2024 tillsynsbegäran mail.docx", "A 48533-2024")</f>
        <v/>
      </c>
    </row>
    <row r="387" ht="15" customHeight="1">
      <c r="A387" t="inlineStr">
        <is>
          <t>A 50751-2024</t>
        </is>
      </c>
      <c r="B387" s="1" t="n">
        <v>45602</v>
      </c>
      <c r="C387" s="1" t="n">
        <v>45822</v>
      </c>
      <c r="D387" t="inlineStr">
        <is>
          <t>VÄSTERNORRLANDS LÄN</t>
        </is>
      </c>
      <c r="E387" t="inlineStr">
        <is>
          <t>SOLLEFTEÅ</t>
        </is>
      </c>
      <c r="G387" t="n">
        <v>4.4</v>
      </c>
      <c r="H387" t="n">
        <v>0</v>
      </c>
      <c r="I387" t="n">
        <v>1</v>
      </c>
      <c r="J387" t="n">
        <v>1</v>
      </c>
      <c r="K387" t="n">
        <v>0</v>
      </c>
      <c r="L387" t="n">
        <v>0</v>
      </c>
      <c r="M387" t="n">
        <v>0</v>
      </c>
      <c r="N387" t="n">
        <v>0</v>
      </c>
      <c r="O387" t="n">
        <v>1</v>
      </c>
      <c r="P387" t="n">
        <v>0</v>
      </c>
      <c r="Q387" t="n">
        <v>2</v>
      </c>
      <c r="R387" s="2" t="inlineStr">
        <is>
          <t>Garnlav
Norrlandslav</t>
        </is>
      </c>
      <c r="S387">
        <f>HYPERLINK("https://klasma.github.io/Logging_2283/artfynd/A 50751-2024 artfynd.xlsx", "A 50751-2024")</f>
        <v/>
      </c>
      <c r="T387">
        <f>HYPERLINK("https://klasma.github.io/Logging_2283/kartor/A 50751-2024 karta.png", "A 50751-2024")</f>
        <v/>
      </c>
      <c r="V387">
        <f>HYPERLINK("https://klasma.github.io/Logging_2283/klagomål/A 50751-2024 FSC-klagomål.docx", "A 50751-2024")</f>
        <v/>
      </c>
      <c r="W387">
        <f>HYPERLINK("https://klasma.github.io/Logging_2283/klagomålsmail/A 50751-2024 FSC-klagomål mail.docx", "A 50751-2024")</f>
        <v/>
      </c>
      <c r="X387">
        <f>HYPERLINK("https://klasma.github.io/Logging_2283/tillsyn/A 50751-2024 tillsynsbegäran.docx", "A 50751-2024")</f>
        <v/>
      </c>
      <c r="Y387">
        <f>HYPERLINK("https://klasma.github.io/Logging_2283/tillsynsmail/A 50751-2024 tillsynsbegäran mail.docx", "A 50751-2024")</f>
        <v/>
      </c>
    </row>
    <row r="388" ht="15" customHeight="1">
      <c r="A388" t="inlineStr">
        <is>
          <t>A 54486-2024</t>
        </is>
      </c>
      <c r="B388" s="1" t="n">
        <v>45617</v>
      </c>
      <c r="C388" s="1" t="n">
        <v>45822</v>
      </c>
      <c r="D388" t="inlineStr">
        <is>
          <t>VÄSTERNORRLANDS LÄN</t>
        </is>
      </c>
      <c r="E388" t="inlineStr">
        <is>
          <t>SOLLEFTEÅ</t>
        </is>
      </c>
      <c r="G388" t="n">
        <v>18.3</v>
      </c>
      <c r="H388" t="n">
        <v>2</v>
      </c>
      <c r="I388" t="n">
        <v>1</v>
      </c>
      <c r="J388" t="n">
        <v>0</v>
      </c>
      <c r="K388" t="n">
        <v>0</v>
      </c>
      <c r="L388" t="n">
        <v>0</v>
      </c>
      <c r="M388" t="n">
        <v>0</v>
      </c>
      <c r="N388" t="n">
        <v>0</v>
      </c>
      <c r="O388" t="n">
        <v>0</v>
      </c>
      <c r="P388" t="n">
        <v>0</v>
      </c>
      <c r="Q388" t="n">
        <v>2</v>
      </c>
      <c r="R388" s="2" t="inlineStr">
        <is>
          <t>Tvåblad
Ängsnycklar</t>
        </is>
      </c>
      <c r="S388">
        <f>HYPERLINK("https://klasma.github.io/Logging_2283/artfynd/A 54486-2024 artfynd.xlsx", "A 54486-2024")</f>
        <v/>
      </c>
      <c r="T388">
        <f>HYPERLINK("https://klasma.github.io/Logging_2283/kartor/A 54486-2024 karta.png", "A 54486-2024")</f>
        <v/>
      </c>
      <c r="V388">
        <f>HYPERLINK("https://klasma.github.io/Logging_2283/klagomål/A 54486-2024 FSC-klagomål.docx", "A 54486-2024")</f>
        <v/>
      </c>
      <c r="W388">
        <f>HYPERLINK("https://klasma.github.io/Logging_2283/klagomålsmail/A 54486-2024 FSC-klagomål mail.docx", "A 54486-2024")</f>
        <v/>
      </c>
      <c r="X388">
        <f>HYPERLINK("https://klasma.github.io/Logging_2283/tillsyn/A 54486-2024 tillsynsbegäran.docx", "A 54486-2024")</f>
        <v/>
      </c>
      <c r="Y388">
        <f>HYPERLINK("https://klasma.github.io/Logging_2283/tillsynsmail/A 54486-2024 tillsynsbegäran mail.docx", "A 54486-2024")</f>
        <v/>
      </c>
    </row>
    <row r="389" ht="15" customHeight="1">
      <c r="A389" t="inlineStr">
        <is>
          <t>A 58314-2024</t>
        </is>
      </c>
      <c r="B389" s="1" t="n">
        <v>45632</v>
      </c>
      <c r="C389" s="1" t="n">
        <v>45822</v>
      </c>
      <c r="D389" t="inlineStr">
        <is>
          <t>VÄSTERNORRLANDS LÄN</t>
        </is>
      </c>
      <c r="E389" t="inlineStr">
        <is>
          <t>SOLLEFTEÅ</t>
        </is>
      </c>
      <c r="F389" t="inlineStr">
        <is>
          <t>SCA</t>
        </is>
      </c>
      <c r="G389" t="n">
        <v>3.3</v>
      </c>
      <c r="H389" t="n">
        <v>0</v>
      </c>
      <c r="I389" t="n">
        <v>0</v>
      </c>
      <c r="J389" t="n">
        <v>2</v>
      </c>
      <c r="K389" t="n">
        <v>0</v>
      </c>
      <c r="L389" t="n">
        <v>0</v>
      </c>
      <c r="M389" t="n">
        <v>0</v>
      </c>
      <c r="N389" t="n">
        <v>0</v>
      </c>
      <c r="O389" t="n">
        <v>2</v>
      </c>
      <c r="P389" t="n">
        <v>0</v>
      </c>
      <c r="Q389" t="n">
        <v>2</v>
      </c>
      <c r="R389" s="2" t="inlineStr">
        <is>
          <t>Garnlav
Gränsticka</t>
        </is>
      </c>
      <c r="S389">
        <f>HYPERLINK("https://klasma.github.io/Logging_2283/artfynd/A 58314-2024 artfynd.xlsx", "A 58314-2024")</f>
        <v/>
      </c>
      <c r="T389">
        <f>HYPERLINK("https://klasma.github.io/Logging_2283/kartor/A 58314-2024 karta.png", "A 58314-2024")</f>
        <v/>
      </c>
      <c r="V389">
        <f>HYPERLINK("https://klasma.github.io/Logging_2283/klagomål/A 58314-2024 FSC-klagomål.docx", "A 58314-2024")</f>
        <v/>
      </c>
      <c r="W389">
        <f>HYPERLINK("https://klasma.github.io/Logging_2283/klagomålsmail/A 58314-2024 FSC-klagomål mail.docx", "A 58314-2024")</f>
        <v/>
      </c>
      <c r="X389">
        <f>HYPERLINK("https://klasma.github.io/Logging_2283/tillsyn/A 58314-2024 tillsynsbegäran.docx", "A 58314-2024")</f>
        <v/>
      </c>
      <c r="Y389">
        <f>HYPERLINK("https://klasma.github.io/Logging_2283/tillsynsmail/A 58314-2024 tillsynsbegäran mail.docx", "A 58314-2024")</f>
        <v/>
      </c>
    </row>
    <row r="390" ht="15" customHeight="1">
      <c r="A390" t="inlineStr">
        <is>
          <t>A 59020-2024</t>
        </is>
      </c>
      <c r="B390" s="1" t="n">
        <v>45636</v>
      </c>
      <c r="C390" s="1" t="n">
        <v>45822</v>
      </c>
      <c r="D390" t="inlineStr">
        <is>
          <t>VÄSTERNORRLANDS LÄN</t>
        </is>
      </c>
      <c r="E390" t="inlineStr">
        <is>
          <t>SOLLEFTEÅ</t>
        </is>
      </c>
      <c r="F390" t="inlineStr">
        <is>
          <t>SCA</t>
        </is>
      </c>
      <c r="G390" t="n">
        <v>9.300000000000001</v>
      </c>
      <c r="H390" t="n">
        <v>0</v>
      </c>
      <c r="I390" t="n">
        <v>1</v>
      </c>
      <c r="J390" t="n">
        <v>1</v>
      </c>
      <c r="K390" t="n">
        <v>0</v>
      </c>
      <c r="L390" t="n">
        <v>0</v>
      </c>
      <c r="M390" t="n">
        <v>0</v>
      </c>
      <c r="N390" t="n">
        <v>0</v>
      </c>
      <c r="O390" t="n">
        <v>1</v>
      </c>
      <c r="P390" t="n">
        <v>0</v>
      </c>
      <c r="Q390" t="n">
        <v>2</v>
      </c>
      <c r="R390" s="2" t="inlineStr">
        <is>
          <t>Kortskaftad ärgspik
Bronshjon</t>
        </is>
      </c>
      <c r="S390">
        <f>HYPERLINK("https://klasma.github.io/Logging_2283/artfynd/A 59020-2024 artfynd.xlsx", "A 59020-2024")</f>
        <v/>
      </c>
      <c r="T390">
        <f>HYPERLINK("https://klasma.github.io/Logging_2283/kartor/A 59020-2024 karta.png", "A 59020-2024")</f>
        <v/>
      </c>
      <c r="V390">
        <f>HYPERLINK("https://klasma.github.io/Logging_2283/klagomål/A 59020-2024 FSC-klagomål.docx", "A 59020-2024")</f>
        <v/>
      </c>
      <c r="W390">
        <f>HYPERLINK("https://klasma.github.io/Logging_2283/klagomålsmail/A 59020-2024 FSC-klagomål mail.docx", "A 59020-2024")</f>
        <v/>
      </c>
      <c r="X390">
        <f>HYPERLINK("https://klasma.github.io/Logging_2283/tillsyn/A 59020-2024 tillsynsbegäran.docx", "A 59020-2024")</f>
        <v/>
      </c>
      <c r="Y390">
        <f>HYPERLINK("https://klasma.github.io/Logging_2283/tillsynsmail/A 59020-2024 tillsynsbegäran mail.docx", "A 59020-2024")</f>
        <v/>
      </c>
    </row>
    <row r="391" ht="15" customHeight="1">
      <c r="A391" t="inlineStr">
        <is>
          <t>A 58880-2024</t>
        </is>
      </c>
      <c r="B391" s="1" t="n">
        <v>45636</v>
      </c>
      <c r="C391" s="1" t="n">
        <v>45822</v>
      </c>
      <c r="D391" t="inlineStr">
        <is>
          <t>VÄSTERNORRLANDS LÄN</t>
        </is>
      </c>
      <c r="E391" t="inlineStr">
        <is>
          <t>SOLLEFTEÅ</t>
        </is>
      </c>
      <c r="F391" t="inlineStr">
        <is>
          <t>SCA</t>
        </is>
      </c>
      <c r="G391" t="n">
        <v>2</v>
      </c>
      <c r="H391" t="n">
        <v>0</v>
      </c>
      <c r="I391" t="n">
        <v>0</v>
      </c>
      <c r="J391" t="n">
        <v>2</v>
      </c>
      <c r="K391" t="n">
        <v>0</v>
      </c>
      <c r="L391" t="n">
        <v>0</v>
      </c>
      <c r="M391" t="n">
        <v>0</v>
      </c>
      <c r="N391" t="n">
        <v>0</v>
      </c>
      <c r="O391" t="n">
        <v>2</v>
      </c>
      <c r="P391" t="n">
        <v>0</v>
      </c>
      <c r="Q391" t="n">
        <v>2</v>
      </c>
      <c r="R391" s="2" t="inlineStr">
        <is>
          <t>Gammelgransskål
Garnlav</t>
        </is>
      </c>
      <c r="S391">
        <f>HYPERLINK("https://klasma.github.io/Logging_2283/artfynd/A 58880-2024 artfynd.xlsx", "A 58880-2024")</f>
        <v/>
      </c>
      <c r="T391">
        <f>HYPERLINK("https://klasma.github.io/Logging_2283/kartor/A 58880-2024 karta.png", "A 58880-2024")</f>
        <v/>
      </c>
      <c r="V391">
        <f>HYPERLINK("https://klasma.github.io/Logging_2283/klagomål/A 58880-2024 FSC-klagomål.docx", "A 58880-2024")</f>
        <v/>
      </c>
      <c r="W391">
        <f>HYPERLINK("https://klasma.github.io/Logging_2283/klagomålsmail/A 58880-2024 FSC-klagomål mail.docx", "A 58880-2024")</f>
        <v/>
      </c>
      <c r="X391">
        <f>HYPERLINK("https://klasma.github.io/Logging_2283/tillsyn/A 58880-2024 tillsynsbegäran.docx", "A 58880-2024")</f>
        <v/>
      </c>
      <c r="Y391">
        <f>HYPERLINK("https://klasma.github.io/Logging_2283/tillsynsmail/A 58880-2024 tillsynsbegäran mail.docx", "A 58880-2024")</f>
        <v/>
      </c>
    </row>
    <row r="392" ht="15" customHeight="1">
      <c r="A392" t="inlineStr">
        <is>
          <t>A 60060-2024</t>
        </is>
      </c>
      <c r="B392" s="1" t="n">
        <v>45642</v>
      </c>
      <c r="C392" s="1" t="n">
        <v>45822</v>
      </c>
      <c r="D392" t="inlineStr">
        <is>
          <t>VÄSTERNORRLANDS LÄN</t>
        </is>
      </c>
      <c r="E392" t="inlineStr">
        <is>
          <t>SOLLEFTEÅ</t>
        </is>
      </c>
      <c r="F392" t="inlineStr">
        <is>
          <t>SCA</t>
        </is>
      </c>
      <c r="G392" t="n">
        <v>3.8</v>
      </c>
      <c r="H392" t="n">
        <v>0</v>
      </c>
      <c r="I392" t="n">
        <v>0</v>
      </c>
      <c r="J392" t="n">
        <v>2</v>
      </c>
      <c r="K392" t="n">
        <v>0</v>
      </c>
      <c r="L392" t="n">
        <v>0</v>
      </c>
      <c r="M392" t="n">
        <v>0</v>
      </c>
      <c r="N392" t="n">
        <v>0</v>
      </c>
      <c r="O392" t="n">
        <v>2</v>
      </c>
      <c r="P392" t="n">
        <v>0</v>
      </c>
      <c r="Q392" t="n">
        <v>2</v>
      </c>
      <c r="R392" s="2" t="inlineStr">
        <is>
          <t>Brunklöver
Garnlav</t>
        </is>
      </c>
      <c r="S392">
        <f>HYPERLINK("https://klasma.github.io/Logging_2283/artfynd/A 60060-2024 artfynd.xlsx", "A 60060-2024")</f>
        <v/>
      </c>
      <c r="T392">
        <f>HYPERLINK("https://klasma.github.io/Logging_2283/kartor/A 60060-2024 karta.png", "A 60060-2024")</f>
        <v/>
      </c>
      <c r="V392">
        <f>HYPERLINK("https://klasma.github.io/Logging_2283/klagomål/A 60060-2024 FSC-klagomål.docx", "A 60060-2024")</f>
        <v/>
      </c>
      <c r="W392">
        <f>HYPERLINK("https://klasma.github.io/Logging_2283/klagomålsmail/A 60060-2024 FSC-klagomål mail.docx", "A 60060-2024")</f>
        <v/>
      </c>
      <c r="X392">
        <f>HYPERLINK("https://klasma.github.io/Logging_2283/tillsyn/A 60060-2024 tillsynsbegäran.docx", "A 60060-2024")</f>
        <v/>
      </c>
      <c r="Y392">
        <f>HYPERLINK("https://klasma.github.io/Logging_2283/tillsynsmail/A 60060-2024 tillsynsbegäran mail.docx", "A 60060-2024")</f>
        <v/>
      </c>
    </row>
    <row r="393" ht="15" customHeight="1">
      <c r="A393" t="inlineStr">
        <is>
          <t>A 60665-2024</t>
        </is>
      </c>
      <c r="B393" s="1" t="n">
        <v>45644</v>
      </c>
      <c r="C393" s="1" t="n">
        <v>45822</v>
      </c>
      <c r="D393" t="inlineStr">
        <is>
          <t>VÄSTERNORRLANDS LÄN</t>
        </is>
      </c>
      <c r="E393" t="inlineStr">
        <is>
          <t>SOLLEFTEÅ</t>
        </is>
      </c>
      <c r="F393" t="inlineStr">
        <is>
          <t>SCA</t>
        </is>
      </c>
      <c r="G393" t="n">
        <v>65.7</v>
      </c>
      <c r="H393" t="n">
        <v>2</v>
      </c>
      <c r="I393" t="n">
        <v>0</v>
      </c>
      <c r="J393" t="n">
        <v>1</v>
      </c>
      <c r="K393" t="n">
        <v>0</v>
      </c>
      <c r="L393" t="n">
        <v>0</v>
      </c>
      <c r="M393" t="n">
        <v>0</v>
      </c>
      <c r="N393" t="n">
        <v>0</v>
      </c>
      <c r="O393" t="n">
        <v>1</v>
      </c>
      <c r="P393" t="n">
        <v>0</v>
      </c>
      <c r="Q393" t="n">
        <v>2</v>
      </c>
      <c r="R393" s="2" t="inlineStr">
        <is>
          <t>Talltita
Fläcknycklar</t>
        </is>
      </c>
      <c r="S393">
        <f>HYPERLINK("https://klasma.github.io/Logging_2283/artfynd/A 60665-2024 artfynd.xlsx", "A 60665-2024")</f>
        <v/>
      </c>
      <c r="T393">
        <f>HYPERLINK("https://klasma.github.io/Logging_2283/kartor/A 60665-2024 karta.png", "A 60665-2024")</f>
        <v/>
      </c>
      <c r="V393">
        <f>HYPERLINK("https://klasma.github.io/Logging_2283/klagomål/A 60665-2024 FSC-klagomål.docx", "A 60665-2024")</f>
        <v/>
      </c>
      <c r="W393">
        <f>HYPERLINK("https://klasma.github.io/Logging_2283/klagomålsmail/A 60665-2024 FSC-klagomål mail.docx", "A 60665-2024")</f>
        <v/>
      </c>
      <c r="X393">
        <f>HYPERLINK("https://klasma.github.io/Logging_2283/tillsyn/A 60665-2024 tillsynsbegäran.docx", "A 60665-2024")</f>
        <v/>
      </c>
      <c r="Y393">
        <f>HYPERLINK("https://klasma.github.io/Logging_2283/tillsynsmail/A 60665-2024 tillsynsbegäran mail.docx", "A 60665-2024")</f>
        <v/>
      </c>
      <c r="Z393">
        <f>HYPERLINK("https://klasma.github.io/Logging_2283/fåglar/A 60665-2024 prioriterade fågelarter.docx", "A 60665-2024")</f>
        <v/>
      </c>
    </row>
    <row r="394" ht="15" customHeight="1">
      <c r="A394" t="inlineStr">
        <is>
          <t>A 2347-2025</t>
        </is>
      </c>
      <c r="B394" s="1" t="n">
        <v>45673</v>
      </c>
      <c r="C394" s="1" t="n">
        <v>45822</v>
      </c>
      <c r="D394" t="inlineStr">
        <is>
          <t>VÄSTERNORRLANDS LÄN</t>
        </is>
      </c>
      <c r="E394" t="inlineStr">
        <is>
          <t>SOLLEFTEÅ</t>
        </is>
      </c>
      <c r="F394" t="inlineStr">
        <is>
          <t>SCA</t>
        </is>
      </c>
      <c r="G394" t="n">
        <v>3.3</v>
      </c>
      <c r="H394" t="n">
        <v>1</v>
      </c>
      <c r="I394" t="n">
        <v>0</v>
      </c>
      <c r="J394" t="n">
        <v>2</v>
      </c>
      <c r="K394" t="n">
        <v>0</v>
      </c>
      <c r="L394" t="n">
        <v>0</v>
      </c>
      <c r="M394" t="n">
        <v>0</v>
      </c>
      <c r="N394" t="n">
        <v>0</v>
      </c>
      <c r="O394" t="n">
        <v>2</v>
      </c>
      <c r="P394" t="n">
        <v>0</v>
      </c>
      <c r="Q394" t="n">
        <v>2</v>
      </c>
      <c r="R394" s="2" t="inlineStr">
        <is>
          <t>Garnlav
Spillkråka</t>
        </is>
      </c>
      <c r="S394">
        <f>HYPERLINK("https://klasma.github.io/Logging_2283/artfynd/A 2347-2025 artfynd.xlsx", "A 2347-2025")</f>
        <v/>
      </c>
      <c r="T394">
        <f>HYPERLINK("https://klasma.github.io/Logging_2283/kartor/A 2347-2025 karta.png", "A 2347-2025")</f>
        <v/>
      </c>
      <c r="V394">
        <f>HYPERLINK("https://klasma.github.io/Logging_2283/klagomål/A 2347-2025 FSC-klagomål.docx", "A 2347-2025")</f>
        <v/>
      </c>
      <c r="W394">
        <f>HYPERLINK("https://klasma.github.io/Logging_2283/klagomålsmail/A 2347-2025 FSC-klagomål mail.docx", "A 2347-2025")</f>
        <v/>
      </c>
      <c r="X394">
        <f>HYPERLINK("https://klasma.github.io/Logging_2283/tillsyn/A 2347-2025 tillsynsbegäran.docx", "A 2347-2025")</f>
        <v/>
      </c>
      <c r="Y394">
        <f>HYPERLINK("https://klasma.github.io/Logging_2283/tillsynsmail/A 2347-2025 tillsynsbegäran mail.docx", "A 2347-2025")</f>
        <v/>
      </c>
      <c r="Z394">
        <f>HYPERLINK("https://klasma.github.io/Logging_2283/fåglar/A 2347-2025 prioriterade fågelarter.docx", "A 2347-2025")</f>
        <v/>
      </c>
    </row>
    <row r="395" ht="15" customHeight="1">
      <c r="A395" t="inlineStr">
        <is>
          <t>A 5247-2025</t>
        </is>
      </c>
      <c r="B395" s="1" t="n">
        <v>45692</v>
      </c>
      <c r="C395" s="1" t="n">
        <v>45822</v>
      </c>
      <c r="D395" t="inlineStr">
        <is>
          <t>VÄSTERNORRLANDS LÄN</t>
        </is>
      </c>
      <c r="E395" t="inlineStr">
        <is>
          <t>SOLLEFTEÅ</t>
        </is>
      </c>
      <c r="F395" t="inlineStr">
        <is>
          <t>SCA</t>
        </is>
      </c>
      <c r="G395" t="n">
        <v>6.1</v>
      </c>
      <c r="H395" t="n">
        <v>1</v>
      </c>
      <c r="I395" t="n">
        <v>0</v>
      </c>
      <c r="J395" t="n">
        <v>2</v>
      </c>
      <c r="K395" t="n">
        <v>0</v>
      </c>
      <c r="L395" t="n">
        <v>0</v>
      </c>
      <c r="M395" t="n">
        <v>0</v>
      </c>
      <c r="N395" t="n">
        <v>0</v>
      </c>
      <c r="O395" t="n">
        <v>2</v>
      </c>
      <c r="P395" t="n">
        <v>0</v>
      </c>
      <c r="Q395" t="n">
        <v>2</v>
      </c>
      <c r="R395" s="2" t="inlineStr">
        <is>
          <t>Lunglav
Tretåig hackspett</t>
        </is>
      </c>
      <c r="S395">
        <f>HYPERLINK("https://klasma.github.io/Logging_2283/artfynd/A 5247-2025 artfynd.xlsx", "A 5247-2025")</f>
        <v/>
      </c>
      <c r="T395">
        <f>HYPERLINK("https://klasma.github.io/Logging_2283/kartor/A 5247-2025 karta.png", "A 5247-2025")</f>
        <v/>
      </c>
      <c r="V395">
        <f>HYPERLINK("https://klasma.github.io/Logging_2283/klagomål/A 5247-2025 FSC-klagomål.docx", "A 5247-2025")</f>
        <v/>
      </c>
      <c r="W395">
        <f>HYPERLINK("https://klasma.github.io/Logging_2283/klagomålsmail/A 5247-2025 FSC-klagomål mail.docx", "A 5247-2025")</f>
        <v/>
      </c>
      <c r="X395">
        <f>HYPERLINK("https://klasma.github.io/Logging_2283/tillsyn/A 5247-2025 tillsynsbegäran.docx", "A 5247-2025")</f>
        <v/>
      </c>
      <c r="Y395">
        <f>HYPERLINK("https://klasma.github.io/Logging_2283/tillsynsmail/A 5247-2025 tillsynsbegäran mail.docx", "A 5247-2025")</f>
        <v/>
      </c>
      <c r="Z395">
        <f>HYPERLINK("https://klasma.github.io/Logging_2283/fåglar/A 5247-2025 prioriterade fågelarter.docx", "A 5247-2025")</f>
        <v/>
      </c>
    </row>
    <row r="396" ht="15" customHeight="1">
      <c r="A396" t="inlineStr">
        <is>
          <t>A 7837-2025</t>
        </is>
      </c>
      <c r="B396" s="1" t="n">
        <v>45706</v>
      </c>
      <c r="C396" s="1" t="n">
        <v>45822</v>
      </c>
      <c r="D396" t="inlineStr">
        <is>
          <t>VÄSTERNORRLANDS LÄN</t>
        </is>
      </c>
      <c r="E396" t="inlineStr">
        <is>
          <t>SOLLEFTEÅ</t>
        </is>
      </c>
      <c r="F396" t="inlineStr">
        <is>
          <t>SCA</t>
        </is>
      </c>
      <c r="G396" t="n">
        <v>2</v>
      </c>
      <c r="H396" t="n">
        <v>0</v>
      </c>
      <c r="I396" t="n">
        <v>1</v>
      </c>
      <c r="J396" t="n">
        <v>1</v>
      </c>
      <c r="K396" t="n">
        <v>0</v>
      </c>
      <c r="L396" t="n">
        <v>0</v>
      </c>
      <c r="M396" t="n">
        <v>0</v>
      </c>
      <c r="N396" t="n">
        <v>0</v>
      </c>
      <c r="O396" t="n">
        <v>1</v>
      </c>
      <c r="P396" t="n">
        <v>0</v>
      </c>
      <c r="Q396" t="n">
        <v>2</v>
      </c>
      <c r="R396" s="2" t="inlineStr">
        <is>
          <t>Gammelgransskål
Norrlandslav</t>
        </is>
      </c>
      <c r="S396">
        <f>HYPERLINK("https://klasma.github.io/Logging_2283/artfynd/A 7837-2025 artfynd.xlsx", "A 7837-2025")</f>
        <v/>
      </c>
      <c r="T396">
        <f>HYPERLINK("https://klasma.github.io/Logging_2283/kartor/A 7837-2025 karta.png", "A 7837-2025")</f>
        <v/>
      </c>
      <c r="V396">
        <f>HYPERLINK("https://klasma.github.io/Logging_2283/klagomål/A 7837-2025 FSC-klagomål.docx", "A 7837-2025")</f>
        <v/>
      </c>
      <c r="W396">
        <f>HYPERLINK("https://klasma.github.io/Logging_2283/klagomålsmail/A 7837-2025 FSC-klagomål mail.docx", "A 7837-2025")</f>
        <v/>
      </c>
      <c r="X396">
        <f>HYPERLINK("https://klasma.github.io/Logging_2283/tillsyn/A 7837-2025 tillsynsbegäran.docx", "A 7837-2025")</f>
        <v/>
      </c>
      <c r="Y396">
        <f>HYPERLINK("https://klasma.github.io/Logging_2283/tillsynsmail/A 7837-2025 tillsynsbegäran mail.docx", "A 7837-2025")</f>
        <v/>
      </c>
    </row>
    <row r="397" ht="15" customHeight="1">
      <c r="A397" t="inlineStr">
        <is>
          <t>A 11578-2025</t>
        </is>
      </c>
      <c r="B397" s="1" t="n">
        <v>45727</v>
      </c>
      <c r="C397" s="1" t="n">
        <v>45822</v>
      </c>
      <c r="D397" t="inlineStr">
        <is>
          <t>VÄSTERNORRLANDS LÄN</t>
        </is>
      </c>
      <c r="E397" t="inlineStr">
        <is>
          <t>SOLLEFTEÅ</t>
        </is>
      </c>
      <c r="F397" t="inlineStr">
        <is>
          <t>SCA</t>
        </is>
      </c>
      <c r="G397" t="n">
        <v>1</v>
      </c>
      <c r="H397" t="n">
        <v>2</v>
      </c>
      <c r="I397" t="n">
        <v>0</v>
      </c>
      <c r="J397" t="n">
        <v>2</v>
      </c>
      <c r="K397" t="n">
        <v>0</v>
      </c>
      <c r="L397" t="n">
        <v>0</v>
      </c>
      <c r="M397" t="n">
        <v>0</v>
      </c>
      <c r="N397" t="n">
        <v>0</v>
      </c>
      <c r="O397" t="n">
        <v>2</v>
      </c>
      <c r="P397" t="n">
        <v>0</v>
      </c>
      <c r="Q397" t="n">
        <v>2</v>
      </c>
      <c r="R397" s="2" t="inlineStr">
        <is>
          <t>Spillkråka
Tretåig hackspett</t>
        </is>
      </c>
      <c r="S397">
        <f>HYPERLINK("https://klasma.github.io/Logging_222283/artfynd/A 11578-2025 artfynd.xlsx", "A 11578-2025")</f>
        <v/>
      </c>
      <c r="T397">
        <f>HYPERLINK("https://klasma.github.io/Logging_222283/kartor/A 11578-2025 karta.png", "A 11578-2025")</f>
        <v/>
      </c>
      <c r="U397">
        <f>HYPERLINK("https://klasma.github.io/Logging_222283/knärot/A 11578-2025 karta knärot.png", "A 11578-2025")</f>
        <v/>
      </c>
      <c r="V397">
        <f>HYPERLINK("https://klasma.github.io/Logging_222283/klagomål/A 11578-2025 FSC-klagomål.docx", "A 11578-2025")</f>
        <v/>
      </c>
      <c r="W397">
        <f>HYPERLINK("https://klasma.github.io/Logging_222283/klagomålsmail/A 11578-2025 FSC-klagomål mail.docx", "A 11578-2025")</f>
        <v/>
      </c>
      <c r="X397">
        <f>HYPERLINK("https://klasma.github.io/Logging_222283/tillsyn/A 11578-2025 tillsynsbegäran.docx", "A 11578-2025")</f>
        <v/>
      </c>
      <c r="Y397">
        <f>HYPERLINK("https://klasma.github.io/Logging_222283/tillsynsmail/A 11578-2025 tillsynsbegäran mail.docx", "A 11578-2025")</f>
        <v/>
      </c>
      <c r="Z397">
        <f>HYPERLINK("https://klasma.github.io/Logging_222283/fåglar/A 11578-2025 prioriterade fågelarter.docx", "A 11578-2025")</f>
        <v/>
      </c>
    </row>
    <row r="398" ht="15" customHeight="1">
      <c r="A398" t="inlineStr">
        <is>
          <t>A 12269-2025</t>
        </is>
      </c>
      <c r="B398" s="1" t="n">
        <v>45729</v>
      </c>
      <c r="C398" s="1" t="n">
        <v>45822</v>
      </c>
      <c r="D398" t="inlineStr">
        <is>
          <t>VÄSTERNORRLANDS LÄN</t>
        </is>
      </c>
      <c r="E398" t="inlineStr">
        <is>
          <t>SOLLEFTEÅ</t>
        </is>
      </c>
      <c r="G398" t="n">
        <v>10.9</v>
      </c>
      <c r="H398" t="n">
        <v>0</v>
      </c>
      <c r="I398" t="n">
        <v>0</v>
      </c>
      <c r="J398" t="n">
        <v>2</v>
      </c>
      <c r="K398" t="n">
        <v>0</v>
      </c>
      <c r="L398" t="n">
        <v>0</v>
      </c>
      <c r="M398" t="n">
        <v>0</v>
      </c>
      <c r="N398" t="n">
        <v>0</v>
      </c>
      <c r="O398" t="n">
        <v>2</v>
      </c>
      <c r="P398" t="n">
        <v>0</v>
      </c>
      <c r="Q398" t="n">
        <v>2</v>
      </c>
      <c r="R398" s="2" t="inlineStr">
        <is>
          <t>Garnlav
Lunglav</t>
        </is>
      </c>
      <c r="S398">
        <f>HYPERLINK("https://klasma.github.io/Logging_222283/artfynd/A 12269-2025 artfynd.xlsx", "A 12269-2025")</f>
        <v/>
      </c>
      <c r="T398">
        <f>HYPERLINK("https://klasma.github.io/Logging_222283/kartor/A 12269-2025 karta.png", "A 12269-2025")</f>
        <v/>
      </c>
      <c r="V398">
        <f>HYPERLINK("https://klasma.github.io/Logging_222283/klagomål/A 12269-2025 FSC-klagomål.docx", "A 12269-2025")</f>
        <v/>
      </c>
      <c r="W398">
        <f>HYPERLINK("https://klasma.github.io/Logging_222283/klagomålsmail/A 12269-2025 FSC-klagomål mail.docx", "A 12269-2025")</f>
        <v/>
      </c>
      <c r="X398">
        <f>HYPERLINK("https://klasma.github.io/Logging_222283/tillsyn/A 12269-2025 tillsynsbegäran.docx", "A 12269-2025")</f>
        <v/>
      </c>
      <c r="Y398">
        <f>HYPERLINK("https://klasma.github.io/Logging_222283/tillsynsmail/A 12269-2025 tillsynsbegäran mail.docx", "A 12269-2025")</f>
        <v/>
      </c>
    </row>
    <row r="399" ht="15" customHeight="1">
      <c r="A399" t="inlineStr">
        <is>
          <t>A 12940-2025</t>
        </is>
      </c>
      <c r="B399" s="1" t="n">
        <v>45734</v>
      </c>
      <c r="C399" s="1" t="n">
        <v>45822</v>
      </c>
      <c r="D399" t="inlineStr">
        <is>
          <t>VÄSTERNORRLANDS LÄN</t>
        </is>
      </c>
      <c r="E399" t="inlineStr">
        <is>
          <t>SOLLEFTEÅ</t>
        </is>
      </c>
      <c r="F399" t="inlineStr">
        <is>
          <t>SCA</t>
        </is>
      </c>
      <c r="G399" t="n">
        <v>17.6</v>
      </c>
      <c r="H399" t="n">
        <v>0</v>
      </c>
      <c r="I399" t="n">
        <v>1</v>
      </c>
      <c r="J399" t="n">
        <v>0</v>
      </c>
      <c r="K399" t="n">
        <v>1</v>
      </c>
      <c r="L399" t="n">
        <v>0</v>
      </c>
      <c r="M399" t="n">
        <v>0</v>
      </c>
      <c r="N399" t="n">
        <v>0</v>
      </c>
      <c r="O399" t="n">
        <v>1</v>
      </c>
      <c r="P399" t="n">
        <v>1</v>
      </c>
      <c r="Q399" t="n">
        <v>2</v>
      </c>
      <c r="R399" s="2" t="inlineStr">
        <is>
          <t>Allékantlav
Stor aspticka</t>
        </is>
      </c>
      <c r="S399">
        <f>HYPERLINK("https://klasma.github.io/Logging_222283/artfynd/A 12940-2025 artfynd.xlsx", "A 12940-2025")</f>
        <v/>
      </c>
      <c r="T399">
        <f>HYPERLINK("https://klasma.github.io/Logging_222283/kartor/A 12940-2025 karta.png", "A 12940-2025")</f>
        <v/>
      </c>
      <c r="V399">
        <f>HYPERLINK("https://klasma.github.io/Logging_222283/klagomål/A 12940-2025 FSC-klagomål.docx", "A 12940-2025")</f>
        <v/>
      </c>
      <c r="W399">
        <f>HYPERLINK("https://klasma.github.io/Logging_222283/klagomålsmail/A 12940-2025 FSC-klagomål mail.docx", "A 12940-2025")</f>
        <v/>
      </c>
      <c r="X399">
        <f>HYPERLINK("https://klasma.github.io/Logging_222283/tillsyn/A 12940-2025 tillsynsbegäran.docx", "A 12940-2025")</f>
        <v/>
      </c>
      <c r="Y399">
        <f>HYPERLINK("https://klasma.github.io/Logging_222283/tillsynsmail/A 12940-2025 tillsynsbegäran mail.docx", "A 12940-2025")</f>
        <v/>
      </c>
    </row>
    <row r="400" ht="15" customHeight="1">
      <c r="A400" t="inlineStr">
        <is>
          <t>A 13743-2025</t>
        </is>
      </c>
      <c r="B400" s="1" t="n">
        <v>45737</v>
      </c>
      <c r="C400" s="1" t="n">
        <v>45822</v>
      </c>
      <c r="D400" t="inlineStr">
        <is>
          <t>VÄSTERNORRLANDS LÄN</t>
        </is>
      </c>
      <c r="E400" t="inlineStr">
        <is>
          <t>SOLLEFTEÅ</t>
        </is>
      </c>
      <c r="F400" t="inlineStr">
        <is>
          <t>SCA</t>
        </is>
      </c>
      <c r="G400" t="n">
        <v>2.1</v>
      </c>
      <c r="H400" t="n">
        <v>2</v>
      </c>
      <c r="I400" t="n">
        <v>0</v>
      </c>
      <c r="J400" t="n">
        <v>0</v>
      </c>
      <c r="K400" t="n">
        <v>0</v>
      </c>
      <c r="L400" t="n">
        <v>0</v>
      </c>
      <c r="M400" t="n">
        <v>0</v>
      </c>
      <c r="N400" t="n">
        <v>0</v>
      </c>
      <c r="O400" t="n">
        <v>0</v>
      </c>
      <c r="P400" t="n">
        <v>0</v>
      </c>
      <c r="Q400" t="n">
        <v>2</v>
      </c>
      <c r="R400" s="2" t="inlineStr">
        <is>
          <t>Vanlig groda
Revlummer</t>
        </is>
      </c>
      <c r="S400">
        <f>HYPERLINK("https://klasma.github.io/Logging_222283/artfynd/A 13743-2025 artfynd.xlsx", "A 13743-2025")</f>
        <v/>
      </c>
      <c r="T400">
        <f>HYPERLINK("https://klasma.github.io/Logging_222283/kartor/A 13743-2025 karta.png", "A 13743-2025")</f>
        <v/>
      </c>
      <c r="V400">
        <f>HYPERLINK("https://klasma.github.io/Logging_222283/klagomål/A 13743-2025 FSC-klagomål.docx", "A 13743-2025")</f>
        <v/>
      </c>
      <c r="W400">
        <f>HYPERLINK("https://klasma.github.io/Logging_222283/klagomålsmail/A 13743-2025 FSC-klagomål mail.docx", "A 13743-2025")</f>
        <v/>
      </c>
      <c r="X400">
        <f>HYPERLINK("https://klasma.github.io/Logging_222283/tillsyn/A 13743-2025 tillsynsbegäran.docx", "A 13743-2025")</f>
        <v/>
      </c>
      <c r="Y400">
        <f>HYPERLINK("https://klasma.github.io/Logging_222283/tillsynsmail/A 13743-2025 tillsynsbegäran mail.docx", "A 13743-2025")</f>
        <v/>
      </c>
    </row>
    <row r="401" ht="15" customHeight="1">
      <c r="A401" t="inlineStr">
        <is>
          <t>A 20329-2025</t>
        </is>
      </c>
      <c r="B401" s="1" t="n">
        <v>45775</v>
      </c>
      <c r="C401" s="1" t="n">
        <v>45822</v>
      </c>
      <c r="D401" t="inlineStr">
        <is>
          <t>VÄSTERNORRLANDS LÄN</t>
        </is>
      </c>
      <c r="E401" t="inlineStr">
        <is>
          <t>SOLLEFTEÅ</t>
        </is>
      </c>
      <c r="G401" t="n">
        <v>9.5</v>
      </c>
      <c r="H401" t="n">
        <v>2</v>
      </c>
      <c r="I401" t="n">
        <v>1</v>
      </c>
      <c r="J401" t="n">
        <v>0</v>
      </c>
      <c r="K401" t="n">
        <v>0</v>
      </c>
      <c r="L401" t="n">
        <v>0</v>
      </c>
      <c r="M401" t="n">
        <v>0</v>
      </c>
      <c r="N401" t="n">
        <v>0</v>
      </c>
      <c r="O401" t="n">
        <v>0</v>
      </c>
      <c r="P401" t="n">
        <v>0</v>
      </c>
      <c r="Q401" t="n">
        <v>2</v>
      </c>
      <c r="R401" s="2" t="inlineStr">
        <is>
          <t>Tvåblad
Fläcknycklar</t>
        </is>
      </c>
      <c r="S401">
        <f>HYPERLINK("https://klasma.github.io/Logging_222283/artfynd/A 20329-2025 artfynd.xlsx", "A 20329-2025")</f>
        <v/>
      </c>
      <c r="T401">
        <f>HYPERLINK("https://klasma.github.io/Logging_222283/kartor/A 20329-2025 karta.png", "A 20329-2025")</f>
        <v/>
      </c>
      <c r="V401">
        <f>HYPERLINK("https://klasma.github.io/Logging_222283/klagomål/A 20329-2025 FSC-klagomål.docx", "A 20329-2025")</f>
        <v/>
      </c>
      <c r="W401">
        <f>HYPERLINK("https://klasma.github.io/Logging_222283/klagomålsmail/A 20329-2025 FSC-klagomål mail.docx", "A 20329-2025")</f>
        <v/>
      </c>
      <c r="X401">
        <f>HYPERLINK("https://klasma.github.io/Logging_222283/tillsyn/A 20329-2025 tillsynsbegäran.docx", "A 20329-2025")</f>
        <v/>
      </c>
      <c r="Y401">
        <f>HYPERLINK("https://klasma.github.io/Logging_222283/tillsynsmail/A 20329-2025 tillsynsbegäran mail.docx", "A 20329-2025")</f>
        <v/>
      </c>
    </row>
    <row r="402" ht="15" customHeight="1">
      <c r="A402" t="inlineStr">
        <is>
          <t>A 20347-2025</t>
        </is>
      </c>
      <c r="B402" s="1" t="n">
        <v>45775</v>
      </c>
      <c r="C402" s="1" t="n">
        <v>45822</v>
      </c>
      <c r="D402" t="inlineStr">
        <is>
          <t>VÄSTERNORRLANDS LÄN</t>
        </is>
      </c>
      <c r="E402" t="inlineStr">
        <is>
          <t>SOLLEFTEÅ</t>
        </is>
      </c>
      <c r="G402" t="n">
        <v>8.699999999999999</v>
      </c>
      <c r="H402" t="n">
        <v>1</v>
      </c>
      <c r="I402" t="n">
        <v>1</v>
      </c>
      <c r="J402" t="n">
        <v>0</v>
      </c>
      <c r="K402" t="n">
        <v>0</v>
      </c>
      <c r="L402" t="n">
        <v>0</v>
      </c>
      <c r="M402" t="n">
        <v>0</v>
      </c>
      <c r="N402" t="n">
        <v>0</v>
      </c>
      <c r="O402" t="n">
        <v>0</v>
      </c>
      <c r="P402" t="n">
        <v>0</v>
      </c>
      <c r="Q402" t="n">
        <v>2</v>
      </c>
      <c r="R402" s="2" t="inlineStr">
        <is>
          <t>Gräsull
Fläcknycklar</t>
        </is>
      </c>
      <c r="S402">
        <f>HYPERLINK("https://klasma.github.io/Logging_222283/artfynd/A 20347-2025 artfynd.xlsx", "A 20347-2025")</f>
        <v/>
      </c>
      <c r="T402">
        <f>HYPERLINK("https://klasma.github.io/Logging_222283/kartor/A 20347-2025 karta.png", "A 20347-2025")</f>
        <v/>
      </c>
      <c r="V402">
        <f>HYPERLINK("https://klasma.github.io/Logging_222283/klagomål/A 20347-2025 FSC-klagomål.docx", "A 20347-2025")</f>
        <v/>
      </c>
      <c r="W402">
        <f>HYPERLINK("https://klasma.github.io/Logging_222283/klagomålsmail/A 20347-2025 FSC-klagomål mail.docx", "A 20347-2025")</f>
        <v/>
      </c>
      <c r="X402">
        <f>HYPERLINK("https://klasma.github.io/Logging_222283/tillsyn/A 20347-2025 tillsynsbegäran.docx", "A 20347-2025")</f>
        <v/>
      </c>
      <c r="Y402">
        <f>HYPERLINK("https://klasma.github.io/Logging_222283/tillsynsmail/A 20347-2025 tillsynsbegäran mail.docx", "A 20347-2025")</f>
        <v/>
      </c>
    </row>
    <row r="403" ht="15" customHeight="1">
      <c r="A403" t="inlineStr">
        <is>
          <t>A 21485-2025</t>
        </is>
      </c>
      <c r="B403" s="1" t="n">
        <v>45782</v>
      </c>
      <c r="C403" s="1" t="n">
        <v>45822</v>
      </c>
      <c r="D403" t="inlineStr">
        <is>
          <t>VÄSTERNORRLANDS LÄN</t>
        </is>
      </c>
      <c r="E403" t="inlineStr">
        <is>
          <t>SOLLEFTEÅ</t>
        </is>
      </c>
      <c r="F403" t="inlineStr">
        <is>
          <t>SCA</t>
        </is>
      </c>
      <c r="G403" t="n">
        <v>5.4</v>
      </c>
      <c r="H403" t="n">
        <v>0</v>
      </c>
      <c r="I403" t="n">
        <v>1</v>
      </c>
      <c r="J403" t="n">
        <v>1</v>
      </c>
      <c r="K403" t="n">
        <v>0</v>
      </c>
      <c r="L403" t="n">
        <v>0</v>
      </c>
      <c r="M403" t="n">
        <v>0</v>
      </c>
      <c r="N403" t="n">
        <v>0</v>
      </c>
      <c r="O403" t="n">
        <v>1</v>
      </c>
      <c r="P403" t="n">
        <v>0</v>
      </c>
      <c r="Q403" t="n">
        <v>2</v>
      </c>
      <c r="R403" s="2" t="inlineStr">
        <is>
          <t>Garnlav
Vågbandad barkbock</t>
        </is>
      </c>
      <c r="S403">
        <f>HYPERLINK("https://klasma.github.io/Logging_222283/artfynd/A 21485-2025 artfynd.xlsx", "A 21485-2025")</f>
        <v/>
      </c>
      <c r="T403">
        <f>HYPERLINK("https://klasma.github.io/Logging_222283/kartor/A 21485-2025 karta.png", "A 21485-2025")</f>
        <v/>
      </c>
      <c r="V403">
        <f>HYPERLINK("https://klasma.github.io/Logging_222283/klagomål/A 21485-2025 FSC-klagomål.docx", "A 21485-2025")</f>
        <v/>
      </c>
      <c r="W403">
        <f>HYPERLINK("https://klasma.github.io/Logging_222283/klagomålsmail/A 21485-2025 FSC-klagomål mail.docx", "A 21485-2025")</f>
        <v/>
      </c>
      <c r="X403">
        <f>HYPERLINK("https://klasma.github.io/Logging_222283/tillsyn/A 21485-2025 tillsynsbegäran.docx", "A 21485-2025")</f>
        <v/>
      </c>
      <c r="Y403">
        <f>HYPERLINK("https://klasma.github.io/Logging_222283/tillsynsmail/A 21485-2025 tillsynsbegäran mail.docx", "A 21485-2025")</f>
        <v/>
      </c>
    </row>
    <row r="404" ht="15" customHeight="1">
      <c r="A404" t="inlineStr">
        <is>
          <t>A 21742-2025</t>
        </is>
      </c>
      <c r="B404" s="1" t="n">
        <v>45783</v>
      </c>
      <c r="C404" s="1" t="n">
        <v>45822</v>
      </c>
      <c r="D404" t="inlineStr">
        <is>
          <t>VÄSTERNORRLANDS LÄN</t>
        </is>
      </c>
      <c r="E404" t="inlineStr">
        <is>
          <t>SOLLEFTEÅ</t>
        </is>
      </c>
      <c r="F404" t="inlineStr">
        <is>
          <t>SCA</t>
        </is>
      </c>
      <c r="G404" t="n">
        <v>1.5</v>
      </c>
      <c r="H404" t="n">
        <v>1</v>
      </c>
      <c r="I404" t="n">
        <v>0</v>
      </c>
      <c r="J404" t="n">
        <v>1</v>
      </c>
      <c r="K404" t="n">
        <v>0</v>
      </c>
      <c r="L404" t="n">
        <v>0</v>
      </c>
      <c r="M404" t="n">
        <v>0</v>
      </c>
      <c r="N404" t="n">
        <v>0</v>
      </c>
      <c r="O404" t="n">
        <v>1</v>
      </c>
      <c r="P404" t="n">
        <v>0</v>
      </c>
      <c r="Q404" t="n">
        <v>2</v>
      </c>
      <c r="R404" s="2" t="inlineStr">
        <is>
          <t>Garnlav
Revlummer</t>
        </is>
      </c>
      <c r="S404">
        <f>HYPERLINK("https://klasma.github.io/Logging_222283/artfynd/A 21742-2025 artfynd.xlsx", "A 21742-2025")</f>
        <v/>
      </c>
      <c r="T404">
        <f>HYPERLINK("https://klasma.github.io/Logging_222283/kartor/A 21742-2025 karta.png", "A 21742-2025")</f>
        <v/>
      </c>
      <c r="V404">
        <f>HYPERLINK("https://klasma.github.io/Logging_222283/klagomål/A 21742-2025 FSC-klagomål.docx", "A 21742-2025")</f>
        <v/>
      </c>
      <c r="W404">
        <f>HYPERLINK("https://klasma.github.io/Logging_222283/klagomålsmail/A 21742-2025 FSC-klagomål mail.docx", "A 21742-2025")</f>
        <v/>
      </c>
      <c r="X404">
        <f>HYPERLINK("https://klasma.github.io/Logging_222283/tillsyn/A 21742-2025 tillsynsbegäran.docx", "A 21742-2025")</f>
        <v/>
      </c>
      <c r="Y404">
        <f>HYPERLINK("https://klasma.github.io/Logging_222283/tillsynsmail/A 21742-2025 tillsynsbegäran mail.docx", "A 21742-2025")</f>
        <v/>
      </c>
    </row>
    <row r="405" ht="15" customHeight="1">
      <c r="A405" t="inlineStr">
        <is>
          <t>A 22220-2025</t>
        </is>
      </c>
      <c r="B405" s="1" t="n">
        <v>45785</v>
      </c>
      <c r="C405" s="1" t="n">
        <v>45822</v>
      </c>
      <c r="D405" t="inlineStr">
        <is>
          <t>VÄSTERNORRLANDS LÄN</t>
        </is>
      </c>
      <c r="E405" t="inlineStr">
        <is>
          <t>SOLLEFTEÅ</t>
        </is>
      </c>
      <c r="F405" t="inlineStr">
        <is>
          <t>SCA</t>
        </is>
      </c>
      <c r="G405" t="n">
        <v>4.6</v>
      </c>
      <c r="H405" t="n">
        <v>0</v>
      </c>
      <c r="I405" t="n">
        <v>1</v>
      </c>
      <c r="J405" t="n">
        <v>1</v>
      </c>
      <c r="K405" t="n">
        <v>0</v>
      </c>
      <c r="L405" t="n">
        <v>0</v>
      </c>
      <c r="M405" t="n">
        <v>0</v>
      </c>
      <c r="N405" t="n">
        <v>0</v>
      </c>
      <c r="O405" t="n">
        <v>1</v>
      </c>
      <c r="P405" t="n">
        <v>0</v>
      </c>
      <c r="Q405" t="n">
        <v>2</v>
      </c>
      <c r="R405" s="2" t="inlineStr">
        <is>
          <t>Lunglav
Stor aspticka</t>
        </is>
      </c>
      <c r="S405">
        <f>HYPERLINK("https://klasma.github.io/Logging_222283/artfynd/A 22220-2025 artfynd.xlsx", "A 22220-2025")</f>
        <v/>
      </c>
      <c r="T405">
        <f>HYPERLINK("https://klasma.github.io/Logging_222283/kartor/A 22220-2025 karta.png", "A 22220-2025")</f>
        <v/>
      </c>
      <c r="V405">
        <f>HYPERLINK("https://klasma.github.io/Logging_222283/klagomål/A 22220-2025 FSC-klagomål.docx", "A 22220-2025")</f>
        <v/>
      </c>
      <c r="W405">
        <f>HYPERLINK("https://klasma.github.io/Logging_222283/klagomålsmail/A 22220-2025 FSC-klagomål mail.docx", "A 22220-2025")</f>
        <v/>
      </c>
      <c r="X405">
        <f>HYPERLINK("https://klasma.github.io/Logging_222283/tillsyn/A 22220-2025 tillsynsbegäran.docx", "A 22220-2025")</f>
        <v/>
      </c>
      <c r="Y405">
        <f>HYPERLINK("https://klasma.github.io/Logging_222283/tillsynsmail/A 22220-2025 tillsynsbegäran mail.docx", "A 22220-2025")</f>
        <v/>
      </c>
    </row>
    <row r="406" ht="15" customHeight="1">
      <c r="A406" t="inlineStr">
        <is>
          <t>A 22518-2025</t>
        </is>
      </c>
      <c r="B406" s="1" t="n">
        <v>45786</v>
      </c>
      <c r="C406" s="1" t="n">
        <v>45822</v>
      </c>
      <c r="D406" t="inlineStr">
        <is>
          <t>VÄSTERNORRLANDS LÄN</t>
        </is>
      </c>
      <c r="E406" t="inlineStr">
        <is>
          <t>SOLLEFTEÅ</t>
        </is>
      </c>
      <c r="F406" t="inlineStr">
        <is>
          <t>SCA</t>
        </is>
      </c>
      <c r="G406" t="n">
        <v>4</v>
      </c>
      <c r="H406" t="n">
        <v>0</v>
      </c>
      <c r="I406" t="n">
        <v>0</v>
      </c>
      <c r="J406" t="n">
        <v>2</v>
      </c>
      <c r="K406" t="n">
        <v>0</v>
      </c>
      <c r="L406" t="n">
        <v>0</v>
      </c>
      <c r="M406" t="n">
        <v>0</v>
      </c>
      <c r="N406" t="n">
        <v>0</v>
      </c>
      <c r="O406" t="n">
        <v>2</v>
      </c>
      <c r="P406" t="n">
        <v>0</v>
      </c>
      <c r="Q406" t="n">
        <v>2</v>
      </c>
      <c r="R406" s="2" t="inlineStr">
        <is>
          <t>Garnlav
Ullticka</t>
        </is>
      </c>
      <c r="S406">
        <f>HYPERLINK("https://klasma.github.io/Logging_222283/artfynd/A 22518-2025 artfynd.xlsx", "A 22518-2025")</f>
        <v/>
      </c>
      <c r="T406">
        <f>HYPERLINK("https://klasma.github.io/Logging_222283/kartor/A 22518-2025 karta.png", "A 22518-2025")</f>
        <v/>
      </c>
      <c r="V406">
        <f>HYPERLINK("https://klasma.github.io/Logging_222283/klagomål/A 22518-2025 FSC-klagomål.docx", "A 22518-2025")</f>
        <v/>
      </c>
      <c r="W406">
        <f>HYPERLINK("https://klasma.github.io/Logging_222283/klagomålsmail/A 22518-2025 FSC-klagomål mail.docx", "A 22518-2025")</f>
        <v/>
      </c>
      <c r="X406">
        <f>HYPERLINK("https://klasma.github.io/Logging_222283/tillsyn/A 22518-2025 tillsynsbegäran.docx", "A 22518-2025")</f>
        <v/>
      </c>
      <c r="Y406">
        <f>HYPERLINK("https://klasma.github.io/Logging_222283/tillsynsmail/A 22518-2025 tillsynsbegäran mail.docx", "A 22518-2025")</f>
        <v/>
      </c>
    </row>
    <row r="407" ht="15" customHeight="1">
      <c r="A407" t="inlineStr">
        <is>
          <t>A 22808-2025</t>
        </is>
      </c>
      <c r="B407" s="1" t="n">
        <v>45789</v>
      </c>
      <c r="C407" s="1" t="n">
        <v>45822</v>
      </c>
      <c r="D407" t="inlineStr">
        <is>
          <t>VÄSTERNORRLANDS LÄN</t>
        </is>
      </c>
      <c r="E407" t="inlineStr">
        <is>
          <t>SOLLEFTEÅ</t>
        </is>
      </c>
      <c r="G407" t="n">
        <v>0.7</v>
      </c>
      <c r="H407" t="n">
        <v>0</v>
      </c>
      <c r="I407" t="n">
        <v>1</v>
      </c>
      <c r="J407" t="n">
        <v>1</v>
      </c>
      <c r="K407" t="n">
        <v>0</v>
      </c>
      <c r="L407" t="n">
        <v>0</v>
      </c>
      <c r="M407" t="n">
        <v>0</v>
      </c>
      <c r="N407" t="n">
        <v>0</v>
      </c>
      <c r="O407" t="n">
        <v>1</v>
      </c>
      <c r="P407" t="n">
        <v>0</v>
      </c>
      <c r="Q407" t="n">
        <v>2</v>
      </c>
      <c r="R407" s="2" t="inlineStr">
        <is>
          <t>Lunglav
Bårdlav</t>
        </is>
      </c>
      <c r="S407">
        <f>HYPERLINK("https://klasma.github.io/Logging_222283/artfynd/A 22808-2025 artfynd.xlsx", "A 22808-2025")</f>
        <v/>
      </c>
      <c r="T407">
        <f>HYPERLINK("https://klasma.github.io/Logging_222283/kartor/A 22808-2025 karta.png", "A 22808-2025")</f>
        <v/>
      </c>
      <c r="V407">
        <f>HYPERLINK("https://klasma.github.io/Logging_222283/klagomål/A 22808-2025 FSC-klagomål.docx", "A 22808-2025")</f>
        <v/>
      </c>
      <c r="W407">
        <f>HYPERLINK("https://klasma.github.io/Logging_222283/klagomålsmail/A 22808-2025 FSC-klagomål mail.docx", "A 22808-2025")</f>
        <v/>
      </c>
      <c r="X407">
        <f>HYPERLINK("https://klasma.github.io/Logging_222283/tillsyn/A 22808-2025 tillsynsbegäran.docx", "A 22808-2025")</f>
        <v/>
      </c>
      <c r="Y407">
        <f>HYPERLINK("https://klasma.github.io/Logging_222283/tillsynsmail/A 22808-2025 tillsynsbegäran mail.docx", "A 22808-2025")</f>
        <v/>
      </c>
    </row>
    <row r="408" ht="15" customHeight="1">
      <c r="A408" t="inlineStr">
        <is>
          <t>A 25522-2025</t>
        </is>
      </c>
      <c r="B408" s="1" t="n">
        <v>45803</v>
      </c>
      <c r="C408" s="1" t="n">
        <v>45822</v>
      </c>
      <c r="D408" t="inlineStr">
        <is>
          <t>VÄSTERNORRLANDS LÄN</t>
        </is>
      </c>
      <c r="E408" t="inlineStr">
        <is>
          <t>SOLLEFTEÅ</t>
        </is>
      </c>
      <c r="F408" t="inlineStr">
        <is>
          <t>SCA</t>
        </is>
      </c>
      <c r="G408" t="n">
        <v>0.8</v>
      </c>
      <c r="H408" t="n">
        <v>0</v>
      </c>
      <c r="I408" t="n">
        <v>0</v>
      </c>
      <c r="J408" t="n">
        <v>2</v>
      </c>
      <c r="K408" t="n">
        <v>0</v>
      </c>
      <c r="L408" t="n">
        <v>0</v>
      </c>
      <c r="M408" t="n">
        <v>0</v>
      </c>
      <c r="N408" t="n">
        <v>0</v>
      </c>
      <c r="O408" t="n">
        <v>2</v>
      </c>
      <c r="P408" t="n">
        <v>0</v>
      </c>
      <c r="Q408" t="n">
        <v>2</v>
      </c>
      <c r="R408" s="2" t="inlineStr">
        <is>
          <t>Garnlav
Granticka</t>
        </is>
      </c>
      <c r="S408">
        <f>HYPERLINK("https://klasma.github.io/Logging_222283/artfynd/A 25522-2025 artfynd.xlsx", "A 25522-2025")</f>
        <v/>
      </c>
      <c r="T408">
        <f>HYPERLINK("https://klasma.github.io/Logging_222283/kartor/A 25522-2025 karta.png", "A 25522-2025")</f>
        <v/>
      </c>
      <c r="V408">
        <f>HYPERLINK("https://klasma.github.io/Logging_222283/klagomål/A 25522-2025 FSC-klagomål.docx", "A 25522-2025")</f>
        <v/>
      </c>
      <c r="W408">
        <f>HYPERLINK("https://klasma.github.io/Logging_222283/klagomålsmail/A 25522-2025 FSC-klagomål mail.docx", "A 25522-2025")</f>
        <v/>
      </c>
      <c r="X408">
        <f>HYPERLINK("https://klasma.github.io/Logging_222283/tillsyn/A 25522-2025 tillsynsbegäran.docx", "A 25522-2025")</f>
        <v/>
      </c>
      <c r="Y408">
        <f>HYPERLINK("https://klasma.github.io/Logging_222283/tillsynsmail/A 25522-2025 tillsynsbegäran mail.docx", "A 25522-2025")</f>
        <v/>
      </c>
    </row>
    <row r="409" ht="15" customHeight="1">
      <c r="A409" t="inlineStr">
        <is>
          <t>A 25941-2025</t>
        </is>
      </c>
      <c r="B409" s="1" t="n">
        <v>45804</v>
      </c>
      <c r="C409" s="1" t="n">
        <v>45822</v>
      </c>
      <c r="D409" t="inlineStr">
        <is>
          <t>VÄSTERNORRLANDS LÄN</t>
        </is>
      </c>
      <c r="E409" t="inlineStr">
        <is>
          <t>SOLLEFTEÅ</t>
        </is>
      </c>
      <c r="G409" t="n">
        <v>4.4</v>
      </c>
      <c r="H409" t="n">
        <v>1</v>
      </c>
      <c r="I409" t="n">
        <v>0</v>
      </c>
      <c r="J409" t="n">
        <v>2</v>
      </c>
      <c r="K409" t="n">
        <v>0</v>
      </c>
      <c r="L409" t="n">
        <v>0</v>
      </c>
      <c r="M409" t="n">
        <v>0</v>
      </c>
      <c r="N409" t="n">
        <v>0</v>
      </c>
      <c r="O409" t="n">
        <v>2</v>
      </c>
      <c r="P409" t="n">
        <v>0</v>
      </c>
      <c r="Q409" t="n">
        <v>2</v>
      </c>
      <c r="R409" s="2" t="inlineStr">
        <is>
          <t>Talltita
Vedtrappmossa</t>
        </is>
      </c>
      <c r="S409">
        <f>HYPERLINK("https://klasma.github.io/Logging_222283/artfynd/A 25941-2025 artfynd.xlsx", "A 25941-2025")</f>
        <v/>
      </c>
      <c r="T409">
        <f>HYPERLINK("https://klasma.github.io/Logging_222283/kartor/A 25941-2025 karta.png", "A 25941-2025")</f>
        <v/>
      </c>
      <c r="V409">
        <f>HYPERLINK("https://klasma.github.io/Logging_222283/klagomål/A 25941-2025 FSC-klagomål.docx", "A 25941-2025")</f>
        <v/>
      </c>
      <c r="W409">
        <f>HYPERLINK("https://klasma.github.io/Logging_222283/klagomålsmail/A 25941-2025 FSC-klagomål mail.docx", "A 25941-2025")</f>
        <v/>
      </c>
      <c r="X409">
        <f>HYPERLINK("https://klasma.github.io/Logging_222283/tillsyn/A 25941-2025 tillsynsbegäran.docx", "A 25941-2025")</f>
        <v/>
      </c>
      <c r="Y409">
        <f>HYPERLINK("https://klasma.github.io/Logging_222283/tillsynsmail/A 25941-2025 tillsynsbegäran mail.docx", "A 25941-2025")</f>
        <v/>
      </c>
      <c r="Z409">
        <f>HYPERLINK("https://klasma.github.io/Logging_222283/fåglar/A 25941-2025 prioriterade fågelarter.docx", "A 25941-2025")</f>
        <v/>
      </c>
    </row>
    <row r="410" ht="15" customHeight="1">
      <c r="A410" t="inlineStr">
        <is>
          <t>A 26253-2019</t>
        </is>
      </c>
      <c r="B410" s="1" t="n">
        <v>43609</v>
      </c>
      <c r="C410" s="1" t="n">
        <v>45822</v>
      </c>
      <c r="D410" t="inlineStr">
        <is>
          <t>VÄSTERNORRLANDS LÄN</t>
        </is>
      </c>
      <c r="E410" t="inlineStr">
        <is>
          <t>SOLLEFTEÅ</t>
        </is>
      </c>
      <c r="F410" t="inlineStr">
        <is>
          <t>SCA</t>
        </is>
      </c>
      <c r="G410" t="n">
        <v>2.3</v>
      </c>
      <c r="H410" t="n">
        <v>1</v>
      </c>
      <c r="I410" t="n">
        <v>0</v>
      </c>
      <c r="J410" t="n">
        <v>0</v>
      </c>
      <c r="K410" t="n">
        <v>0</v>
      </c>
      <c r="L410" t="n">
        <v>0</v>
      </c>
      <c r="M410" t="n">
        <v>0</v>
      </c>
      <c r="N410" t="n">
        <v>0</v>
      </c>
      <c r="O410" t="n">
        <v>0</v>
      </c>
      <c r="P410" t="n">
        <v>0</v>
      </c>
      <c r="Q410" t="n">
        <v>1</v>
      </c>
      <c r="R410" s="2" t="inlineStr">
        <is>
          <t>Revlummer</t>
        </is>
      </c>
      <c r="S410">
        <f>HYPERLINK("https://klasma.github.io/Logging_2283/artfynd/A 26253-2019 artfynd.xlsx", "A 26253-2019")</f>
        <v/>
      </c>
      <c r="T410">
        <f>HYPERLINK("https://klasma.github.io/Logging_2283/kartor/A 26253-2019 karta.png", "A 26253-2019")</f>
        <v/>
      </c>
      <c r="V410">
        <f>HYPERLINK("https://klasma.github.io/Logging_2283/klagomål/A 26253-2019 FSC-klagomål.docx", "A 26253-2019")</f>
        <v/>
      </c>
      <c r="W410">
        <f>HYPERLINK("https://klasma.github.io/Logging_2283/klagomålsmail/A 26253-2019 FSC-klagomål mail.docx", "A 26253-2019")</f>
        <v/>
      </c>
      <c r="X410">
        <f>HYPERLINK("https://klasma.github.io/Logging_2283/tillsyn/A 26253-2019 tillsynsbegäran.docx", "A 26253-2019")</f>
        <v/>
      </c>
      <c r="Y410">
        <f>HYPERLINK("https://klasma.github.io/Logging_2283/tillsynsmail/A 26253-2019 tillsynsbegäran mail.docx", "A 26253-2019")</f>
        <v/>
      </c>
    </row>
    <row r="411" ht="15" customHeight="1">
      <c r="A411" t="inlineStr">
        <is>
          <t>A 28600-2019</t>
        </is>
      </c>
      <c r="B411" s="1" t="n">
        <v>43626</v>
      </c>
      <c r="C411" s="1" t="n">
        <v>45822</v>
      </c>
      <c r="D411" t="inlineStr">
        <is>
          <t>VÄSTERNORRLANDS LÄN</t>
        </is>
      </c>
      <c r="E411" t="inlineStr">
        <is>
          <t>SOLLEFTEÅ</t>
        </is>
      </c>
      <c r="F411" t="inlineStr">
        <is>
          <t>SCA</t>
        </is>
      </c>
      <c r="G411" t="n">
        <v>5.9</v>
      </c>
      <c r="H411" t="n">
        <v>0</v>
      </c>
      <c r="I411" t="n">
        <v>0</v>
      </c>
      <c r="J411" t="n">
        <v>1</v>
      </c>
      <c r="K411" t="n">
        <v>0</v>
      </c>
      <c r="L411" t="n">
        <v>0</v>
      </c>
      <c r="M411" t="n">
        <v>0</v>
      </c>
      <c r="N411" t="n">
        <v>0</v>
      </c>
      <c r="O411" t="n">
        <v>1</v>
      </c>
      <c r="P411" t="n">
        <v>0</v>
      </c>
      <c r="Q411" t="n">
        <v>1</v>
      </c>
      <c r="R411" s="2" t="inlineStr">
        <is>
          <t>Tallriska</t>
        </is>
      </c>
      <c r="S411">
        <f>HYPERLINK("https://klasma.github.io/Logging_2283/artfynd/A 28600-2019 artfynd.xlsx", "A 28600-2019")</f>
        <v/>
      </c>
      <c r="T411">
        <f>HYPERLINK("https://klasma.github.io/Logging_2283/kartor/A 28600-2019 karta.png", "A 28600-2019")</f>
        <v/>
      </c>
      <c r="V411">
        <f>HYPERLINK("https://klasma.github.io/Logging_2283/klagomål/A 28600-2019 FSC-klagomål.docx", "A 28600-2019")</f>
        <v/>
      </c>
      <c r="W411">
        <f>HYPERLINK("https://klasma.github.io/Logging_2283/klagomålsmail/A 28600-2019 FSC-klagomål mail.docx", "A 28600-2019")</f>
        <v/>
      </c>
      <c r="X411">
        <f>HYPERLINK("https://klasma.github.io/Logging_2283/tillsyn/A 28600-2019 tillsynsbegäran.docx", "A 28600-2019")</f>
        <v/>
      </c>
      <c r="Y411">
        <f>HYPERLINK("https://klasma.github.io/Logging_2283/tillsynsmail/A 28600-2019 tillsynsbegäran mail.docx", "A 28600-2019")</f>
        <v/>
      </c>
    </row>
    <row r="412" ht="15" customHeight="1">
      <c r="A412" t="inlineStr">
        <is>
          <t>A 36982-2019</t>
        </is>
      </c>
      <c r="B412" s="1" t="n">
        <v>43676</v>
      </c>
      <c r="C412" s="1" t="n">
        <v>45822</v>
      </c>
      <c r="D412" t="inlineStr">
        <is>
          <t>VÄSTERNORRLANDS LÄN</t>
        </is>
      </c>
      <c r="E412" t="inlineStr">
        <is>
          <t>SOLLEFTEÅ</t>
        </is>
      </c>
      <c r="G412" t="n">
        <v>1.2</v>
      </c>
      <c r="H412" t="n">
        <v>0</v>
      </c>
      <c r="I412" t="n">
        <v>1</v>
      </c>
      <c r="J412" t="n">
        <v>0</v>
      </c>
      <c r="K412" t="n">
        <v>0</v>
      </c>
      <c r="L412" t="n">
        <v>0</v>
      </c>
      <c r="M412" t="n">
        <v>0</v>
      </c>
      <c r="N412" t="n">
        <v>0</v>
      </c>
      <c r="O412" t="n">
        <v>0</v>
      </c>
      <c r="P412" t="n">
        <v>0</v>
      </c>
      <c r="Q412" t="n">
        <v>1</v>
      </c>
      <c r="R412" s="2" t="inlineStr">
        <is>
          <t>Trådticka</t>
        </is>
      </c>
      <c r="S412">
        <f>HYPERLINK("https://klasma.github.io/Logging_2283/artfynd/A 36982-2019 artfynd.xlsx", "A 36982-2019")</f>
        <v/>
      </c>
      <c r="T412">
        <f>HYPERLINK("https://klasma.github.io/Logging_2283/kartor/A 36982-2019 karta.png", "A 36982-2019")</f>
        <v/>
      </c>
      <c r="V412">
        <f>HYPERLINK("https://klasma.github.io/Logging_2283/klagomål/A 36982-2019 FSC-klagomål.docx", "A 36982-2019")</f>
        <v/>
      </c>
      <c r="W412">
        <f>HYPERLINK("https://klasma.github.io/Logging_2283/klagomålsmail/A 36982-2019 FSC-klagomål mail.docx", "A 36982-2019")</f>
        <v/>
      </c>
      <c r="X412">
        <f>HYPERLINK("https://klasma.github.io/Logging_2283/tillsyn/A 36982-2019 tillsynsbegäran.docx", "A 36982-2019")</f>
        <v/>
      </c>
      <c r="Y412">
        <f>HYPERLINK("https://klasma.github.io/Logging_2283/tillsynsmail/A 36982-2019 tillsynsbegäran mail.docx", "A 36982-2019")</f>
        <v/>
      </c>
    </row>
    <row r="413" ht="15" customHeight="1">
      <c r="A413" t="inlineStr">
        <is>
          <t>A 38091-2019</t>
        </is>
      </c>
      <c r="B413" s="1" t="n">
        <v>43682</v>
      </c>
      <c r="C413" s="1" t="n">
        <v>45822</v>
      </c>
      <c r="D413" t="inlineStr">
        <is>
          <t>VÄSTERNORRLANDS LÄN</t>
        </is>
      </c>
      <c r="E413" t="inlineStr">
        <is>
          <t>SOLLEFTEÅ</t>
        </is>
      </c>
      <c r="F413" t="inlineStr">
        <is>
          <t>Holmen skog AB</t>
        </is>
      </c>
      <c r="G413" t="n">
        <v>4.7</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38091-2019 artfynd.xlsx", "A 38091-2019")</f>
        <v/>
      </c>
      <c r="T413">
        <f>HYPERLINK("https://klasma.github.io/Logging_2283/kartor/A 38091-2019 karta.png", "A 38091-2019")</f>
        <v/>
      </c>
      <c r="V413">
        <f>HYPERLINK("https://klasma.github.io/Logging_2283/klagomål/A 38091-2019 FSC-klagomål.docx", "A 38091-2019")</f>
        <v/>
      </c>
      <c r="W413">
        <f>HYPERLINK("https://klasma.github.io/Logging_2283/klagomålsmail/A 38091-2019 FSC-klagomål mail.docx", "A 38091-2019")</f>
        <v/>
      </c>
      <c r="X413">
        <f>HYPERLINK("https://klasma.github.io/Logging_2283/tillsyn/A 38091-2019 tillsynsbegäran.docx", "A 38091-2019")</f>
        <v/>
      </c>
      <c r="Y413">
        <f>HYPERLINK("https://klasma.github.io/Logging_2283/tillsynsmail/A 38091-2019 tillsynsbegäran mail.docx", "A 38091-2019")</f>
        <v/>
      </c>
      <c r="Z413">
        <f>HYPERLINK("https://klasma.github.io/Logging_2283/fåglar/A 38091-2019 prioriterade fågelarter.docx", "A 38091-2019")</f>
        <v/>
      </c>
    </row>
    <row r="414" ht="15" customHeight="1">
      <c r="A414" t="inlineStr">
        <is>
          <t>A 51669-2019</t>
        </is>
      </c>
      <c r="B414" s="1" t="n">
        <v>43740</v>
      </c>
      <c r="C414" s="1" t="n">
        <v>45822</v>
      </c>
      <c r="D414" t="inlineStr">
        <is>
          <t>VÄSTERNORRLANDS LÄN</t>
        </is>
      </c>
      <c r="E414" t="inlineStr">
        <is>
          <t>SOLLEFTEÅ</t>
        </is>
      </c>
      <c r="F414" t="inlineStr">
        <is>
          <t>SCA</t>
        </is>
      </c>
      <c r="G414" t="n">
        <v>3.6</v>
      </c>
      <c r="H414" t="n">
        <v>0</v>
      </c>
      <c r="I414" t="n">
        <v>0</v>
      </c>
      <c r="J414" t="n">
        <v>1</v>
      </c>
      <c r="K414" t="n">
        <v>0</v>
      </c>
      <c r="L414" t="n">
        <v>0</v>
      </c>
      <c r="M414" t="n">
        <v>0</v>
      </c>
      <c r="N414" t="n">
        <v>0</v>
      </c>
      <c r="O414" t="n">
        <v>1</v>
      </c>
      <c r="P414" t="n">
        <v>0</v>
      </c>
      <c r="Q414" t="n">
        <v>1</v>
      </c>
      <c r="R414" s="2" t="inlineStr">
        <is>
          <t>Rosenticka</t>
        </is>
      </c>
      <c r="S414">
        <f>HYPERLINK("https://klasma.github.io/Logging_2283/artfynd/A 51669-2019 artfynd.xlsx", "A 51669-2019")</f>
        <v/>
      </c>
      <c r="T414">
        <f>HYPERLINK("https://klasma.github.io/Logging_2283/kartor/A 51669-2019 karta.png", "A 51669-2019")</f>
        <v/>
      </c>
      <c r="V414">
        <f>HYPERLINK("https://klasma.github.io/Logging_2283/klagomål/A 51669-2019 FSC-klagomål.docx", "A 51669-2019")</f>
        <v/>
      </c>
      <c r="W414">
        <f>HYPERLINK("https://klasma.github.io/Logging_2283/klagomålsmail/A 51669-2019 FSC-klagomål mail.docx", "A 51669-2019")</f>
        <v/>
      </c>
      <c r="X414">
        <f>HYPERLINK("https://klasma.github.io/Logging_2283/tillsyn/A 51669-2019 tillsynsbegäran.docx", "A 51669-2019")</f>
        <v/>
      </c>
      <c r="Y414">
        <f>HYPERLINK("https://klasma.github.io/Logging_2283/tillsynsmail/A 51669-2019 tillsynsbegäran mail.docx", "A 51669-2019")</f>
        <v/>
      </c>
    </row>
    <row r="415" ht="15" customHeight="1">
      <c r="A415" t="inlineStr">
        <is>
          <t>A 59511-2019</t>
        </is>
      </c>
      <c r="B415" s="1" t="n">
        <v>43773</v>
      </c>
      <c r="C415" s="1" t="n">
        <v>45822</v>
      </c>
      <c r="D415" t="inlineStr">
        <is>
          <t>VÄSTERNORRLANDS LÄN</t>
        </is>
      </c>
      <c r="E415" t="inlineStr">
        <is>
          <t>SOLLEFTEÅ</t>
        </is>
      </c>
      <c r="F415" t="inlineStr">
        <is>
          <t>Holmen skog AB</t>
        </is>
      </c>
      <c r="G415" t="n">
        <v>4.8</v>
      </c>
      <c r="H415" t="n">
        <v>0</v>
      </c>
      <c r="I415" t="n">
        <v>0</v>
      </c>
      <c r="J415" t="n">
        <v>1</v>
      </c>
      <c r="K415" t="n">
        <v>0</v>
      </c>
      <c r="L415" t="n">
        <v>0</v>
      </c>
      <c r="M415" t="n">
        <v>0</v>
      </c>
      <c r="N415" t="n">
        <v>0</v>
      </c>
      <c r="O415" t="n">
        <v>1</v>
      </c>
      <c r="P415" t="n">
        <v>0</v>
      </c>
      <c r="Q415" t="n">
        <v>1</v>
      </c>
      <c r="R415" s="2" t="inlineStr">
        <is>
          <t>Lunglav</t>
        </is>
      </c>
      <c r="S415">
        <f>HYPERLINK("https://klasma.github.io/Logging_2283/artfynd/A 59511-2019 artfynd.xlsx", "A 59511-2019")</f>
        <v/>
      </c>
      <c r="T415">
        <f>HYPERLINK("https://klasma.github.io/Logging_2283/kartor/A 59511-2019 karta.png", "A 59511-2019")</f>
        <v/>
      </c>
      <c r="V415">
        <f>HYPERLINK("https://klasma.github.io/Logging_2283/klagomål/A 59511-2019 FSC-klagomål.docx", "A 59511-2019")</f>
        <v/>
      </c>
      <c r="W415">
        <f>HYPERLINK("https://klasma.github.io/Logging_2283/klagomålsmail/A 59511-2019 FSC-klagomål mail.docx", "A 59511-2019")</f>
        <v/>
      </c>
      <c r="X415">
        <f>HYPERLINK("https://klasma.github.io/Logging_2283/tillsyn/A 59511-2019 tillsynsbegäran.docx", "A 59511-2019")</f>
        <v/>
      </c>
      <c r="Y415">
        <f>HYPERLINK("https://klasma.github.io/Logging_2283/tillsynsmail/A 59511-2019 tillsynsbegäran mail.docx", "A 59511-2019")</f>
        <v/>
      </c>
    </row>
    <row r="416" ht="15" customHeight="1">
      <c r="A416" t="inlineStr">
        <is>
          <t>A 9178-2020</t>
        </is>
      </c>
      <c r="B416" s="1" t="n">
        <v>43879</v>
      </c>
      <c r="C416" s="1" t="n">
        <v>45822</v>
      </c>
      <c r="D416" t="inlineStr">
        <is>
          <t>VÄSTERNORRLANDS LÄN</t>
        </is>
      </c>
      <c r="E416" t="inlineStr">
        <is>
          <t>SOLLEFTEÅ</t>
        </is>
      </c>
      <c r="G416" t="n">
        <v>5.3</v>
      </c>
      <c r="H416" t="n">
        <v>1</v>
      </c>
      <c r="I416" t="n">
        <v>0</v>
      </c>
      <c r="J416" t="n">
        <v>0</v>
      </c>
      <c r="K416" t="n">
        <v>0</v>
      </c>
      <c r="L416" t="n">
        <v>0</v>
      </c>
      <c r="M416" t="n">
        <v>0</v>
      </c>
      <c r="N416" t="n">
        <v>0</v>
      </c>
      <c r="O416" t="n">
        <v>0</v>
      </c>
      <c r="P416" t="n">
        <v>0</v>
      </c>
      <c r="Q416" t="n">
        <v>1</v>
      </c>
      <c r="R416" s="2" t="inlineStr">
        <is>
          <t>Fläcknycklar</t>
        </is>
      </c>
      <c r="S416">
        <f>HYPERLINK("https://klasma.github.io/Logging_2283/artfynd/A 9178-2020 artfynd.xlsx", "A 9178-2020")</f>
        <v/>
      </c>
      <c r="T416">
        <f>HYPERLINK("https://klasma.github.io/Logging_2283/kartor/A 9178-2020 karta.png", "A 9178-2020")</f>
        <v/>
      </c>
      <c r="V416">
        <f>HYPERLINK("https://klasma.github.io/Logging_2283/klagomål/A 9178-2020 FSC-klagomål.docx", "A 9178-2020")</f>
        <v/>
      </c>
      <c r="W416">
        <f>HYPERLINK("https://klasma.github.io/Logging_2283/klagomålsmail/A 9178-2020 FSC-klagomål mail.docx", "A 9178-2020")</f>
        <v/>
      </c>
      <c r="X416">
        <f>HYPERLINK("https://klasma.github.io/Logging_2283/tillsyn/A 9178-2020 tillsynsbegäran.docx", "A 9178-2020")</f>
        <v/>
      </c>
      <c r="Y416">
        <f>HYPERLINK("https://klasma.github.io/Logging_2283/tillsynsmail/A 9178-2020 tillsynsbegäran mail.docx", "A 9178-2020")</f>
        <v/>
      </c>
    </row>
    <row r="417" ht="15" customHeight="1">
      <c r="A417" t="inlineStr">
        <is>
          <t>A 12526-2020</t>
        </is>
      </c>
      <c r="B417" s="1" t="n">
        <v>43896</v>
      </c>
      <c r="C417" s="1" t="n">
        <v>45822</v>
      </c>
      <c r="D417" t="inlineStr">
        <is>
          <t>VÄSTERNORRLANDS LÄN</t>
        </is>
      </c>
      <c r="E417" t="inlineStr">
        <is>
          <t>SOLLEFTEÅ</t>
        </is>
      </c>
      <c r="F417" t="inlineStr">
        <is>
          <t>SCA</t>
        </is>
      </c>
      <c r="G417" t="n">
        <v>14.7</v>
      </c>
      <c r="H417" t="n">
        <v>1</v>
      </c>
      <c r="I417" t="n">
        <v>0</v>
      </c>
      <c r="J417" t="n">
        <v>1</v>
      </c>
      <c r="K417" t="n">
        <v>0</v>
      </c>
      <c r="L417" t="n">
        <v>0</v>
      </c>
      <c r="M417" t="n">
        <v>0</v>
      </c>
      <c r="N417" t="n">
        <v>0</v>
      </c>
      <c r="O417" t="n">
        <v>1</v>
      </c>
      <c r="P417" t="n">
        <v>0</v>
      </c>
      <c r="Q417" t="n">
        <v>1</v>
      </c>
      <c r="R417" s="2" t="inlineStr">
        <is>
          <t>Talltita</t>
        </is>
      </c>
      <c r="S417">
        <f>HYPERLINK("https://klasma.github.io/Logging_2283/artfynd/A 12526-2020 artfynd.xlsx", "A 12526-2020")</f>
        <v/>
      </c>
      <c r="T417">
        <f>HYPERLINK("https://klasma.github.io/Logging_2283/kartor/A 12526-2020 karta.png", "A 12526-2020")</f>
        <v/>
      </c>
      <c r="V417">
        <f>HYPERLINK("https://klasma.github.io/Logging_2283/klagomål/A 12526-2020 FSC-klagomål.docx", "A 12526-2020")</f>
        <v/>
      </c>
      <c r="W417">
        <f>HYPERLINK("https://klasma.github.io/Logging_2283/klagomålsmail/A 12526-2020 FSC-klagomål mail.docx", "A 12526-2020")</f>
        <v/>
      </c>
      <c r="X417">
        <f>HYPERLINK("https://klasma.github.io/Logging_2283/tillsyn/A 12526-2020 tillsynsbegäran.docx", "A 12526-2020")</f>
        <v/>
      </c>
      <c r="Y417">
        <f>HYPERLINK("https://klasma.github.io/Logging_2283/tillsynsmail/A 12526-2020 tillsynsbegäran mail.docx", "A 12526-2020")</f>
        <v/>
      </c>
      <c r="Z417">
        <f>HYPERLINK("https://klasma.github.io/Logging_2283/fåglar/A 12526-2020 prioriterade fågelarter.docx", "A 12526-2020")</f>
        <v/>
      </c>
    </row>
    <row r="418" ht="15" customHeight="1">
      <c r="A418" t="inlineStr">
        <is>
          <t>A 19166-2020</t>
        </is>
      </c>
      <c r="B418" s="1" t="n">
        <v>43936</v>
      </c>
      <c r="C418" s="1" t="n">
        <v>45822</v>
      </c>
      <c r="D418" t="inlineStr">
        <is>
          <t>VÄSTERNORRLANDS LÄN</t>
        </is>
      </c>
      <c r="E418" t="inlineStr">
        <is>
          <t>SOLLEFTEÅ</t>
        </is>
      </c>
      <c r="G418" t="n">
        <v>3</v>
      </c>
      <c r="H418" t="n">
        <v>0</v>
      </c>
      <c r="I418" t="n">
        <v>0</v>
      </c>
      <c r="J418" t="n">
        <v>1</v>
      </c>
      <c r="K418" t="n">
        <v>0</v>
      </c>
      <c r="L418" t="n">
        <v>0</v>
      </c>
      <c r="M418" t="n">
        <v>0</v>
      </c>
      <c r="N418" t="n">
        <v>0</v>
      </c>
      <c r="O418" t="n">
        <v>1</v>
      </c>
      <c r="P418" t="n">
        <v>0</v>
      </c>
      <c r="Q418" t="n">
        <v>1</v>
      </c>
      <c r="R418" s="2" t="inlineStr">
        <is>
          <t>Garnlav</t>
        </is>
      </c>
      <c r="S418">
        <f>HYPERLINK("https://klasma.github.io/Logging_2283/artfynd/A 19166-2020 artfynd.xlsx", "A 19166-2020")</f>
        <v/>
      </c>
      <c r="T418">
        <f>HYPERLINK("https://klasma.github.io/Logging_2283/kartor/A 19166-2020 karta.png", "A 19166-2020")</f>
        <v/>
      </c>
      <c r="V418">
        <f>HYPERLINK("https://klasma.github.io/Logging_2283/klagomål/A 19166-2020 FSC-klagomål.docx", "A 19166-2020")</f>
        <v/>
      </c>
      <c r="W418">
        <f>HYPERLINK("https://klasma.github.io/Logging_2283/klagomålsmail/A 19166-2020 FSC-klagomål mail.docx", "A 19166-2020")</f>
        <v/>
      </c>
      <c r="X418">
        <f>HYPERLINK("https://klasma.github.io/Logging_2283/tillsyn/A 19166-2020 tillsynsbegäran.docx", "A 19166-2020")</f>
        <v/>
      </c>
      <c r="Y418">
        <f>HYPERLINK("https://klasma.github.io/Logging_2283/tillsynsmail/A 19166-2020 tillsynsbegäran mail.docx", "A 19166-2020")</f>
        <v/>
      </c>
    </row>
    <row r="419" ht="15" customHeight="1">
      <c r="A419" t="inlineStr">
        <is>
          <t>A 24641-2020</t>
        </is>
      </c>
      <c r="B419" s="1" t="n">
        <v>43977</v>
      </c>
      <c r="C419" s="1" t="n">
        <v>45822</v>
      </c>
      <c r="D419" t="inlineStr">
        <is>
          <t>VÄSTERNORRLANDS LÄN</t>
        </is>
      </c>
      <c r="E419" t="inlineStr">
        <is>
          <t>SOLLEFTEÅ</t>
        </is>
      </c>
      <c r="F419" t="inlineStr">
        <is>
          <t>SCA</t>
        </is>
      </c>
      <c r="G419" t="n">
        <v>3.9</v>
      </c>
      <c r="H419" t="n">
        <v>1</v>
      </c>
      <c r="I419" t="n">
        <v>0</v>
      </c>
      <c r="J419" t="n">
        <v>0</v>
      </c>
      <c r="K419" t="n">
        <v>1</v>
      </c>
      <c r="L419" t="n">
        <v>0</v>
      </c>
      <c r="M419" t="n">
        <v>0</v>
      </c>
      <c r="N419" t="n">
        <v>0</v>
      </c>
      <c r="O419" t="n">
        <v>1</v>
      </c>
      <c r="P419" t="n">
        <v>1</v>
      </c>
      <c r="Q419" t="n">
        <v>1</v>
      </c>
      <c r="R419" s="2" t="inlineStr">
        <is>
          <t>Knärot</t>
        </is>
      </c>
      <c r="S419">
        <f>HYPERLINK("https://klasma.github.io/Logging_2283/artfynd/A 24641-2020 artfynd.xlsx", "A 24641-2020")</f>
        <v/>
      </c>
      <c r="T419">
        <f>HYPERLINK("https://klasma.github.io/Logging_2283/kartor/A 24641-2020 karta.png", "A 24641-2020")</f>
        <v/>
      </c>
      <c r="U419">
        <f>HYPERLINK("https://klasma.github.io/Logging_2283/knärot/A 24641-2020 karta knärot.png", "A 24641-2020")</f>
        <v/>
      </c>
      <c r="V419">
        <f>HYPERLINK("https://klasma.github.io/Logging_2283/klagomål/A 24641-2020 FSC-klagomål.docx", "A 24641-2020")</f>
        <v/>
      </c>
      <c r="W419">
        <f>HYPERLINK("https://klasma.github.io/Logging_2283/klagomålsmail/A 24641-2020 FSC-klagomål mail.docx", "A 24641-2020")</f>
        <v/>
      </c>
      <c r="X419">
        <f>HYPERLINK("https://klasma.github.io/Logging_2283/tillsyn/A 24641-2020 tillsynsbegäran.docx", "A 24641-2020")</f>
        <v/>
      </c>
      <c r="Y419">
        <f>HYPERLINK("https://klasma.github.io/Logging_2283/tillsynsmail/A 24641-2020 tillsynsbegäran mail.docx", "A 24641-2020")</f>
        <v/>
      </c>
    </row>
    <row r="420" ht="15" customHeight="1">
      <c r="A420" t="inlineStr">
        <is>
          <t>A 27177-2020</t>
        </is>
      </c>
      <c r="B420" s="1" t="n">
        <v>43991</v>
      </c>
      <c r="C420" s="1" t="n">
        <v>45822</v>
      </c>
      <c r="D420" t="inlineStr">
        <is>
          <t>VÄSTERNORRLANDS LÄN</t>
        </is>
      </c>
      <c r="E420" t="inlineStr">
        <is>
          <t>SOLLEFTEÅ</t>
        </is>
      </c>
      <c r="F420" t="inlineStr">
        <is>
          <t>Holmen skog AB</t>
        </is>
      </c>
      <c r="G420" t="n">
        <v>0.8</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27177-2020 artfynd.xlsx", "A 27177-2020")</f>
        <v/>
      </c>
      <c r="T420">
        <f>HYPERLINK("https://klasma.github.io/Logging_2283/kartor/A 27177-2020 karta.png", "A 27177-2020")</f>
        <v/>
      </c>
      <c r="U420">
        <f>HYPERLINK("https://klasma.github.io/Logging_2283/knärot/A 27177-2020 karta knärot.png", "A 27177-2020")</f>
        <v/>
      </c>
      <c r="V420">
        <f>HYPERLINK("https://klasma.github.io/Logging_2283/klagomål/A 27177-2020 FSC-klagomål.docx", "A 27177-2020")</f>
        <v/>
      </c>
      <c r="W420">
        <f>HYPERLINK("https://klasma.github.io/Logging_2283/klagomålsmail/A 27177-2020 FSC-klagomål mail.docx", "A 27177-2020")</f>
        <v/>
      </c>
      <c r="X420">
        <f>HYPERLINK("https://klasma.github.io/Logging_2283/tillsyn/A 27177-2020 tillsynsbegäran.docx", "A 27177-2020")</f>
        <v/>
      </c>
      <c r="Y420">
        <f>HYPERLINK("https://klasma.github.io/Logging_2283/tillsynsmail/A 27177-2020 tillsynsbegäran mail.docx", "A 27177-2020")</f>
        <v/>
      </c>
      <c r="Z420">
        <f>HYPERLINK("https://klasma.github.io/Logging_2283/fåglar/A 27177-2020 prioriterade fågelarter.docx", "A 27177-2020")</f>
        <v/>
      </c>
    </row>
    <row r="421" ht="15" customHeight="1">
      <c r="A421" t="inlineStr">
        <is>
          <t>A 43438-2020</t>
        </is>
      </c>
      <c r="B421" s="1" t="n">
        <v>44081</v>
      </c>
      <c r="C421" s="1" t="n">
        <v>45822</v>
      </c>
      <c r="D421" t="inlineStr">
        <is>
          <t>VÄSTERNORRLANDS LÄN</t>
        </is>
      </c>
      <c r="E421" t="inlineStr">
        <is>
          <t>SOLLEFTEÅ</t>
        </is>
      </c>
      <c r="F421" t="inlineStr">
        <is>
          <t>SCA</t>
        </is>
      </c>
      <c r="G421" t="n">
        <v>3.9</v>
      </c>
      <c r="H421" t="n">
        <v>0</v>
      </c>
      <c r="I421" t="n">
        <v>0</v>
      </c>
      <c r="J421" t="n">
        <v>1</v>
      </c>
      <c r="K421" t="n">
        <v>0</v>
      </c>
      <c r="L421" t="n">
        <v>0</v>
      </c>
      <c r="M421" t="n">
        <v>0</v>
      </c>
      <c r="N421" t="n">
        <v>0</v>
      </c>
      <c r="O421" t="n">
        <v>1</v>
      </c>
      <c r="P421" t="n">
        <v>0</v>
      </c>
      <c r="Q421" t="n">
        <v>1</v>
      </c>
      <c r="R421" s="2" t="inlineStr">
        <is>
          <t>Granticka</t>
        </is>
      </c>
      <c r="S421">
        <f>HYPERLINK("https://klasma.github.io/Logging_2283/artfynd/A 43438-2020 artfynd.xlsx", "A 43438-2020")</f>
        <v/>
      </c>
      <c r="T421">
        <f>HYPERLINK("https://klasma.github.io/Logging_2283/kartor/A 43438-2020 karta.png", "A 43438-2020")</f>
        <v/>
      </c>
      <c r="V421">
        <f>HYPERLINK("https://klasma.github.io/Logging_2283/klagomål/A 43438-2020 FSC-klagomål.docx", "A 43438-2020")</f>
        <v/>
      </c>
      <c r="W421">
        <f>HYPERLINK("https://klasma.github.io/Logging_2283/klagomålsmail/A 43438-2020 FSC-klagomål mail.docx", "A 43438-2020")</f>
        <v/>
      </c>
      <c r="X421">
        <f>HYPERLINK("https://klasma.github.io/Logging_2283/tillsyn/A 43438-2020 tillsynsbegäran.docx", "A 43438-2020")</f>
        <v/>
      </c>
      <c r="Y421">
        <f>HYPERLINK("https://klasma.github.io/Logging_2283/tillsynsmail/A 43438-2020 tillsynsbegäran mail.docx", "A 43438-2020")</f>
        <v/>
      </c>
    </row>
    <row r="422" ht="15" customHeight="1">
      <c r="A422" t="inlineStr">
        <is>
          <t>A 47840-2020</t>
        </is>
      </c>
      <c r="B422" s="1" t="n">
        <v>44098</v>
      </c>
      <c r="C422" s="1" t="n">
        <v>45822</v>
      </c>
      <c r="D422" t="inlineStr">
        <is>
          <t>VÄSTERNORRLANDS LÄN</t>
        </is>
      </c>
      <c r="E422" t="inlineStr">
        <is>
          <t>SOLLEFTEÅ</t>
        </is>
      </c>
      <c r="F422" t="inlineStr">
        <is>
          <t>SCA</t>
        </is>
      </c>
      <c r="G422" t="n">
        <v>9.699999999999999</v>
      </c>
      <c r="H422" t="n">
        <v>1</v>
      </c>
      <c r="I422" t="n">
        <v>0</v>
      </c>
      <c r="J422" t="n">
        <v>0</v>
      </c>
      <c r="K422" t="n">
        <v>1</v>
      </c>
      <c r="L422" t="n">
        <v>0</v>
      </c>
      <c r="M422" t="n">
        <v>0</v>
      </c>
      <c r="N422" t="n">
        <v>0</v>
      </c>
      <c r="O422" t="n">
        <v>1</v>
      </c>
      <c r="P422" t="n">
        <v>1</v>
      </c>
      <c r="Q422" t="n">
        <v>1</v>
      </c>
      <c r="R422" s="2" t="inlineStr">
        <is>
          <t>Knärot</t>
        </is>
      </c>
      <c r="S422">
        <f>HYPERLINK("https://klasma.github.io/Logging_2283/artfynd/A 47840-2020 artfynd.xlsx", "A 47840-2020")</f>
        <v/>
      </c>
      <c r="T422">
        <f>HYPERLINK("https://klasma.github.io/Logging_2283/kartor/A 47840-2020 karta.png", "A 47840-2020")</f>
        <v/>
      </c>
      <c r="U422">
        <f>HYPERLINK("https://klasma.github.io/Logging_2283/knärot/A 47840-2020 karta knärot.png", "A 47840-2020")</f>
        <v/>
      </c>
      <c r="V422">
        <f>HYPERLINK("https://klasma.github.io/Logging_2283/klagomål/A 47840-2020 FSC-klagomål.docx", "A 47840-2020")</f>
        <v/>
      </c>
      <c r="W422">
        <f>HYPERLINK("https://klasma.github.io/Logging_2283/klagomålsmail/A 47840-2020 FSC-klagomål mail.docx", "A 47840-2020")</f>
        <v/>
      </c>
      <c r="X422">
        <f>HYPERLINK("https://klasma.github.io/Logging_2283/tillsyn/A 47840-2020 tillsynsbegäran.docx", "A 47840-2020")</f>
        <v/>
      </c>
      <c r="Y422">
        <f>HYPERLINK("https://klasma.github.io/Logging_2283/tillsynsmail/A 47840-2020 tillsynsbegäran mail.docx", "A 47840-2020")</f>
        <v/>
      </c>
    </row>
    <row r="423" ht="15" customHeight="1">
      <c r="A423" t="inlineStr">
        <is>
          <t>A 68651-2020</t>
        </is>
      </c>
      <c r="B423" s="1" t="n">
        <v>44186</v>
      </c>
      <c r="C423" s="1" t="n">
        <v>45822</v>
      </c>
      <c r="D423" t="inlineStr">
        <is>
          <t>VÄSTERNORRLANDS LÄN</t>
        </is>
      </c>
      <c r="E423" t="inlineStr">
        <is>
          <t>SOLLEFTEÅ</t>
        </is>
      </c>
      <c r="F423" t="inlineStr">
        <is>
          <t>SCA</t>
        </is>
      </c>
      <c r="G423" t="n">
        <v>1.5</v>
      </c>
      <c r="H423" t="n">
        <v>0</v>
      </c>
      <c r="I423" t="n">
        <v>0</v>
      </c>
      <c r="J423" t="n">
        <v>1</v>
      </c>
      <c r="K423" t="n">
        <v>0</v>
      </c>
      <c r="L423" t="n">
        <v>0</v>
      </c>
      <c r="M423" t="n">
        <v>0</v>
      </c>
      <c r="N423" t="n">
        <v>0</v>
      </c>
      <c r="O423" t="n">
        <v>1</v>
      </c>
      <c r="P423" t="n">
        <v>0</v>
      </c>
      <c r="Q423" t="n">
        <v>1</v>
      </c>
      <c r="R423" s="2" t="inlineStr">
        <is>
          <t>Harticka</t>
        </is>
      </c>
      <c r="S423">
        <f>HYPERLINK("https://klasma.github.io/Logging_2283/artfynd/A 68651-2020 artfynd.xlsx", "A 68651-2020")</f>
        <v/>
      </c>
      <c r="T423">
        <f>HYPERLINK("https://klasma.github.io/Logging_2283/kartor/A 68651-2020 karta.png", "A 68651-2020")</f>
        <v/>
      </c>
      <c r="V423">
        <f>HYPERLINK("https://klasma.github.io/Logging_2283/klagomål/A 68651-2020 FSC-klagomål.docx", "A 68651-2020")</f>
        <v/>
      </c>
      <c r="W423">
        <f>HYPERLINK("https://klasma.github.io/Logging_2283/klagomålsmail/A 68651-2020 FSC-klagomål mail.docx", "A 68651-2020")</f>
        <v/>
      </c>
      <c r="X423">
        <f>HYPERLINK("https://klasma.github.io/Logging_2283/tillsyn/A 68651-2020 tillsynsbegäran.docx", "A 68651-2020")</f>
        <v/>
      </c>
      <c r="Y423">
        <f>HYPERLINK("https://klasma.github.io/Logging_2283/tillsynsmail/A 68651-2020 tillsynsbegäran mail.docx", "A 68651-2020")</f>
        <v/>
      </c>
    </row>
    <row r="424" ht="15" customHeight="1">
      <c r="A424" t="inlineStr">
        <is>
          <t>A 68789-2020</t>
        </is>
      </c>
      <c r="B424" s="1" t="n">
        <v>44186</v>
      </c>
      <c r="C424" s="1" t="n">
        <v>45822</v>
      </c>
      <c r="D424" t="inlineStr">
        <is>
          <t>VÄSTERNORRLANDS LÄN</t>
        </is>
      </c>
      <c r="E424" t="inlineStr">
        <is>
          <t>SOLLEFTEÅ</t>
        </is>
      </c>
      <c r="G424" t="n">
        <v>2.1</v>
      </c>
      <c r="H424" t="n">
        <v>0</v>
      </c>
      <c r="I424" t="n">
        <v>1</v>
      </c>
      <c r="J424" t="n">
        <v>0</v>
      </c>
      <c r="K424" t="n">
        <v>0</v>
      </c>
      <c r="L424" t="n">
        <v>0</v>
      </c>
      <c r="M424" t="n">
        <v>0</v>
      </c>
      <c r="N424" t="n">
        <v>0</v>
      </c>
      <c r="O424" t="n">
        <v>0</v>
      </c>
      <c r="P424" t="n">
        <v>0</v>
      </c>
      <c r="Q424" t="n">
        <v>1</v>
      </c>
      <c r="R424" s="2" t="inlineStr">
        <is>
          <t>Svart trolldruva</t>
        </is>
      </c>
      <c r="S424">
        <f>HYPERLINK("https://klasma.github.io/Logging_2283/artfynd/A 68789-2020 artfynd.xlsx", "A 68789-2020")</f>
        <v/>
      </c>
      <c r="T424">
        <f>HYPERLINK("https://klasma.github.io/Logging_2283/kartor/A 68789-2020 karta.png", "A 68789-2020")</f>
        <v/>
      </c>
      <c r="U424">
        <f>HYPERLINK("https://klasma.github.io/Logging_2283/knärot/A 68789-2020 karta knärot.png", "A 68789-2020")</f>
        <v/>
      </c>
      <c r="V424">
        <f>HYPERLINK("https://klasma.github.io/Logging_2283/klagomål/A 68789-2020 FSC-klagomål.docx", "A 68789-2020")</f>
        <v/>
      </c>
      <c r="W424">
        <f>HYPERLINK("https://klasma.github.io/Logging_2283/klagomålsmail/A 68789-2020 FSC-klagomål mail.docx", "A 68789-2020")</f>
        <v/>
      </c>
      <c r="X424">
        <f>HYPERLINK("https://klasma.github.io/Logging_2283/tillsyn/A 68789-2020 tillsynsbegäran.docx", "A 68789-2020")</f>
        <v/>
      </c>
      <c r="Y424">
        <f>HYPERLINK("https://klasma.github.io/Logging_2283/tillsynsmail/A 68789-2020 tillsynsbegäran mail.docx", "A 68789-2020")</f>
        <v/>
      </c>
    </row>
    <row r="425" ht="15" customHeight="1">
      <c r="A425" t="inlineStr">
        <is>
          <t>A 15101-2021</t>
        </is>
      </c>
      <c r="B425" s="1" t="n">
        <v>44281</v>
      </c>
      <c r="C425" s="1" t="n">
        <v>45822</v>
      </c>
      <c r="D425" t="inlineStr">
        <is>
          <t>VÄSTERNORRLANDS LÄN</t>
        </is>
      </c>
      <c r="E425" t="inlineStr">
        <is>
          <t>SOLLEFTEÅ</t>
        </is>
      </c>
      <c r="F425" t="inlineStr">
        <is>
          <t>SCA</t>
        </is>
      </c>
      <c r="G425" t="n">
        <v>1.1</v>
      </c>
      <c r="H425" t="n">
        <v>0</v>
      </c>
      <c r="I425" t="n">
        <v>0</v>
      </c>
      <c r="J425" t="n">
        <v>1</v>
      </c>
      <c r="K425" t="n">
        <v>0</v>
      </c>
      <c r="L425" t="n">
        <v>0</v>
      </c>
      <c r="M425" t="n">
        <v>0</v>
      </c>
      <c r="N425" t="n">
        <v>0</v>
      </c>
      <c r="O425" t="n">
        <v>1</v>
      </c>
      <c r="P425" t="n">
        <v>0</v>
      </c>
      <c r="Q425" t="n">
        <v>1</v>
      </c>
      <c r="R425" s="2" t="inlineStr">
        <is>
          <t>Garnlav</t>
        </is>
      </c>
      <c r="S425">
        <f>HYPERLINK("https://klasma.github.io/Logging_2283/artfynd/A 15101-2021 artfynd.xlsx", "A 15101-2021")</f>
        <v/>
      </c>
      <c r="T425">
        <f>HYPERLINK("https://klasma.github.io/Logging_2283/kartor/A 15101-2021 karta.png", "A 15101-2021")</f>
        <v/>
      </c>
      <c r="V425">
        <f>HYPERLINK("https://klasma.github.io/Logging_2283/klagomål/A 15101-2021 FSC-klagomål.docx", "A 15101-2021")</f>
        <v/>
      </c>
      <c r="W425">
        <f>HYPERLINK("https://klasma.github.io/Logging_2283/klagomålsmail/A 15101-2021 FSC-klagomål mail.docx", "A 15101-2021")</f>
        <v/>
      </c>
      <c r="X425">
        <f>HYPERLINK("https://klasma.github.io/Logging_2283/tillsyn/A 15101-2021 tillsynsbegäran.docx", "A 15101-2021")</f>
        <v/>
      </c>
      <c r="Y425">
        <f>HYPERLINK("https://klasma.github.io/Logging_2283/tillsynsmail/A 15101-2021 tillsynsbegäran mail.docx", "A 15101-2021")</f>
        <v/>
      </c>
    </row>
    <row r="426" ht="15" customHeight="1">
      <c r="A426" t="inlineStr">
        <is>
          <t>A 17377-2021</t>
        </is>
      </c>
      <c r="B426" s="1" t="n">
        <v>44298</v>
      </c>
      <c r="C426" s="1" t="n">
        <v>45822</v>
      </c>
      <c r="D426" t="inlineStr">
        <is>
          <t>VÄSTERNORRLANDS LÄN</t>
        </is>
      </c>
      <c r="E426" t="inlineStr">
        <is>
          <t>SOLLEFTEÅ</t>
        </is>
      </c>
      <c r="G426" t="n">
        <v>5.1</v>
      </c>
      <c r="H426" t="n">
        <v>0</v>
      </c>
      <c r="I426" t="n">
        <v>0</v>
      </c>
      <c r="J426" t="n">
        <v>1</v>
      </c>
      <c r="K426" t="n">
        <v>0</v>
      </c>
      <c r="L426" t="n">
        <v>0</v>
      </c>
      <c r="M426" t="n">
        <v>0</v>
      </c>
      <c r="N426" t="n">
        <v>0</v>
      </c>
      <c r="O426" t="n">
        <v>1</v>
      </c>
      <c r="P426" t="n">
        <v>0</v>
      </c>
      <c r="Q426" t="n">
        <v>1</v>
      </c>
      <c r="R426" s="2" t="inlineStr">
        <is>
          <t>Ullticka</t>
        </is>
      </c>
      <c r="S426">
        <f>HYPERLINK("https://klasma.github.io/Logging_2283/artfynd/A 17377-2021 artfynd.xlsx", "A 17377-2021")</f>
        <v/>
      </c>
      <c r="T426">
        <f>HYPERLINK("https://klasma.github.io/Logging_2283/kartor/A 17377-2021 karta.png", "A 17377-2021")</f>
        <v/>
      </c>
      <c r="V426">
        <f>HYPERLINK("https://klasma.github.io/Logging_2283/klagomål/A 17377-2021 FSC-klagomål.docx", "A 17377-2021")</f>
        <v/>
      </c>
      <c r="W426">
        <f>HYPERLINK("https://klasma.github.io/Logging_2283/klagomålsmail/A 17377-2021 FSC-klagomål mail.docx", "A 17377-2021")</f>
        <v/>
      </c>
      <c r="X426">
        <f>HYPERLINK("https://klasma.github.io/Logging_2283/tillsyn/A 17377-2021 tillsynsbegäran.docx", "A 17377-2021")</f>
        <v/>
      </c>
      <c r="Y426">
        <f>HYPERLINK("https://klasma.github.io/Logging_2283/tillsynsmail/A 17377-2021 tillsynsbegäran mail.docx", "A 17377-2021")</f>
        <v/>
      </c>
    </row>
    <row r="427" ht="15" customHeight="1">
      <c r="A427" t="inlineStr">
        <is>
          <t>A 18461-2021</t>
        </is>
      </c>
      <c r="B427" s="1" t="n">
        <v>44305</v>
      </c>
      <c r="C427" s="1" t="n">
        <v>45822</v>
      </c>
      <c r="D427" t="inlineStr">
        <is>
          <t>VÄSTERNORRLANDS LÄN</t>
        </is>
      </c>
      <c r="E427" t="inlineStr">
        <is>
          <t>SOLLEFTEÅ</t>
        </is>
      </c>
      <c r="F427" t="inlineStr">
        <is>
          <t>SCA</t>
        </is>
      </c>
      <c r="G427" t="n">
        <v>1.7</v>
      </c>
      <c r="H427" t="n">
        <v>1</v>
      </c>
      <c r="I427" t="n">
        <v>0</v>
      </c>
      <c r="J427" t="n">
        <v>1</v>
      </c>
      <c r="K427" t="n">
        <v>0</v>
      </c>
      <c r="L427" t="n">
        <v>0</v>
      </c>
      <c r="M427" t="n">
        <v>0</v>
      </c>
      <c r="N427" t="n">
        <v>0</v>
      </c>
      <c r="O427" t="n">
        <v>1</v>
      </c>
      <c r="P427" t="n">
        <v>0</v>
      </c>
      <c r="Q427" t="n">
        <v>1</v>
      </c>
      <c r="R427" s="2" t="inlineStr">
        <is>
          <t>Nordfladdermus</t>
        </is>
      </c>
      <c r="S427">
        <f>HYPERLINK("https://klasma.github.io/Logging_2283/artfynd/A 18461-2021 artfynd.xlsx", "A 18461-2021")</f>
        <v/>
      </c>
      <c r="T427">
        <f>HYPERLINK("https://klasma.github.io/Logging_2283/kartor/A 18461-2021 karta.png", "A 18461-2021")</f>
        <v/>
      </c>
      <c r="V427">
        <f>HYPERLINK("https://klasma.github.io/Logging_2283/klagomål/A 18461-2021 FSC-klagomål.docx", "A 18461-2021")</f>
        <v/>
      </c>
      <c r="W427">
        <f>HYPERLINK("https://klasma.github.io/Logging_2283/klagomålsmail/A 18461-2021 FSC-klagomål mail.docx", "A 18461-2021")</f>
        <v/>
      </c>
      <c r="X427">
        <f>HYPERLINK("https://klasma.github.io/Logging_2283/tillsyn/A 18461-2021 tillsynsbegäran.docx", "A 18461-2021")</f>
        <v/>
      </c>
      <c r="Y427">
        <f>HYPERLINK("https://klasma.github.io/Logging_2283/tillsynsmail/A 18461-2021 tillsynsbegäran mail.docx", "A 18461-2021")</f>
        <v/>
      </c>
    </row>
    <row r="428" ht="15" customHeight="1">
      <c r="A428" t="inlineStr">
        <is>
          <t>A 21360-2021</t>
        </is>
      </c>
      <c r="B428" s="1" t="n">
        <v>44320</v>
      </c>
      <c r="C428" s="1" t="n">
        <v>45822</v>
      </c>
      <c r="D428" t="inlineStr">
        <is>
          <t>VÄSTERNORRLANDS LÄN</t>
        </is>
      </c>
      <c r="E428" t="inlineStr">
        <is>
          <t>SOLLEFTEÅ</t>
        </is>
      </c>
      <c r="G428" t="n">
        <v>6.8</v>
      </c>
      <c r="H428" t="n">
        <v>1</v>
      </c>
      <c r="I428" t="n">
        <v>0</v>
      </c>
      <c r="J428" t="n">
        <v>0</v>
      </c>
      <c r="K428" t="n">
        <v>1</v>
      </c>
      <c r="L428" t="n">
        <v>0</v>
      </c>
      <c r="M428" t="n">
        <v>0</v>
      </c>
      <c r="N428" t="n">
        <v>0</v>
      </c>
      <c r="O428" t="n">
        <v>1</v>
      </c>
      <c r="P428" t="n">
        <v>1</v>
      </c>
      <c r="Q428" t="n">
        <v>1</v>
      </c>
      <c r="R428" s="2" t="inlineStr">
        <is>
          <t>Knärot</t>
        </is>
      </c>
      <c r="S428">
        <f>HYPERLINK("https://klasma.github.io/Logging_2283/artfynd/A 21360-2021 artfynd.xlsx", "A 21360-2021")</f>
        <v/>
      </c>
      <c r="T428">
        <f>HYPERLINK("https://klasma.github.io/Logging_2283/kartor/A 21360-2021 karta.png", "A 21360-2021")</f>
        <v/>
      </c>
      <c r="U428">
        <f>HYPERLINK("https://klasma.github.io/Logging_2283/knärot/A 21360-2021 karta knärot.png", "A 21360-2021")</f>
        <v/>
      </c>
      <c r="V428">
        <f>HYPERLINK("https://klasma.github.io/Logging_2283/klagomål/A 21360-2021 FSC-klagomål.docx", "A 21360-2021")</f>
        <v/>
      </c>
      <c r="W428">
        <f>HYPERLINK("https://klasma.github.io/Logging_2283/klagomålsmail/A 21360-2021 FSC-klagomål mail.docx", "A 21360-2021")</f>
        <v/>
      </c>
      <c r="X428">
        <f>HYPERLINK("https://klasma.github.io/Logging_2283/tillsyn/A 21360-2021 tillsynsbegäran.docx", "A 21360-2021")</f>
        <v/>
      </c>
      <c r="Y428">
        <f>HYPERLINK("https://klasma.github.io/Logging_2283/tillsynsmail/A 21360-2021 tillsynsbegäran mail.docx", "A 21360-2021")</f>
        <v/>
      </c>
    </row>
    <row r="429" ht="15" customHeight="1">
      <c r="A429" t="inlineStr">
        <is>
          <t>A 22862-2021</t>
        </is>
      </c>
      <c r="B429" s="1" t="n">
        <v>44326</v>
      </c>
      <c r="C429" s="1" t="n">
        <v>45822</v>
      </c>
      <c r="D429" t="inlineStr">
        <is>
          <t>VÄSTERNORRLANDS LÄN</t>
        </is>
      </c>
      <c r="E429" t="inlineStr">
        <is>
          <t>SOLLEFTEÅ</t>
        </is>
      </c>
      <c r="F429" t="inlineStr">
        <is>
          <t>Kommuner</t>
        </is>
      </c>
      <c r="G429" t="n">
        <v>2</v>
      </c>
      <c r="H429" t="n">
        <v>1</v>
      </c>
      <c r="I429" t="n">
        <v>0</v>
      </c>
      <c r="J429" t="n">
        <v>0</v>
      </c>
      <c r="K429" t="n">
        <v>1</v>
      </c>
      <c r="L429" t="n">
        <v>0</v>
      </c>
      <c r="M429" t="n">
        <v>0</v>
      </c>
      <c r="N429" t="n">
        <v>0</v>
      </c>
      <c r="O429" t="n">
        <v>1</v>
      </c>
      <c r="P429" t="n">
        <v>1</v>
      </c>
      <c r="Q429" t="n">
        <v>1</v>
      </c>
      <c r="R429" s="2" t="inlineStr">
        <is>
          <t>Lappuggla</t>
        </is>
      </c>
      <c r="S429">
        <f>HYPERLINK("https://klasma.github.io/Logging_2283/artfynd/A 22862-2021 artfynd.xlsx", "A 22862-2021")</f>
        <v/>
      </c>
      <c r="T429">
        <f>HYPERLINK("https://klasma.github.io/Logging_2283/kartor/A 22862-2021 karta.png", "A 22862-2021")</f>
        <v/>
      </c>
      <c r="V429">
        <f>HYPERLINK("https://klasma.github.io/Logging_2283/klagomål/A 22862-2021 FSC-klagomål.docx", "A 22862-2021")</f>
        <v/>
      </c>
      <c r="W429">
        <f>HYPERLINK("https://klasma.github.io/Logging_2283/klagomålsmail/A 22862-2021 FSC-klagomål mail.docx", "A 22862-2021")</f>
        <v/>
      </c>
      <c r="X429">
        <f>HYPERLINK("https://klasma.github.io/Logging_2283/tillsyn/A 22862-2021 tillsynsbegäran.docx", "A 22862-2021")</f>
        <v/>
      </c>
      <c r="Y429">
        <f>HYPERLINK("https://klasma.github.io/Logging_2283/tillsynsmail/A 22862-2021 tillsynsbegäran mail.docx", "A 22862-2021")</f>
        <v/>
      </c>
      <c r="Z429">
        <f>HYPERLINK("https://klasma.github.io/Logging_2283/fåglar/A 22862-2021 prioriterade fågelarter.docx", "A 22862-2021")</f>
        <v/>
      </c>
    </row>
    <row r="430" ht="15" customHeight="1">
      <c r="A430" t="inlineStr">
        <is>
          <t>A 37043-2021</t>
        </is>
      </c>
      <c r="B430" s="1" t="n">
        <v>44393</v>
      </c>
      <c r="C430" s="1" t="n">
        <v>45822</v>
      </c>
      <c r="D430" t="inlineStr">
        <is>
          <t>VÄSTERNORRLANDS LÄN</t>
        </is>
      </c>
      <c r="E430" t="inlineStr">
        <is>
          <t>SOLLEFTEÅ</t>
        </is>
      </c>
      <c r="F430" t="inlineStr">
        <is>
          <t>SCA</t>
        </is>
      </c>
      <c r="G430" t="n">
        <v>2.9</v>
      </c>
      <c r="H430" t="n">
        <v>0</v>
      </c>
      <c r="I430" t="n">
        <v>0</v>
      </c>
      <c r="J430" t="n">
        <v>1</v>
      </c>
      <c r="K430" t="n">
        <v>0</v>
      </c>
      <c r="L430" t="n">
        <v>0</v>
      </c>
      <c r="M430" t="n">
        <v>0</v>
      </c>
      <c r="N430" t="n">
        <v>0</v>
      </c>
      <c r="O430" t="n">
        <v>1</v>
      </c>
      <c r="P430" t="n">
        <v>0</v>
      </c>
      <c r="Q430" t="n">
        <v>1</v>
      </c>
      <c r="R430" s="2" t="inlineStr">
        <is>
          <t>Garnlav</t>
        </is>
      </c>
      <c r="S430">
        <f>HYPERLINK("https://klasma.github.io/Logging_2283/artfynd/A 37043-2021 artfynd.xlsx", "A 37043-2021")</f>
        <v/>
      </c>
      <c r="T430">
        <f>HYPERLINK("https://klasma.github.io/Logging_2283/kartor/A 37043-2021 karta.png", "A 37043-2021")</f>
        <v/>
      </c>
      <c r="V430">
        <f>HYPERLINK("https://klasma.github.io/Logging_2283/klagomål/A 37043-2021 FSC-klagomål.docx", "A 37043-2021")</f>
        <v/>
      </c>
      <c r="W430">
        <f>HYPERLINK("https://klasma.github.io/Logging_2283/klagomålsmail/A 37043-2021 FSC-klagomål mail.docx", "A 37043-2021")</f>
        <v/>
      </c>
      <c r="X430">
        <f>HYPERLINK("https://klasma.github.io/Logging_2283/tillsyn/A 37043-2021 tillsynsbegäran.docx", "A 37043-2021")</f>
        <v/>
      </c>
      <c r="Y430">
        <f>HYPERLINK("https://klasma.github.io/Logging_2283/tillsynsmail/A 37043-2021 tillsynsbegäran mail.docx", "A 37043-2021")</f>
        <v/>
      </c>
    </row>
    <row r="431" ht="15" customHeight="1">
      <c r="A431" t="inlineStr">
        <is>
          <t>A 42224-2021</t>
        </is>
      </c>
      <c r="B431" s="1" t="n">
        <v>44426</v>
      </c>
      <c r="C431" s="1" t="n">
        <v>45822</v>
      </c>
      <c r="D431" t="inlineStr">
        <is>
          <t>VÄSTERNORRLANDS LÄN</t>
        </is>
      </c>
      <c r="E431" t="inlineStr">
        <is>
          <t>SOLLEFTEÅ</t>
        </is>
      </c>
      <c r="G431" t="n">
        <v>0.6</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42224-2021 artfynd.xlsx", "A 42224-2021")</f>
        <v/>
      </c>
      <c r="T431">
        <f>HYPERLINK("https://klasma.github.io/Logging_2283/kartor/A 42224-2021 karta.png", "A 42224-2021")</f>
        <v/>
      </c>
      <c r="V431">
        <f>HYPERLINK("https://klasma.github.io/Logging_2283/klagomål/A 42224-2021 FSC-klagomål.docx", "A 42224-2021")</f>
        <v/>
      </c>
      <c r="W431">
        <f>HYPERLINK("https://klasma.github.io/Logging_2283/klagomålsmail/A 42224-2021 FSC-klagomål mail.docx", "A 42224-2021")</f>
        <v/>
      </c>
      <c r="X431">
        <f>HYPERLINK("https://klasma.github.io/Logging_2283/tillsyn/A 42224-2021 tillsynsbegäran.docx", "A 42224-2021")</f>
        <v/>
      </c>
      <c r="Y431">
        <f>HYPERLINK("https://klasma.github.io/Logging_2283/tillsynsmail/A 42224-2021 tillsynsbegäran mail.docx", "A 42224-2021")</f>
        <v/>
      </c>
    </row>
    <row r="432" ht="15" customHeight="1">
      <c r="A432" t="inlineStr">
        <is>
          <t>A 51019-2021</t>
        </is>
      </c>
      <c r="B432" s="1" t="n">
        <v>44460</v>
      </c>
      <c r="C432" s="1" t="n">
        <v>45822</v>
      </c>
      <c r="D432" t="inlineStr">
        <is>
          <t>VÄSTERNORRLANDS LÄN</t>
        </is>
      </c>
      <c r="E432" t="inlineStr">
        <is>
          <t>SOLLEFTEÅ</t>
        </is>
      </c>
      <c r="F432" t="inlineStr">
        <is>
          <t>SCA</t>
        </is>
      </c>
      <c r="G432" t="n">
        <v>2.1</v>
      </c>
      <c r="H432" t="n">
        <v>1</v>
      </c>
      <c r="I432" t="n">
        <v>0</v>
      </c>
      <c r="J432" t="n">
        <v>0</v>
      </c>
      <c r="K432" t="n">
        <v>0</v>
      </c>
      <c r="L432" t="n">
        <v>0</v>
      </c>
      <c r="M432" t="n">
        <v>0</v>
      </c>
      <c r="N432" t="n">
        <v>0</v>
      </c>
      <c r="O432" t="n">
        <v>0</v>
      </c>
      <c r="P432" t="n">
        <v>0</v>
      </c>
      <c r="Q432" t="n">
        <v>1</v>
      </c>
      <c r="R432" s="2" t="inlineStr">
        <is>
          <t>Fläcknycklar</t>
        </is>
      </c>
      <c r="S432">
        <f>HYPERLINK("https://klasma.github.io/Logging_2283/artfynd/A 51019-2021 artfynd.xlsx", "A 51019-2021")</f>
        <v/>
      </c>
      <c r="T432">
        <f>HYPERLINK("https://klasma.github.io/Logging_2283/kartor/A 51019-2021 karta.png", "A 51019-2021")</f>
        <v/>
      </c>
      <c r="V432">
        <f>HYPERLINK("https://klasma.github.io/Logging_2283/klagomål/A 51019-2021 FSC-klagomål.docx", "A 51019-2021")</f>
        <v/>
      </c>
      <c r="W432">
        <f>HYPERLINK("https://klasma.github.io/Logging_2283/klagomålsmail/A 51019-2021 FSC-klagomål mail.docx", "A 51019-2021")</f>
        <v/>
      </c>
      <c r="X432">
        <f>HYPERLINK("https://klasma.github.io/Logging_2283/tillsyn/A 51019-2021 tillsynsbegäran.docx", "A 51019-2021")</f>
        <v/>
      </c>
      <c r="Y432">
        <f>HYPERLINK("https://klasma.github.io/Logging_2283/tillsynsmail/A 51019-2021 tillsynsbegäran mail.docx", "A 51019-2021")</f>
        <v/>
      </c>
    </row>
    <row r="433" ht="15" customHeight="1">
      <c r="A433" t="inlineStr">
        <is>
          <t>A 58572-2021</t>
        </is>
      </c>
      <c r="B433" s="1" t="n">
        <v>44488</v>
      </c>
      <c r="C433" s="1" t="n">
        <v>45822</v>
      </c>
      <c r="D433" t="inlineStr">
        <is>
          <t>VÄSTERNORRLANDS LÄN</t>
        </is>
      </c>
      <c r="E433" t="inlineStr">
        <is>
          <t>SOLLEFTEÅ</t>
        </is>
      </c>
      <c r="G433" t="n">
        <v>0.1</v>
      </c>
      <c r="H433" t="n">
        <v>0</v>
      </c>
      <c r="I433" t="n">
        <v>0</v>
      </c>
      <c r="J433" t="n">
        <v>1</v>
      </c>
      <c r="K433" t="n">
        <v>0</v>
      </c>
      <c r="L433" t="n">
        <v>0</v>
      </c>
      <c r="M433" t="n">
        <v>0</v>
      </c>
      <c r="N433" t="n">
        <v>0</v>
      </c>
      <c r="O433" t="n">
        <v>1</v>
      </c>
      <c r="P433" t="n">
        <v>0</v>
      </c>
      <c r="Q433" t="n">
        <v>1</v>
      </c>
      <c r="R433" s="2" t="inlineStr">
        <is>
          <t>Brunklöver</t>
        </is>
      </c>
      <c r="S433">
        <f>HYPERLINK("https://klasma.github.io/Logging_2283/artfynd/A 58572-2021 artfynd.xlsx", "A 58572-2021")</f>
        <v/>
      </c>
      <c r="T433">
        <f>HYPERLINK("https://klasma.github.io/Logging_2283/kartor/A 58572-2021 karta.png", "A 58572-2021")</f>
        <v/>
      </c>
      <c r="V433">
        <f>HYPERLINK("https://klasma.github.io/Logging_2283/klagomål/A 58572-2021 FSC-klagomål.docx", "A 58572-2021")</f>
        <v/>
      </c>
      <c r="W433">
        <f>HYPERLINK("https://klasma.github.io/Logging_2283/klagomålsmail/A 58572-2021 FSC-klagomål mail.docx", "A 58572-2021")</f>
        <v/>
      </c>
      <c r="X433">
        <f>HYPERLINK("https://klasma.github.io/Logging_2283/tillsyn/A 58572-2021 tillsynsbegäran.docx", "A 58572-2021")</f>
        <v/>
      </c>
      <c r="Y433">
        <f>HYPERLINK("https://klasma.github.io/Logging_2283/tillsynsmail/A 58572-2021 tillsynsbegäran mail.docx", "A 58572-2021")</f>
        <v/>
      </c>
    </row>
    <row r="434" ht="15" customHeight="1">
      <c r="A434" t="inlineStr">
        <is>
          <t>A 67402-2021</t>
        </is>
      </c>
      <c r="B434" s="1" t="n">
        <v>44523</v>
      </c>
      <c r="C434" s="1" t="n">
        <v>45822</v>
      </c>
      <c r="D434" t="inlineStr">
        <is>
          <t>VÄSTERNORRLANDS LÄN</t>
        </is>
      </c>
      <c r="E434" t="inlineStr">
        <is>
          <t>SOLLEFTEÅ</t>
        </is>
      </c>
      <c r="F434" t="inlineStr">
        <is>
          <t>SCA</t>
        </is>
      </c>
      <c r="G434" t="n">
        <v>11</v>
      </c>
      <c r="H434" t="n">
        <v>1</v>
      </c>
      <c r="I434" t="n">
        <v>0</v>
      </c>
      <c r="J434" t="n">
        <v>0</v>
      </c>
      <c r="K434" t="n">
        <v>1</v>
      </c>
      <c r="L434" t="n">
        <v>0</v>
      </c>
      <c r="M434" t="n">
        <v>0</v>
      </c>
      <c r="N434" t="n">
        <v>0</v>
      </c>
      <c r="O434" t="n">
        <v>1</v>
      </c>
      <c r="P434" t="n">
        <v>1</v>
      </c>
      <c r="Q434" t="n">
        <v>1</v>
      </c>
      <c r="R434" s="2" t="inlineStr">
        <is>
          <t>Knärot</t>
        </is>
      </c>
      <c r="S434">
        <f>HYPERLINK("https://klasma.github.io/Logging_2283/artfynd/A 67402-2021 artfynd.xlsx", "A 67402-2021")</f>
        <v/>
      </c>
      <c r="T434">
        <f>HYPERLINK("https://klasma.github.io/Logging_2283/kartor/A 67402-2021 karta.png", "A 67402-2021")</f>
        <v/>
      </c>
      <c r="U434">
        <f>HYPERLINK("https://klasma.github.io/Logging_2283/knärot/A 67402-2021 karta knärot.png", "A 67402-2021")</f>
        <v/>
      </c>
      <c r="V434">
        <f>HYPERLINK("https://klasma.github.io/Logging_2283/klagomål/A 67402-2021 FSC-klagomål.docx", "A 67402-2021")</f>
        <v/>
      </c>
      <c r="W434">
        <f>HYPERLINK("https://klasma.github.io/Logging_2283/klagomålsmail/A 67402-2021 FSC-klagomål mail.docx", "A 67402-2021")</f>
        <v/>
      </c>
      <c r="X434">
        <f>HYPERLINK("https://klasma.github.io/Logging_2283/tillsyn/A 67402-2021 tillsynsbegäran.docx", "A 67402-2021")</f>
        <v/>
      </c>
      <c r="Y434">
        <f>HYPERLINK("https://klasma.github.io/Logging_2283/tillsynsmail/A 67402-2021 tillsynsbegäran mail.docx", "A 67402-2021")</f>
        <v/>
      </c>
    </row>
    <row r="435" ht="15" customHeight="1">
      <c r="A435" t="inlineStr">
        <is>
          <t>A 68781-2021</t>
        </is>
      </c>
      <c r="B435" s="1" t="n">
        <v>44529</v>
      </c>
      <c r="C435" s="1" t="n">
        <v>45822</v>
      </c>
      <c r="D435" t="inlineStr">
        <is>
          <t>VÄSTERNORRLANDS LÄN</t>
        </is>
      </c>
      <c r="E435" t="inlineStr">
        <is>
          <t>SOLLEFTEÅ</t>
        </is>
      </c>
      <c r="F435" t="inlineStr">
        <is>
          <t>SCA</t>
        </is>
      </c>
      <c r="G435" t="n">
        <v>1.9</v>
      </c>
      <c r="H435" t="n">
        <v>1</v>
      </c>
      <c r="I435" t="n">
        <v>0</v>
      </c>
      <c r="J435" t="n">
        <v>0</v>
      </c>
      <c r="K435" t="n">
        <v>1</v>
      </c>
      <c r="L435" t="n">
        <v>0</v>
      </c>
      <c r="M435" t="n">
        <v>0</v>
      </c>
      <c r="N435" t="n">
        <v>0</v>
      </c>
      <c r="O435" t="n">
        <v>1</v>
      </c>
      <c r="P435" t="n">
        <v>1</v>
      </c>
      <c r="Q435" t="n">
        <v>1</v>
      </c>
      <c r="R435" s="2" t="inlineStr">
        <is>
          <t>Doftticka</t>
        </is>
      </c>
      <c r="S435">
        <f>HYPERLINK("https://klasma.github.io/Logging_2283/artfynd/A 68781-2021 artfynd.xlsx", "A 68781-2021")</f>
        <v/>
      </c>
      <c r="T435">
        <f>HYPERLINK("https://klasma.github.io/Logging_2283/kartor/A 68781-2021 karta.png", "A 68781-2021")</f>
        <v/>
      </c>
      <c r="V435">
        <f>HYPERLINK("https://klasma.github.io/Logging_2283/klagomål/A 68781-2021 FSC-klagomål.docx", "A 68781-2021")</f>
        <v/>
      </c>
      <c r="W435">
        <f>HYPERLINK("https://klasma.github.io/Logging_2283/klagomålsmail/A 68781-2021 FSC-klagomål mail.docx", "A 68781-2021")</f>
        <v/>
      </c>
      <c r="X435">
        <f>HYPERLINK("https://klasma.github.io/Logging_2283/tillsyn/A 68781-2021 tillsynsbegäran.docx", "A 68781-2021")</f>
        <v/>
      </c>
      <c r="Y435">
        <f>HYPERLINK("https://klasma.github.io/Logging_2283/tillsynsmail/A 68781-2021 tillsynsbegäran mail.docx", "A 68781-2021")</f>
        <v/>
      </c>
    </row>
    <row r="436" ht="15" customHeight="1">
      <c r="A436" t="inlineStr">
        <is>
          <t>A 71349-2021</t>
        </is>
      </c>
      <c r="B436" s="1" t="n">
        <v>44539</v>
      </c>
      <c r="C436" s="1" t="n">
        <v>45822</v>
      </c>
      <c r="D436" t="inlineStr">
        <is>
          <t>VÄSTERNORRLANDS LÄN</t>
        </is>
      </c>
      <c r="E436" t="inlineStr">
        <is>
          <t>SOLLEFTEÅ</t>
        </is>
      </c>
      <c r="G436" t="n">
        <v>0.5</v>
      </c>
      <c r="H436" t="n">
        <v>1</v>
      </c>
      <c r="I436" t="n">
        <v>0</v>
      </c>
      <c r="J436" t="n">
        <v>1</v>
      </c>
      <c r="K436" t="n">
        <v>0</v>
      </c>
      <c r="L436" t="n">
        <v>0</v>
      </c>
      <c r="M436" t="n">
        <v>0</v>
      </c>
      <c r="N436" t="n">
        <v>0</v>
      </c>
      <c r="O436" t="n">
        <v>1</v>
      </c>
      <c r="P436" t="n">
        <v>0</v>
      </c>
      <c r="Q436" t="n">
        <v>1</v>
      </c>
      <c r="R436" s="2" t="inlineStr">
        <is>
          <t>Björktrast</t>
        </is>
      </c>
      <c r="S436">
        <f>HYPERLINK("https://klasma.github.io/Logging_2283/artfynd/A 71349-2021 artfynd.xlsx", "A 71349-2021")</f>
        <v/>
      </c>
      <c r="T436">
        <f>HYPERLINK("https://klasma.github.io/Logging_2283/kartor/A 71349-2021 karta.png", "A 71349-2021")</f>
        <v/>
      </c>
      <c r="V436">
        <f>HYPERLINK("https://klasma.github.io/Logging_2283/klagomål/A 71349-2021 FSC-klagomål.docx", "A 71349-2021")</f>
        <v/>
      </c>
      <c r="W436">
        <f>HYPERLINK("https://klasma.github.io/Logging_2283/klagomålsmail/A 71349-2021 FSC-klagomål mail.docx", "A 71349-2021")</f>
        <v/>
      </c>
      <c r="X436">
        <f>HYPERLINK("https://klasma.github.io/Logging_2283/tillsyn/A 71349-2021 tillsynsbegäran.docx", "A 71349-2021")</f>
        <v/>
      </c>
      <c r="Y436">
        <f>HYPERLINK("https://klasma.github.io/Logging_2283/tillsynsmail/A 71349-2021 tillsynsbegäran mail.docx", "A 71349-2021")</f>
        <v/>
      </c>
      <c r="Z436">
        <f>HYPERLINK("https://klasma.github.io/Logging_2283/fåglar/A 71349-2021 prioriterade fågelarter.docx", "A 71349-2021")</f>
        <v/>
      </c>
    </row>
    <row r="437" ht="15" customHeight="1">
      <c r="A437" t="inlineStr">
        <is>
          <t>A 15669-2022</t>
        </is>
      </c>
      <c r="B437" s="1" t="n">
        <v>44662</v>
      </c>
      <c r="C437" s="1" t="n">
        <v>45822</v>
      </c>
      <c r="D437" t="inlineStr">
        <is>
          <t>VÄSTERNORRLANDS LÄN</t>
        </is>
      </c>
      <c r="E437" t="inlineStr">
        <is>
          <t>SOLLEFTEÅ</t>
        </is>
      </c>
      <c r="G437" t="n">
        <v>12.1</v>
      </c>
      <c r="H437" t="n">
        <v>0</v>
      </c>
      <c r="I437" t="n">
        <v>1</v>
      </c>
      <c r="J437" t="n">
        <v>0</v>
      </c>
      <c r="K437" t="n">
        <v>0</v>
      </c>
      <c r="L437" t="n">
        <v>0</v>
      </c>
      <c r="M437" t="n">
        <v>0</v>
      </c>
      <c r="N437" t="n">
        <v>0</v>
      </c>
      <c r="O437" t="n">
        <v>0</v>
      </c>
      <c r="P437" t="n">
        <v>0</v>
      </c>
      <c r="Q437" t="n">
        <v>1</v>
      </c>
      <c r="R437" s="2" t="inlineStr">
        <is>
          <t>Skinnlav</t>
        </is>
      </c>
      <c r="S437">
        <f>HYPERLINK("https://klasma.github.io/Logging_2283/artfynd/A 15669-2022 artfynd.xlsx", "A 15669-2022")</f>
        <v/>
      </c>
      <c r="T437">
        <f>HYPERLINK("https://klasma.github.io/Logging_2283/kartor/A 15669-2022 karta.png", "A 15669-2022")</f>
        <v/>
      </c>
      <c r="V437">
        <f>HYPERLINK("https://klasma.github.io/Logging_2283/klagomål/A 15669-2022 FSC-klagomål.docx", "A 15669-2022")</f>
        <v/>
      </c>
      <c r="W437">
        <f>HYPERLINK("https://klasma.github.io/Logging_2283/klagomålsmail/A 15669-2022 FSC-klagomål mail.docx", "A 15669-2022")</f>
        <v/>
      </c>
      <c r="X437">
        <f>HYPERLINK("https://klasma.github.io/Logging_2283/tillsyn/A 15669-2022 tillsynsbegäran.docx", "A 15669-2022")</f>
        <v/>
      </c>
      <c r="Y437">
        <f>HYPERLINK("https://klasma.github.io/Logging_2283/tillsynsmail/A 15669-2022 tillsynsbegäran mail.docx", "A 15669-2022")</f>
        <v/>
      </c>
    </row>
    <row r="438" ht="15" customHeight="1">
      <c r="A438" t="inlineStr">
        <is>
          <t>A 16269-2022</t>
        </is>
      </c>
      <c r="B438" s="1" t="n">
        <v>44670</v>
      </c>
      <c r="C438" s="1" t="n">
        <v>45822</v>
      </c>
      <c r="D438" t="inlineStr">
        <is>
          <t>VÄSTERNORRLANDS LÄN</t>
        </is>
      </c>
      <c r="E438" t="inlineStr">
        <is>
          <t>SOLLEFTEÅ</t>
        </is>
      </c>
      <c r="F438" t="inlineStr">
        <is>
          <t>Holmen skog AB</t>
        </is>
      </c>
      <c r="G438" t="n">
        <v>4.6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16269-2022 artfynd.xlsx", "A 16269-2022")</f>
        <v/>
      </c>
      <c r="T438">
        <f>HYPERLINK("https://klasma.github.io/Logging_2283/kartor/A 16269-2022 karta.png", "A 16269-2022")</f>
        <v/>
      </c>
      <c r="V438">
        <f>HYPERLINK("https://klasma.github.io/Logging_2283/klagomål/A 16269-2022 FSC-klagomål.docx", "A 16269-2022")</f>
        <v/>
      </c>
      <c r="W438">
        <f>HYPERLINK("https://klasma.github.io/Logging_2283/klagomålsmail/A 16269-2022 FSC-klagomål mail.docx", "A 16269-2022")</f>
        <v/>
      </c>
      <c r="X438">
        <f>HYPERLINK("https://klasma.github.io/Logging_2283/tillsyn/A 16269-2022 tillsynsbegäran.docx", "A 16269-2022")</f>
        <v/>
      </c>
      <c r="Y438">
        <f>HYPERLINK("https://klasma.github.io/Logging_2283/tillsynsmail/A 16269-2022 tillsynsbegäran mail.docx", "A 16269-2022")</f>
        <v/>
      </c>
      <c r="Z438">
        <f>HYPERLINK("https://klasma.github.io/Logging_2283/fåglar/A 16269-2022 prioriterade fågelarter.docx", "A 16269-2022")</f>
        <v/>
      </c>
    </row>
    <row r="439" ht="15" customHeight="1">
      <c r="A439" t="inlineStr">
        <is>
          <t>A 21708-2022</t>
        </is>
      </c>
      <c r="B439" s="1" t="n">
        <v>44707</v>
      </c>
      <c r="C439" s="1" t="n">
        <v>45822</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Lunglav</t>
        </is>
      </c>
      <c r="S439">
        <f>HYPERLINK("https://klasma.github.io/Logging_2283/artfynd/A 21708-2022 artfynd.xlsx", "A 21708-2022")</f>
        <v/>
      </c>
      <c r="T439">
        <f>HYPERLINK("https://klasma.github.io/Logging_2283/kartor/A 21708-2022 karta.png", "A 21708-2022")</f>
        <v/>
      </c>
      <c r="V439">
        <f>HYPERLINK("https://klasma.github.io/Logging_2283/klagomål/A 21708-2022 FSC-klagomål.docx", "A 21708-2022")</f>
        <v/>
      </c>
      <c r="W439">
        <f>HYPERLINK("https://klasma.github.io/Logging_2283/klagomålsmail/A 21708-2022 FSC-klagomål mail.docx", "A 21708-2022")</f>
        <v/>
      </c>
      <c r="X439">
        <f>HYPERLINK("https://klasma.github.io/Logging_2283/tillsyn/A 21708-2022 tillsynsbegäran.docx", "A 21708-2022")</f>
        <v/>
      </c>
      <c r="Y439">
        <f>HYPERLINK("https://klasma.github.io/Logging_2283/tillsynsmail/A 21708-2022 tillsynsbegäran mail.docx", "A 21708-2022")</f>
        <v/>
      </c>
    </row>
    <row r="440" ht="15" customHeight="1">
      <c r="A440" t="inlineStr">
        <is>
          <t>A 22323-2022</t>
        </is>
      </c>
      <c r="B440" s="1" t="n">
        <v>44713</v>
      </c>
      <c r="C440" s="1" t="n">
        <v>45822</v>
      </c>
      <c r="D440" t="inlineStr">
        <is>
          <t>VÄSTERNORRLANDS LÄN</t>
        </is>
      </c>
      <c r="E440" t="inlineStr">
        <is>
          <t>SOLLEFTEÅ</t>
        </is>
      </c>
      <c r="F440" t="inlineStr">
        <is>
          <t>SCA</t>
        </is>
      </c>
      <c r="G440" t="n">
        <v>1.8</v>
      </c>
      <c r="H440" t="n">
        <v>0</v>
      </c>
      <c r="I440" t="n">
        <v>0</v>
      </c>
      <c r="J440" t="n">
        <v>1</v>
      </c>
      <c r="K440" t="n">
        <v>0</v>
      </c>
      <c r="L440" t="n">
        <v>0</v>
      </c>
      <c r="M440" t="n">
        <v>0</v>
      </c>
      <c r="N440" t="n">
        <v>0</v>
      </c>
      <c r="O440" t="n">
        <v>1</v>
      </c>
      <c r="P440" t="n">
        <v>0</v>
      </c>
      <c r="Q440" t="n">
        <v>1</v>
      </c>
      <c r="R440" s="2" t="inlineStr">
        <is>
          <t>Granticka</t>
        </is>
      </c>
      <c r="S440">
        <f>HYPERLINK("https://klasma.github.io/Logging_2283/artfynd/A 22323-2022 artfynd.xlsx", "A 22323-2022")</f>
        <v/>
      </c>
      <c r="T440">
        <f>HYPERLINK("https://klasma.github.io/Logging_2283/kartor/A 22323-2022 karta.png", "A 22323-2022")</f>
        <v/>
      </c>
      <c r="V440">
        <f>HYPERLINK("https://klasma.github.io/Logging_2283/klagomål/A 22323-2022 FSC-klagomål.docx", "A 22323-2022")</f>
        <v/>
      </c>
      <c r="W440">
        <f>HYPERLINK("https://klasma.github.io/Logging_2283/klagomålsmail/A 22323-2022 FSC-klagomål mail.docx", "A 22323-2022")</f>
        <v/>
      </c>
      <c r="X440">
        <f>HYPERLINK("https://klasma.github.io/Logging_2283/tillsyn/A 22323-2022 tillsynsbegäran.docx", "A 22323-2022")</f>
        <v/>
      </c>
      <c r="Y440">
        <f>HYPERLINK("https://klasma.github.io/Logging_2283/tillsynsmail/A 22323-2022 tillsynsbegäran mail.docx", "A 22323-2022")</f>
        <v/>
      </c>
    </row>
    <row r="441" ht="15" customHeight="1">
      <c r="A441" t="inlineStr">
        <is>
          <t>A 26121-2022</t>
        </is>
      </c>
      <c r="B441" s="1" t="n">
        <v>44734</v>
      </c>
      <c r="C441" s="1" t="n">
        <v>45822</v>
      </c>
      <c r="D441" t="inlineStr">
        <is>
          <t>VÄSTERNORRLANDS LÄN</t>
        </is>
      </c>
      <c r="E441" t="inlineStr">
        <is>
          <t>SOLLEFTEÅ</t>
        </is>
      </c>
      <c r="F441" t="inlineStr">
        <is>
          <t>SCA</t>
        </is>
      </c>
      <c r="G441" t="n">
        <v>6.3</v>
      </c>
      <c r="H441" t="n">
        <v>0</v>
      </c>
      <c r="I441" t="n">
        <v>0</v>
      </c>
      <c r="J441" t="n">
        <v>1</v>
      </c>
      <c r="K441" t="n">
        <v>0</v>
      </c>
      <c r="L441" t="n">
        <v>0</v>
      </c>
      <c r="M441" t="n">
        <v>0</v>
      </c>
      <c r="N441" t="n">
        <v>0</v>
      </c>
      <c r="O441" t="n">
        <v>1</v>
      </c>
      <c r="P441" t="n">
        <v>0</v>
      </c>
      <c r="Q441" t="n">
        <v>1</v>
      </c>
      <c r="R441" s="2" t="inlineStr">
        <is>
          <t>Veckticka</t>
        </is>
      </c>
      <c r="S441">
        <f>HYPERLINK("https://klasma.github.io/Logging_2283/artfynd/A 26121-2022 artfynd.xlsx", "A 26121-2022")</f>
        <v/>
      </c>
      <c r="T441">
        <f>HYPERLINK("https://klasma.github.io/Logging_2283/kartor/A 26121-2022 karta.png", "A 26121-2022")</f>
        <v/>
      </c>
      <c r="V441">
        <f>HYPERLINK("https://klasma.github.io/Logging_2283/klagomål/A 26121-2022 FSC-klagomål.docx", "A 26121-2022")</f>
        <v/>
      </c>
      <c r="W441">
        <f>HYPERLINK("https://klasma.github.io/Logging_2283/klagomålsmail/A 26121-2022 FSC-klagomål mail.docx", "A 26121-2022")</f>
        <v/>
      </c>
      <c r="X441">
        <f>HYPERLINK("https://klasma.github.io/Logging_2283/tillsyn/A 26121-2022 tillsynsbegäran.docx", "A 26121-2022")</f>
        <v/>
      </c>
      <c r="Y441">
        <f>HYPERLINK("https://klasma.github.io/Logging_2283/tillsynsmail/A 26121-2022 tillsynsbegäran mail.docx", "A 26121-2022")</f>
        <v/>
      </c>
    </row>
    <row r="442" ht="15" customHeight="1">
      <c r="A442" t="inlineStr">
        <is>
          <t>A 27106-2022</t>
        </is>
      </c>
      <c r="B442" s="1" t="n">
        <v>44741</v>
      </c>
      <c r="C442" s="1" t="n">
        <v>45822</v>
      </c>
      <c r="D442" t="inlineStr">
        <is>
          <t>VÄSTERNORRLANDS LÄN</t>
        </is>
      </c>
      <c r="E442" t="inlineStr">
        <is>
          <t>SOLLEFTEÅ</t>
        </is>
      </c>
      <c r="G442" t="n">
        <v>1.3</v>
      </c>
      <c r="H442" t="n">
        <v>1</v>
      </c>
      <c r="I442" t="n">
        <v>0</v>
      </c>
      <c r="J442" t="n">
        <v>0</v>
      </c>
      <c r="K442" t="n">
        <v>0</v>
      </c>
      <c r="L442" t="n">
        <v>0</v>
      </c>
      <c r="M442" t="n">
        <v>0</v>
      </c>
      <c r="N442" t="n">
        <v>0</v>
      </c>
      <c r="O442" t="n">
        <v>0</v>
      </c>
      <c r="P442" t="n">
        <v>0</v>
      </c>
      <c r="Q442" t="n">
        <v>1</v>
      </c>
      <c r="R442" s="2" t="inlineStr">
        <is>
          <t>Revlummer</t>
        </is>
      </c>
      <c r="S442">
        <f>HYPERLINK("https://klasma.github.io/Logging_2283/artfynd/A 27106-2022 artfynd.xlsx", "A 27106-2022")</f>
        <v/>
      </c>
      <c r="T442">
        <f>HYPERLINK("https://klasma.github.io/Logging_2283/kartor/A 27106-2022 karta.png", "A 27106-2022")</f>
        <v/>
      </c>
      <c r="V442">
        <f>HYPERLINK("https://klasma.github.io/Logging_2283/klagomål/A 27106-2022 FSC-klagomål.docx", "A 27106-2022")</f>
        <v/>
      </c>
      <c r="W442">
        <f>HYPERLINK("https://klasma.github.io/Logging_2283/klagomålsmail/A 27106-2022 FSC-klagomål mail.docx", "A 27106-2022")</f>
        <v/>
      </c>
      <c r="X442">
        <f>HYPERLINK("https://klasma.github.io/Logging_2283/tillsyn/A 27106-2022 tillsynsbegäran.docx", "A 27106-2022")</f>
        <v/>
      </c>
      <c r="Y442">
        <f>HYPERLINK("https://klasma.github.io/Logging_2283/tillsynsmail/A 27106-2022 tillsynsbegäran mail.docx", "A 27106-2022")</f>
        <v/>
      </c>
    </row>
    <row r="443" ht="15" customHeight="1">
      <c r="A443" t="inlineStr">
        <is>
          <t>A 29037-2022</t>
        </is>
      </c>
      <c r="B443" s="1" t="n">
        <v>44749</v>
      </c>
      <c r="C443" s="1" t="n">
        <v>45822</v>
      </c>
      <c r="D443" t="inlineStr">
        <is>
          <t>VÄSTERNORRLANDS LÄN</t>
        </is>
      </c>
      <c r="E443" t="inlineStr">
        <is>
          <t>SOLLEFTEÅ</t>
        </is>
      </c>
      <c r="F443" t="inlineStr">
        <is>
          <t>SCA</t>
        </is>
      </c>
      <c r="G443" t="n">
        <v>1</v>
      </c>
      <c r="H443" t="n">
        <v>0</v>
      </c>
      <c r="I443" t="n">
        <v>1</v>
      </c>
      <c r="J443" t="n">
        <v>0</v>
      </c>
      <c r="K443" t="n">
        <v>0</v>
      </c>
      <c r="L443" t="n">
        <v>0</v>
      </c>
      <c r="M443" t="n">
        <v>0</v>
      </c>
      <c r="N443" t="n">
        <v>0</v>
      </c>
      <c r="O443" t="n">
        <v>0</v>
      </c>
      <c r="P443" t="n">
        <v>0</v>
      </c>
      <c r="Q443" t="n">
        <v>1</v>
      </c>
      <c r="R443" s="2" t="inlineStr">
        <is>
          <t>Vanlig flatbagge</t>
        </is>
      </c>
      <c r="S443">
        <f>HYPERLINK("https://klasma.github.io/Logging_2283/artfynd/A 29037-2022 artfynd.xlsx", "A 29037-2022")</f>
        <v/>
      </c>
      <c r="T443">
        <f>HYPERLINK("https://klasma.github.io/Logging_2283/kartor/A 29037-2022 karta.png", "A 29037-2022")</f>
        <v/>
      </c>
      <c r="V443">
        <f>HYPERLINK("https://klasma.github.io/Logging_2283/klagomål/A 29037-2022 FSC-klagomål.docx", "A 29037-2022")</f>
        <v/>
      </c>
      <c r="W443">
        <f>HYPERLINK("https://klasma.github.io/Logging_2283/klagomålsmail/A 29037-2022 FSC-klagomål mail.docx", "A 29037-2022")</f>
        <v/>
      </c>
      <c r="X443">
        <f>HYPERLINK("https://klasma.github.io/Logging_2283/tillsyn/A 29037-2022 tillsynsbegäran.docx", "A 29037-2022")</f>
        <v/>
      </c>
      <c r="Y443">
        <f>HYPERLINK("https://klasma.github.io/Logging_2283/tillsynsmail/A 29037-2022 tillsynsbegäran mail.docx", "A 29037-2022")</f>
        <v/>
      </c>
    </row>
    <row r="444" ht="15" customHeight="1">
      <c r="A444" t="inlineStr">
        <is>
          <t>A 30047-2022</t>
        </is>
      </c>
      <c r="B444" s="1" t="n">
        <v>44757</v>
      </c>
      <c r="C444" s="1" t="n">
        <v>45822</v>
      </c>
      <c r="D444" t="inlineStr">
        <is>
          <t>VÄSTERNORRLANDS LÄN</t>
        </is>
      </c>
      <c r="E444" t="inlineStr">
        <is>
          <t>SOLLEFTEÅ</t>
        </is>
      </c>
      <c r="F444" t="inlineStr">
        <is>
          <t>SCA</t>
        </is>
      </c>
      <c r="G444" t="n">
        <v>2.5</v>
      </c>
      <c r="H444" t="n">
        <v>0</v>
      </c>
      <c r="I444" t="n">
        <v>0</v>
      </c>
      <c r="J444" t="n">
        <v>1</v>
      </c>
      <c r="K444" t="n">
        <v>0</v>
      </c>
      <c r="L444" t="n">
        <v>0</v>
      </c>
      <c r="M444" t="n">
        <v>0</v>
      </c>
      <c r="N444" t="n">
        <v>0</v>
      </c>
      <c r="O444" t="n">
        <v>1</v>
      </c>
      <c r="P444" t="n">
        <v>0</v>
      </c>
      <c r="Q444" t="n">
        <v>1</v>
      </c>
      <c r="R444" s="2" t="inlineStr">
        <is>
          <t>Garnlav</t>
        </is>
      </c>
      <c r="S444">
        <f>HYPERLINK("https://klasma.github.io/Logging_2283/artfynd/A 30047-2022 artfynd.xlsx", "A 30047-2022")</f>
        <v/>
      </c>
      <c r="T444">
        <f>HYPERLINK("https://klasma.github.io/Logging_2283/kartor/A 30047-2022 karta.png", "A 30047-2022")</f>
        <v/>
      </c>
      <c r="V444">
        <f>HYPERLINK("https://klasma.github.io/Logging_2283/klagomål/A 30047-2022 FSC-klagomål.docx", "A 30047-2022")</f>
        <v/>
      </c>
      <c r="W444">
        <f>HYPERLINK("https://klasma.github.io/Logging_2283/klagomålsmail/A 30047-2022 FSC-klagomål mail.docx", "A 30047-2022")</f>
        <v/>
      </c>
      <c r="X444">
        <f>HYPERLINK("https://klasma.github.io/Logging_2283/tillsyn/A 30047-2022 tillsynsbegäran.docx", "A 30047-2022")</f>
        <v/>
      </c>
      <c r="Y444">
        <f>HYPERLINK("https://klasma.github.io/Logging_2283/tillsynsmail/A 30047-2022 tillsynsbegäran mail.docx", "A 30047-2022")</f>
        <v/>
      </c>
    </row>
    <row r="445" ht="15" customHeight="1">
      <c r="A445" t="inlineStr">
        <is>
          <t>A 33216-2022</t>
        </is>
      </c>
      <c r="B445" s="1" t="n">
        <v>44785</v>
      </c>
      <c r="C445" s="1" t="n">
        <v>45822</v>
      </c>
      <c r="D445" t="inlineStr">
        <is>
          <t>VÄSTERNORRLANDS LÄN</t>
        </is>
      </c>
      <c r="E445" t="inlineStr">
        <is>
          <t>SOLLEFTEÅ</t>
        </is>
      </c>
      <c r="F445" t="inlineStr">
        <is>
          <t>SCA</t>
        </is>
      </c>
      <c r="G445" t="n">
        <v>4.4</v>
      </c>
      <c r="H445" t="n">
        <v>0</v>
      </c>
      <c r="I445" t="n">
        <v>0</v>
      </c>
      <c r="J445" t="n">
        <v>0</v>
      </c>
      <c r="K445" t="n">
        <v>1</v>
      </c>
      <c r="L445" t="n">
        <v>0</v>
      </c>
      <c r="M445" t="n">
        <v>0</v>
      </c>
      <c r="N445" t="n">
        <v>0</v>
      </c>
      <c r="O445" t="n">
        <v>1</v>
      </c>
      <c r="P445" t="n">
        <v>1</v>
      </c>
      <c r="Q445" t="n">
        <v>1</v>
      </c>
      <c r="R445" s="2" t="inlineStr">
        <is>
          <t>Rynkskinn</t>
        </is>
      </c>
      <c r="S445">
        <f>HYPERLINK("https://klasma.github.io/Logging_2283/artfynd/A 33216-2022 artfynd.xlsx", "A 33216-2022")</f>
        <v/>
      </c>
      <c r="T445">
        <f>HYPERLINK("https://klasma.github.io/Logging_2283/kartor/A 33216-2022 karta.png", "A 33216-2022")</f>
        <v/>
      </c>
      <c r="V445">
        <f>HYPERLINK("https://klasma.github.io/Logging_2283/klagomål/A 33216-2022 FSC-klagomål.docx", "A 33216-2022")</f>
        <v/>
      </c>
      <c r="W445">
        <f>HYPERLINK("https://klasma.github.io/Logging_2283/klagomålsmail/A 33216-2022 FSC-klagomål mail.docx", "A 33216-2022")</f>
        <v/>
      </c>
      <c r="X445">
        <f>HYPERLINK("https://klasma.github.io/Logging_2283/tillsyn/A 33216-2022 tillsynsbegäran.docx", "A 33216-2022")</f>
        <v/>
      </c>
      <c r="Y445">
        <f>HYPERLINK("https://klasma.github.io/Logging_2283/tillsynsmail/A 33216-2022 tillsynsbegäran mail.docx", "A 33216-2022")</f>
        <v/>
      </c>
    </row>
    <row r="446" ht="15" customHeight="1">
      <c r="A446" t="inlineStr">
        <is>
          <t>A 33504-2022</t>
        </is>
      </c>
      <c r="B446" s="1" t="n">
        <v>44788</v>
      </c>
      <c r="C446" s="1" t="n">
        <v>45822</v>
      </c>
      <c r="D446" t="inlineStr">
        <is>
          <t>VÄSTERNORRLANDS LÄN</t>
        </is>
      </c>
      <c r="E446" t="inlineStr">
        <is>
          <t>SOLLEFTEÅ</t>
        </is>
      </c>
      <c r="F446" t="inlineStr">
        <is>
          <t>SCA</t>
        </is>
      </c>
      <c r="G446" t="n">
        <v>5.2</v>
      </c>
      <c r="H446" t="n">
        <v>1</v>
      </c>
      <c r="I446" t="n">
        <v>0</v>
      </c>
      <c r="J446" t="n">
        <v>0</v>
      </c>
      <c r="K446" t="n">
        <v>1</v>
      </c>
      <c r="L446" t="n">
        <v>0</v>
      </c>
      <c r="M446" t="n">
        <v>0</v>
      </c>
      <c r="N446" t="n">
        <v>0</v>
      </c>
      <c r="O446" t="n">
        <v>1</v>
      </c>
      <c r="P446" t="n">
        <v>1</v>
      </c>
      <c r="Q446" t="n">
        <v>1</v>
      </c>
      <c r="R446" s="2" t="inlineStr">
        <is>
          <t>Knärot</t>
        </is>
      </c>
      <c r="S446">
        <f>HYPERLINK("https://klasma.github.io/Logging_2283/artfynd/A 33504-2022 artfynd.xlsx", "A 33504-2022")</f>
        <v/>
      </c>
      <c r="T446">
        <f>HYPERLINK("https://klasma.github.io/Logging_2283/kartor/A 33504-2022 karta.png", "A 33504-2022")</f>
        <v/>
      </c>
      <c r="U446">
        <f>HYPERLINK("https://klasma.github.io/Logging_2283/knärot/A 33504-2022 karta knärot.png", "A 33504-2022")</f>
        <v/>
      </c>
      <c r="V446">
        <f>HYPERLINK("https://klasma.github.io/Logging_2283/klagomål/A 33504-2022 FSC-klagomål.docx", "A 33504-2022")</f>
        <v/>
      </c>
      <c r="W446">
        <f>HYPERLINK("https://klasma.github.io/Logging_2283/klagomålsmail/A 33504-2022 FSC-klagomål mail.docx", "A 33504-2022")</f>
        <v/>
      </c>
      <c r="X446">
        <f>HYPERLINK("https://klasma.github.io/Logging_2283/tillsyn/A 33504-2022 tillsynsbegäran.docx", "A 33504-2022")</f>
        <v/>
      </c>
      <c r="Y446">
        <f>HYPERLINK("https://klasma.github.io/Logging_2283/tillsynsmail/A 33504-2022 tillsynsbegäran mail.docx", "A 33504-2022")</f>
        <v/>
      </c>
    </row>
    <row r="447" ht="15" customHeight="1">
      <c r="A447" t="inlineStr">
        <is>
          <t>A 35013-2022</t>
        </is>
      </c>
      <c r="B447" s="1" t="n">
        <v>44796</v>
      </c>
      <c r="C447" s="1" t="n">
        <v>45822</v>
      </c>
      <c r="D447" t="inlineStr">
        <is>
          <t>VÄSTERNORRLANDS LÄN</t>
        </is>
      </c>
      <c r="E447" t="inlineStr">
        <is>
          <t>SOLLEFTEÅ</t>
        </is>
      </c>
      <c r="F447" t="inlineStr">
        <is>
          <t>SCA</t>
        </is>
      </c>
      <c r="G447" t="n">
        <v>2.1</v>
      </c>
      <c r="H447" t="n">
        <v>0</v>
      </c>
      <c r="I447" t="n">
        <v>0</v>
      </c>
      <c r="J447" t="n">
        <v>1</v>
      </c>
      <c r="K447" t="n">
        <v>0</v>
      </c>
      <c r="L447" t="n">
        <v>0</v>
      </c>
      <c r="M447" t="n">
        <v>0</v>
      </c>
      <c r="N447" t="n">
        <v>0</v>
      </c>
      <c r="O447" t="n">
        <v>1</v>
      </c>
      <c r="P447" t="n">
        <v>0</v>
      </c>
      <c r="Q447" t="n">
        <v>1</v>
      </c>
      <c r="R447" s="2" t="inlineStr">
        <is>
          <t>Rosenticka</t>
        </is>
      </c>
      <c r="S447">
        <f>HYPERLINK("https://klasma.github.io/Logging_2283/artfynd/A 35013-2022 artfynd.xlsx", "A 35013-2022")</f>
        <v/>
      </c>
      <c r="T447">
        <f>HYPERLINK("https://klasma.github.io/Logging_2283/kartor/A 35013-2022 karta.png", "A 35013-2022")</f>
        <v/>
      </c>
      <c r="V447">
        <f>HYPERLINK("https://klasma.github.io/Logging_2283/klagomål/A 35013-2022 FSC-klagomål.docx", "A 35013-2022")</f>
        <v/>
      </c>
      <c r="W447">
        <f>HYPERLINK("https://klasma.github.io/Logging_2283/klagomålsmail/A 35013-2022 FSC-klagomål mail.docx", "A 35013-2022")</f>
        <v/>
      </c>
      <c r="X447">
        <f>HYPERLINK("https://klasma.github.io/Logging_2283/tillsyn/A 35013-2022 tillsynsbegäran.docx", "A 35013-2022")</f>
        <v/>
      </c>
      <c r="Y447">
        <f>HYPERLINK("https://klasma.github.io/Logging_2283/tillsynsmail/A 35013-2022 tillsynsbegäran mail.docx", "A 35013-2022")</f>
        <v/>
      </c>
    </row>
    <row r="448" ht="15" customHeight="1">
      <c r="A448" t="inlineStr">
        <is>
          <t>A 37589-2022</t>
        </is>
      </c>
      <c r="B448" s="1" t="n">
        <v>44810</v>
      </c>
      <c r="C448" s="1" t="n">
        <v>45822</v>
      </c>
      <c r="D448" t="inlineStr">
        <is>
          <t>VÄSTERNORRLANDS LÄN</t>
        </is>
      </c>
      <c r="E448" t="inlineStr">
        <is>
          <t>SOLLEFTEÅ</t>
        </is>
      </c>
      <c r="F448" t="inlineStr">
        <is>
          <t>SCA</t>
        </is>
      </c>
      <c r="G448" t="n">
        <v>2.6</v>
      </c>
      <c r="H448" t="n">
        <v>1</v>
      </c>
      <c r="I448" t="n">
        <v>0</v>
      </c>
      <c r="J448" t="n">
        <v>0</v>
      </c>
      <c r="K448" t="n">
        <v>0</v>
      </c>
      <c r="L448" t="n">
        <v>0</v>
      </c>
      <c r="M448" t="n">
        <v>0</v>
      </c>
      <c r="N448" t="n">
        <v>0</v>
      </c>
      <c r="O448" t="n">
        <v>0</v>
      </c>
      <c r="P448" t="n">
        <v>0</v>
      </c>
      <c r="Q448" t="n">
        <v>1</v>
      </c>
      <c r="R448" s="2" t="inlineStr">
        <is>
          <t>Tjäder</t>
        </is>
      </c>
      <c r="S448">
        <f>HYPERLINK("https://klasma.github.io/Logging_2283/artfynd/A 37589-2022 artfynd.xlsx", "A 37589-2022")</f>
        <v/>
      </c>
      <c r="T448">
        <f>HYPERLINK("https://klasma.github.io/Logging_2283/kartor/A 37589-2022 karta.png", "A 37589-2022")</f>
        <v/>
      </c>
      <c r="V448">
        <f>HYPERLINK("https://klasma.github.io/Logging_2283/klagomål/A 37589-2022 FSC-klagomål.docx", "A 37589-2022")</f>
        <v/>
      </c>
      <c r="W448">
        <f>HYPERLINK("https://klasma.github.io/Logging_2283/klagomålsmail/A 37589-2022 FSC-klagomål mail.docx", "A 37589-2022")</f>
        <v/>
      </c>
      <c r="X448">
        <f>HYPERLINK("https://klasma.github.io/Logging_2283/tillsyn/A 37589-2022 tillsynsbegäran.docx", "A 37589-2022")</f>
        <v/>
      </c>
      <c r="Y448">
        <f>HYPERLINK("https://klasma.github.io/Logging_2283/tillsynsmail/A 37589-2022 tillsynsbegäran mail.docx", "A 37589-2022")</f>
        <v/>
      </c>
      <c r="Z448">
        <f>HYPERLINK("https://klasma.github.io/Logging_2283/fåglar/A 37589-2022 prioriterade fågelarter.docx", "A 37589-2022")</f>
        <v/>
      </c>
    </row>
    <row r="449" ht="15" customHeight="1">
      <c r="A449" t="inlineStr">
        <is>
          <t>A 38367-2022</t>
        </is>
      </c>
      <c r="B449" s="1" t="n">
        <v>44812</v>
      </c>
      <c r="C449" s="1" t="n">
        <v>45822</v>
      </c>
      <c r="D449" t="inlineStr">
        <is>
          <t>VÄSTERNORRLANDS LÄN</t>
        </is>
      </c>
      <c r="E449" t="inlineStr">
        <is>
          <t>SOLLEFTEÅ</t>
        </is>
      </c>
      <c r="F449" t="inlineStr">
        <is>
          <t>Kommuner</t>
        </is>
      </c>
      <c r="G449" t="n">
        <v>19.6</v>
      </c>
      <c r="H449" t="n">
        <v>0</v>
      </c>
      <c r="I449" t="n">
        <v>0</v>
      </c>
      <c r="J449" t="n">
        <v>1</v>
      </c>
      <c r="K449" t="n">
        <v>0</v>
      </c>
      <c r="L449" t="n">
        <v>0</v>
      </c>
      <c r="M449" t="n">
        <v>0</v>
      </c>
      <c r="N449" t="n">
        <v>0</v>
      </c>
      <c r="O449" t="n">
        <v>1</v>
      </c>
      <c r="P449" t="n">
        <v>0</v>
      </c>
      <c r="Q449" t="n">
        <v>1</v>
      </c>
      <c r="R449" s="2" t="inlineStr">
        <is>
          <t>Garnlav</t>
        </is>
      </c>
      <c r="S449">
        <f>HYPERLINK("https://klasma.github.io/Logging_2283/artfynd/A 38367-2022 artfynd.xlsx", "A 38367-2022")</f>
        <v/>
      </c>
      <c r="T449">
        <f>HYPERLINK("https://klasma.github.io/Logging_2283/kartor/A 38367-2022 karta.png", "A 38367-2022")</f>
        <v/>
      </c>
      <c r="V449">
        <f>HYPERLINK("https://klasma.github.io/Logging_2283/klagomål/A 38367-2022 FSC-klagomål.docx", "A 38367-2022")</f>
        <v/>
      </c>
      <c r="W449">
        <f>HYPERLINK("https://klasma.github.io/Logging_2283/klagomålsmail/A 38367-2022 FSC-klagomål mail.docx", "A 38367-2022")</f>
        <v/>
      </c>
      <c r="X449">
        <f>HYPERLINK("https://klasma.github.io/Logging_2283/tillsyn/A 38367-2022 tillsynsbegäran.docx", "A 38367-2022")</f>
        <v/>
      </c>
      <c r="Y449">
        <f>HYPERLINK("https://klasma.github.io/Logging_2283/tillsynsmail/A 38367-2022 tillsynsbegäran mail.docx", "A 38367-2022")</f>
        <v/>
      </c>
    </row>
    <row r="450" ht="15" customHeight="1">
      <c r="A450" t="inlineStr">
        <is>
          <t>A 38363-2022</t>
        </is>
      </c>
      <c r="B450" s="1" t="n">
        <v>44812</v>
      </c>
      <c r="C450" s="1" t="n">
        <v>45822</v>
      </c>
      <c r="D450" t="inlineStr">
        <is>
          <t>VÄSTERNORRLANDS LÄN</t>
        </is>
      </c>
      <c r="E450" t="inlineStr">
        <is>
          <t>SOLLEFTEÅ</t>
        </is>
      </c>
      <c r="F450" t="inlineStr">
        <is>
          <t>Kommuner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HYPERLINK("https://klasma.github.io/Logging_2283/artfynd/A 38363-2022 artfynd.xlsx", "A 38363-2022")</f>
        <v/>
      </c>
      <c r="T450">
        <f>HYPERLINK("https://klasma.github.io/Logging_2283/kartor/A 38363-2022 karta.png", "A 38363-2022")</f>
        <v/>
      </c>
      <c r="V450">
        <f>HYPERLINK("https://klasma.github.io/Logging_2283/klagomål/A 38363-2022 FSC-klagomål.docx", "A 38363-2022")</f>
        <v/>
      </c>
      <c r="W450">
        <f>HYPERLINK("https://klasma.github.io/Logging_2283/klagomålsmail/A 38363-2022 FSC-klagomål mail.docx", "A 38363-2022")</f>
        <v/>
      </c>
      <c r="X450">
        <f>HYPERLINK("https://klasma.github.io/Logging_2283/tillsyn/A 38363-2022 tillsynsbegäran.docx", "A 38363-2022")</f>
        <v/>
      </c>
      <c r="Y450">
        <f>HYPERLINK("https://klasma.github.io/Logging_2283/tillsynsmail/A 38363-2022 tillsynsbegäran mail.docx", "A 38363-2022")</f>
        <v/>
      </c>
    </row>
    <row r="451" ht="15" customHeight="1">
      <c r="A451" t="inlineStr">
        <is>
          <t>A 40626-2022</t>
        </is>
      </c>
      <c r="B451" s="1" t="n">
        <v>44824</v>
      </c>
      <c r="C451" s="1" t="n">
        <v>45822</v>
      </c>
      <c r="D451" t="inlineStr">
        <is>
          <t>VÄSTERNORRLANDS LÄN</t>
        </is>
      </c>
      <c r="E451" t="inlineStr">
        <is>
          <t>SOLLEFTEÅ</t>
        </is>
      </c>
      <c r="F451" t="inlineStr">
        <is>
          <t>SCA</t>
        </is>
      </c>
      <c r="G451" t="n">
        <v>2.5</v>
      </c>
      <c r="H451" t="n">
        <v>1</v>
      </c>
      <c r="I451" t="n">
        <v>0</v>
      </c>
      <c r="J451" t="n">
        <v>1</v>
      </c>
      <c r="K451" t="n">
        <v>0</v>
      </c>
      <c r="L451" t="n">
        <v>0</v>
      </c>
      <c r="M451" t="n">
        <v>0</v>
      </c>
      <c r="N451" t="n">
        <v>0</v>
      </c>
      <c r="O451" t="n">
        <v>1</v>
      </c>
      <c r="P451" t="n">
        <v>0</v>
      </c>
      <c r="Q451" t="n">
        <v>1</v>
      </c>
      <c r="R451" s="2" t="inlineStr">
        <is>
          <t>Spillkråka</t>
        </is>
      </c>
      <c r="S451">
        <f>HYPERLINK("https://klasma.github.io/Logging_2283/artfynd/A 40626-2022 artfynd.xlsx", "A 40626-2022")</f>
        <v/>
      </c>
      <c r="T451">
        <f>HYPERLINK("https://klasma.github.io/Logging_2283/kartor/A 40626-2022 karta.png", "A 40626-2022")</f>
        <v/>
      </c>
      <c r="V451">
        <f>HYPERLINK("https://klasma.github.io/Logging_2283/klagomål/A 40626-2022 FSC-klagomål.docx", "A 40626-2022")</f>
        <v/>
      </c>
      <c r="W451">
        <f>HYPERLINK("https://klasma.github.io/Logging_2283/klagomålsmail/A 40626-2022 FSC-klagomål mail.docx", "A 40626-2022")</f>
        <v/>
      </c>
      <c r="X451">
        <f>HYPERLINK("https://klasma.github.io/Logging_2283/tillsyn/A 40626-2022 tillsynsbegäran.docx", "A 40626-2022")</f>
        <v/>
      </c>
      <c r="Y451">
        <f>HYPERLINK("https://klasma.github.io/Logging_2283/tillsynsmail/A 40626-2022 tillsynsbegäran mail.docx", "A 40626-2022")</f>
        <v/>
      </c>
      <c r="Z451">
        <f>HYPERLINK("https://klasma.github.io/Logging_2283/fåglar/A 40626-2022 prioriterade fågelarter.docx", "A 40626-2022")</f>
        <v/>
      </c>
    </row>
    <row r="452" ht="15" customHeight="1">
      <c r="A452" t="inlineStr">
        <is>
          <t>A 44763-2022</t>
        </is>
      </c>
      <c r="B452" s="1" t="n">
        <v>44840</v>
      </c>
      <c r="C452" s="1" t="n">
        <v>45822</v>
      </c>
      <c r="D452" t="inlineStr">
        <is>
          <t>VÄSTERNORRLANDS LÄN</t>
        </is>
      </c>
      <c r="E452" t="inlineStr">
        <is>
          <t>SOLLEFTEÅ</t>
        </is>
      </c>
      <c r="F452" t="inlineStr">
        <is>
          <t>SCA</t>
        </is>
      </c>
      <c r="G452" t="n">
        <v>1.2</v>
      </c>
      <c r="H452" t="n">
        <v>0</v>
      </c>
      <c r="I452" t="n">
        <v>0</v>
      </c>
      <c r="J452" t="n">
        <v>1</v>
      </c>
      <c r="K452" t="n">
        <v>0</v>
      </c>
      <c r="L452" t="n">
        <v>0</v>
      </c>
      <c r="M452" t="n">
        <v>0</v>
      </c>
      <c r="N452" t="n">
        <v>0</v>
      </c>
      <c r="O452" t="n">
        <v>1</v>
      </c>
      <c r="P452" t="n">
        <v>0</v>
      </c>
      <c r="Q452" t="n">
        <v>1</v>
      </c>
      <c r="R452" s="2" t="inlineStr">
        <is>
          <t>Rosenticka</t>
        </is>
      </c>
      <c r="S452">
        <f>HYPERLINK("https://klasma.github.io/Logging_2283/artfynd/A 44763-2022 artfynd.xlsx", "A 44763-2022")</f>
        <v/>
      </c>
      <c r="T452">
        <f>HYPERLINK("https://klasma.github.io/Logging_2283/kartor/A 44763-2022 karta.png", "A 44763-2022")</f>
        <v/>
      </c>
      <c r="V452">
        <f>HYPERLINK("https://klasma.github.io/Logging_2283/klagomål/A 44763-2022 FSC-klagomål.docx", "A 44763-2022")</f>
        <v/>
      </c>
      <c r="W452">
        <f>HYPERLINK("https://klasma.github.io/Logging_2283/klagomålsmail/A 44763-2022 FSC-klagomål mail.docx", "A 44763-2022")</f>
        <v/>
      </c>
      <c r="X452">
        <f>HYPERLINK("https://klasma.github.io/Logging_2283/tillsyn/A 44763-2022 tillsynsbegäran.docx", "A 44763-2022")</f>
        <v/>
      </c>
      <c r="Y452">
        <f>HYPERLINK("https://klasma.github.io/Logging_2283/tillsynsmail/A 44763-2022 tillsynsbegäran mail.docx", "A 44763-2022")</f>
        <v/>
      </c>
    </row>
    <row r="453" ht="15" customHeight="1">
      <c r="A453" t="inlineStr">
        <is>
          <t>A 45085-2022</t>
        </is>
      </c>
      <c r="B453" s="1" t="n">
        <v>44841</v>
      </c>
      <c r="C453" s="1" t="n">
        <v>45822</v>
      </c>
      <c r="D453" t="inlineStr">
        <is>
          <t>VÄSTERNORRLANDS LÄN</t>
        </is>
      </c>
      <c r="E453" t="inlineStr">
        <is>
          <t>SOLLEFTEÅ</t>
        </is>
      </c>
      <c r="F453" t="inlineStr">
        <is>
          <t>SCA</t>
        </is>
      </c>
      <c r="G453" t="n">
        <v>1.8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45085-2022 artfynd.xlsx", "A 45085-2022")</f>
        <v/>
      </c>
      <c r="T453">
        <f>HYPERLINK("https://klasma.github.io/Logging_2283/kartor/A 45085-2022 karta.png", "A 45085-2022")</f>
        <v/>
      </c>
      <c r="V453">
        <f>HYPERLINK("https://klasma.github.io/Logging_2283/klagomål/A 45085-2022 FSC-klagomål.docx", "A 45085-2022")</f>
        <v/>
      </c>
      <c r="W453">
        <f>HYPERLINK("https://klasma.github.io/Logging_2283/klagomålsmail/A 45085-2022 FSC-klagomål mail.docx", "A 45085-2022")</f>
        <v/>
      </c>
      <c r="X453">
        <f>HYPERLINK("https://klasma.github.io/Logging_2283/tillsyn/A 45085-2022 tillsynsbegäran.docx", "A 45085-2022")</f>
        <v/>
      </c>
      <c r="Y453">
        <f>HYPERLINK("https://klasma.github.io/Logging_2283/tillsynsmail/A 45085-2022 tillsynsbegäran mail.docx", "A 45085-2022")</f>
        <v/>
      </c>
      <c r="Z453">
        <f>HYPERLINK("https://klasma.github.io/Logging_2283/fåglar/A 45085-2022 prioriterade fågelarter.docx", "A 45085-2022")</f>
        <v/>
      </c>
    </row>
    <row r="454" ht="15" customHeight="1">
      <c r="A454" t="inlineStr">
        <is>
          <t>A 46376-2022</t>
        </is>
      </c>
      <c r="B454" s="1" t="n">
        <v>44848</v>
      </c>
      <c r="C454" s="1" t="n">
        <v>45822</v>
      </c>
      <c r="D454" t="inlineStr">
        <is>
          <t>VÄSTERNORRLANDS LÄN</t>
        </is>
      </c>
      <c r="E454" t="inlineStr">
        <is>
          <t>SOLLEFTEÅ</t>
        </is>
      </c>
      <c r="F454" t="inlineStr">
        <is>
          <t>Holmen skog AB</t>
        </is>
      </c>
      <c r="G454" t="n">
        <v>23.9</v>
      </c>
      <c r="H454" t="n">
        <v>0</v>
      </c>
      <c r="I454" t="n">
        <v>1</v>
      </c>
      <c r="J454" t="n">
        <v>0</v>
      </c>
      <c r="K454" t="n">
        <v>0</v>
      </c>
      <c r="L454" t="n">
        <v>0</v>
      </c>
      <c r="M454" t="n">
        <v>0</v>
      </c>
      <c r="N454" t="n">
        <v>0</v>
      </c>
      <c r="O454" t="n">
        <v>0</v>
      </c>
      <c r="P454" t="n">
        <v>0</v>
      </c>
      <c r="Q454" t="n">
        <v>1</v>
      </c>
      <c r="R454" s="2" t="inlineStr">
        <is>
          <t>Skarp dropptaggsvamp</t>
        </is>
      </c>
      <c r="S454">
        <f>HYPERLINK("https://klasma.github.io/Logging_2283/artfynd/A 46376-2022 artfynd.xlsx", "A 46376-2022")</f>
        <v/>
      </c>
      <c r="T454">
        <f>HYPERLINK("https://klasma.github.io/Logging_2283/kartor/A 46376-2022 karta.png", "A 46376-2022")</f>
        <v/>
      </c>
      <c r="V454">
        <f>HYPERLINK("https://klasma.github.io/Logging_2283/klagomål/A 46376-2022 FSC-klagomål.docx", "A 46376-2022")</f>
        <v/>
      </c>
      <c r="W454">
        <f>HYPERLINK("https://klasma.github.io/Logging_2283/klagomålsmail/A 46376-2022 FSC-klagomål mail.docx", "A 46376-2022")</f>
        <v/>
      </c>
      <c r="X454">
        <f>HYPERLINK("https://klasma.github.io/Logging_2283/tillsyn/A 46376-2022 tillsynsbegäran.docx", "A 46376-2022")</f>
        <v/>
      </c>
      <c r="Y454">
        <f>HYPERLINK("https://klasma.github.io/Logging_2283/tillsynsmail/A 46376-2022 tillsynsbegäran mail.docx", "A 46376-2022")</f>
        <v/>
      </c>
    </row>
    <row r="455" ht="15" customHeight="1">
      <c r="A455" t="inlineStr">
        <is>
          <t>A 52736-2022</t>
        </is>
      </c>
      <c r="B455" s="1" t="n">
        <v>44874</v>
      </c>
      <c r="C455" s="1" t="n">
        <v>45822</v>
      </c>
      <c r="D455" t="inlineStr">
        <is>
          <t>VÄSTERNORRLANDS LÄN</t>
        </is>
      </c>
      <c r="E455" t="inlineStr">
        <is>
          <t>SOLLEFTEÅ</t>
        </is>
      </c>
      <c r="F455" t="inlineStr">
        <is>
          <t>SCA</t>
        </is>
      </c>
      <c r="G455" t="n">
        <v>15.1</v>
      </c>
      <c r="H455" t="n">
        <v>0</v>
      </c>
      <c r="I455" t="n">
        <v>0</v>
      </c>
      <c r="J455" t="n">
        <v>1</v>
      </c>
      <c r="K455" t="n">
        <v>0</v>
      </c>
      <c r="L455" t="n">
        <v>0</v>
      </c>
      <c r="M455" t="n">
        <v>0</v>
      </c>
      <c r="N455" t="n">
        <v>0</v>
      </c>
      <c r="O455" t="n">
        <v>1</v>
      </c>
      <c r="P455" t="n">
        <v>0</v>
      </c>
      <c r="Q455" t="n">
        <v>1</v>
      </c>
      <c r="R455" s="2" t="inlineStr">
        <is>
          <t>Orange taggsvamp</t>
        </is>
      </c>
      <c r="S455">
        <f>HYPERLINK("https://klasma.github.io/Logging_2283/artfynd/A 52736-2022 artfynd.xlsx", "A 52736-2022")</f>
        <v/>
      </c>
      <c r="T455">
        <f>HYPERLINK("https://klasma.github.io/Logging_2283/kartor/A 52736-2022 karta.png", "A 52736-2022")</f>
        <v/>
      </c>
      <c r="V455">
        <f>HYPERLINK("https://klasma.github.io/Logging_2283/klagomål/A 52736-2022 FSC-klagomål.docx", "A 52736-2022")</f>
        <v/>
      </c>
      <c r="W455">
        <f>HYPERLINK("https://klasma.github.io/Logging_2283/klagomålsmail/A 52736-2022 FSC-klagomål mail.docx", "A 52736-2022")</f>
        <v/>
      </c>
      <c r="X455">
        <f>HYPERLINK("https://klasma.github.io/Logging_2283/tillsyn/A 52736-2022 tillsynsbegäran.docx", "A 52736-2022")</f>
        <v/>
      </c>
      <c r="Y455">
        <f>HYPERLINK("https://klasma.github.io/Logging_2283/tillsynsmail/A 52736-2022 tillsynsbegäran mail.docx", "A 52736-2022")</f>
        <v/>
      </c>
    </row>
    <row r="456" ht="15" customHeight="1">
      <c r="A456" t="inlineStr">
        <is>
          <t>A 54558-2022</t>
        </is>
      </c>
      <c r="B456" s="1" t="n">
        <v>44882</v>
      </c>
      <c r="C456" s="1" t="n">
        <v>45822</v>
      </c>
      <c r="D456" t="inlineStr">
        <is>
          <t>VÄSTERNORRLANDS LÄN</t>
        </is>
      </c>
      <c r="E456" t="inlineStr">
        <is>
          <t>SOLLEFTEÅ</t>
        </is>
      </c>
      <c r="G456" t="n">
        <v>5.8</v>
      </c>
      <c r="H456" t="n">
        <v>0</v>
      </c>
      <c r="I456" t="n">
        <v>1</v>
      </c>
      <c r="J456" t="n">
        <v>0</v>
      </c>
      <c r="K456" t="n">
        <v>0</v>
      </c>
      <c r="L456" t="n">
        <v>0</v>
      </c>
      <c r="M456" t="n">
        <v>0</v>
      </c>
      <c r="N456" t="n">
        <v>0</v>
      </c>
      <c r="O456" t="n">
        <v>0</v>
      </c>
      <c r="P456" t="n">
        <v>0</v>
      </c>
      <c r="Q456" t="n">
        <v>1</v>
      </c>
      <c r="R456" s="2" t="inlineStr">
        <is>
          <t>Strutbräken</t>
        </is>
      </c>
      <c r="S456">
        <f>HYPERLINK("https://klasma.github.io/Logging_2283/artfynd/A 54558-2022 artfynd.xlsx", "A 54558-2022")</f>
        <v/>
      </c>
      <c r="T456">
        <f>HYPERLINK("https://klasma.github.io/Logging_2283/kartor/A 54558-2022 karta.png", "A 54558-2022")</f>
        <v/>
      </c>
      <c r="V456">
        <f>HYPERLINK("https://klasma.github.io/Logging_2283/klagomål/A 54558-2022 FSC-klagomål.docx", "A 54558-2022")</f>
        <v/>
      </c>
      <c r="W456">
        <f>HYPERLINK("https://klasma.github.io/Logging_2283/klagomålsmail/A 54558-2022 FSC-klagomål mail.docx", "A 54558-2022")</f>
        <v/>
      </c>
      <c r="X456">
        <f>HYPERLINK("https://klasma.github.io/Logging_2283/tillsyn/A 54558-2022 tillsynsbegäran.docx", "A 54558-2022")</f>
        <v/>
      </c>
      <c r="Y456">
        <f>HYPERLINK("https://klasma.github.io/Logging_2283/tillsynsmail/A 54558-2022 tillsynsbegäran mail.docx", "A 54558-2022")</f>
        <v/>
      </c>
    </row>
    <row r="457" ht="15" customHeight="1">
      <c r="A457" t="inlineStr">
        <is>
          <t>A 56932-2022</t>
        </is>
      </c>
      <c r="B457" s="1" t="n">
        <v>44894</v>
      </c>
      <c r="C457" s="1" t="n">
        <v>45822</v>
      </c>
      <c r="D457" t="inlineStr">
        <is>
          <t>VÄSTERNORRLANDS LÄN</t>
        </is>
      </c>
      <c r="E457" t="inlineStr">
        <is>
          <t>SOLLEFTEÅ</t>
        </is>
      </c>
      <c r="F457" t="inlineStr">
        <is>
          <t>Holmen skog AB</t>
        </is>
      </c>
      <c r="G457" t="n">
        <v>1.9</v>
      </c>
      <c r="H457" t="n">
        <v>0</v>
      </c>
      <c r="I457" t="n">
        <v>0</v>
      </c>
      <c r="J457" t="n">
        <v>1</v>
      </c>
      <c r="K457" t="n">
        <v>0</v>
      </c>
      <c r="L457" t="n">
        <v>0</v>
      </c>
      <c r="M457" t="n">
        <v>0</v>
      </c>
      <c r="N457" t="n">
        <v>0</v>
      </c>
      <c r="O457" t="n">
        <v>1</v>
      </c>
      <c r="P457" t="n">
        <v>0</v>
      </c>
      <c r="Q457" t="n">
        <v>1</v>
      </c>
      <c r="R457" s="2" t="inlineStr">
        <is>
          <t>Koralltaggsvamp</t>
        </is>
      </c>
      <c r="S457">
        <f>HYPERLINK("https://klasma.github.io/Logging_2283/artfynd/A 56932-2022 artfynd.xlsx", "A 56932-2022")</f>
        <v/>
      </c>
      <c r="T457">
        <f>HYPERLINK("https://klasma.github.io/Logging_2283/kartor/A 56932-2022 karta.png", "A 56932-2022")</f>
        <v/>
      </c>
      <c r="V457">
        <f>HYPERLINK("https://klasma.github.io/Logging_2283/klagomål/A 56932-2022 FSC-klagomål.docx", "A 56932-2022")</f>
        <v/>
      </c>
      <c r="W457">
        <f>HYPERLINK("https://klasma.github.io/Logging_2283/klagomålsmail/A 56932-2022 FSC-klagomål mail.docx", "A 56932-2022")</f>
        <v/>
      </c>
      <c r="X457">
        <f>HYPERLINK("https://klasma.github.io/Logging_2283/tillsyn/A 56932-2022 tillsynsbegäran.docx", "A 56932-2022")</f>
        <v/>
      </c>
      <c r="Y457">
        <f>HYPERLINK("https://klasma.github.io/Logging_2283/tillsynsmail/A 56932-2022 tillsynsbegäran mail.docx", "A 56932-2022")</f>
        <v/>
      </c>
    </row>
    <row r="458" ht="15" customHeight="1">
      <c r="A458" t="inlineStr">
        <is>
          <t>A 60833-2022</t>
        </is>
      </c>
      <c r="B458" s="1" t="n">
        <v>44907</v>
      </c>
      <c r="C458" s="1" t="n">
        <v>45822</v>
      </c>
      <c r="D458" t="inlineStr">
        <is>
          <t>VÄSTERNORRLANDS LÄN</t>
        </is>
      </c>
      <c r="E458" t="inlineStr">
        <is>
          <t>SOLLEFTEÅ</t>
        </is>
      </c>
      <c r="G458" t="n">
        <v>4.4</v>
      </c>
      <c r="H458" t="n">
        <v>0</v>
      </c>
      <c r="I458" t="n">
        <v>0</v>
      </c>
      <c r="J458" t="n">
        <v>1</v>
      </c>
      <c r="K458" t="n">
        <v>0</v>
      </c>
      <c r="L458" t="n">
        <v>0</v>
      </c>
      <c r="M458" t="n">
        <v>0</v>
      </c>
      <c r="N458" t="n">
        <v>0</v>
      </c>
      <c r="O458" t="n">
        <v>1</v>
      </c>
      <c r="P458" t="n">
        <v>0</v>
      </c>
      <c r="Q458" t="n">
        <v>1</v>
      </c>
      <c r="R458" s="2" t="inlineStr">
        <is>
          <t>Kolflarnlav</t>
        </is>
      </c>
      <c r="S458">
        <f>HYPERLINK("https://klasma.github.io/Logging_2283/artfynd/A 60833-2022 artfynd.xlsx", "A 60833-2022")</f>
        <v/>
      </c>
      <c r="T458">
        <f>HYPERLINK("https://klasma.github.io/Logging_2283/kartor/A 60833-2022 karta.png", "A 60833-2022")</f>
        <v/>
      </c>
      <c r="V458">
        <f>HYPERLINK("https://klasma.github.io/Logging_2283/klagomål/A 60833-2022 FSC-klagomål.docx", "A 60833-2022")</f>
        <v/>
      </c>
      <c r="W458">
        <f>HYPERLINK("https://klasma.github.io/Logging_2283/klagomålsmail/A 60833-2022 FSC-klagomål mail.docx", "A 60833-2022")</f>
        <v/>
      </c>
      <c r="X458">
        <f>HYPERLINK("https://klasma.github.io/Logging_2283/tillsyn/A 60833-2022 tillsynsbegäran.docx", "A 60833-2022")</f>
        <v/>
      </c>
      <c r="Y458">
        <f>HYPERLINK("https://klasma.github.io/Logging_2283/tillsynsmail/A 60833-2022 tillsynsbegäran mail.docx", "A 60833-2022")</f>
        <v/>
      </c>
    </row>
    <row r="459" ht="15" customHeight="1">
      <c r="A459" t="inlineStr">
        <is>
          <t>A 60939-2022</t>
        </is>
      </c>
      <c r="B459" s="1" t="n">
        <v>44908</v>
      </c>
      <c r="C459" s="1" t="n">
        <v>45822</v>
      </c>
      <c r="D459" t="inlineStr">
        <is>
          <t>VÄSTERNORRLANDS LÄN</t>
        </is>
      </c>
      <c r="E459" t="inlineStr">
        <is>
          <t>SOLLEFTEÅ</t>
        </is>
      </c>
      <c r="G459" t="n">
        <v>4.4</v>
      </c>
      <c r="H459" t="n">
        <v>0</v>
      </c>
      <c r="I459" t="n">
        <v>0</v>
      </c>
      <c r="J459" t="n">
        <v>1</v>
      </c>
      <c r="K459" t="n">
        <v>0</v>
      </c>
      <c r="L459" t="n">
        <v>0</v>
      </c>
      <c r="M459" t="n">
        <v>0</v>
      </c>
      <c r="N459" t="n">
        <v>0</v>
      </c>
      <c r="O459" t="n">
        <v>1</v>
      </c>
      <c r="P459" t="n">
        <v>0</v>
      </c>
      <c r="Q459" t="n">
        <v>1</v>
      </c>
      <c r="R459" s="2" t="inlineStr">
        <is>
          <t>Garnlav</t>
        </is>
      </c>
      <c r="S459">
        <f>HYPERLINK("https://klasma.github.io/Logging_2283/artfynd/A 60939-2022 artfynd.xlsx", "A 60939-2022")</f>
        <v/>
      </c>
      <c r="T459">
        <f>HYPERLINK("https://klasma.github.io/Logging_2283/kartor/A 60939-2022 karta.png", "A 60939-2022")</f>
        <v/>
      </c>
      <c r="V459">
        <f>HYPERLINK("https://klasma.github.io/Logging_2283/klagomål/A 60939-2022 FSC-klagomål.docx", "A 60939-2022")</f>
        <v/>
      </c>
      <c r="W459">
        <f>HYPERLINK("https://klasma.github.io/Logging_2283/klagomålsmail/A 60939-2022 FSC-klagomål mail.docx", "A 60939-2022")</f>
        <v/>
      </c>
      <c r="X459">
        <f>HYPERLINK("https://klasma.github.io/Logging_2283/tillsyn/A 60939-2022 tillsynsbegäran.docx", "A 60939-2022")</f>
        <v/>
      </c>
      <c r="Y459">
        <f>HYPERLINK("https://klasma.github.io/Logging_2283/tillsynsmail/A 60939-2022 tillsynsbegäran mail.docx", "A 60939-2022")</f>
        <v/>
      </c>
    </row>
    <row r="460" ht="15" customHeight="1">
      <c r="A460" t="inlineStr">
        <is>
          <t>A 61660-2022</t>
        </is>
      </c>
      <c r="B460" s="1" t="n">
        <v>44917</v>
      </c>
      <c r="C460" s="1" t="n">
        <v>45822</v>
      </c>
      <c r="D460" t="inlineStr">
        <is>
          <t>VÄSTERNORRLANDS LÄN</t>
        </is>
      </c>
      <c r="E460" t="inlineStr">
        <is>
          <t>SOLLEFTEÅ</t>
        </is>
      </c>
      <c r="F460" t="inlineStr">
        <is>
          <t>SCA</t>
        </is>
      </c>
      <c r="G460" t="n">
        <v>3.9</v>
      </c>
      <c r="H460" t="n">
        <v>0</v>
      </c>
      <c r="I460" t="n">
        <v>0</v>
      </c>
      <c r="J460" t="n">
        <v>1</v>
      </c>
      <c r="K460" t="n">
        <v>0</v>
      </c>
      <c r="L460" t="n">
        <v>0</v>
      </c>
      <c r="M460" t="n">
        <v>0</v>
      </c>
      <c r="N460" t="n">
        <v>0</v>
      </c>
      <c r="O460" t="n">
        <v>1</v>
      </c>
      <c r="P460" t="n">
        <v>0</v>
      </c>
      <c r="Q460" t="n">
        <v>1</v>
      </c>
      <c r="R460" s="2" t="inlineStr">
        <is>
          <t>Backruta</t>
        </is>
      </c>
      <c r="S460">
        <f>HYPERLINK("https://klasma.github.io/Logging_2283/artfynd/A 61660-2022 artfynd.xlsx", "A 61660-2022")</f>
        <v/>
      </c>
      <c r="T460">
        <f>HYPERLINK("https://klasma.github.io/Logging_2283/kartor/A 61660-2022 karta.png", "A 61660-2022")</f>
        <v/>
      </c>
      <c r="V460">
        <f>HYPERLINK("https://klasma.github.io/Logging_2283/klagomål/A 61660-2022 FSC-klagomål.docx", "A 61660-2022")</f>
        <v/>
      </c>
      <c r="W460">
        <f>HYPERLINK("https://klasma.github.io/Logging_2283/klagomålsmail/A 61660-2022 FSC-klagomål mail.docx", "A 61660-2022")</f>
        <v/>
      </c>
      <c r="X460">
        <f>HYPERLINK("https://klasma.github.io/Logging_2283/tillsyn/A 61660-2022 tillsynsbegäran.docx", "A 61660-2022")</f>
        <v/>
      </c>
      <c r="Y460">
        <f>HYPERLINK("https://klasma.github.io/Logging_2283/tillsynsmail/A 61660-2022 tillsynsbegäran mail.docx", "A 61660-2022")</f>
        <v/>
      </c>
    </row>
    <row r="461" ht="15" customHeight="1">
      <c r="A461" t="inlineStr">
        <is>
          <t>A 986-2023</t>
        </is>
      </c>
      <c r="B461" s="1" t="n">
        <v>44935</v>
      </c>
      <c r="C461" s="1" t="n">
        <v>45822</v>
      </c>
      <c r="D461" t="inlineStr">
        <is>
          <t>VÄSTERNORRLANDS LÄN</t>
        </is>
      </c>
      <c r="E461" t="inlineStr">
        <is>
          <t>SOLLEFTEÅ</t>
        </is>
      </c>
      <c r="G461" t="n">
        <v>2.6</v>
      </c>
      <c r="H461" t="n">
        <v>1</v>
      </c>
      <c r="I461" t="n">
        <v>0</v>
      </c>
      <c r="J461" t="n">
        <v>0</v>
      </c>
      <c r="K461" t="n">
        <v>0</v>
      </c>
      <c r="L461" t="n">
        <v>0</v>
      </c>
      <c r="M461" t="n">
        <v>0</v>
      </c>
      <c r="N461" t="n">
        <v>0</v>
      </c>
      <c r="O461" t="n">
        <v>0</v>
      </c>
      <c r="P461" t="n">
        <v>0</v>
      </c>
      <c r="Q461" t="n">
        <v>1</v>
      </c>
      <c r="R461" s="2" t="inlineStr">
        <is>
          <t>Revlummer</t>
        </is>
      </c>
      <c r="S461">
        <f>HYPERLINK("https://klasma.github.io/Logging_2283/artfynd/A 986-2023 artfynd.xlsx", "A 986-2023")</f>
        <v/>
      </c>
      <c r="T461">
        <f>HYPERLINK("https://klasma.github.io/Logging_2283/kartor/A 986-2023 karta.png", "A 986-2023")</f>
        <v/>
      </c>
      <c r="V461">
        <f>HYPERLINK("https://klasma.github.io/Logging_2283/klagomål/A 986-2023 FSC-klagomål.docx", "A 986-2023")</f>
        <v/>
      </c>
      <c r="W461">
        <f>HYPERLINK("https://klasma.github.io/Logging_2283/klagomålsmail/A 986-2023 FSC-klagomål mail.docx", "A 986-2023")</f>
        <v/>
      </c>
      <c r="X461">
        <f>HYPERLINK("https://klasma.github.io/Logging_2283/tillsyn/A 986-2023 tillsynsbegäran.docx", "A 986-2023")</f>
        <v/>
      </c>
      <c r="Y461">
        <f>HYPERLINK("https://klasma.github.io/Logging_2283/tillsynsmail/A 986-2023 tillsynsbegäran mail.docx", "A 986-2023")</f>
        <v/>
      </c>
    </row>
    <row r="462" ht="15" customHeight="1">
      <c r="A462" t="inlineStr">
        <is>
          <t>A 12862-2023</t>
        </is>
      </c>
      <c r="B462" s="1" t="n">
        <v>45001</v>
      </c>
      <c r="C462" s="1" t="n">
        <v>45822</v>
      </c>
      <c r="D462" t="inlineStr">
        <is>
          <t>VÄSTERNORRLANDS LÄN</t>
        </is>
      </c>
      <c r="E462" t="inlineStr">
        <is>
          <t>SOLLEFTEÅ</t>
        </is>
      </c>
      <c r="F462" t="inlineStr">
        <is>
          <t>Övriga Aktiebolag</t>
        </is>
      </c>
      <c r="G462" t="n">
        <v>10.4</v>
      </c>
      <c r="H462" t="n">
        <v>0</v>
      </c>
      <c r="I462" t="n">
        <v>1</v>
      </c>
      <c r="J462" t="n">
        <v>0</v>
      </c>
      <c r="K462" t="n">
        <v>0</v>
      </c>
      <c r="L462" t="n">
        <v>0</v>
      </c>
      <c r="M462" t="n">
        <v>0</v>
      </c>
      <c r="N462" t="n">
        <v>0</v>
      </c>
      <c r="O462" t="n">
        <v>0</v>
      </c>
      <c r="P462" t="n">
        <v>0</v>
      </c>
      <c r="Q462" t="n">
        <v>1</v>
      </c>
      <c r="R462" s="2" t="inlineStr">
        <is>
          <t>Korallblylav</t>
        </is>
      </c>
      <c r="S462">
        <f>HYPERLINK("https://klasma.github.io/Logging_2283/artfynd/A 12862-2023 artfynd.xlsx", "A 12862-2023")</f>
        <v/>
      </c>
      <c r="T462">
        <f>HYPERLINK("https://klasma.github.io/Logging_2283/kartor/A 12862-2023 karta.png", "A 12862-2023")</f>
        <v/>
      </c>
      <c r="V462">
        <f>HYPERLINK("https://klasma.github.io/Logging_2283/klagomål/A 12862-2023 FSC-klagomål.docx", "A 12862-2023")</f>
        <v/>
      </c>
      <c r="W462">
        <f>HYPERLINK("https://klasma.github.io/Logging_2283/klagomålsmail/A 12862-2023 FSC-klagomål mail.docx", "A 12862-2023")</f>
        <v/>
      </c>
      <c r="X462">
        <f>HYPERLINK("https://klasma.github.io/Logging_2283/tillsyn/A 12862-2023 tillsynsbegäran.docx", "A 12862-2023")</f>
        <v/>
      </c>
      <c r="Y462">
        <f>HYPERLINK("https://klasma.github.io/Logging_2283/tillsynsmail/A 12862-2023 tillsynsbegäran mail.docx", "A 12862-2023")</f>
        <v/>
      </c>
    </row>
    <row r="463" ht="15" customHeight="1">
      <c r="A463" t="inlineStr">
        <is>
          <t>A 14674-2023</t>
        </is>
      </c>
      <c r="B463" s="1" t="n">
        <v>45013</v>
      </c>
      <c r="C463" s="1" t="n">
        <v>45822</v>
      </c>
      <c r="D463" t="inlineStr">
        <is>
          <t>VÄSTERNORRLANDS LÄN</t>
        </is>
      </c>
      <c r="E463" t="inlineStr">
        <is>
          <t>SOLLEFTEÅ</t>
        </is>
      </c>
      <c r="F463" t="inlineStr">
        <is>
          <t>Övriga statliga verk och myndigheter</t>
        </is>
      </c>
      <c r="G463" t="n">
        <v>11.7</v>
      </c>
      <c r="H463" t="n">
        <v>0</v>
      </c>
      <c r="I463" t="n">
        <v>0</v>
      </c>
      <c r="J463" t="n">
        <v>0</v>
      </c>
      <c r="K463" t="n">
        <v>1</v>
      </c>
      <c r="L463" t="n">
        <v>0</v>
      </c>
      <c r="M463" t="n">
        <v>0</v>
      </c>
      <c r="N463" t="n">
        <v>0</v>
      </c>
      <c r="O463" t="n">
        <v>1</v>
      </c>
      <c r="P463" t="n">
        <v>1</v>
      </c>
      <c r="Q463" t="n">
        <v>1</v>
      </c>
      <c r="R463" s="2" t="inlineStr">
        <is>
          <t>Rynkskinn</t>
        </is>
      </c>
      <c r="S463">
        <f>HYPERLINK("https://klasma.github.io/Logging_2283/artfynd/A 14674-2023 artfynd.xlsx", "A 14674-2023")</f>
        <v/>
      </c>
      <c r="T463">
        <f>HYPERLINK("https://klasma.github.io/Logging_2283/kartor/A 14674-2023 karta.png", "A 14674-2023")</f>
        <v/>
      </c>
      <c r="V463">
        <f>HYPERLINK("https://klasma.github.io/Logging_2283/klagomål/A 14674-2023 FSC-klagomål.docx", "A 14674-2023")</f>
        <v/>
      </c>
      <c r="W463">
        <f>HYPERLINK("https://klasma.github.io/Logging_2283/klagomålsmail/A 14674-2023 FSC-klagomål mail.docx", "A 14674-2023")</f>
        <v/>
      </c>
      <c r="X463">
        <f>HYPERLINK("https://klasma.github.io/Logging_2283/tillsyn/A 14674-2023 tillsynsbegäran.docx", "A 14674-2023")</f>
        <v/>
      </c>
      <c r="Y463">
        <f>HYPERLINK("https://klasma.github.io/Logging_2283/tillsynsmail/A 14674-2023 tillsynsbegäran mail.docx", "A 14674-2023")</f>
        <v/>
      </c>
    </row>
    <row r="464" ht="15" customHeight="1">
      <c r="A464" t="inlineStr">
        <is>
          <t>A 24548-2023</t>
        </is>
      </c>
      <c r="B464" s="1" t="n">
        <v>45082</v>
      </c>
      <c r="C464" s="1" t="n">
        <v>45822</v>
      </c>
      <c r="D464" t="inlineStr">
        <is>
          <t>VÄSTERNORRLANDS LÄN</t>
        </is>
      </c>
      <c r="E464" t="inlineStr">
        <is>
          <t>SOLLEFTEÅ</t>
        </is>
      </c>
      <c r="F464" t="inlineStr">
        <is>
          <t>SCA</t>
        </is>
      </c>
      <c r="G464" t="n">
        <v>3</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24548-2023 artfynd.xlsx", "A 24548-2023")</f>
        <v/>
      </c>
      <c r="T464">
        <f>HYPERLINK("https://klasma.github.io/Logging_2283/kartor/A 24548-2023 karta.png", "A 24548-2023")</f>
        <v/>
      </c>
      <c r="U464">
        <f>HYPERLINK("https://klasma.github.io/Logging_2283/knärot/A 24548-2023 karta knärot.png", "A 24548-2023")</f>
        <v/>
      </c>
      <c r="V464">
        <f>HYPERLINK("https://klasma.github.io/Logging_2283/klagomål/A 24548-2023 FSC-klagomål.docx", "A 24548-2023")</f>
        <v/>
      </c>
      <c r="W464">
        <f>HYPERLINK("https://klasma.github.io/Logging_2283/klagomålsmail/A 24548-2023 FSC-klagomål mail.docx", "A 24548-2023")</f>
        <v/>
      </c>
      <c r="X464">
        <f>HYPERLINK("https://klasma.github.io/Logging_2283/tillsyn/A 24548-2023 tillsynsbegäran.docx", "A 24548-2023")</f>
        <v/>
      </c>
      <c r="Y464">
        <f>HYPERLINK("https://klasma.github.io/Logging_2283/tillsynsmail/A 24548-2023 tillsynsbegäran mail.docx", "A 24548-2023")</f>
        <v/>
      </c>
      <c r="Z464">
        <f>HYPERLINK("https://klasma.github.io/Logging_2283/fåglar/A 24548-2023 prioriterade fågelarter.docx", "A 24548-2023")</f>
        <v/>
      </c>
    </row>
    <row r="465" ht="15" customHeight="1">
      <c r="A465" t="inlineStr">
        <is>
          <t>A 25310-2023</t>
        </is>
      </c>
      <c r="B465" s="1" t="n">
        <v>45087</v>
      </c>
      <c r="C465" s="1" t="n">
        <v>45822</v>
      </c>
      <c r="D465" t="inlineStr">
        <is>
          <t>VÄSTERNORRLANDS LÄN</t>
        </is>
      </c>
      <c r="E465" t="inlineStr">
        <is>
          <t>SOLLEFTEÅ</t>
        </is>
      </c>
      <c r="F465" t="inlineStr">
        <is>
          <t>SCA</t>
        </is>
      </c>
      <c r="G465" t="n">
        <v>1.1</v>
      </c>
      <c r="H465" t="n">
        <v>1</v>
      </c>
      <c r="I465" t="n">
        <v>0</v>
      </c>
      <c r="J465" t="n">
        <v>1</v>
      </c>
      <c r="K465" t="n">
        <v>0</v>
      </c>
      <c r="L465" t="n">
        <v>0</v>
      </c>
      <c r="M465" t="n">
        <v>0</v>
      </c>
      <c r="N465" t="n">
        <v>0</v>
      </c>
      <c r="O465" t="n">
        <v>1</v>
      </c>
      <c r="P465" t="n">
        <v>0</v>
      </c>
      <c r="Q465" t="n">
        <v>1</v>
      </c>
      <c r="R465" s="2" t="inlineStr">
        <is>
          <t>Tretåig hackspett</t>
        </is>
      </c>
      <c r="S465">
        <f>HYPERLINK("https://klasma.github.io/Logging_2283/artfynd/A 25310-2023 artfynd.xlsx", "A 25310-2023")</f>
        <v/>
      </c>
      <c r="T465">
        <f>HYPERLINK("https://klasma.github.io/Logging_2283/kartor/A 25310-2023 karta.png", "A 25310-2023")</f>
        <v/>
      </c>
      <c r="V465">
        <f>HYPERLINK("https://klasma.github.io/Logging_2283/klagomål/A 25310-2023 FSC-klagomål.docx", "A 25310-2023")</f>
        <v/>
      </c>
      <c r="W465">
        <f>HYPERLINK("https://klasma.github.io/Logging_2283/klagomålsmail/A 25310-2023 FSC-klagomål mail.docx", "A 25310-2023")</f>
        <v/>
      </c>
      <c r="X465">
        <f>HYPERLINK("https://klasma.github.io/Logging_2283/tillsyn/A 25310-2023 tillsynsbegäran.docx", "A 25310-2023")</f>
        <v/>
      </c>
      <c r="Y465">
        <f>HYPERLINK("https://klasma.github.io/Logging_2283/tillsynsmail/A 25310-2023 tillsynsbegäran mail.docx", "A 25310-2023")</f>
        <v/>
      </c>
      <c r="Z465">
        <f>HYPERLINK("https://klasma.github.io/Logging_2283/fåglar/A 25310-2023 prioriterade fågelarter.docx", "A 25310-2023")</f>
        <v/>
      </c>
    </row>
    <row r="466" ht="15" customHeight="1">
      <c r="A466" t="inlineStr">
        <is>
          <t>A 29958-2023</t>
        </is>
      </c>
      <c r="B466" s="1" t="n">
        <v>45107</v>
      </c>
      <c r="C466" s="1" t="n">
        <v>45822</v>
      </c>
      <c r="D466" t="inlineStr">
        <is>
          <t>VÄSTERNORRLANDS LÄN</t>
        </is>
      </c>
      <c r="E466" t="inlineStr">
        <is>
          <t>SOLLEFTEÅ</t>
        </is>
      </c>
      <c r="F466" t="inlineStr">
        <is>
          <t>SCA</t>
        </is>
      </c>
      <c r="G466" t="n">
        <v>7.5</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29958-2023 artfynd.xlsx", "A 29958-2023")</f>
        <v/>
      </c>
      <c r="T466">
        <f>HYPERLINK("https://klasma.github.io/Logging_2283/kartor/A 29958-2023 karta.png", "A 29958-2023")</f>
        <v/>
      </c>
      <c r="V466">
        <f>HYPERLINK("https://klasma.github.io/Logging_2283/klagomål/A 29958-2023 FSC-klagomål.docx", "A 29958-2023")</f>
        <v/>
      </c>
      <c r="W466">
        <f>HYPERLINK("https://klasma.github.io/Logging_2283/klagomålsmail/A 29958-2023 FSC-klagomål mail.docx", "A 29958-2023")</f>
        <v/>
      </c>
      <c r="X466">
        <f>HYPERLINK("https://klasma.github.io/Logging_2283/tillsyn/A 29958-2023 tillsynsbegäran.docx", "A 29958-2023")</f>
        <v/>
      </c>
      <c r="Y466">
        <f>HYPERLINK("https://klasma.github.io/Logging_2283/tillsynsmail/A 29958-2023 tillsynsbegäran mail.docx", "A 29958-2023")</f>
        <v/>
      </c>
      <c r="Z466">
        <f>HYPERLINK("https://klasma.github.io/Logging_2283/fåglar/A 29958-2023 prioriterade fågelarter.docx", "A 29958-2023")</f>
        <v/>
      </c>
    </row>
    <row r="467" ht="15" customHeight="1">
      <c r="A467" t="inlineStr">
        <is>
          <t>A 31912-2023</t>
        </is>
      </c>
      <c r="B467" s="1" t="n">
        <v>45118</v>
      </c>
      <c r="C467" s="1" t="n">
        <v>45822</v>
      </c>
      <c r="D467" t="inlineStr">
        <is>
          <t>VÄSTERNORRLANDS LÄN</t>
        </is>
      </c>
      <c r="E467" t="inlineStr">
        <is>
          <t>SOLLEFTEÅ</t>
        </is>
      </c>
      <c r="G467" t="n">
        <v>5.4</v>
      </c>
      <c r="H467" t="n">
        <v>0</v>
      </c>
      <c r="I467" t="n">
        <v>0</v>
      </c>
      <c r="J467" t="n">
        <v>1</v>
      </c>
      <c r="K467" t="n">
        <v>0</v>
      </c>
      <c r="L467" t="n">
        <v>0</v>
      </c>
      <c r="M467" t="n">
        <v>0</v>
      </c>
      <c r="N467" t="n">
        <v>0</v>
      </c>
      <c r="O467" t="n">
        <v>1</v>
      </c>
      <c r="P467" t="n">
        <v>0</v>
      </c>
      <c r="Q467" t="n">
        <v>1</v>
      </c>
      <c r="R467" s="2" t="inlineStr">
        <is>
          <t>Granticka</t>
        </is>
      </c>
      <c r="S467">
        <f>HYPERLINK("https://klasma.github.io/Logging_2283/artfynd/A 31912-2023 artfynd.xlsx", "A 31912-2023")</f>
        <v/>
      </c>
      <c r="T467">
        <f>HYPERLINK("https://klasma.github.io/Logging_2283/kartor/A 31912-2023 karta.png", "A 31912-2023")</f>
        <v/>
      </c>
      <c r="V467">
        <f>HYPERLINK("https://klasma.github.io/Logging_2283/klagomål/A 31912-2023 FSC-klagomål.docx", "A 31912-2023")</f>
        <v/>
      </c>
      <c r="W467">
        <f>HYPERLINK("https://klasma.github.io/Logging_2283/klagomålsmail/A 31912-2023 FSC-klagomål mail.docx", "A 31912-2023")</f>
        <v/>
      </c>
      <c r="X467">
        <f>HYPERLINK("https://klasma.github.io/Logging_2283/tillsyn/A 31912-2023 tillsynsbegäran.docx", "A 31912-2023")</f>
        <v/>
      </c>
      <c r="Y467">
        <f>HYPERLINK("https://klasma.github.io/Logging_2283/tillsynsmail/A 31912-2023 tillsynsbegäran mail.docx", "A 31912-2023")</f>
        <v/>
      </c>
    </row>
    <row r="468" ht="15" customHeight="1">
      <c r="A468" t="inlineStr">
        <is>
          <t>A 31920-2023</t>
        </is>
      </c>
      <c r="B468" s="1" t="n">
        <v>45118</v>
      </c>
      <c r="C468" s="1" t="n">
        <v>45822</v>
      </c>
      <c r="D468" t="inlineStr">
        <is>
          <t>VÄSTERNORRLANDS LÄN</t>
        </is>
      </c>
      <c r="E468" t="inlineStr">
        <is>
          <t>SOLLEFTEÅ</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HYPERLINK("https://klasma.github.io/Logging_2283/artfynd/A 31920-2023 artfynd.xlsx", "A 31920-2023")</f>
        <v/>
      </c>
      <c r="T468">
        <f>HYPERLINK("https://klasma.github.io/Logging_2283/kartor/A 31920-2023 karta.png", "A 31920-2023")</f>
        <v/>
      </c>
      <c r="V468">
        <f>HYPERLINK("https://klasma.github.io/Logging_2283/klagomål/A 31920-2023 FSC-klagomål.docx", "A 31920-2023")</f>
        <v/>
      </c>
      <c r="W468">
        <f>HYPERLINK("https://klasma.github.io/Logging_2283/klagomålsmail/A 31920-2023 FSC-klagomål mail.docx", "A 31920-2023")</f>
        <v/>
      </c>
      <c r="X468">
        <f>HYPERLINK("https://klasma.github.io/Logging_2283/tillsyn/A 31920-2023 tillsynsbegäran.docx", "A 31920-2023")</f>
        <v/>
      </c>
      <c r="Y468">
        <f>HYPERLINK("https://klasma.github.io/Logging_2283/tillsynsmail/A 31920-2023 tillsynsbegäran mail.docx", "A 31920-2023")</f>
        <v/>
      </c>
    </row>
    <row r="469" ht="15" customHeight="1">
      <c r="A469" t="inlineStr">
        <is>
          <t>A 32734-2023</t>
        </is>
      </c>
      <c r="B469" s="1" t="n">
        <v>45121</v>
      </c>
      <c r="C469" s="1" t="n">
        <v>45822</v>
      </c>
      <c r="D469" t="inlineStr">
        <is>
          <t>VÄSTERNORRLANDS LÄN</t>
        </is>
      </c>
      <c r="E469" t="inlineStr">
        <is>
          <t>SOLLEFTEÅ</t>
        </is>
      </c>
      <c r="G469" t="n">
        <v>1.8</v>
      </c>
      <c r="H469" t="n">
        <v>0</v>
      </c>
      <c r="I469" t="n">
        <v>0</v>
      </c>
      <c r="J469" t="n">
        <v>1</v>
      </c>
      <c r="K469" t="n">
        <v>0</v>
      </c>
      <c r="L469" t="n">
        <v>0</v>
      </c>
      <c r="M469" t="n">
        <v>0</v>
      </c>
      <c r="N469" t="n">
        <v>0</v>
      </c>
      <c r="O469" t="n">
        <v>1</v>
      </c>
      <c r="P469" t="n">
        <v>0</v>
      </c>
      <c r="Q469" t="n">
        <v>1</v>
      </c>
      <c r="R469" s="2" t="inlineStr">
        <is>
          <t>Garnlav</t>
        </is>
      </c>
      <c r="S469">
        <f>HYPERLINK("https://klasma.github.io/Logging_2283/artfynd/A 32734-2023 artfynd.xlsx", "A 32734-2023")</f>
        <v/>
      </c>
      <c r="T469">
        <f>HYPERLINK("https://klasma.github.io/Logging_2283/kartor/A 32734-2023 karta.png", "A 32734-2023")</f>
        <v/>
      </c>
      <c r="V469">
        <f>HYPERLINK("https://klasma.github.io/Logging_2283/klagomål/A 32734-2023 FSC-klagomål.docx", "A 32734-2023")</f>
        <v/>
      </c>
      <c r="W469">
        <f>HYPERLINK("https://klasma.github.io/Logging_2283/klagomålsmail/A 32734-2023 FSC-klagomål mail.docx", "A 32734-2023")</f>
        <v/>
      </c>
      <c r="X469">
        <f>HYPERLINK("https://klasma.github.io/Logging_2283/tillsyn/A 32734-2023 tillsynsbegäran.docx", "A 32734-2023")</f>
        <v/>
      </c>
      <c r="Y469">
        <f>HYPERLINK("https://klasma.github.io/Logging_2283/tillsynsmail/A 32734-2023 tillsynsbegäran mail.docx", "A 32734-2023")</f>
        <v/>
      </c>
    </row>
    <row r="470" ht="15" customHeight="1">
      <c r="A470" t="inlineStr">
        <is>
          <t>A 34699-2023</t>
        </is>
      </c>
      <c r="B470" s="1" t="n">
        <v>45141</v>
      </c>
      <c r="C470" s="1" t="n">
        <v>45822</v>
      </c>
      <c r="D470" t="inlineStr">
        <is>
          <t>VÄSTERNORRLANDS LÄN</t>
        </is>
      </c>
      <c r="E470" t="inlineStr">
        <is>
          <t>SOLLEFTEÅ</t>
        </is>
      </c>
      <c r="F470" t="inlineStr">
        <is>
          <t>SCA</t>
        </is>
      </c>
      <c r="G470" t="n">
        <v>3</v>
      </c>
      <c r="H470" t="n">
        <v>1</v>
      </c>
      <c r="I470" t="n">
        <v>0</v>
      </c>
      <c r="J470" t="n">
        <v>0</v>
      </c>
      <c r="K470" t="n">
        <v>1</v>
      </c>
      <c r="L470" t="n">
        <v>0</v>
      </c>
      <c r="M470" t="n">
        <v>0</v>
      </c>
      <c r="N470" t="n">
        <v>0</v>
      </c>
      <c r="O470" t="n">
        <v>1</v>
      </c>
      <c r="P470" t="n">
        <v>1</v>
      </c>
      <c r="Q470" t="n">
        <v>1</v>
      </c>
      <c r="R470" s="2" t="inlineStr">
        <is>
          <t>Knärot</t>
        </is>
      </c>
      <c r="S470">
        <f>HYPERLINK("https://klasma.github.io/Logging_2283/artfynd/A 34699-2023 artfynd.xlsx", "A 34699-2023")</f>
        <v/>
      </c>
      <c r="T470">
        <f>HYPERLINK("https://klasma.github.io/Logging_2283/kartor/A 34699-2023 karta.png", "A 34699-2023")</f>
        <v/>
      </c>
      <c r="U470">
        <f>HYPERLINK("https://klasma.github.io/Logging_2283/knärot/A 34699-2023 karta knärot.png", "A 34699-2023")</f>
        <v/>
      </c>
      <c r="V470">
        <f>HYPERLINK("https://klasma.github.io/Logging_2283/klagomål/A 34699-2023 FSC-klagomål.docx", "A 34699-2023")</f>
        <v/>
      </c>
      <c r="W470">
        <f>HYPERLINK("https://klasma.github.io/Logging_2283/klagomålsmail/A 34699-2023 FSC-klagomål mail.docx", "A 34699-2023")</f>
        <v/>
      </c>
      <c r="X470">
        <f>HYPERLINK("https://klasma.github.io/Logging_2283/tillsyn/A 34699-2023 tillsynsbegäran.docx", "A 34699-2023")</f>
        <v/>
      </c>
      <c r="Y470">
        <f>HYPERLINK("https://klasma.github.io/Logging_2283/tillsynsmail/A 34699-2023 tillsynsbegäran mail.docx", "A 34699-2023")</f>
        <v/>
      </c>
    </row>
    <row r="471" ht="15" customHeight="1">
      <c r="A471" t="inlineStr">
        <is>
          <t>A 35295-2023</t>
        </is>
      </c>
      <c r="B471" s="1" t="n">
        <v>45145</v>
      </c>
      <c r="C471" s="1" t="n">
        <v>45822</v>
      </c>
      <c r="D471" t="inlineStr">
        <is>
          <t>VÄSTERNORRLANDS LÄN</t>
        </is>
      </c>
      <c r="E471" t="inlineStr">
        <is>
          <t>SOLLEFTEÅ</t>
        </is>
      </c>
      <c r="F471" t="inlineStr">
        <is>
          <t>SCA</t>
        </is>
      </c>
      <c r="G471" t="n">
        <v>8.9</v>
      </c>
      <c r="H471" t="n">
        <v>1</v>
      </c>
      <c r="I471" t="n">
        <v>0</v>
      </c>
      <c r="J471" t="n">
        <v>1</v>
      </c>
      <c r="K471" t="n">
        <v>0</v>
      </c>
      <c r="L471" t="n">
        <v>0</v>
      </c>
      <c r="M471" t="n">
        <v>0</v>
      </c>
      <c r="N471" t="n">
        <v>0</v>
      </c>
      <c r="O471" t="n">
        <v>1</v>
      </c>
      <c r="P471" t="n">
        <v>0</v>
      </c>
      <c r="Q471" t="n">
        <v>1</v>
      </c>
      <c r="R471" s="2" t="inlineStr">
        <is>
          <t>Talltita</t>
        </is>
      </c>
      <c r="S471">
        <f>HYPERLINK("https://klasma.github.io/Logging_2283/artfynd/A 35295-2023 artfynd.xlsx", "A 35295-2023")</f>
        <v/>
      </c>
      <c r="T471">
        <f>HYPERLINK("https://klasma.github.io/Logging_2283/kartor/A 35295-2023 karta.png", "A 35295-2023")</f>
        <v/>
      </c>
      <c r="V471">
        <f>HYPERLINK("https://klasma.github.io/Logging_2283/klagomål/A 35295-2023 FSC-klagomål.docx", "A 35295-2023")</f>
        <v/>
      </c>
      <c r="W471">
        <f>HYPERLINK("https://klasma.github.io/Logging_2283/klagomålsmail/A 35295-2023 FSC-klagomål mail.docx", "A 35295-2023")</f>
        <v/>
      </c>
      <c r="X471">
        <f>HYPERLINK("https://klasma.github.io/Logging_2283/tillsyn/A 35295-2023 tillsynsbegäran.docx", "A 35295-2023")</f>
        <v/>
      </c>
      <c r="Y471">
        <f>HYPERLINK("https://klasma.github.io/Logging_2283/tillsynsmail/A 35295-2023 tillsynsbegäran mail.docx", "A 35295-2023")</f>
        <v/>
      </c>
      <c r="Z471">
        <f>HYPERLINK("https://klasma.github.io/Logging_2283/fåglar/A 35295-2023 prioriterade fågelarter.docx", "A 35295-2023")</f>
        <v/>
      </c>
    </row>
    <row r="472" ht="15" customHeight="1">
      <c r="A472" t="inlineStr">
        <is>
          <t>A 38089-2023</t>
        </is>
      </c>
      <c r="B472" s="1" t="n">
        <v>45160</v>
      </c>
      <c r="C472" s="1" t="n">
        <v>45822</v>
      </c>
      <c r="D472" t="inlineStr">
        <is>
          <t>VÄSTERNORRLANDS LÄN</t>
        </is>
      </c>
      <c r="E472" t="inlineStr">
        <is>
          <t>SOLLEFTEÅ</t>
        </is>
      </c>
      <c r="F472" t="inlineStr">
        <is>
          <t>SCA</t>
        </is>
      </c>
      <c r="G472" t="n">
        <v>4.3</v>
      </c>
      <c r="H472" t="n">
        <v>0</v>
      </c>
      <c r="I472" t="n">
        <v>0</v>
      </c>
      <c r="J472" t="n">
        <v>1</v>
      </c>
      <c r="K472" t="n">
        <v>0</v>
      </c>
      <c r="L472" t="n">
        <v>0</v>
      </c>
      <c r="M472" t="n">
        <v>0</v>
      </c>
      <c r="N472" t="n">
        <v>0</v>
      </c>
      <c r="O472" t="n">
        <v>1</v>
      </c>
      <c r="P472" t="n">
        <v>0</v>
      </c>
      <c r="Q472" t="n">
        <v>1</v>
      </c>
      <c r="R472" s="2" t="inlineStr">
        <is>
          <t>Garnlav</t>
        </is>
      </c>
      <c r="S472">
        <f>HYPERLINK("https://klasma.github.io/Logging_2283/artfynd/A 38089-2023 artfynd.xlsx", "A 38089-2023")</f>
        <v/>
      </c>
      <c r="T472">
        <f>HYPERLINK("https://klasma.github.io/Logging_2283/kartor/A 38089-2023 karta.png", "A 38089-2023")</f>
        <v/>
      </c>
      <c r="V472">
        <f>HYPERLINK("https://klasma.github.io/Logging_2283/klagomål/A 38089-2023 FSC-klagomål.docx", "A 38089-2023")</f>
        <v/>
      </c>
      <c r="W472">
        <f>HYPERLINK("https://klasma.github.io/Logging_2283/klagomålsmail/A 38089-2023 FSC-klagomål mail.docx", "A 38089-2023")</f>
        <v/>
      </c>
      <c r="X472">
        <f>HYPERLINK("https://klasma.github.io/Logging_2283/tillsyn/A 38089-2023 tillsynsbegäran.docx", "A 38089-2023")</f>
        <v/>
      </c>
      <c r="Y472">
        <f>HYPERLINK("https://klasma.github.io/Logging_2283/tillsynsmail/A 38089-2023 tillsynsbegäran mail.docx", "A 38089-2023")</f>
        <v/>
      </c>
    </row>
    <row r="473" ht="15" customHeight="1">
      <c r="A473" t="inlineStr">
        <is>
          <t>A 38375-2023</t>
        </is>
      </c>
      <c r="B473" s="1" t="n">
        <v>45161</v>
      </c>
      <c r="C473" s="1" t="n">
        <v>45822</v>
      </c>
      <c r="D473" t="inlineStr">
        <is>
          <t>VÄSTERNORRLANDS LÄN</t>
        </is>
      </c>
      <c r="E473" t="inlineStr">
        <is>
          <t>SOLLEFTEÅ</t>
        </is>
      </c>
      <c r="F473" t="inlineStr">
        <is>
          <t>SCA</t>
        </is>
      </c>
      <c r="G473" t="n">
        <v>5.6</v>
      </c>
      <c r="H473" t="n">
        <v>0</v>
      </c>
      <c r="I473" t="n">
        <v>0</v>
      </c>
      <c r="J473" t="n">
        <v>1</v>
      </c>
      <c r="K473" t="n">
        <v>0</v>
      </c>
      <c r="L473" t="n">
        <v>0</v>
      </c>
      <c r="M473" t="n">
        <v>0</v>
      </c>
      <c r="N473" t="n">
        <v>0</v>
      </c>
      <c r="O473" t="n">
        <v>1</v>
      </c>
      <c r="P473" t="n">
        <v>0</v>
      </c>
      <c r="Q473" t="n">
        <v>1</v>
      </c>
      <c r="R473" s="2" t="inlineStr">
        <is>
          <t>Garnlav</t>
        </is>
      </c>
      <c r="S473">
        <f>HYPERLINK("https://klasma.github.io/Logging_2283/artfynd/A 38375-2023 artfynd.xlsx", "A 38375-2023")</f>
        <v/>
      </c>
      <c r="T473">
        <f>HYPERLINK("https://klasma.github.io/Logging_2283/kartor/A 38375-2023 karta.png", "A 38375-2023")</f>
        <v/>
      </c>
      <c r="V473">
        <f>HYPERLINK("https://klasma.github.io/Logging_2283/klagomål/A 38375-2023 FSC-klagomål.docx", "A 38375-2023")</f>
        <v/>
      </c>
      <c r="W473">
        <f>HYPERLINK("https://klasma.github.io/Logging_2283/klagomålsmail/A 38375-2023 FSC-klagomål mail.docx", "A 38375-2023")</f>
        <v/>
      </c>
      <c r="X473">
        <f>HYPERLINK("https://klasma.github.io/Logging_2283/tillsyn/A 38375-2023 tillsynsbegäran.docx", "A 38375-2023")</f>
        <v/>
      </c>
      <c r="Y473">
        <f>HYPERLINK("https://klasma.github.io/Logging_2283/tillsynsmail/A 38375-2023 tillsynsbegäran mail.docx", "A 38375-2023")</f>
        <v/>
      </c>
    </row>
    <row r="474" ht="15" customHeight="1">
      <c r="A474" t="inlineStr">
        <is>
          <t>A 39565-2023</t>
        </is>
      </c>
      <c r="B474" s="1" t="n">
        <v>45167</v>
      </c>
      <c r="C474" s="1" t="n">
        <v>45822</v>
      </c>
      <c r="D474" t="inlineStr">
        <is>
          <t>VÄSTERNORRLANDS LÄN</t>
        </is>
      </c>
      <c r="E474" t="inlineStr">
        <is>
          <t>SOLLEFTEÅ</t>
        </is>
      </c>
      <c r="G474" t="n">
        <v>3.2</v>
      </c>
      <c r="H474" t="n">
        <v>0</v>
      </c>
      <c r="I474" t="n">
        <v>0</v>
      </c>
      <c r="J474" t="n">
        <v>1</v>
      </c>
      <c r="K474" t="n">
        <v>0</v>
      </c>
      <c r="L474" t="n">
        <v>0</v>
      </c>
      <c r="M474" t="n">
        <v>0</v>
      </c>
      <c r="N474" t="n">
        <v>0</v>
      </c>
      <c r="O474" t="n">
        <v>1</v>
      </c>
      <c r="P474" t="n">
        <v>0</v>
      </c>
      <c r="Q474" t="n">
        <v>1</v>
      </c>
      <c r="R474" s="2" t="inlineStr">
        <is>
          <t>Ullticka</t>
        </is>
      </c>
      <c r="S474">
        <f>HYPERLINK("https://klasma.github.io/Logging_2283/artfynd/A 39565-2023 artfynd.xlsx", "A 39565-2023")</f>
        <v/>
      </c>
      <c r="T474">
        <f>HYPERLINK("https://klasma.github.io/Logging_2283/kartor/A 39565-2023 karta.png", "A 39565-2023")</f>
        <v/>
      </c>
      <c r="V474">
        <f>HYPERLINK("https://klasma.github.io/Logging_2283/klagomål/A 39565-2023 FSC-klagomål.docx", "A 39565-2023")</f>
        <v/>
      </c>
      <c r="W474">
        <f>HYPERLINK("https://klasma.github.io/Logging_2283/klagomålsmail/A 39565-2023 FSC-klagomål mail.docx", "A 39565-2023")</f>
        <v/>
      </c>
      <c r="X474">
        <f>HYPERLINK("https://klasma.github.io/Logging_2283/tillsyn/A 39565-2023 tillsynsbegäran.docx", "A 39565-2023")</f>
        <v/>
      </c>
      <c r="Y474">
        <f>HYPERLINK("https://klasma.github.io/Logging_2283/tillsynsmail/A 39565-2023 tillsynsbegäran mail.docx", "A 39565-2023")</f>
        <v/>
      </c>
    </row>
    <row r="475" ht="15" customHeight="1">
      <c r="A475" t="inlineStr">
        <is>
          <t>A 46203-2023</t>
        </is>
      </c>
      <c r="B475" s="1" t="n">
        <v>45190</v>
      </c>
      <c r="C475" s="1" t="n">
        <v>45822</v>
      </c>
      <c r="D475" t="inlineStr">
        <is>
          <t>VÄSTERNORRLANDS LÄN</t>
        </is>
      </c>
      <c r="E475" t="inlineStr">
        <is>
          <t>SOLLEFTEÅ</t>
        </is>
      </c>
      <c r="G475" t="n">
        <v>13</v>
      </c>
      <c r="H475" t="n">
        <v>0</v>
      </c>
      <c r="I475" t="n">
        <v>0</v>
      </c>
      <c r="J475" t="n">
        <v>1</v>
      </c>
      <c r="K475" t="n">
        <v>0</v>
      </c>
      <c r="L475" t="n">
        <v>0</v>
      </c>
      <c r="M475" t="n">
        <v>0</v>
      </c>
      <c r="N475" t="n">
        <v>0</v>
      </c>
      <c r="O475" t="n">
        <v>1</v>
      </c>
      <c r="P475" t="n">
        <v>0</v>
      </c>
      <c r="Q475" t="n">
        <v>1</v>
      </c>
      <c r="R475" s="2" t="inlineStr">
        <is>
          <t>Garnlav</t>
        </is>
      </c>
      <c r="S475">
        <f>HYPERLINK("https://klasma.github.io/Logging_2283/artfynd/A 46203-2023 artfynd.xlsx", "A 46203-2023")</f>
        <v/>
      </c>
      <c r="T475">
        <f>HYPERLINK("https://klasma.github.io/Logging_2283/kartor/A 46203-2023 karta.png", "A 46203-2023")</f>
        <v/>
      </c>
      <c r="V475">
        <f>HYPERLINK("https://klasma.github.io/Logging_2283/klagomål/A 46203-2023 FSC-klagomål.docx", "A 46203-2023")</f>
        <v/>
      </c>
      <c r="W475">
        <f>HYPERLINK("https://klasma.github.io/Logging_2283/klagomålsmail/A 46203-2023 FSC-klagomål mail.docx", "A 46203-2023")</f>
        <v/>
      </c>
      <c r="X475">
        <f>HYPERLINK("https://klasma.github.io/Logging_2283/tillsyn/A 46203-2023 tillsynsbegäran.docx", "A 46203-2023")</f>
        <v/>
      </c>
      <c r="Y475">
        <f>HYPERLINK("https://klasma.github.io/Logging_2283/tillsynsmail/A 46203-2023 tillsynsbegäran mail.docx", "A 46203-2023")</f>
        <v/>
      </c>
    </row>
    <row r="476" ht="15" customHeight="1">
      <c r="A476" t="inlineStr">
        <is>
          <t>A 48087-2023</t>
        </is>
      </c>
      <c r="B476" s="1" t="n">
        <v>45204</v>
      </c>
      <c r="C476" s="1" t="n">
        <v>45822</v>
      </c>
      <c r="D476" t="inlineStr">
        <is>
          <t>VÄSTERNORRLANDS LÄN</t>
        </is>
      </c>
      <c r="E476" t="inlineStr">
        <is>
          <t>SOLLEFTEÅ</t>
        </is>
      </c>
      <c r="F476" t="inlineStr">
        <is>
          <t>SCA</t>
        </is>
      </c>
      <c r="G476" t="n">
        <v>0.6</v>
      </c>
      <c r="H476" t="n">
        <v>0</v>
      </c>
      <c r="I476" t="n">
        <v>0</v>
      </c>
      <c r="J476" t="n">
        <v>1</v>
      </c>
      <c r="K476" t="n">
        <v>0</v>
      </c>
      <c r="L476" t="n">
        <v>0</v>
      </c>
      <c r="M476" t="n">
        <v>0</v>
      </c>
      <c r="N476" t="n">
        <v>0</v>
      </c>
      <c r="O476" t="n">
        <v>1</v>
      </c>
      <c r="P476" t="n">
        <v>0</v>
      </c>
      <c r="Q476" t="n">
        <v>1</v>
      </c>
      <c r="R476" s="2" t="inlineStr">
        <is>
          <t>Doftskinn</t>
        </is>
      </c>
      <c r="S476">
        <f>HYPERLINK("https://klasma.github.io/Logging_2283/artfynd/A 48087-2023 artfynd.xlsx", "A 48087-2023")</f>
        <v/>
      </c>
      <c r="T476">
        <f>HYPERLINK("https://klasma.github.io/Logging_2283/kartor/A 48087-2023 karta.png", "A 48087-2023")</f>
        <v/>
      </c>
      <c r="V476">
        <f>HYPERLINK("https://klasma.github.io/Logging_2283/klagomål/A 48087-2023 FSC-klagomål.docx", "A 48087-2023")</f>
        <v/>
      </c>
      <c r="W476">
        <f>HYPERLINK("https://klasma.github.io/Logging_2283/klagomålsmail/A 48087-2023 FSC-klagomål mail.docx", "A 48087-2023")</f>
        <v/>
      </c>
      <c r="X476">
        <f>HYPERLINK("https://klasma.github.io/Logging_2283/tillsyn/A 48087-2023 tillsynsbegäran.docx", "A 48087-2023")</f>
        <v/>
      </c>
      <c r="Y476">
        <f>HYPERLINK("https://klasma.github.io/Logging_2283/tillsynsmail/A 48087-2023 tillsynsbegäran mail.docx", "A 48087-2023")</f>
        <v/>
      </c>
    </row>
    <row r="477" ht="15" customHeight="1">
      <c r="A477" t="inlineStr">
        <is>
          <t>A 53059-2023</t>
        </is>
      </c>
      <c r="B477" s="1" t="n">
        <v>45226</v>
      </c>
      <c r="C477" s="1" t="n">
        <v>45822</v>
      </c>
      <c r="D477" t="inlineStr">
        <is>
          <t>VÄSTERNORRLANDS LÄN</t>
        </is>
      </c>
      <c r="E477" t="inlineStr">
        <is>
          <t>SOLLEFTEÅ</t>
        </is>
      </c>
      <c r="F477" t="inlineStr">
        <is>
          <t>SCA</t>
        </is>
      </c>
      <c r="G477" t="n">
        <v>1.3</v>
      </c>
      <c r="H477" t="n">
        <v>1</v>
      </c>
      <c r="I477" t="n">
        <v>0</v>
      </c>
      <c r="J477" t="n">
        <v>0</v>
      </c>
      <c r="K477" t="n">
        <v>1</v>
      </c>
      <c r="L477" t="n">
        <v>0</v>
      </c>
      <c r="M477" t="n">
        <v>0</v>
      </c>
      <c r="N477" t="n">
        <v>0</v>
      </c>
      <c r="O477" t="n">
        <v>1</v>
      </c>
      <c r="P477" t="n">
        <v>1</v>
      </c>
      <c r="Q477" t="n">
        <v>1</v>
      </c>
      <c r="R477" s="2" t="inlineStr">
        <is>
          <t>Knärot</t>
        </is>
      </c>
      <c r="S477">
        <f>HYPERLINK("https://klasma.github.io/Logging_2283/artfynd/A 53059-2023 artfynd.xlsx", "A 53059-2023")</f>
        <v/>
      </c>
      <c r="T477">
        <f>HYPERLINK("https://klasma.github.io/Logging_2283/kartor/A 53059-2023 karta.png", "A 53059-2023")</f>
        <v/>
      </c>
      <c r="U477">
        <f>HYPERLINK("https://klasma.github.io/Logging_2283/knärot/A 53059-2023 karta knärot.png", "A 53059-2023")</f>
        <v/>
      </c>
      <c r="V477">
        <f>HYPERLINK("https://klasma.github.io/Logging_2283/klagomål/A 53059-2023 FSC-klagomål.docx", "A 53059-2023")</f>
        <v/>
      </c>
      <c r="W477">
        <f>HYPERLINK("https://klasma.github.io/Logging_2283/klagomålsmail/A 53059-2023 FSC-klagomål mail.docx", "A 53059-2023")</f>
        <v/>
      </c>
      <c r="X477">
        <f>HYPERLINK("https://klasma.github.io/Logging_2283/tillsyn/A 53059-2023 tillsynsbegäran.docx", "A 53059-2023")</f>
        <v/>
      </c>
      <c r="Y477">
        <f>HYPERLINK("https://klasma.github.io/Logging_2283/tillsynsmail/A 53059-2023 tillsynsbegäran mail.docx", "A 53059-2023")</f>
        <v/>
      </c>
    </row>
    <row r="478" ht="15" customHeight="1">
      <c r="A478" t="inlineStr">
        <is>
          <t>A 53039-2023</t>
        </is>
      </c>
      <c r="B478" s="1" t="n">
        <v>45226</v>
      </c>
      <c r="C478" s="1" t="n">
        <v>45822</v>
      </c>
      <c r="D478" t="inlineStr">
        <is>
          <t>VÄSTERNORRLANDS LÄN</t>
        </is>
      </c>
      <c r="E478" t="inlineStr">
        <is>
          <t>SOLLEFTEÅ</t>
        </is>
      </c>
      <c r="F478" t="inlineStr">
        <is>
          <t>SCA</t>
        </is>
      </c>
      <c r="G478" t="n">
        <v>1.8</v>
      </c>
      <c r="H478" t="n">
        <v>1</v>
      </c>
      <c r="I478" t="n">
        <v>0</v>
      </c>
      <c r="J478" t="n">
        <v>1</v>
      </c>
      <c r="K478" t="n">
        <v>0</v>
      </c>
      <c r="L478" t="n">
        <v>0</v>
      </c>
      <c r="M478" t="n">
        <v>0</v>
      </c>
      <c r="N478" t="n">
        <v>0</v>
      </c>
      <c r="O478" t="n">
        <v>1</v>
      </c>
      <c r="P478" t="n">
        <v>0</v>
      </c>
      <c r="Q478" t="n">
        <v>1</v>
      </c>
      <c r="R478" s="2" t="inlineStr">
        <is>
          <t>Nordfladdermus</t>
        </is>
      </c>
      <c r="S478">
        <f>HYPERLINK("https://klasma.github.io/Logging_2283/artfynd/A 53039-2023 artfynd.xlsx", "A 53039-2023")</f>
        <v/>
      </c>
      <c r="T478">
        <f>HYPERLINK("https://klasma.github.io/Logging_2283/kartor/A 53039-2023 karta.png", "A 53039-2023")</f>
        <v/>
      </c>
      <c r="V478">
        <f>HYPERLINK("https://klasma.github.io/Logging_2283/klagomål/A 53039-2023 FSC-klagomål.docx", "A 53039-2023")</f>
        <v/>
      </c>
      <c r="W478">
        <f>HYPERLINK("https://klasma.github.io/Logging_2283/klagomålsmail/A 53039-2023 FSC-klagomål mail.docx", "A 53039-2023")</f>
        <v/>
      </c>
      <c r="X478">
        <f>HYPERLINK("https://klasma.github.io/Logging_2283/tillsyn/A 53039-2023 tillsynsbegäran.docx", "A 53039-2023")</f>
        <v/>
      </c>
      <c r="Y478">
        <f>HYPERLINK("https://klasma.github.io/Logging_2283/tillsynsmail/A 53039-2023 tillsynsbegäran mail.docx", "A 53039-2023")</f>
        <v/>
      </c>
    </row>
    <row r="479" ht="15" customHeight="1">
      <c r="A479" t="inlineStr">
        <is>
          <t>A 53446-2023</t>
        </is>
      </c>
      <c r="B479" s="1" t="n">
        <v>45229</v>
      </c>
      <c r="C479" s="1" t="n">
        <v>45822</v>
      </c>
      <c r="D479" t="inlineStr">
        <is>
          <t>VÄSTERNORRLANDS LÄN</t>
        </is>
      </c>
      <c r="E479" t="inlineStr">
        <is>
          <t>SOLLEFTEÅ</t>
        </is>
      </c>
      <c r="F479" t="inlineStr">
        <is>
          <t>SCA</t>
        </is>
      </c>
      <c r="G479" t="n">
        <v>2.2</v>
      </c>
      <c r="H479" t="n">
        <v>0</v>
      </c>
      <c r="I479" t="n">
        <v>0</v>
      </c>
      <c r="J479" t="n">
        <v>1</v>
      </c>
      <c r="K479" t="n">
        <v>0</v>
      </c>
      <c r="L479" t="n">
        <v>0</v>
      </c>
      <c r="M479" t="n">
        <v>0</v>
      </c>
      <c r="N479" t="n">
        <v>0</v>
      </c>
      <c r="O479" t="n">
        <v>1</v>
      </c>
      <c r="P479" t="n">
        <v>0</v>
      </c>
      <c r="Q479" t="n">
        <v>1</v>
      </c>
      <c r="R479" s="2" t="inlineStr">
        <is>
          <t>Kolflarnlav</t>
        </is>
      </c>
      <c r="S479">
        <f>HYPERLINK("https://klasma.github.io/Logging_2283/artfynd/A 53446-2023 artfynd.xlsx", "A 53446-2023")</f>
        <v/>
      </c>
      <c r="T479">
        <f>HYPERLINK("https://klasma.github.io/Logging_2283/kartor/A 53446-2023 karta.png", "A 53446-2023")</f>
        <v/>
      </c>
      <c r="V479">
        <f>HYPERLINK("https://klasma.github.io/Logging_2283/klagomål/A 53446-2023 FSC-klagomål.docx", "A 53446-2023")</f>
        <v/>
      </c>
      <c r="W479">
        <f>HYPERLINK("https://klasma.github.io/Logging_2283/klagomålsmail/A 53446-2023 FSC-klagomål mail.docx", "A 53446-2023")</f>
        <v/>
      </c>
      <c r="X479">
        <f>HYPERLINK("https://klasma.github.io/Logging_2283/tillsyn/A 53446-2023 tillsynsbegäran.docx", "A 53446-2023")</f>
        <v/>
      </c>
      <c r="Y479">
        <f>HYPERLINK("https://klasma.github.io/Logging_2283/tillsynsmail/A 53446-2023 tillsynsbegäran mail.docx", "A 53446-2023")</f>
        <v/>
      </c>
    </row>
    <row r="480" ht="15" customHeight="1">
      <c r="A480" t="inlineStr">
        <is>
          <t>A 56257-2023</t>
        </is>
      </c>
      <c r="B480" s="1" t="n">
        <v>45240</v>
      </c>
      <c r="C480" s="1" t="n">
        <v>45822</v>
      </c>
      <c r="D480" t="inlineStr">
        <is>
          <t>VÄSTERNORRLANDS LÄN</t>
        </is>
      </c>
      <c r="E480" t="inlineStr">
        <is>
          <t>SOLLEFTEÅ</t>
        </is>
      </c>
      <c r="F480" t="inlineStr">
        <is>
          <t>SCA</t>
        </is>
      </c>
      <c r="G480" t="n">
        <v>2.9</v>
      </c>
      <c r="H480" t="n">
        <v>0</v>
      </c>
      <c r="I480" t="n">
        <v>1</v>
      </c>
      <c r="J480" t="n">
        <v>0</v>
      </c>
      <c r="K480" t="n">
        <v>0</v>
      </c>
      <c r="L480" t="n">
        <v>0</v>
      </c>
      <c r="M480" t="n">
        <v>0</v>
      </c>
      <c r="N480" t="n">
        <v>0</v>
      </c>
      <c r="O480" t="n">
        <v>0</v>
      </c>
      <c r="P480" t="n">
        <v>0</v>
      </c>
      <c r="Q480" t="n">
        <v>1</v>
      </c>
      <c r="R480" s="2" t="inlineStr">
        <is>
          <t>Tibast</t>
        </is>
      </c>
      <c r="S480">
        <f>HYPERLINK("https://klasma.github.io/Logging_2283/artfynd/A 56257-2023 artfynd.xlsx", "A 56257-2023")</f>
        <v/>
      </c>
      <c r="T480">
        <f>HYPERLINK("https://klasma.github.io/Logging_2283/kartor/A 56257-2023 karta.png", "A 56257-2023")</f>
        <v/>
      </c>
      <c r="V480">
        <f>HYPERLINK("https://klasma.github.io/Logging_2283/klagomål/A 56257-2023 FSC-klagomål.docx", "A 56257-2023")</f>
        <v/>
      </c>
      <c r="W480">
        <f>HYPERLINK("https://klasma.github.io/Logging_2283/klagomålsmail/A 56257-2023 FSC-klagomål mail.docx", "A 56257-2023")</f>
        <v/>
      </c>
      <c r="X480">
        <f>HYPERLINK("https://klasma.github.io/Logging_2283/tillsyn/A 56257-2023 tillsynsbegäran.docx", "A 56257-2023")</f>
        <v/>
      </c>
      <c r="Y480">
        <f>HYPERLINK("https://klasma.github.io/Logging_2283/tillsynsmail/A 56257-2023 tillsynsbegäran mail.docx", "A 56257-2023")</f>
        <v/>
      </c>
    </row>
    <row r="481" ht="15" customHeight="1">
      <c r="A481" t="inlineStr">
        <is>
          <t>A 59100-2023</t>
        </is>
      </c>
      <c r="B481" s="1" t="n">
        <v>45252</v>
      </c>
      <c r="C481" s="1" t="n">
        <v>45822</v>
      </c>
      <c r="D481" t="inlineStr">
        <is>
          <t>VÄSTERNORRLANDS LÄN</t>
        </is>
      </c>
      <c r="E481" t="inlineStr">
        <is>
          <t>SOLLEFTEÅ</t>
        </is>
      </c>
      <c r="F481" t="inlineStr">
        <is>
          <t>SCA</t>
        </is>
      </c>
      <c r="G481" t="n">
        <v>4.2</v>
      </c>
      <c r="H481" t="n">
        <v>0</v>
      </c>
      <c r="I481" t="n">
        <v>0</v>
      </c>
      <c r="J481" t="n">
        <v>1</v>
      </c>
      <c r="K481" t="n">
        <v>0</v>
      </c>
      <c r="L481" t="n">
        <v>0</v>
      </c>
      <c r="M481" t="n">
        <v>0</v>
      </c>
      <c r="N481" t="n">
        <v>0</v>
      </c>
      <c r="O481" t="n">
        <v>1</v>
      </c>
      <c r="P481" t="n">
        <v>0</v>
      </c>
      <c r="Q481" t="n">
        <v>1</v>
      </c>
      <c r="R481" s="2" t="inlineStr">
        <is>
          <t>Skrovlig taggsvamp</t>
        </is>
      </c>
      <c r="S481">
        <f>HYPERLINK("https://klasma.github.io/Logging_2283/artfynd/A 59100-2023 artfynd.xlsx", "A 59100-2023")</f>
        <v/>
      </c>
      <c r="T481">
        <f>HYPERLINK("https://klasma.github.io/Logging_2283/kartor/A 59100-2023 karta.png", "A 59100-2023")</f>
        <v/>
      </c>
      <c r="V481">
        <f>HYPERLINK("https://klasma.github.io/Logging_2283/klagomål/A 59100-2023 FSC-klagomål.docx", "A 59100-2023")</f>
        <v/>
      </c>
      <c r="W481">
        <f>HYPERLINK("https://klasma.github.io/Logging_2283/klagomålsmail/A 59100-2023 FSC-klagomål mail.docx", "A 59100-2023")</f>
        <v/>
      </c>
      <c r="X481">
        <f>HYPERLINK("https://klasma.github.io/Logging_2283/tillsyn/A 59100-2023 tillsynsbegäran.docx", "A 59100-2023")</f>
        <v/>
      </c>
      <c r="Y481">
        <f>HYPERLINK("https://klasma.github.io/Logging_2283/tillsynsmail/A 59100-2023 tillsynsbegäran mail.docx", "A 59100-2023")</f>
        <v/>
      </c>
    </row>
    <row r="482" ht="15" customHeight="1">
      <c r="A482" t="inlineStr">
        <is>
          <t>A 386-2024</t>
        </is>
      </c>
      <c r="B482" s="1" t="n">
        <v>45296</v>
      </c>
      <c r="C482" s="1" t="n">
        <v>45822</v>
      </c>
      <c r="D482" t="inlineStr">
        <is>
          <t>VÄSTERNORRLANDS LÄN</t>
        </is>
      </c>
      <c r="E482" t="inlineStr">
        <is>
          <t>SOLLEFTEÅ</t>
        </is>
      </c>
      <c r="G482" t="n">
        <v>3.7</v>
      </c>
      <c r="H482" t="n">
        <v>0</v>
      </c>
      <c r="I482" t="n">
        <v>0</v>
      </c>
      <c r="J482" t="n">
        <v>1</v>
      </c>
      <c r="K482" t="n">
        <v>0</v>
      </c>
      <c r="L482" t="n">
        <v>0</v>
      </c>
      <c r="M482" t="n">
        <v>0</v>
      </c>
      <c r="N482" t="n">
        <v>0</v>
      </c>
      <c r="O482" t="n">
        <v>1</v>
      </c>
      <c r="P482" t="n">
        <v>0</v>
      </c>
      <c r="Q482" t="n">
        <v>1</v>
      </c>
      <c r="R482" s="2" t="inlineStr">
        <is>
          <t>Kolflarnlav</t>
        </is>
      </c>
      <c r="S482">
        <f>HYPERLINK("https://klasma.github.io/Logging_2283/artfynd/A 386-2024 artfynd.xlsx", "A 386-2024")</f>
        <v/>
      </c>
      <c r="T482">
        <f>HYPERLINK("https://klasma.github.io/Logging_2283/kartor/A 386-2024 karta.png", "A 386-2024")</f>
        <v/>
      </c>
      <c r="V482">
        <f>HYPERLINK("https://klasma.github.io/Logging_2283/klagomål/A 386-2024 FSC-klagomål.docx", "A 386-2024")</f>
        <v/>
      </c>
      <c r="W482">
        <f>HYPERLINK("https://klasma.github.io/Logging_2283/klagomålsmail/A 386-2024 FSC-klagomål mail.docx", "A 386-2024")</f>
        <v/>
      </c>
      <c r="X482">
        <f>HYPERLINK("https://klasma.github.io/Logging_2283/tillsyn/A 386-2024 tillsynsbegäran.docx", "A 386-2024")</f>
        <v/>
      </c>
      <c r="Y482">
        <f>HYPERLINK("https://klasma.github.io/Logging_2283/tillsynsmail/A 386-2024 tillsynsbegäran mail.docx", "A 386-2024")</f>
        <v/>
      </c>
    </row>
    <row r="483" ht="15" customHeight="1">
      <c r="A483" t="inlineStr">
        <is>
          <t>A 2423-2024</t>
        </is>
      </c>
      <c r="B483" s="1" t="n">
        <v>45310</v>
      </c>
      <c r="C483" s="1" t="n">
        <v>45822</v>
      </c>
      <c r="D483" t="inlineStr">
        <is>
          <t>VÄSTERNORRLANDS LÄN</t>
        </is>
      </c>
      <c r="E483" t="inlineStr">
        <is>
          <t>SOLLEFTEÅ</t>
        </is>
      </c>
      <c r="F483" t="inlineStr">
        <is>
          <t>SCA</t>
        </is>
      </c>
      <c r="G483" t="n">
        <v>3.2</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2423-2024 artfynd.xlsx", "A 2423-2024")</f>
        <v/>
      </c>
      <c r="T483">
        <f>HYPERLINK("https://klasma.github.io/Logging_2283/kartor/A 2423-2024 karta.png", "A 2423-2024")</f>
        <v/>
      </c>
      <c r="V483">
        <f>HYPERLINK("https://klasma.github.io/Logging_2283/klagomål/A 2423-2024 FSC-klagomål.docx", "A 2423-2024")</f>
        <v/>
      </c>
      <c r="W483">
        <f>HYPERLINK("https://klasma.github.io/Logging_2283/klagomålsmail/A 2423-2024 FSC-klagomål mail.docx", "A 2423-2024")</f>
        <v/>
      </c>
      <c r="X483">
        <f>HYPERLINK("https://klasma.github.io/Logging_2283/tillsyn/A 2423-2024 tillsynsbegäran.docx", "A 2423-2024")</f>
        <v/>
      </c>
      <c r="Y483">
        <f>HYPERLINK("https://klasma.github.io/Logging_2283/tillsynsmail/A 2423-2024 tillsynsbegäran mail.docx", "A 2423-2024")</f>
        <v/>
      </c>
      <c r="Z483">
        <f>HYPERLINK("https://klasma.github.io/Logging_2283/fåglar/A 2423-2024 prioriterade fågelarter.docx", "A 2423-2024")</f>
        <v/>
      </c>
    </row>
    <row r="484" ht="15" customHeight="1">
      <c r="A484" t="inlineStr">
        <is>
          <t>A 2570-2024</t>
        </is>
      </c>
      <c r="B484" s="1" t="n">
        <v>45313</v>
      </c>
      <c r="C484" s="1" t="n">
        <v>45822</v>
      </c>
      <c r="D484" t="inlineStr">
        <is>
          <t>VÄSTERNORRLANDS LÄN</t>
        </is>
      </c>
      <c r="E484" t="inlineStr">
        <is>
          <t>SOLLEFTEÅ</t>
        </is>
      </c>
      <c r="F484" t="inlineStr">
        <is>
          <t>Kommuner</t>
        </is>
      </c>
      <c r="G484" t="n">
        <v>6</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2570-2024 artfynd.xlsx", "A 2570-2024")</f>
        <v/>
      </c>
      <c r="T484">
        <f>HYPERLINK("https://klasma.github.io/Logging_2283/kartor/A 2570-2024 karta.png", "A 2570-2024")</f>
        <v/>
      </c>
      <c r="V484">
        <f>HYPERLINK("https://klasma.github.io/Logging_2283/klagomål/A 2570-2024 FSC-klagomål.docx", "A 2570-2024")</f>
        <v/>
      </c>
      <c r="W484">
        <f>HYPERLINK("https://klasma.github.io/Logging_2283/klagomålsmail/A 2570-2024 FSC-klagomål mail.docx", "A 2570-2024")</f>
        <v/>
      </c>
      <c r="X484">
        <f>HYPERLINK("https://klasma.github.io/Logging_2283/tillsyn/A 2570-2024 tillsynsbegäran.docx", "A 2570-2024")</f>
        <v/>
      </c>
      <c r="Y484">
        <f>HYPERLINK("https://klasma.github.io/Logging_2283/tillsynsmail/A 2570-2024 tillsynsbegäran mail.docx", "A 2570-2024")</f>
        <v/>
      </c>
      <c r="Z484">
        <f>HYPERLINK("https://klasma.github.io/Logging_2283/fåglar/A 2570-2024 prioriterade fågelarter.docx", "A 2570-2024")</f>
        <v/>
      </c>
    </row>
    <row r="485" ht="15" customHeight="1">
      <c r="A485" t="inlineStr">
        <is>
          <t>A 3959-2024</t>
        </is>
      </c>
      <c r="B485" s="1" t="n">
        <v>45322</v>
      </c>
      <c r="C485" s="1" t="n">
        <v>45822</v>
      </c>
      <c r="D485" t="inlineStr">
        <is>
          <t>VÄSTERNORRLANDS LÄN</t>
        </is>
      </c>
      <c r="E485" t="inlineStr">
        <is>
          <t>SOLLEFTEÅ</t>
        </is>
      </c>
      <c r="F485" t="inlineStr">
        <is>
          <t>Kommuner</t>
        </is>
      </c>
      <c r="G485" t="n">
        <v>1</v>
      </c>
      <c r="H485" t="n">
        <v>0</v>
      </c>
      <c r="I485" t="n">
        <v>0</v>
      </c>
      <c r="J485" t="n">
        <v>1</v>
      </c>
      <c r="K485" t="n">
        <v>0</v>
      </c>
      <c r="L485" t="n">
        <v>0</v>
      </c>
      <c r="M485" t="n">
        <v>0</v>
      </c>
      <c r="N485" t="n">
        <v>0</v>
      </c>
      <c r="O485" t="n">
        <v>1</v>
      </c>
      <c r="P485" t="n">
        <v>0</v>
      </c>
      <c r="Q485" t="n">
        <v>1</v>
      </c>
      <c r="R485" s="2" t="inlineStr">
        <is>
          <t>Garnlav</t>
        </is>
      </c>
      <c r="S485">
        <f>HYPERLINK("https://klasma.github.io/Logging_2283/artfynd/A 3959-2024 artfynd.xlsx", "A 3959-2024")</f>
        <v/>
      </c>
      <c r="T485">
        <f>HYPERLINK("https://klasma.github.io/Logging_2283/kartor/A 3959-2024 karta.png", "A 3959-2024")</f>
        <v/>
      </c>
      <c r="V485">
        <f>HYPERLINK("https://klasma.github.io/Logging_2283/klagomål/A 3959-2024 FSC-klagomål.docx", "A 3959-2024")</f>
        <v/>
      </c>
      <c r="W485">
        <f>HYPERLINK("https://klasma.github.io/Logging_2283/klagomålsmail/A 3959-2024 FSC-klagomål mail.docx", "A 3959-2024")</f>
        <v/>
      </c>
      <c r="X485">
        <f>HYPERLINK("https://klasma.github.io/Logging_2283/tillsyn/A 3959-2024 tillsynsbegäran.docx", "A 3959-2024")</f>
        <v/>
      </c>
      <c r="Y485">
        <f>HYPERLINK("https://klasma.github.io/Logging_2283/tillsynsmail/A 3959-2024 tillsynsbegäran mail.docx", "A 3959-2024")</f>
        <v/>
      </c>
    </row>
    <row r="486" ht="15" customHeight="1">
      <c r="A486" t="inlineStr">
        <is>
          <t>A 5033-2024</t>
        </is>
      </c>
      <c r="B486" s="1" t="n">
        <v>45329</v>
      </c>
      <c r="C486" s="1" t="n">
        <v>45822</v>
      </c>
      <c r="D486" t="inlineStr">
        <is>
          <t>VÄSTERNORRLANDS LÄN</t>
        </is>
      </c>
      <c r="E486" t="inlineStr">
        <is>
          <t>SOLLEFTEÅ</t>
        </is>
      </c>
      <c r="F486" t="inlineStr">
        <is>
          <t>Övriga Aktiebolag</t>
        </is>
      </c>
      <c r="G486" t="n">
        <v>3.2</v>
      </c>
      <c r="H486" t="n">
        <v>0</v>
      </c>
      <c r="I486" t="n">
        <v>1</v>
      </c>
      <c r="J486" t="n">
        <v>0</v>
      </c>
      <c r="K486" t="n">
        <v>0</v>
      </c>
      <c r="L486" t="n">
        <v>0</v>
      </c>
      <c r="M486" t="n">
        <v>0</v>
      </c>
      <c r="N486" t="n">
        <v>0</v>
      </c>
      <c r="O486" t="n">
        <v>0</v>
      </c>
      <c r="P486" t="n">
        <v>0</v>
      </c>
      <c r="Q486" t="n">
        <v>1</v>
      </c>
      <c r="R486" s="2" t="inlineStr">
        <is>
          <t>Kransrams</t>
        </is>
      </c>
      <c r="S486">
        <f>HYPERLINK("https://klasma.github.io/Logging_2283/artfynd/A 5033-2024 artfynd.xlsx", "A 5033-2024")</f>
        <v/>
      </c>
      <c r="T486">
        <f>HYPERLINK("https://klasma.github.io/Logging_2283/kartor/A 5033-2024 karta.png", "A 5033-2024")</f>
        <v/>
      </c>
      <c r="V486">
        <f>HYPERLINK("https://klasma.github.io/Logging_2283/klagomål/A 5033-2024 FSC-klagomål.docx", "A 5033-2024")</f>
        <v/>
      </c>
      <c r="W486">
        <f>HYPERLINK("https://klasma.github.io/Logging_2283/klagomålsmail/A 5033-2024 FSC-klagomål mail.docx", "A 5033-2024")</f>
        <v/>
      </c>
      <c r="X486">
        <f>HYPERLINK("https://klasma.github.io/Logging_2283/tillsyn/A 5033-2024 tillsynsbegäran.docx", "A 5033-2024")</f>
        <v/>
      </c>
      <c r="Y486">
        <f>HYPERLINK("https://klasma.github.io/Logging_2283/tillsynsmail/A 5033-2024 tillsynsbegäran mail.docx", "A 5033-2024")</f>
        <v/>
      </c>
    </row>
    <row r="487" ht="15" customHeight="1">
      <c r="A487" t="inlineStr">
        <is>
          <t>A 6889-2024</t>
        </is>
      </c>
      <c r="B487" s="1" t="n">
        <v>45342</v>
      </c>
      <c r="C487" s="1" t="n">
        <v>45822</v>
      </c>
      <c r="D487" t="inlineStr">
        <is>
          <t>VÄSTERNORRLANDS LÄN</t>
        </is>
      </c>
      <c r="E487" t="inlineStr">
        <is>
          <t>SOLLEFTEÅ</t>
        </is>
      </c>
      <c r="G487" t="n">
        <v>2.8</v>
      </c>
      <c r="H487" t="n">
        <v>0</v>
      </c>
      <c r="I487" t="n">
        <v>0</v>
      </c>
      <c r="J487" t="n">
        <v>1</v>
      </c>
      <c r="K487" t="n">
        <v>0</v>
      </c>
      <c r="L487" t="n">
        <v>0</v>
      </c>
      <c r="M487" t="n">
        <v>0</v>
      </c>
      <c r="N487" t="n">
        <v>0</v>
      </c>
      <c r="O487" t="n">
        <v>1</v>
      </c>
      <c r="P487" t="n">
        <v>0</v>
      </c>
      <c r="Q487" t="n">
        <v>1</v>
      </c>
      <c r="R487" s="2" t="inlineStr">
        <is>
          <t>Granticka</t>
        </is>
      </c>
      <c r="S487">
        <f>HYPERLINK("https://klasma.github.io/Logging_2283/artfynd/A 6889-2024 artfynd.xlsx", "A 6889-2024")</f>
        <v/>
      </c>
      <c r="T487">
        <f>HYPERLINK("https://klasma.github.io/Logging_2283/kartor/A 6889-2024 karta.png", "A 6889-2024")</f>
        <v/>
      </c>
      <c r="V487">
        <f>HYPERLINK("https://klasma.github.io/Logging_2283/klagomål/A 6889-2024 FSC-klagomål.docx", "A 6889-2024")</f>
        <v/>
      </c>
      <c r="W487">
        <f>HYPERLINK("https://klasma.github.io/Logging_2283/klagomålsmail/A 6889-2024 FSC-klagomål mail.docx", "A 6889-2024")</f>
        <v/>
      </c>
      <c r="X487">
        <f>HYPERLINK("https://klasma.github.io/Logging_2283/tillsyn/A 6889-2024 tillsynsbegäran.docx", "A 6889-2024")</f>
        <v/>
      </c>
      <c r="Y487">
        <f>HYPERLINK("https://klasma.github.io/Logging_2283/tillsynsmail/A 6889-2024 tillsynsbegäran mail.docx", "A 6889-2024")</f>
        <v/>
      </c>
    </row>
    <row r="488" ht="15" customHeight="1">
      <c r="A488" t="inlineStr">
        <is>
          <t>A 7468-2024</t>
        </is>
      </c>
      <c r="B488" s="1" t="n">
        <v>45345</v>
      </c>
      <c r="C488" s="1" t="n">
        <v>45822</v>
      </c>
      <c r="D488" t="inlineStr">
        <is>
          <t>VÄSTERNORRLANDS LÄN</t>
        </is>
      </c>
      <c r="E488" t="inlineStr">
        <is>
          <t>SOLLEFTEÅ</t>
        </is>
      </c>
      <c r="F488" t="inlineStr">
        <is>
          <t>SCA</t>
        </is>
      </c>
      <c r="G488" t="n">
        <v>55.2</v>
      </c>
      <c r="H488" t="n">
        <v>0</v>
      </c>
      <c r="I488" t="n">
        <v>0</v>
      </c>
      <c r="J488" t="n">
        <v>1</v>
      </c>
      <c r="K488" t="n">
        <v>0</v>
      </c>
      <c r="L488" t="n">
        <v>0</v>
      </c>
      <c r="M488" t="n">
        <v>0</v>
      </c>
      <c r="N488" t="n">
        <v>0</v>
      </c>
      <c r="O488" t="n">
        <v>1</v>
      </c>
      <c r="P488" t="n">
        <v>0</v>
      </c>
      <c r="Q488" t="n">
        <v>1</v>
      </c>
      <c r="R488" s="2" t="inlineStr">
        <is>
          <t>Granticka</t>
        </is>
      </c>
      <c r="S488">
        <f>HYPERLINK("https://klasma.github.io/Logging_2283/artfynd/A 7468-2024 artfynd.xlsx", "A 7468-2024")</f>
        <v/>
      </c>
      <c r="T488">
        <f>HYPERLINK("https://klasma.github.io/Logging_2283/kartor/A 7468-2024 karta.png", "A 7468-2024")</f>
        <v/>
      </c>
      <c r="V488">
        <f>HYPERLINK("https://klasma.github.io/Logging_2283/klagomål/A 7468-2024 FSC-klagomål.docx", "A 7468-2024")</f>
        <v/>
      </c>
      <c r="W488">
        <f>HYPERLINK("https://klasma.github.io/Logging_2283/klagomålsmail/A 7468-2024 FSC-klagomål mail.docx", "A 7468-2024")</f>
        <v/>
      </c>
      <c r="X488">
        <f>HYPERLINK("https://klasma.github.io/Logging_2283/tillsyn/A 7468-2024 tillsynsbegäran.docx", "A 7468-2024")</f>
        <v/>
      </c>
      <c r="Y488">
        <f>HYPERLINK("https://klasma.github.io/Logging_2283/tillsynsmail/A 7468-2024 tillsynsbegäran mail.docx", "A 7468-2024")</f>
        <v/>
      </c>
    </row>
    <row r="489" ht="15" customHeight="1">
      <c r="A489" t="inlineStr">
        <is>
          <t>A 7909-2024</t>
        </is>
      </c>
      <c r="B489" s="1" t="n">
        <v>45350</v>
      </c>
      <c r="C489" s="1" t="n">
        <v>45822</v>
      </c>
      <c r="D489" t="inlineStr">
        <is>
          <t>VÄSTERNORRLANDS LÄN</t>
        </is>
      </c>
      <c r="E489" t="inlineStr">
        <is>
          <t>SOLLEFTEÅ</t>
        </is>
      </c>
      <c r="G489" t="n">
        <v>7.2</v>
      </c>
      <c r="H489" t="n">
        <v>0</v>
      </c>
      <c r="I489" t="n">
        <v>0</v>
      </c>
      <c r="J489" t="n">
        <v>1</v>
      </c>
      <c r="K489" t="n">
        <v>0</v>
      </c>
      <c r="L489" t="n">
        <v>0</v>
      </c>
      <c r="M489" t="n">
        <v>0</v>
      </c>
      <c r="N489" t="n">
        <v>0</v>
      </c>
      <c r="O489" t="n">
        <v>1</v>
      </c>
      <c r="P489" t="n">
        <v>0</v>
      </c>
      <c r="Q489" t="n">
        <v>1</v>
      </c>
      <c r="R489" s="2" t="inlineStr">
        <is>
          <t>Lunglav</t>
        </is>
      </c>
      <c r="S489">
        <f>HYPERLINK("https://klasma.github.io/Logging_2283/artfynd/A 7909-2024 artfynd.xlsx", "A 7909-2024")</f>
        <v/>
      </c>
      <c r="T489">
        <f>HYPERLINK("https://klasma.github.io/Logging_2283/kartor/A 7909-2024 karta.png", "A 7909-2024")</f>
        <v/>
      </c>
      <c r="V489">
        <f>HYPERLINK("https://klasma.github.io/Logging_2283/klagomål/A 7909-2024 FSC-klagomål.docx", "A 7909-2024")</f>
        <v/>
      </c>
      <c r="W489">
        <f>HYPERLINK("https://klasma.github.io/Logging_2283/klagomålsmail/A 7909-2024 FSC-klagomål mail.docx", "A 7909-2024")</f>
        <v/>
      </c>
      <c r="X489">
        <f>HYPERLINK("https://klasma.github.io/Logging_2283/tillsyn/A 7909-2024 tillsynsbegäran.docx", "A 7909-2024")</f>
        <v/>
      </c>
      <c r="Y489">
        <f>HYPERLINK("https://klasma.github.io/Logging_2283/tillsynsmail/A 7909-2024 tillsynsbegäran mail.docx", "A 7909-2024")</f>
        <v/>
      </c>
    </row>
    <row r="490" ht="15" customHeight="1">
      <c r="A490" t="inlineStr">
        <is>
          <t>A 8541-2024</t>
        </is>
      </c>
      <c r="B490" s="1" t="n">
        <v>45351</v>
      </c>
      <c r="C490" s="1" t="n">
        <v>45822</v>
      </c>
      <c r="D490" t="inlineStr">
        <is>
          <t>VÄSTERNORRLANDS LÄN</t>
        </is>
      </c>
      <c r="E490" t="inlineStr">
        <is>
          <t>SOLLEFTEÅ</t>
        </is>
      </c>
      <c r="F490" t="inlineStr">
        <is>
          <t>Kommuner</t>
        </is>
      </c>
      <c r="G490" t="n">
        <v>0.6</v>
      </c>
      <c r="H490" t="n">
        <v>0</v>
      </c>
      <c r="I490" t="n">
        <v>0</v>
      </c>
      <c r="J490" t="n">
        <v>1</v>
      </c>
      <c r="K490" t="n">
        <v>0</v>
      </c>
      <c r="L490" t="n">
        <v>0</v>
      </c>
      <c r="M490" t="n">
        <v>0</v>
      </c>
      <c r="N490" t="n">
        <v>0</v>
      </c>
      <c r="O490" t="n">
        <v>1</v>
      </c>
      <c r="P490" t="n">
        <v>0</v>
      </c>
      <c r="Q490" t="n">
        <v>1</v>
      </c>
      <c r="R490" s="2" t="inlineStr">
        <is>
          <t>Granticka</t>
        </is>
      </c>
      <c r="S490">
        <f>HYPERLINK("https://klasma.github.io/Logging_2283/artfynd/A 8541-2024 artfynd.xlsx", "A 8541-2024")</f>
        <v/>
      </c>
      <c r="T490">
        <f>HYPERLINK("https://klasma.github.io/Logging_2283/kartor/A 8541-2024 karta.png", "A 8541-2024")</f>
        <v/>
      </c>
      <c r="V490">
        <f>HYPERLINK("https://klasma.github.io/Logging_2283/klagomål/A 8541-2024 FSC-klagomål.docx", "A 8541-2024")</f>
        <v/>
      </c>
      <c r="W490">
        <f>HYPERLINK("https://klasma.github.io/Logging_2283/klagomålsmail/A 8541-2024 FSC-klagomål mail.docx", "A 8541-2024")</f>
        <v/>
      </c>
      <c r="X490">
        <f>HYPERLINK("https://klasma.github.io/Logging_2283/tillsyn/A 8541-2024 tillsynsbegäran.docx", "A 8541-2024")</f>
        <v/>
      </c>
      <c r="Y490">
        <f>HYPERLINK("https://klasma.github.io/Logging_2283/tillsynsmail/A 8541-2024 tillsynsbegäran mail.docx", "A 8541-2024")</f>
        <v/>
      </c>
    </row>
    <row r="491" ht="15" customHeight="1">
      <c r="A491" t="inlineStr">
        <is>
          <t>A 8903-2024</t>
        </is>
      </c>
      <c r="B491" s="1" t="n">
        <v>45355</v>
      </c>
      <c r="C491" s="1" t="n">
        <v>45822</v>
      </c>
      <c r="D491" t="inlineStr">
        <is>
          <t>VÄSTERNORRLANDS LÄN</t>
        </is>
      </c>
      <c r="E491" t="inlineStr">
        <is>
          <t>SOLLEFTEÅ</t>
        </is>
      </c>
      <c r="G491" t="n">
        <v>1.7</v>
      </c>
      <c r="H491" t="n">
        <v>0</v>
      </c>
      <c r="I491" t="n">
        <v>1</v>
      </c>
      <c r="J491" t="n">
        <v>0</v>
      </c>
      <c r="K491" t="n">
        <v>0</v>
      </c>
      <c r="L491" t="n">
        <v>0</v>
      </c>
      <c r="M491" t="n">
        <v>0</v>
      </c>
      <c r="N491" t="n">
        <v>0</v>
      </c>
      <c r="O491" t="n">
        <v>0</v>
      </c>
      <c r="P491" t="n">
        <v>0</v>
      </c>
      <c r="Q491" t="n">
        <v>1</v>
      </c>
      <c r="R491" s="2" t="inlineStr">
        <is>
          <t>Strutbräken</t>
        </is>
      </c>
      <c r="S491">
        <f>HYPERLINK("https://klasma.github.io/Logging_2283/artfynd/A 8903-2024 artfynd.xlsx", "A 8903-2024")</f>
        <v/>
      </c>
      <c r="T491">
        <f>HYPERLINK("https://klasma.github.io/Logging_2283/kartor/A 8903-2024 karta.png", "A 8903-2024")</f>
        <v/>
      </c>
      <c r="V491">
        <f>HYPERLINK("https://klasma.github.io/Logging_2283/klagomål/A 8903-2024 FSC-klagomål.docx", "A 8903-2024")</f>
        <v/>
      </c>
      <c r="W491">
        <f>HYPERLINK("https://klasma.github.io/Logging_2283/klagomålsmail/A 8903-2024 FSC-klagomål mail.docx", "A 8903-2024")</f>
        <v/>
      </c>
      <c r="X491">
        <f>HYPERLINK("https://klasma.github.io/Logging_2283/tillsyn/A 8903-2024 tillsynsbegäran.docx", "A 8903-2024")</f>
        <v/>
      </c>
      <c r="Y491">
        <f>HYPERLINK("https://klasma.github.io/Logging_2283/tillsynsmail/A 8903-2024 tillsynsbegäran mail.docx", "A 8903-2024")</f>
        <v/>
      </c>
    </row>
    <row r="492" ht="15" customHeight="1">
      <c r="A492" t="inlineStr">
        <is>
          <t>A 9818-2024</t>
        </is>
      </c>
      <c r="B492" s="1" t="n">
        <v>45363</v>
      </c>
      <c r="C492" s="1" t="n">
        <v>45822</v>
      </c>
      <c r="D492" t="inlineStr">
        <is>
          <t>VÄSTERNORRLANDS LÄN</t>
        </is>
      </c>
      <c r="E492" t="inlineStr">
        <is>
          <t>SOLLEFTEÅ</t>
        </is>
      </c>
      <c r="F492" t="inlineStr">
        <is>
          <t>SCA</t>
        </is>
      </c>
      <c r="G492" t="n">
        <v>3.8</v>
      </c>
      <c r="H492" t="n">
        <v>0</v>
      </c>
      <c r="I492" t="n">
        <v>0</v>
      </c>
      <c r="J492" t="n">
        <v>1</v>
      </c>
      <c r="K492" t="n">
        <v>0</v>
      </c>
      <c r="L492" t="n">
        <v>0</v>
      </c>
      <c r="M492" t="n">
        <v>0</v>
      </c>
      <c r="N492" t="n">
        <v>0</v>
      </c>
      <c r="O492" t="n">
        <v>1</v>
      </c>
      <c r="P492" t="n">
        <v>0</v>
      </c>
      <c r="Q492" t="n">
        <v>1</v>
      </c>
      <c r="R492" s="2" t="inlineStr">
        <is>
          <t>Motaggsvamp</t>
        </is>
      </c>
      <c r="S492">
        <f>HYPERLINK("https://klasma.github.io/Logging_2283/artfynd/A 9818-2024 artfynd.xlsx", "A 9818-2024")</f>
        <v/>
      </c>
      <c r="T492">
        <f>HYPERLINK("https://klasma.github.io/Logging_2283/kartor/A 9818-2024 karta.png", "A 9818-2024")</f>
        <v/>
      </c>
      <c r="U492">
        <f>HYPERLINK("https://klasma.github.io/Logging_2283/knärot/A 9818-2024 karta knärot.png", "A 9818-2024")</f>
        <v/>
      </c>
      <c r="V492">
        <f>HYPERLINK("https://klasma.github.io/Logging_2283/klagomål/A 9818-2024 FSC-klagomål.docx", "A 9818-2024")</f>
        <v/>
      </c>
      <c r="W492">
        <f>HYPERLINK("https://klasma.github.io/Logging_2283/klagomålsmail/A 9818-2024 FSC-klagomål mail.docx", "A 9818-2024")</f>
        <v/>
      </c>
      <c r="X492">
        <f>HYPERLINK("https://klasma.github.io/Logging_2283/tillsyn/A 9818-2024 tillsynsbegäran.docx", "A 9818-2024")</f>
        <v/>
      </c>
      <c r="Y492">
        <f>HYPERLINK("https://klasma.github.io/Logging_2283/tillsynsmail/A 9818-2024 tillsynsbegäran mail.docx", "A 9818-2024")</f>
        <v/>
      </c>
    </row>
    <row r="493" ht="15" customHeight="1">
      <c r="A493" t="inlineStr">
        <is>
          <t>A 10854-2024</t>
        </is>
      </c>
      <c r="B493" s="1" t="n">
        <v>45370</v>
      </c>
      <c r="C493" s="1" t="n">
        <v>45822</v>
      </c>
      <c r="D493" t="inlineStr">
        <is>
          <t>VÄSTERNORRLANDS LÄN</t>
        </is>
      </c>
      <c r="E493" t="inlineStr">
        <is>
          <t>SOLLEFTEÅ</t>
        </is>
      </c>
      <c r="F493" t="inlineStr">
        <is>
          <t>SCA</t>
        </is>
      </c>
      <c r="G493" t="n">
        <v>2.8</v>
      </c>
      <c r="H493" t="n">
        <v>1</v>
      </c>
      <c r="I493" t="n">
        <v>0</v>
      </c>
      <c r="J493" t="n">
        <v>1</v>
      </c>
      <c r="K493" t="n">
        <v>0</v>
      </c>
      <c r="L493" t="n">
        <v>0</v>
      </c>
      <c r="M493" t="n">
        <v>0</v>
      </c>
      <c r="N493" t="n">
        <v>0</v>
      </c>
      <c r="O493" t="n">
        <v>1</v>
      </c>
      <c r="P493" t="n">
        <v>0</v>
      </c>
      <c r="Q493" t="n">
        <v>1</v>
      </c>
      <c r="R493" s="2" t="inlineStr">
        <is>
          <t>Tretåig hackspett</t>
        </is>
      </c>
      <c r="S493">
        <f>HYPERLINK("https://klasma.github.io/Logging_2283/artfynd/A 10854-2024 artfynd.xlsx", "A 10854-2024")</f>
        <v/>
      </c>
      <c r="T493">
        <f>HYPERLINK("https://klasma.github.io/Logging_2283/kartor/A 10854-2024 karta.png", "A 10854-2024")</f>
        <v/>
      </c>
      <c r="V493">
        <f>HYPERLINK("https://klasma.github.io/Logging_2283/klagomål/A 10854-2024 FSC-klagomål.docx", "A 10854-2024")</f>
        <v/>
      </c>
      <c r="W493">
        <f>HYPERLINK("https://klasma.github.io/Logging_2283/klagomålsmail/A 10854-2024 FSC-klagomål mail.docx", "A 10854-2024")</f>
        <v/>
      </c>
      <c r="X493">
        <f>HYPERLINK("https://klasma.github.io/Logging_2283/tillsyn/A 10854-2024 tillsynsbegäran.docx", "A 10854-2024")</f>
        <v/>
      </c>
      <c r="Y493">
        <f>HYPERLINK("https://klasma.github.io/Logging_2283/tillsynsmail/A 10854-2024 tillsynsbegäran mail.docx", "A 10854-2024")</f>
        <v/>
      </c>
      <c r="Z493">
        <f>HYPERLINK("https://klasma.github.io/Logging_2283/fåglar/A 10854-2024 prioriterade fågelarter.docx", "A 10854-2024")</f>
        <v/>
      </c>
    </row>
    <row r="494" ht="15" customHeight="1">
      <c r="A494" t="inlineStr">
        <is>
          <t>A 11043-2024</t>
        </is>
      </c>
      <c r="B494" s="1" t="n">
        <v>45370</v>
      </c>
      <c r="C494" s="1" t="n">
        <v>45822</v>
      </c>
      <c r="D494" t="inlineStr">
        <is>
          <t>VÄSTERNORRLANDS LÄN</t>
        </is>
      </c>
      <c r="E494" t="inlineStr">
        <is>
          <t>SOLLEFTEÅ</t>
        </is>
      </c>
      <c r="G494" t="n">
        <v>36.5</v>
      </c>
      <c r="H494" t="n">
        <v>0</v>
      </c>
      <c r="I494" t="n">
        <v>0</v>
      </c>
      <c r="J494" t="n">
        <v>1</v>
      </c>
      <c r="K494" t="n">
        <v>0</v>
      </c>
      <c r="L494" t="n">
        <v>0</v>
      </c>
      <c r="M494" t="n">
        <v>0</v>
      </c>
      <c r="N494" t="n">
        <v>0</v>
      </c>
      <c r="O494" t="n">
        <v>1</v>
      </c>
      <c r="P494" t="n">
        <v>0</v>
      </c>
      <c r="Q494" t="n">
        <v>1</v>
      </c>
      <c r="R494" s="2" t="inlineStr">
        <is>
          <t>Garnlav</t>
        </is>
      </c>
      <c r="S494">
        <f>HYPERLINK("https://klasma.github.io/Logging_2283/artfynd/A 11043-2024 artfynd.xlsx", "A 11043-2024")</f>
        <v/>
      </c>
      <c r="T494">
        <f>HYPERLINK("https://klasma.github.io/Logging_2283/kartor/A 11043-2024 karta.png", "A 11043-2024")</f>
        <v/>
      </c>
      <c r="V494">
        <f>HYPERLINK("https://klasma.github.io/Logging_2283/klagomål/A 11043-2024 FSC-klagomål.docx", "A 11043-2024")</f>
        <v/>
      </c>
      <c r="W494">
        <f>HYPERLINK("https://klasma.github.io/Logging_2283/klagomålsmail/A 11043-2024 FSC-klagomål mail.docx", "A 11043-2024")</f>
        <v/>
      </c>
      <c r="X494">
        <f>HYPERLINK("https://klasma.github.io/Logging_2283/tillsyn/A 11043-2024 tillsynsbegäran.docx", "A 11043-2024")</f>
        <v/>
      </c>
      <c r="Y494">
        <f>HYPERLINK("https://klasma.github.io/Logging_2283/tillsynsmail/A 11043-2024 tillsynsbegäran mail.docx", "A 11043-2024")</f>
        <v/>
      </c>
    </row>
    <row r="495" ht="15" customHeight="1">
      <c r="A495" t="inlineStr">
        <is>
          <t>A 12371-2024</t>
        </is>
      </c>
      <c r="B495" s="1" t="n">
        <v>45378</v>
      </c>
      <c r="C495" s="1" t="n">
        <v>45822</v>
      </c>
      <c r="D495" t="inlineStr">
        <is>
          <t>VÄSTERNORRLANDS LÄN</t>
        </is>
      </c>
      <c r="E495" t="inlineStr">
        <is>
          <t>SOLLEFTEÅ</t>
        </is>
      </c>
      <c r="F495" t="inlineStr">
        <is>
          <t>SCA</t>
        </is>
      </c>
      <c r="G495" t="n">
        <v>1.2</v>
      </c>
      <c r="H495" t="n">
        <v>0</v>
      </c>
      <c r="I495" t="n">
        <v>0</v>
      </c>
      <c r="J495" t="n">
        <v>1</v>
      </c>
      <c r="K495" t="n">
        <v>0</v>
      </c>
      <c r="L495" t="n">
        <v>0</v>
      </c>
      <c r="M495" t="n">
        <v>0</v>
      </c>
      <c r="N495" t="n">
        <v>0</v>
      </c>
      <c r="O495" t="n">
        <v>1</v>
      </c>
      <c r="P495" t="n">
        <v>0</v>
      </c>
      <c r="Q495" t="n">
        <v>1</v>
      </c>
      <c r="R495" s="2" t="inlineStr">
        <is>
          <t>Rosenticka</t>
        </is>
      </c>
      <c r="S495">
        <f>HYPERLINK("https://klasma.github.io/Logging_2283/artfynd/A 12371-2024 artfynd.xlsx", "A 12371-2024")</f>
        <v/>
      </c>
      <c r="T495">
        <f>HYPERLINK("https://klasma.github.io/Logging_2283/kartor/A 12371-2024 karta.png", "A 12371-2024")</f>
        <v/>
      </c>
      <c r="V495">
        <f>HYPERLINK("https://klasma.github.io/Logging_2283/klagomål/A 12371-2024 FSC-klagomål.docx", "A 12371-2024")</f>
        <v/>
      </c>
      <c r="W495">
        <f>HYPERLINK("https://klasma.github.io/Logging_2283/klagomålsmail/A 12371-2024 FSC-klagomål mail.docx", "A 12371-2024")</f>
        <v/>
      </c>
      <c r="X495">
        <f>HYPERLINK("https://klasma.github.io/Logging_2283/tillsyn/A 12371-2024 tillsynsbegäran.docx", "A 12371-2024")</f>
        <v/>
      </c>
      <c r="Y495">
        <f>HYPERLINK("https://klasma.github.io/Logging_2283/tillsynsmail/A 12371-2024 tillsynsbegäran mail.docx", "A 12371-2024")</f>
        <v/>
      </c>
    </row>
    <row r="496" ht="15" customHeight="1">
      <c r="A496" t="inlineStr">
        <is>
          <t>A 14367-2024</t>
        </is>
      </c>
      <c r="B496" s="1" t="n">
        <v>45393</v>
      </c>
      <c r="C496" s="1" t="n">
        <v>45822</v>
      </c>
      <c r="D496" t="inlineStr">
        <is>
          <t>VÄSTERNORRLANDS LÄN</t>
        </is>
      </c>
      <c r="E496" t="inlineStr">
        <is>
          <t>SOLLEFTEÅ</t>
        </is>
      </c>
      <c r="F496" t="inlineStr">
        <is>
          <t>SCA</t>
        </is>
      </c>
      <c r="G496" t="n">
        <v>2</v>
      </c>
      <c r="H496" t="n">
        <v>0</v>
      </c>
      <c r="I496" t="n">
        <v>0</v>
      </c>
      <c r="J496" t="n">
        <v>1</v>
      </c>
      <c r="K496" t="n">
        <v>0</v>
      </c>
      <c r="L496" t="n">
        <v>0</v>
      </c>
      <c r="M496" t="n">
        <v>0</v>
      </c>
      <c r="N496" t="n">
        <v>0</v>
      </c>
      <c r="O496" t="n">
        <v>1</v>
      </c>
      <c r="P496" t="n">
        <v>0</v>
      </c>
      <c r="Q496" t="n">
        <v>1</v>
      </c>
      <c r="R496" s="2" t="inlineStr">
        <is>
          <t>Garnlav</t>
        </is>
      </c>
      <c r="S496">
        <f>HYPERLINK("https://klasma.github.io/Logging_2283/artfynd/A 14367-2024 artfynd.xlsx", "A 14367-2024")</f>
        <v/>
      </c>
      <c r="T496">
        <f>HYPERLINK("https://klasma.github.io/Logging_2283/kartor/A 14367-2024 karta.png", "A 14367-2024")</f>
        <v/>
      </c>
      <c r="V496">
        <f>HYPERLINK("https://klasma.github.io/Logging_2283/klagomål/A 14367-2024 FSC-klagomål.docx", "A 14367-2024")</f>
        <v/>
      </c>
      <c r="W496">
        <f>HYPERLINK("https://klasma.github.io/Logging_2283/klagomålsmail/A 14367-2024 FSC-klagomål mail.docx", "A 14367-2024")</f>
        <v/>
      </c>
      <c r="X496">
        <f>HYPERLINK("https://klasma.github.io/Logging_2283/tillsyn/A 14367-2024 tillsynsbegäran.docx", "A 14367-2024")</f>
        <v/>
      </c>
      <c r="Y496">
        <f>HYPERLINK("https://klasma.github.io/Logging_2283/tillsynsmail/A 14367-2024 tillsynsbegäran mail.docx", "A 14367-2024")</f>
        <v/>
      </c>
    </row>
    <row r="497" ht="15" customHeight="1">
      <c r="A497" t="inlineStr">
        <is>
          <t>A 14805-2024</t>
        </is>
      </c>
      <c r="B497" s="1" t="n">
        <v>45397</v>
      </c>
      <c r="C497" s="1" t="n">
        <v>45822</v>
      </c>
      <c r="D497" t="inlineStr">
        <is>
          <t>VÄSTERNORRLANDS LÄN</t>
        </is>
      </c>
      <c r="E497" t="inlineStr">
        <is>
          <t>SOLLEFTEÅ</t>
        </is>
      </c>
      <c r="F497" t="inlineStr">
        <is>
          <t>SCA</t>
        </is>
      </c>
      <c r="G497" t="n">
        <v>3.5</v>
      </c>
      <c r="H497" t="n">
        <v>0</v>
      </c>
      <c r="I497" t="n">
        <v>0</v>
      </c>
      <c r="J497" t="n">
        <v>1</v>
      </c>
      <c r="K497" t="n">
        <v>0</v>
      </c>
      <c r="L497" t="n">
        <v>0</v>
      </c>
      <c r="M497" t="n">
        <v>0</v>
      </c>
      <c r="N497" t="n">
        <v>0</v>
      </c>
      <c r="O497" t="n">
        <v>1</v>
      </c>
      <c r="P497" t="n">
        <v>0</v>
      </c>
      <c r="Q497" t="n">
        <v>1</v>
      </c>
      <c r="R497" s="2" t="inlineStr">
        <is>
          <t>Dvärgbägarlav</t>
        </is>
      </c>
      <c r="S497">
        <f>HYPERLINK("https://klasma.github.io/Logging_2283/artfynd/A 14805-2024 artfynd.xlsx", "A 14805-2024")</f>
        <v/>
      </c>
      <c r="T497">
        <f>HYPERLINK("https://klasma.github.io/Logging_2283/kartor/A 14805-2024 karta.png", "A 14805-2024")</f>
        <v/>
      </c>
      <c r="V497">
        <f>HYPERLINK("https://klasma.github.io/Logging_2283/klagomål/A 14805-2024 FSC-klagomål.docx", "A 14805-2024")</f>
        <v/>
      </c>
      <c r="W497">
        <f>HYPERLINK("https://klasma.github.io/Logging_2283/klagomålsmail/A 14805-2024 FSC-klagomål mail.docx", "A 14805-2024")</f>
        <v/>
      </c>
      <c r="X497">
        <f>HYPERLINK("https://klasma.github.io/Logging_2283/tillsyn/A 14805-2024 tillsynsbegäran.docx", "A 14805-2024")</f>
        <v/>
      </c>
      <c r="Y497">
        <f>HYPERLINK("https://klasma.github.io/Logging_2283/tillsynsmail/A 14805-2024 tillsynsbegäran mail.docx", "A 14805-2024")</f>
        <v/>
      </c>
    </row>
    <row r="498" ht="15" customHeight="1">
      <c r="A498" t="inlineStr">
        <is>
          <t>A 14885-2024</t>
        </is>
      </c>
      <c r="B498" s="1" t="n">
        <v>45398</v>
      </c>
      <c r="C498" s="1" t="n">
        <v>45822</v>
      </c>
      <c r="D498" t="inlineStr">
        <is>
          <t>VÄSTERNORRLANDS LÄN</t>
        </is>
      </c>
      <c r="E498" t="inlineStr">
        <is>
          <t>SOLLEFTEÅ</t>
        </is>
      </c>
      <c r="G498" t="n">
        <v>5.8</v>
      </c>
      <c r="H498" t="n">
        <v>1</v>
      </c>
      <c r="I498" t="n">
        <v>0</v>
      </c>
      <c r="J498" t="n">
        <v>0</v>
      </c>
      <c r="K498" t="n">
        <v>0</v>
      </c>
      <c r="L498" t="n">
        <v>0</v>
      </c>
      <c r="M498" t="n">
        <v>0</v>
      </c>
      <c r="N498" t="n">
        <v>0</v>
      </c>
      <c r="O498" t="n">
        <v>0</v>
      </c>
      <c r="P498" t="n">
        <v>0</v>
      </c>
      <c r="Q498" t="n">
        <v>1</v>
      </c>
      <c r="R498" s="2" t="inlineStr">
        <is>
          <t>Pärluggla</t>
        </is>
      </c>
      <c r="S498">
        <f>HYPERLINK("https://klasma.github.io/Logging_2283/artfynd/A 14885-2024 artfynd.xlsx", "A 14885-2024")</f>
        <v/>
      </c>
      <c r="T498">
        <f>HYPERLINK("https://klasma.github.io/Logging_2283/kartor/A 14885-2024 karta.png", "A 14885-2024")</f>
        <v/>
      </c>
      <c r="V498">
        <f>HYPERLINK("https://klasma.github.io/Logging_2283/klagomål/A 14885-2024 FSC-klagomål.docx", "A 14885-2024")</f>
        <v/>
      </c>
      <c r="W498">
        <f>HYPERLINK("https://klasma.github.io/Logging_2283/klagomålsmail/A 14885-2024 FSC-klagomål mail.docx", "A 14885-2024")</f>
        <v/>
      </c>
      <c r="X498">
        <f>HYPERLINK("https://klasma.github.io/Logging_2283/tillsyn/A 14885-2024 tillsynsbegäran.docx", "A 14885-2024")</f>
        <v/>
      </c>
      <c r="Y498">
        <f>HYPERLINK("https://klasma.github.io/Logging_2283/tillsynsmail/A 14885-2024 tillsynsbegäran mail.docx", "A 14885-2024")</f>
        <v/>
      </c>
      <c r="Z498">
        <f>HYPERLINK("https://klasma.github.io/Logging_2283/fåglar/A 14885-2024 prioriterade fågelarter.docx", "A 14885-2024")</f>
        <v/>
      </c>
    </row>
    <row r="499" ht="15" customHeight="1">
      <c r="A499" t="inlineStr">
        <is>
          <t>A 15862-2024</t>
        </is>
      </c>
      <c r="B499" s="1" t="n">
        <v>45404</v>
      </c>
      <c r="C499" s="1" t="n">
        <v>45822</v>
      </c>
      <c r="D499" t="inlineStr">
        <is>
          <t>VÄSTERNORRLANDS LÄN</t>
        </is>
      </c>
      <c r="E499" t="inlineStr">
        <is>
          <t>SOLLEFTEÅ</t>
        </is>
      </c>
      <c r="F499" t="inlineStr">
        <is>
          <t>SCA</t>
        </is>
      </c>
      <c r="G499" t="n">
        <v>10.1</v>
      </c>
      <c r="H499" t="n">
        <v>0</v>
      </c>
      <c r="I499" t="n">
        <v>0</v>
      </c>
      <c r="J499" t="n">
        <v>1</v>
      </c>
      <c r="K499" t="n">
        <v>0</v>
      </c>
      <c r="L499" t="n">
        <v>0</v>
      </c>
      <c r="M499" t="n">
        <v>0</v>
      </c>
      <c r="N499" t="n">
        <v>0</v>
      </c>
      <c r="O499" t="n">
        <v>1</v>
      </c>
      <c r="P499" t="n">
        <v>0</v>
      </c>
      <c r="Q499" t="n">
        <v>1</v>
      </c>
      <c r="R499" s="2" t="inlineStr">
        <is>
          <t>Lunglav</t>
        </is>
      </c>
      <c r="S499">
        <f>HYPERLINK("https://klasma.github.io/Logging_2283/artfynd/A 15862-2024 artfynd.xlsx", "A 15862-2024")</f>
        <v/>
      </c>
      <c r="T499">
        <f>HYPERLINK("https://klasma.github.io/Logging_2283/kartor/A 15862-2024 karta.png", "A 15862-2024")</f>
        <v/>
      </c>
      <c r="V499">
        <f>HYPERLINK("https://klasma.github.io/Logging_2283/klagomål/A 15862-2024 FSC-klagomål.docx", "A 15862-2024")</f>
        <v/>
      </c>
      <c r="W499">
        <f>HYPERLINK("https://klasma.github.io/Logging_2283/klagomålsmail/A 15862-2024 FSC-klagomål mail.docx", "A 15862-2024")</f>
        <v/>
      </c>
      <c r="X499">
        <f>HYPERLINK("https://klasma.github.io/Logging_2283/tillsyn/A 15862-2024 tillsynsbegäran.docx", "A 15862-2024")</f>
        <v/>
      </c>
      <c r="Y499">
        <f>HYPERLINK("https://klasma.github.io/Logging_2283/tillsynsmail/A 15862-2024 tillsynsbegäran mail.docx", "A 15862-2024")</f>
        <v/>
      </c>
    </row>
    <row r="500" ht="15" customHeight="1">
      <c r="A500" t="inlineStr">
        <is>
          <t>A 18613-2024</t>
        </is>
      </c>
      <c r="B500" s="1" t="n">
        <v>45425</v>
      </c>
      <c r="C500" s="1" t="n">
        <v>45822</v>
      </c>
      <c r="D500" t="inlineStr">
        <is>
          <t>VÄSTERNORRLANDS LÄN</t>
        </is>
      </c>
      <c r="E500" t="inlineStr">
        <is>
          <t>SOLLEFTEÅ</t>
        </is>
      </c>
      <c r="F500" t="inlineStr">
        <is>
          <t>SCA</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HYPERLINK("https://klasma.github.io/Logging_2283/artfynd/A 18613-2024 artfynd.xlsx", "A 18613-2024")</f>
        <v/>
      </c>
      <c r="T500">
        <f>HYPERLINK("https://klasma.github.io/Logging_2283/kartor/A 18613-2024 karta.png", "A 18613-2024")</f>
        <v/>
      </c>
      <c r="V500">
        <f>HYPERLINK("https://klasma.github.io/Logging_2283/klagomål/A 18613-2024 FSC-klagomål.docx", "A 18613-2024")</f>
        <v/>
      </c>
      <c r="W500">
        <f>HYPERLINK("https://klasma.github.io/Logging_2283/klagomålsmail/A 18613-2024 FSC-klagomål mail.docx", "A 18613-2024")</f>
        <v/>
      </c>
      <c r="X500">
        <f>HYPERLINK("https://klasma.github.io/Logging_2283/tillsyn/A 18613-2024 tillsynsbegäran.docx", "A 18613-2024")</f>
        <v/>
      </c>
      <c r="Y500">
        <f>HYPERLINK("https://klasma.github.io/Logging_2283/tillsynsmail/A 18613-2024 tillsynsbegäran mail.docx", "A 18613-2024")</f>
        <v/>
      </c>
    </row>
    <row r="501" ht="15" customHeight="1">
      <c r="A501" t="inlineStr">
        <is>
          <t>A 19994-2024</t>
        </is>
      </c>
      <c r="B501" s="1" t="n">
        <v>45434</v>
      </c>
      <c r="C501" s="1" t="n">
        <v>45822</v>
      </c>
      <c r="D501" t="inlineStr">
        <is>
          <t>VÄSTERNORRLANDS LÄN</t>
        </is>
      </c>
      <c r="E501" t="inlineStr">
        <is>
          <t>SOLLEFTEÅ</t>
        </is>
      </c>
      <c r="G501" t="n">
        <v>4.1</v>
      </c>
      <c r="H501" t="n">
        <v>1</v>
      </c>
      <c r="I501" t="n">
        <v>0</v>
      </c>
      <c r="J501" t="n">
        <v>0</v>
      </c>
      <c r="K501" t="n">
        <v>0</v>
      </c>
      <c r="L501" t="n">
        <v>0</v>
      </c>
      <c r="M501" t="n">
        <v>0</v>
      </c>
      <c r="N501" t="n">
        <v>0</v>
      </c>
      <c r="O501" t="n">
        <v>0</v>
      </c>
      <c r="P501" t="n">
        <v>0</v>
      </c>
      <c r="Q501" t="n">
        <v>1</v>
      </c>
      <c r="R501" s="2" t="inlineStr">
        <is>
          <t>Tjäder</t>
        </is>
      </c>
      <c r="S501">
        <f>HYPERLINK("https://klasma.github.io/Logging_2283/artfynd/A 19994-2024 artfynd.xlsx", "A 19994-2024")</f>
        <v/>
      </c>
      <c r="T501">
        <f>HYPERLINK("https://klasma.github.io/Logging_2283/kartor/A 19994-2024 karta.png", "A 19994-2024")</f>
        <v/>
      </c>
      <c r="V501">
        <f>HYPERLINK("https://klasma.github.io/Logging_2283/klagomål/A 19994-2024 FSC-klagomål.docx", "A 19994-2024")</f>
        <v/>
      </c>
      <c r="W501">
        <f>HYPERLINK("https://klasma.github.io/Logging_2283/klagomålsmail/A 19994-2024 FSC-klagomål mail.docx", "A 19994-2024")</f>
        <v/>
      </c>
      <c r="X501">
        <f>HYPERLINK("https://klasma.github.io/Logging_2283/tillsyn/A 19994-2024 tillsynsbegäran.docx", "A 19994-2024")</f>
        <v/>
      </c>
      <c r="Y501">
        <f>HYPERLINK("https://klasma.github.io/Logging_2283/tillsynsmail/A 19994-2024 tillsynsbegäran mail.docx", "A 19994-2024")</f>
        <v/>
      </c>
      <c r="Z501">
        <f>HYPERLINK("https://klasma.github.io/Logging_2283/fåglar/A 19994-2024 prioriterade fågelarter.docx", "A 19994-2024")</f>
        <v/>
      </c>
    </row>
    <row r="502" ht="15" customHeight="1">
      <c r="A502" t="inlineStr">
        <is>
          <t>A 22119-2024</t>
        </is>
      </c>
      <c r="B502" s="1" t="n">
        <v>45443</v>
      </c>
      <c r="C502" s="1" t="n">
        <v>45822</v>
      </c>
      <c r="D502" t="inlineStr">
        <is>
          <t>VÄSTERNORRLANDS LÄN</t>
        </is>
      </c>
      <c r="E502" t="inlineStr">
        <is>
          <t>SOLLEFTEÅ</t>
        </is>
      </c>
      <c r="F502" t="inlineStr">
        <is>
          <t>SCA</t>
        </is>
      </c>
      <c r="G502" t="n">
        <v>4.4</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22119-2024 artfynd.xlsx", "A 22119-2024")</f>
        <v/>
      </c>
      <c r="T502">
        <f>HYPERLINK("https://klasma.github.io/Logging_2283/kartor/A 22119-2024 karta.png", "A 22119-2024")</f>
        <v/>
      </c>
      <c r="V502">
        <f>HYPERLINK("https://klasma.github.io/Logging_2283/klagomål/A 22119-2024 FSC-klagomål.docx", "A 22119-2024")</f>
        <v/>
      </c>
      <c r="W502">
        <f>HYPERLINK("https://klasma.github.io/Logging_2283/klagomålsmail/A 22119-2024 FSC-klagomål mail.docx", "A 22119-2024")</f>
        <v/>
      </c>
      <c r="X502">
        <f>HYPERLINK("https://klasma.github.io/Logging_2283/tillsyn/A 22119-2024 tillsynsbegäran.docx", "A 22119-2024")</f>
        <v/>
      </c>
      <c r="Y502">
        <f>HYPERLINK("https://klasma.github.io/Logging_2283/tillsynsmail/A 22119-2024 tillsynsbegäran mail.docx", "A 22119-2024")</f>
        <v/>
      </c>
      <c r="Z502">
        <f>HYPERLINK("https://klasma.github.io/Logging_2283/fåglar/A 22119-2024 prioriterade fågelarter.docx", "A 22119-2024")</f>
        <v/>
      </c>
    </row>
    <row r="503" ht="15" customHeight="1">
      <c r="A503" t="inlineStr">
        <is>
          <t>A 22454-2024</t>
        </is>
      </c>
      <c r="B503" s="1" t="n">
        <v>45447</v>
      </c>
      <c r="C503" s="1" t="n">
        <v>45822</v>
      </c>
      <c r="D503" t="inlineStr">
        <is>
          <t>VÄSTERNORRLANDS LÄN</t>
        </is>
      </c>
      <c r="E503" t="inlineStr">
        <is>
          <t>SOLLEFTEÅ</t>
        </is>
      </c>
      <c r="F503" t="inlineStr">
        <is>
          <t>SCA</t>
        </is>
      </c>
      <c r="G503" t="n">
        <v>9</v>
      </c>
      <c r="H503" t="n">
        <v>0</v>
      </c>
      <c r="I503" t="n">
        <v>0</v>
      </c>
      <c r="J503" t="n">
        <v>1</v>
      </c>
      <c r="K503" t="n">
        <v>0</v>
      </c>
      <c r="L503" t="n">
        <v>0</v>
      </c>
      <c r="M503" t="n">
        <v>0</v>
      </c>
      <c r="N503" t="n">
        <v>0</v>
      </c>
      <c r="O503" t="n">
        <v>1</v>
      </c>
      <c r="P503" t="n">
        <v>0</v>
      </c>
      <c r="Q503" t="n">
        <v>1</v>
      </c>
      <c r="R503" s="2" t="inlineStr">
        <is>
          <t>Garnlav</t>
        </is>
      </c>
      <c r="S503">
        <f>HYPERLINK("https://klasma.github.io/Logging_2283/artfynd/A 22454-2024 artfynd.xlsx", "A 22454-2024")</f>
        <v/>
      </c>
      <c r="T503">
        <f>HYPERLINK("https://klasma.github.io/Logging_2283/kartor/A 22454-2024 karta.png", "A 22454-2024")</f>
        <v/>
      </c>
      <c r="V503">
        <f>HYPERLINK("https://klasma.github.io/Logging_2283/klagomål/A 22454-2024 FSC-klagomål.docx", "A 22454-2024")</f>
        <v/>
      </c>
      <c r="W503">
        <f>HYPERLINK("https://klasma.github.io/Logging_2283/klagomålsmail/A 22454-2024 FSC-klagomål mail.docx", "A 22454-2024")</f>
        <v/>
      </c>
      <c r="X503">
        <f>HYPERLINK("https://klasma.github.io/Logging_2283/tillsyn/A 22454-2024 tillsynsbegäran.docx", "A 22454-2024")</f>
        <v/>
      </c>
      <c r="Y503">
        <f>HYPERLINK("https://klasma.github.io/Logging_2283/tillsynsmail/A 22454-2024 tillsynsbegäran mail.docx", "A 22454-2024")</f>
        <v/>
      </c>
    </row>
    <row r="504" ht="15" customHeight="1">
      <c r="A504" t="inlineStr">
        <is>
          <t>A 23175-2024</t>
        </is>
      </c>
      <c r="B504" s="1" t="n">
        <v>45451</v>
      </c>
      <c r="C504" s="1" t="n">
        <v>45822</v>
      </c>
      <c r="D504" t="inlineStr">
        <is>
          <t>VÄSTERNORRLANDS LÄN</t>
        </is>
      </c>
      <c r="E504" t="inlineStr">
        <is>
          <t>SOLLEFTEÅ</t>
        </is>
      </c>
      <c r="F504" t="inlineStr">
        <is>
          <t>SCA</t>
        </is>
      </c>
      <c r="G504" t="n">
        <v>3.3</v>
      </c>
      <c r="H504" t="n">
        <v>0</v>
      </c>
      <c r="I504" t="n">
        <v>0</v>
      </c>
      <c r="J504" t="n">
        <v>1</v>
      </c>
      <c r="K504" t="n">
        <v>0</v>
      </c>
      <c r="L504" t="n">
        <v>0</v>
      </c>
      <c r="M504" t="n">
        <v>0</v>
      </c>
      <c r="N504" t="n">
        <v>0</v>
      </c>
      <c r="O504" t="n">
        <v>1</v>
      </c>
      <c r="P504" t="n">
        <v>0</v>
      </c>
      <c r="Q504" t="n">
        <v>1</v>
      </c>
      <c r="R504" s="2" t="inlineStr">
        <is>
          <t>Garnlav</t>
        </is>
      </c>
      <c r="S504">
        <f>HYPERLINK("https://klasma.github.io/Logging_2283/artfynd/A 23175-2024 artfynd.xlsx", "A 23175-2024")</f>
        <v/>
      </c>
      <c r="T504">
        <f>HYPERLINK("https://klasma.github.io/Logging_2283/kartor/A 23175-2024 karta.png", "A 23175-2024")</f>
        <v/>
      </c>
      <c r="V504">
        <f>HYPERLINK("https://klasma.github.io/Logging_2283/klagomål/A 23175-2024 FSC-klagomål.docx", "A 23175-2024")</f>
        <v/>
      </c>
      <c r="W504">
        <f>HYPERLINK("https://klasma.github.io/Logging_2283/klagomålsmail/A 23175-2024 FSC-klagomål mail.docx", "A 23175-2024")</f>
        <v/>
      </c>
      <c r="X504">
        <f>HYPERLINK("https://klasma.github.io/Logging_2283/tillsyn/A 23175-2024 tillsynsbegäran.docx", "A 23175-2024")</f>
        <v/>
      </c>
      <c r="Y504">
        <f>HYPERLINK("https://klasma.github.io/Logging_2283/tillsynsmail/A 23175-2024 tillsynsbegäran mail.docx", "A 23175-2024")</f>
        <v/>
      </c>
    </row>
    <row r="505" ht="15" customHeight="1">
      <c r="A505" t="inlineStr">
        <is>
          <t>A 23552-2024</t>
        </is>
      </c>
      <c r="B505" s="1" t="n">
        <v>45454</v>
      </c>
      <c r="C505" s="1" t="n">
        <v>45822</v>
      </c>
      <c r="D505" t="inlineStr">
        <is>
          <t>VÄSTERNORRLANDS LÄN</t>
        </is>
      </c>
      <c r="E505" t="inlineStr">
        <is>
          <t>SOLLEFTEÅ</t>
        </is>
      </c>
      <c r="F505" t="inlineStr">
        <is>
          <t>SCA</t>
        </is>
      </c>
      <c r="G505" t="n">
        <v>1.2</v>
      </c>
      <c r="H505" t="n">
        <v>0</v>
      </c>
      <c r="I505" t="n">
        <v>0</v>
      </c>
      <c r="J505" t="n">
        <v>1</v>
      </c>
      <c r="K505" t="n">
        <v>0</v>
      </c>
      <c r="L505" t="n">
        <v>0</v>
      </c>
      <c r="M505" t="n">
        <v>0</v>
      </c>
      <c r="N505" t="n">
        <v>0</v>
      </c>
      <c r="O505" t="n">
        <v>1</v>
      </c>
      <c r="P505" t="n">
        <v>0</v>
      </c>
      <c r="Q505" t="n">
        <v>1</v>
      </c>
      <c r="R505" s="2" t="inlineStr">
        <is>
          <t>Lunglav</t>
        </is>
      </c>
      <c r="S505">
        <f>HYPERLINK("https://klasma.github.io/Logging_2283/artfynd/A 23552-2024 artfynd.xlsx", "A 23552-2024")</f>
        <v/>
      </c>
      <c r="T505">
        <f>HYPERLINK("https://klasma.github.io/Logging_2283/kartor/A 23552-2024 karta.png", "A 23552-2024")</f>
        <v/>
      </c>
      <c r="V505">
        <f>HYPERLINK("https://klasma.github.io/Logging_2283/klagomål/A 23552-2024 FSC-klagomål.docx", "A 23552-2024")</f>
        <v/>
      </c>
      <c r="W505">
        <f>HYPERLINK("https://klasma.github.io/Logging_2283/klagomålsmail/A 23552-2024 FSC-klagomål mail.docx", "A 23552-2024")</f>
        <v/>
      </c>
      <c r="X505">
        <f>HYPERLINK("https://klasma.github.io/Logging_2283/tillsyn/A 23552-2024 tillsynsbegäran.docx", "A 23552-2024")</f>
        <v/>
      </c>
      <c r="Y505">
        <f>HYPERLINK("https://klasma.github.io/Logging_2283/tillsynsmail/A 23552-2024 tillsynsbegäran mail.docx", "A 23552-2024")</f>
        <v/>
      </c>
    </row>
    <row r="506" ht="15" customHeight="1">
      <c r="A506" t="inlineStr">
        <is>
          <t>A 27309-2024</t>
        </is>
      </c>
      <c r="B506" s="1" t="n">
        <v>45471</v>
      </c>
      <c r="C506" s="1" t="n">
        <v>45822</v>
      </c>
      <c r="D506" t="inlineStr">
        <is>
          <t>VÄSTERNORRLANDS LÄN</t>
        </is>
      </c>
      <c r="E506" t="inlineStr">
        <is>
          <t>SOLLEFTEÅ</t>
        </is>
      </c>
      <c r="F506" t="inlineStr">
        <is>
          <t>SCA</t>
        </is>
      </c>
      <c r="G506" t="n">
        <v>39.2</v>
      </c>
      <c r="H506" t="n">
        <v>1</v>
      </c>
      <c r="I506" t="n">
        <v>0</v>
      </c>
      <c r="J506" t="n">
        <v>1</v>
      </c>
      <c r="K506" t="n">
        <v>0</v>
      </c>
      <c r="L506" t="n">
        <v>0</v>
      </c>
      <c r="M506" t="n">
        <v>0</v>
      </c>
      <c r="N506" t="n">
        <v>0</v>
      </c>
      <c r="O506" t="n">
        <v>1</v>
      </c>
      <c r="P506" t="n">
        <v>0</v>
      </c>
      <c r="Q506" t="n">
        <v>1</v>
      </c>
      <c r="R506" s="2" t="inlineStr">
        <is>
          <t>Nordfladdermus</t>
        </is>
      </c>
      <c r="S506">
        <f>HYPERLINK("https://klasma.github.io/Logging_2283/artfynd/A 27309-2024 artfynd.xlsx", "A 27309-2024")</f>
        <v/>
      </c>
      <c r="T506">
        <f>HYPERLINK("https://klasma.github.io/Logging_2283/kartor/A 27309-2024 karta.png", "A 27309-2024")</f>
        <v/>
      </c>
      <c r="V506">
        <f>HYPERLINK("https://klasma.github.io/Logging_2283/klagomål/A 27309-2024 FSC-klagomål.docx", "A 27309-2024")</f>
        <v/>
      </c>
      <c r="W506">
        <f>HYPERLINK("https://klasma.github.io/Logging_2283/klagomålsmail/A 27309-2024 FSC-klagomål mail.docx", "A 27309-2024")</f>
        <v/>
      </c>
      <c r="X506">
        <f>HYPERLINK("https://klasma.github.io/Logging_2283/tillsyn/A 27309-2024 tillsynsbegäran.docx", "A 27309-2024")</f>
        <v/>
      </c>
      <c r="Y506">
        <f>HYPERLINK("https://klasma.github.io/Logging_2283/tillsynsmail/A 27309-2024 tillsynsbegäran mail.docx", "A 27309-2024")</f>
        <v/>
      </c>
    </row>
    <row r="507" ht="15" customHeight="1">
      <c r="A507" t="inlineStr">
        <is>
          <t>A 27901-2024</t>
        </is>
      </c>
      <c r="B507" s="1" t="n">
        <v>45476</v>
      </c>
      <c r="C507" s="1" t="n">
        <v>45822</v>
      </c>
      <c r="D507" t="inlineStr">
        <is>
          <t>VÄSTERNORRLANDS LÄN</t>
        </is>
      </c>
      <c r="E507" t="inlineStr">
        <is>
          <t>SOLLEFTEÅ</t>
        </is>
      </c>
      <c r="G507" t="n">
        <v>12.7</v>
      </c>
      <c r="H507" t="n">
        <v>0</v>
      </c>
      <c r="I507" t="n">
        <v>0</v>
      </c>
      <c r="J507" t="n">
        <v>1</v>
      </c>
      <c r="K507" t="n">
        <v>0</v>
      </c>
      <c r="L507" t="n">
        <v>0</v>
      </c>
      <c r="M507" t="n">
        <v>0</v>
      </c>
      <c r="N507" t="n">
        <v>0</v>
      </c>
      <c r="O507" t="n">
        <v>1</v>
      </c>
      <c r="P507" t="n">
        <v>0</v>
      </c>
      <c r="Q507" t="n">
        <v>1</v>
      </c>
      <c r="R507" s="2" t="inlineStr">
        <is>
          <t>Garnlav</t>
        </is>
      </c>
      <c r="S507">
        <f>HYPERLINK("https://klasma.github.io/Logging_2283/artfynd/A 27901-2024 artfynd.xlsx", "A 27901-2024")</f>
        <v/>
      </c>
      <c r="T507">
        <f>HYPERLINK("https://klasma.github.io/Logging_2283/kartor/A 27901-2024 karta.png", "A 27901-2024")</f>
        <v/>
      </c>
      <c r="V507">
        <f>HYPERLINK("https://klasma.github.io/Logging_2283/klagomål/A 27901-2024 FSC-klagomål.docx", "A 27901-2024")</f>
        <v/>
      </c>
      <c r="W507">
        <f>HYPERLINK("https://klasma.github.io/Logging_2283/klagomålsmail/A 27901-2024 FSC-klagomål mail.docx", "A 27901-2024")</f>
        <v/>
      </c>
      <c r="X507">
        <f>HYPERLINK("https://klasma.github.io/Logging_2283/tillsyn/A 27901-2024 tillsynsbegäran.docx", "A 27901-2024")</f>
        <v/>
      </c>
      <c r="Y507">
        <f>HYPERLINK("https://klasma.github.io/Logging_2283/tillsynsmail/A 27901-2024 tillsynsbegäran mail.docx", "A 27901-2024")</f>
        <v/>
      </c>
    </row>
    <row r="508" ht="15" customHeight="1">
      <c r="A508" t="inlineStr">
        <is>
          <t>A 29260-2024</t>
        </is>
      </c>
      <c r="B508" s="1" t="n">
        <v>45482</v>
      </c>
      <c r="C508" s="1" t="n">
        <v>45822</v>
      </c>
      <c r="D508" t="inlineStr">
        <is>
          <t>VÄSTERNORRLANDS LÄN</t>
        </is>
      </c>
      <c r="E508" t="inlineStr">
        <is>
          <t>SOLLEFTEÅ</t>
        </is>
      </c>
      <c r="F508" t="inlineStr">
        <is>
          <t>SCA</t>
        </is>
      </c>
      <c r="G508" t="n">
        <v>21.2</v>
      </c>
      <c r="H508" t="n">
        <v>0</v>
      </c>
      <c r="I508" t="n">
        <v>0</v>
      </c>
      <c r="J508" t="n">
        <v>1</v>
      </c>
      <c r="K508" t="n">
        <v>0</v>
      </c>
      <c r="L508" t="n">
        <v>0</v>
      </c>
      <c r="M508" t="n">
        <v>0</v>
      </c>
      <c r="N508" t="n">
        <v>0</v>
      </c>
      <c r="O508" t="n">
        <v>1</v>
      </c>
      <c r="P508" t="n">
        <v>0</v>
      </c>
      <c r="Q508" t="n">
        <v>1</v>
      </c>
      <c r="R508" s="2" t="inlineStr">
        <is>
          <t>Garnlav</t>
        </is>
      </c>
      <c r="S508">
        <f>HYPERLINK("https://klasma.github.io/Logging_2283/artfynd/A 29260-2024 artfynd.xlsx", "A 29260-2024")</f>
        <v/>
      </c>
      <c r="T508">
        <f>HYPERLINK("https://klasma.github.io/Logging_2283/kartor/A 29260-2024 karta.png", "A 29260-2024")</f>
        <v/>
      </c>
      <c r="V508">
        <f>HYPERLINK("https://klasma.github.io/Logging_2283/klagomål/A 29260-2024 FSC-klagomål.docx", "A 29260-2024")</f>
        <v/>
      </c>
      <c r="W508">
        <f>HYPERLINK("https://klasma.github.io/Logging_2283/klagomålsmail/A 29260-2024 FSC-klagomål mail.docx", "A 29260-2024")</f>
        <v/>
      </c>
      <c r="X508">
        <f>HYPERLINK("https://klasma.github.io/Logging_2283/tillsyn/A 29260-2024 tillsynsbegäran.docx", "A 29260-2024")</f>
        <v/>
      </c>
      <c r="Y508">
        <f>HYPERLINK("https://klasma.github.io/Logging_2283/tillsynsmail/A 29260-2024 tillsynsbegäran mail.docx", "A 29260-2024")</f>
        <v/>
      </c>
    </row>
    <row r="509" ht="15" customHeight="1">
      <c r="A509" t="inlineStr">
        <is>
          <t>A 29692-2024</t>
        </is>
      </c>
      <c r="B509" s="1" t="n">
        <v>45484</v>
      </c>
      <c r="C509" s="1" t="n">
        <v>45822</v>
      </c>
      <c r="D509" t="inlineStr">
        <is>
          <t>VÄSTERNORRLANDS LÄN</t>
        </is>
      </c>
      <c r="E509" t="inlineStr">
        <is>
          <t>SOLLEFTEÅ</t>
        </is>
      </c>
      <c r="F509" t="inlineStr">
        <is>
          <t>SCA</t>
        </is>
      </c>
      <c r="G509" t="n">
        <v>2.4</v>
      </c>
      <c r="H509" t="n">
        <v>0</v>
      </c>
      <c r="I509" t="n">
        <v>0</v>
      </c>
      <c r="J509" t="n">
        <v>1</v>
      </c>
      <c r="K509" t="n">
        <v>0</v>
      </c>
      <c r="L509" t="n">
        <v>0</v>
      </c>
      <c r="M509" t="n">
        <v>0</v>
      </c>
      <c r="N509" t="n">
        <v>0</v>
      </c>
      <c r="O509" t="n">
        <v>1</v>
      </c>
      <c r="P509" t="n">
        <v>0</v>
      </c>
      <c r="Q509" t="n">
        <v>1</v>
      </c>
      <c r="R509" s="2" t="inlineStr">
        <is>
          <t>Gammelgransskål</t>
        </is>
      </c>
      <c r="S509">
        <f>HYPERLINK("https://klasma.github.io/Logging_2283/artfynd/A 29692-2024 artfynd.xlsx", "A 29692-2024")</f>
        <v/>
      </c>
      <c r="T509">
        <f>HYPERLINK("https://klasma.github.io/Logging_2283/kartor/A 29692-2024 karta.png", "A 29692-2024")</f>
        <v/>
      </c>
      <c r="V509">
        <f>HYPERLINK("https://klasma.github.io/Logging_2283/klagomål/A 29692-2024 FSC-klagomål.docx", "A 29692-2024")</f>
        <v/>
      </c>
      <c r="W509">
        <f>HYPERLINK("https://klasma.github.io/Logging_2283/klagomålsmail/A 29692-2024 FSC-klagomål mail.docx", "A 29692-2024")</f>
        <v/>
      </c>
      <c r="X509">
        <f>HYPERLINK("https://klasma.github.io/Logging_2283/tillsyn/A 29692-2024 tillsynsbegäran.docx", "A 29692-2024")</f>
        <v/>
      </c>
      <c r="Y509">
        <f>HYPERLINK("https://klasma.github.io/Logging_2283/tillsynsmail/A 29692-2024 tillsynsbegäran mail.docx", "A 29692-2024")</f>
        <v/>
      </c>
    </row>
    <row r="510" ht="15" customHeight="1">
      <c r="A510" t="inlineStr">
        <is>
          <t>A 32052-2024</t>
        </is>
      </c>
      <c r="B510" s="1" t="n">
        <v>45511</v>
      </c>
      <c r="C510" s="1" t="n">
        <v>45822</v>
      </c>
      <c r="D510" t="inlineStr">
        <is>
          <t>VÄSTERNORRLANDS LÄN</t>
        </is>
      </c>
      <c r="E510" t="inlineStr">
        <is>
          <t>SOLLEFTEÅ</t>
        </is>
      </c>
      <c r="F510" t="inlineStr">
        <is>
          <t>SCA</t>
        </is>
      </c>
      <c r="G510" t="n">
        <v>8</v>
      </c>
      <c r="H510" t="n">
        <v>0</v>
      </c>
      <c r="I510" t="n">
        <v>0</v>
      </c>
      <c r="J510" t="n">
        <v>1</v>
      </c>
      <c r="K510" t="n">
        <v>0</v>
      </c>
      <c r="L510" t="n">
        <v>0</v>
      </c>
      <c r="M510" t="n">
        <v>0</v>
      </c>
      <c r="N510" t="n">
        <v>0</v>
      </c>
      <c r="O510" t="n">
        <v>1</v>
      </c>
      <c r="P510" t="n">
        <v>0</v>
      </c>
      <c r="Q510" t="n">
        <v>1</v>
      </c>
      <c r="R510" s="2" t="inlineStr">
        <is>
          <t>Garnlav</t>
        </is>
      </c>
      <c r="S510">
        <f>HYPERLINK("https://klasma.github.io/Logging_2283/artfynd/A 32052-2024 artfynd.xlsx", "A 32052-2024")</f>
        <v/>
      </c>
      <c r="T510">
        <f>HYPERLINK("https://klasma.github.io/Logging_2283/kartor/A 32052-2024 karta.png", "A 32052-2024")</f>
        <v/>
      </c>
      <c r="V510">
        <f>HYPERLINK("https://klasma.github.io/Logging_2283/klagomål/A 32052-2024 FSC-klagomål.docx", "A 32052-2024")</f>
        <v/>
      </c>
      <c r="W510">
        <f>HYPERLINK("https://klasma.github.io/Logging_2283/klagomålsmail/A 32052-2024 FSC-klagomål mail.docx", "A 32052-2024")</f>
        <v/>
      </c>
      <c r="X510">
        <f>HYPERLINK("https://klasma.github.io/Logging_2283/tillsyn/A 32052-2024 tillsynsbegäran.docx", "A 32052-2024")</f>
        <v/>
      </c>
      <c r="Y510">
        <f>HYPERLINK("https://klasma.github.io/Logging_2283/tillsynsmail/A 32052-2024 tillsynsbegäran mail.docx", "A 32052-2024")</f>
        <v/>
      </c>
    </row>
    <row r="511" ht="15" customHeight="1">
      <c r="A511" t="inlineStr">
        <is>
          <t>A 35876-2024</t>
        </is>
      </c>
      <c r="B511" s="1" t="n">
        <v>45533</v>
      </c>
      <c r="C511" s="1" t="n">
        <v>45822</v>
      </c>
      <c r="D511" t="inlineStr">
        <is>
          <t>VÄSTERNORRLANDS LÄN</t>
        </is>
      </c>
      <c r="E511" t="inlineStr">
        <is>
          <t>SOLLEFTEÅ</t>
        </is>
      </c>
      <c r="F511" t="inlineStr">
        <is>
          <t>SCA</t>
        </is>
      </c>
      <c r="G511" t="n">
        <v>5.8</v>
      </c>
      <c r="H511" t="n">
        <v>1</v>
      </c>
      <c r="I511" t="n">
        <v>0</v>
      </c>
      <c r="J511" t="n">
        <v>0</v>
      </c>
      <c r="K511" t="n">
        <v>0</v>
      </c>
      <c r="L511" t="n">
        <v>0</v>
      </c>
      <c r="M511" t="n">
        <v>0</v>
      </c>
      <c r="N511" t="n">
        <v>0</v>
      </c>
      <c r="O511" t="n">
        <v>0</v>
      </c>
      <c r="P511" t="n">
        <v>0</v>
      </c>
      <c r="Q511" t="n">
        <v>1</v>
      </c>
      <c r="R511" s="2" t="inlineStr">
        <is>
          <t>Tjäder</t>
        </is>
      </c>
      <c r="S511">
        <f>HYPERLINK("https://klasma.github.io/Logging_2283/artfynd/A 35876-2024 artfynd.xlsx", "A 35876-2024")</f>
        <v/>
      </c>
      <c r="T511">
        <f>HYPERLINK("https://klasma.github.io/Logging_2283/kartor/A 35876-2024 karta.png", "A 35876-2024")</f>
        <v/>
      </c>
      <c r="V511">
        <f>HYPERLINK("https://klasma.github.io/Logging_2283/klagomål/A 35876-2024 FSC-klagomål.docx", "A 35876-2024")</f>
        <v/>
      </c>
      <c r="W511">
        <f>HYPERLINK("https://klasma.github.io/Logging_2283/klagomålsmail/A 35876-2024 FSC-klagomål mail.docx", "A 35876-2024")</f>
        <v/>
      </c>
      <c r="X511">
        <f>HYPERLINK("https://klasma.github.io/Logging_2283/tillsyn/A 35876-2024 tillsynsbegäran.docx", "A 35876-2024")</f>
        <v/>
      </c>
      <c r="Y511">
        <f>HYPERLINK("https://klasma.github.io/Logging_2283/tillsynsmail/A 35876-2024 tillsynsbegäran mail.docx", "A 35876-2024")</f>
        <v/>
      </c>
      <c r="Z511">
        <f>HYPERLINK("https://klasma.github.io/Logging_2283/fåglar/A 35876-2024 prioriterade fågelarter.docx", "A 35876-2024")</f>
        <v/>
      </c>
    </row>
    <row r="512" ht="15" customHeight="1">
      <c r="A512" t="inlineStr">
        <is>
          <t>A 37206-2024</t>
        </is>
      </c>
      <c r="B512" s="1" t="n">
        <v>45539</v>
      </c>
      <c r="C512" s="1" t="n">
        <v>45822</v>
      </c>
      <c r="D512" t="inlineStr">
        <is>
          <t>VÄSTERNORRLANDS LÄN</t>
        </is>
      </c>
      <c r="E512" t="inlineStr">
        <is>
          <t>SOLLEFTEÅ</t>
        </is>
      </c>
      <c r="F512" t="inlineStr">
        <is>
          <t>SCA</t>
        </is>
      </c>
      <c r="G512" t="n">
        <v>3.6</v>
      </c>
      <c r="H512" t="n">
        <v>1</v>
      </c>
      <c r="I512" t="n">
        <v>0</v>
      </c>
      <c r="J512" t="n">
        <v>1</v>
      </c>
      <c r="K512" t="n">
        <v>0</v>
      </c>
      <c r="L512" t="n">
        <v>0</v>
      </c>
      <c r="M512" t="n">
        <v>0</v>
      </c>
      <c r="N512" t="n">
        <v>0</v>
      </c>
      <c r="O512" t="n">
        <v>1</v>
      </c>
      <c r="P512" t="n">
        <v>0</v>
      </c>
      <c r="Q512" t="n">
        <v>1</v>
      </c>
      <c r="R512" s="2" t="inlineStr">
        <is>
          <t>Tretåig hackspett</t>
        </is>
      </c>
      <c r="S512">
        <f>HYPERLINK("https://klasma.github.io/Logging_2283/artfynd/A 37206-2024 artfynd.xlsx", "A 37206-2024")</f>
        <v/>
      </c>
      <c r="T512">
        <f>HYPERLINK("https://klasma.github.io/Logging_2283/kartor/A 37206-2024 karta.png", "A 37206-2024")</f>
        <v/>
      </c>
      <c r="V512">
        <f>HYPERLINK("https://klasma.github.io/Logging_2283/klagomål/A 37206-2024 FSC-klagomål.docx", "A 37206-2024")</f>
        <v/>
      </c>
      <c r="W512">
        <f>HYPERLINK("https://klasma.github.io/Logging_2283/klagomålsmail/A 37206-2024 FSC-klagomål mail.docx", "A 37206-2024")</f>
        <v/>
      </c>
      <c r="X512">
        <f>HYPERLINK("https://klasma.github.io/Logging_2283/tillsyn/A 37206-2024 tillsynsbegäran.docx", "A 37206-2024")</f>
        <v/>
      </c>
      <c r="Y512">
        <f>HYPERLINK("https://klasma.github.io/Logging_2283/tillsynsmail/A 37206-2024 tillsynsbegäran mail.docx", "A 37206-2024")</f>
        <v/>
      </c>
      <c r="Z512">
        <f>HYPERLINK("https://klasma.github.io/Logging_2283/fåglar/A 37206-2024 prioriterade fågelarter.docx", "A 37206-2024")</f>
        <v/>
      </c>
    </row>
    <row r="513" ht="15" customHeight="1">
      <c r="A513" t="inlineStr">
        <is>
          <t>A 38442-2024</t>
        </is>
      </c>
      <c r="B513" s="1" t="n">
        <v>45546</v>
      </c>
      <c r="C513" s="1" t="n">
        <v>45822</v>
      </c>
      <c r="D513" t="inlineStr">
        <is>
          <t>VÄSTERNORRLANDS LÄN</t>
        </is>
      </c>
      <c r="E513" t="inlineStr">
        <is>
          <t>SOLLEFTEÅ</t>
        </is>
      </c>
      <c r="F513" t="inlineStr">
        <is>
          <t>SCA</t>
        </is>
      </c>
      <c r="G513" t="n">
        <v>0.7</v>
      </c>
      <c r="H513" t="n">
        <v>0</v>
      </c>
      <c r="I513" t="n">
        <v>1</v>
      </c>
      <c r="J513" t="n">
        <v>0</v>
      </c>
      <c r="K513" t="n">
        <v>0</v>
      </c>
      <c r="L513" t="n">
        <v>0</v>
      </c>
      <c r="M513" t="n">
        <v>0</v>
      </c>
      <c r="N513" t="n">
        <v>0</v>
      </c>
      <c r="O513" t="n">
        <v>0</v>
      </c>
      <c r="P513" t="n">
        <v>0</v>
      </c>
      <c r="Q513" t="n">
        <v>1</v>
      </c>
      <c r="R513" s="2" t="inlineStr">
        <is>
          <t>Bollvitmossa</t>
        </is>
      </c>
      <c r="S513">
        <f>HYPERLINK("https://klasma.github.io/Logging_2283/artfynd/A 38442-2024 artfynd.xlsx", "A 38442-2024")</f>
        <v/>
      </c>
      <c r="T513">
        <f>HYPERLINK("https://klasma.github.io/Logging_2283/kartor/A 38442-2024 karta.png", "A 38442-2024")</f>
        <v/>
      </c>
      <c r="U513">
        <f>HYPERLINK("https://klasma.github.io/Logging_2283/knärot/A 38442-2024 karta knärot.png", "A 38442-2024")</f>
        <v/>
      </c>
      <c r="V513">
        <f>HYPERLINK("https://klasma.github.io/Logging_2283/klagomål/A 38442-2024 FSC-klagomål.docx", "A 38442-2024")</f>
        <v/>
      </c>
      <c r="W513">
        <f>HYPERLINK("https://klasma.github.io/Logging_2283/klagomålsmail/A 38442-2024 FSC-klagomål mail.docx", "A 38442-2024")</f>
        <v/>
      </c>
      <c r="X513">
        <f>HYPERLINK("https://klasma.github.io/Logging_2283/tillsyn/A 38442-2024 tillsynsbegäran.docx", "A 38442-2024")</f>
        <v/>
      </c>
      <c r="Y513">
        <f>HYPERLINK("https://klasma.github.io/Logging_2283/tillsynsmail/A 38442-2024 tillsynsbegäran mail.docx", "A 38442-2024")</f>
        <v/>
      </c>
    </row>
    <row r="514" ht="15" customHeight="1">
      <c r="A514" t="inlineStr">
        <is>
          <t>A 39897-2024</t>
        </is>
      </c>
      <c r="B514" s="1" t="n">
        <v>45553</v>
      </c>
      <c r="C514" s="1" t="n">
        <v>45822</v>
      </c>
      <c r="D514" t="inlineStr">
        <is>
          <t>VÄSTERNORRLANDS LÄN</t>
        </is>
      </c>
      <c r="E514" t="inlineStr">
        <is>
          <t>SOLLEFTEÅ</t>
        </is>
      </c>
      <c r="G514" t="n">
        <v>1.1</v>
      </c>
      <c r="H514" t="n">
        <v>1</v>
      </c>
      <c r="I514" t="n">
        <v>0</v>
      </c>
      <c r="J514" t="n">
        <v>0</v>
      </c>
      <c r="K514" t="n">
        <v>0</v>
      </c>
      <c r="L514" t="n">
        <v>0</v>
      </c>
      <c r="M514" t="n">
        <v>0</v>
      </c>
      <c r="N514" t="n">
        <v>0</v>
      </c>
      <c r="O514" t="n">
        <v>0</v>
      </c>
      <c r="P514" t="n">
        <v>0</v>
      </c>
      <c r="Q514" t="n">
        <v>1</v>
      </c>
      <c r="R514" s="2" t="inlineStr">
        <is>
          <t>Revlummer</t>
        </is>
      </c>
      <c r="S514">
        <f>HYPERLINK("https://klasma.github.io/Logging_2283/artfynd/A 39897-2024 artfynd.xlsx", "A 39897-2024")</f>
        <v/>
      </c>
      <c r="T514">
        <f>HYPERLINK("https://klasma.github.io/Logging_2283/kartor/A 39897-2024 karta.png", "A 39897-2024")</f>
        <v/>
      </c>
      <c r="V514">
        <f>HYPERLINK("https://klasma.github.io/Logging_2283/klagomål/A 39897-2024 FSC-klagomål.docx", "A 39897-2024")</f>
        <v/>
      </c>
      <c r="W514">
        <f>HYPERLINK("https://klasma.github.io/Logging_2283/klagomålsmail/A 39897-2024 FSC-klagomål mail.docx", "A 39897-2024")</f>
        <v/>
      </c>
      <c r="X514">
        <f>HYPERLINK("https://klasma.github.io/Logging_2283/tillsyn/A 39897-2024 tillsynsbegäran.docx", "A 39897-2024")</f>
        <v/>
      </c>
      <c r="Y514">
        <f>HYPERLINK("https://klasma.github.io/Logging_2283/tillsynsmail/A 39897-2024 tillsynsbegäran mail.docx", "A 39897-2024")</f>
        <v/>
      </c>
    </row>
    <row r="515" ht="15" customHeight="1">
      <c r="A515" t="inlineStr">
        <is>
          <t>A 39995-2024</t>
        </is>
      </c>
      <c r="B515" s="1" t="n">
        <v>45553</v>
      </c>
      <c r="C515" s="1" t="n">
        <v>45822</v>
      </c>
      <c r="D515" t="inlineStr">
        <is>
          <t>VÄSTERNORRLANDS LÄN</t>
        </is>
      </c>
      <c r="E515" t="inlineStr">
        <is>
          <t>SOLLEFTEÅ</t>
        </is>
      </c>
      <c r="F515" t="inlineStr">
        <is>
          <t>SCA</t>
        </is>
      </c>
      <c r="G515" t="n">
        <v>3.5</v>
      </c>
      <c r="H515" t="n">
        <v>0</v>
      </c>
      <c r="I515" t="n">
        <v>0</v>
      </c>
      <c r="J515" t="n">
        <v>1</v>
      </c>
      <c r="K515" t="n">
        <v>0</v>
      </c>
      <c r="L515" t="n">
        <v>0</v>
      </c>
      <c r="M515" t="n">
        <v>0</v>
      </c>
      <c r="N515" t="n">
        <v>0</v>
      </c>
      <c r="O515" t="n">
        <v>1</v>
      </c>
      <c r="P515" t="n">
        <v>0</v>
      </c>
      <c r="Q515" t="n">
        <v>1</v>
      </c>
      <c r="R515" s="2" t="inlineStr">
        <is>
          <t>Garnlav</t>
        </is>
      </c>
      <c r="S515">
        <f>HYPERLINK("https://klasma.github.io/Logging_2283/artfynd/A 39995-2024 artfynd.xlsx", "A 39995-2024")</f>
        <v/>
      </c>
      <c r="T515">
        <f>HYPERLINK("https://klasma.github.io/Logging_2283/kartor/A 39995-2024 karta.png", "A 39995-2024")</f>
        <v/>
      </c>
      <c r="V515">
        <f>HYPERLINK("https://klasma.github.io/Logging_2283/klagomål/A 39995-2024 FSC-klagomål.docx", "A 39995-2024")</f>
        <v/>
      </c>
      <c r="W515">
        <f>HYPERLINK("https://klasma.github.io/Logging_2283/klagomålsmail/A 39995-2024 FSC-klagomål mail.docx", "A 39995-2024")</f>
        <v/>
      </c>
      <c r="X515">
        <f>HYPERLINK("https://klasma.github.io/Logging_2283/tillsyn/A 39995-2024 tillsynsbegäran.docx", "A 39995-2024")</f>
        <v/>
      </c>
      <c r="Y515">
        <f>HYPERLINK("https://klasma.github.io/Logging_2283/tillsynsmail/A 39995-2024 tillsynsbegäran mail.docx", "A 39995-2024")</f>
        <v/>
      </c>
    </row>
    <row r="516" ht="15" customHeight="1">
      <c r="A516" t="inlineStr">
        <is>
          <t>A 42972-2024</t>
        </is>
      </c>
      <c r="B516" s="1" t="n">
        <v>45567</v>
      </c>
      <c r="C516" s="1" t="n">
        <v>45822</v>
      </c>
      <c r="D516" t="inlineStr">
        <is>
          <t>VÄSTERNORRLANDS LÄN</t>
        </is>
      </c>
      <c r="E516" t="inlineStr">
        <is>
          <t>SOLLEFTEÅ</t>
        </is>
      </c>
      <c r="F516" t="inlineStr">
        <is>
          <t>SCA</t>
        </is>
      </c>
      <c r="G516" t="n">
        <v>4.1</v>
      </c>
      <c r="H516" t="n">
        <v>0</v>
      </c>
      <c r="I516" t="n">
        <v>0</v>
      </c>
      <c r="J516" t="n">
        <v>1</v>
      </c>
      <c r="K516" t="n">
        <v>0</v>
      </c>
      <c r="L516" t="n">
        <v>0</v>
      </c>
      <c r="M516" t="n">
        <v>0</v>
      </c>
      <c r="N516" t="n">
        <v>0</v>
      </c>
      <c r="O516" t="n">
        <v>1</v>
      </c>
      <c r="P516" t="n">
        <v>0</v>
      </c>
      <c r="Q516" t="n">
        <v>1</v>
      </c>
      <c r="R516" s="2" t="inlineStr">
        <is>
          <t>Rosenticka</t>
        </is>
      </c>
      <c r="S516">
        <f>HYPERLINK("https://klasma.github.io/Logging_2283/artfynd/A 42972-2024 artfynd.xlsx", "A 42972-2024")</f>
        <v/>
      </c>
      <c r="T516">
        <f>HYPERLINK("https://klasma.github.io/Logging_2283/kartor/A 42972-2024 karta.png", "A 42972-2024")</f>
        <v/>
      </c>
      <c r="U516">
        <f>HYPERLINK("https://klasma.github.io/Logging_2283/knärot/A 42972-2024 karta knärot.png", "A 42972-2024")</f>
        <v/>
      </c>
      <c r="V516">
        <f>HYPERLINK("https://klasma.github.io/Logging_2283/klagomål/A 42972-2024 FSC-klagomål.docx", "A 42972-2024")</f>
        <v/>
      </c>
      <c r="W516">
        <f>HYPERLINK("https://klasma.github.io/Logging_2283/klagomålsmail/A 42972-2024 FSC-klagomål mail.docx", "A 42972-2024")</f>
        <v/>
      </c>
      <c r="X516">
        <f>HYPERLINK("https://klasma.github.io/Logging_2283/tillsyn/A 42972-2024 tillsynsbegäran.docx", "A 42972-2024")</f>
        <v/>
      </c>
      <c r="Y516">
        <f>HYPERLINK("https://klasma.github.io/Logging_2283/tillsynsmail/A 42972-2024 tillsynsbegäran mail.docx", "A 42972-2024")</f>
        <v/>
      </c>
    </row>
    <row r="517" ht="15" customHeight="1">
      <c r="A517" t="inlineStr">
        <is>
          <t>A 44632-2024</t>
        </is>
      </c>
      <c r="B517" s="1" t="n">
        <v>45574</v>
      </c>
      <c r="C517" s="1" t="n">
        <v>45822</v>
      </c>
      <c r="D517" t="inlineStr">
        <is>
          <t>VÄSTERNORRLANDS LÄN</t>
        </is>
      </c>
      <c r="E517" t="inlineStr">
        <is>
          <t>SOLLEFTEÅ</t>
        </is>
      </c>
      <c r="F517" t="inlineStr">
        <is>
          <t>SCA</t>
        </is>
      </c>
      <c r="G517" t="n">
        <v>3.1</v>
      </c>
      <c r="H517" t="n">
        <v>0</v>
      </c>
      <c r="I517" t="n">
        <v>1</v>
      </c>
      <c r="J517" t="n">
        <v>0</v>
      </c>
      <c r="K517" t="n">
        <v>0</v>
      </c>
      <c r="L517" t="n">
        <v>0</v>
      </c>
      <c r="M517" t="n">
        <v>0</v>
      </c>
      <c r="N517" t="n">
        <v>0</v>
      </c>
      <c r="O517" t="n">
        <v>0</v>
      </c>
      <c r="P517" t="n">
        <v>0</v>
      </c>
      <c r="Q517" t="n">
        <v>1</v>
      </c>
      <c r="R517" s="2" t="inlineStr">
        <is>
          <t>Vedticka</t>
        </is>
      </c>
      <c r="S517">
        <f>HYPERLINK("https://klasma.github.io/Logging_2283/artfynd/A 44632-2024 artfynd.xlsx", "A 44632-2024")</f>
        <v/>
      </c>
      <c r="T517">
        <f>HYPERLINK("https://klasma.github.io/Logging_2283/kartor/A 44632-2024 karta.png", "A 44632-2024")</f>
        <v/>
      </c>
      <c r="V517">
        <f>HYPERLINK("https://klasma.github.io/Logging_2283/klagomål/A 44632-2024 FSC-klagomål.docx", "A 44632-2024")</f>
        <v/>
      </c>
      <c r="W517">
        <f>HYPERLINK("https://klasma.github.io/Logging_2283/klagomålsmail/A 44632-2024 FSC-klagomål mail.docx", "A 44632-2024")</f>
        <v/>
      </c>
      <c r="X517">
        <f>HYPERLINK("https://klasma.github.io/Logging_2283/tillsyn/A 44632-2024 tillsynsbegäran.docx", "A 44632-2024")</f>
        <v/>
      </c>
      <c r="Y517">
        <f>HYPERLINK("https://klasma.github.io/Logging_2283/tillsynsmail/A 44632-2024 tillsynsbegäran mail.docx", "A 44632-2024")</f>
        <v/>
      </c>
    </row>
    <row r="518" ht="15" customHeight="1">
      <c r="A518" t="inlineStr">
        <is>
          <t>A 44624-2024</t>
        </is>
      </c>
      <c r="B518" s="1" t="n">
        <v>45574</v>
      </c>
      <c r="C518" s="1" t="n">
        <v>45822</v>
      </c>
      <c r="D518" t="inlineStr">
        <is>
          <t>VÄSTERNORRLANDS LÄN</t>
        </is>
      </c>
      <c r="E518" t="inlineStr">
        <is>
          <t>SOLLEFTEÅ</t>
        </is>
      </c>
      <c r="F518" t="inlineStr">
        <is>
          <t>SCA</t>
        </is>
      </c>
      <c r="G518" t="n">
        <v>6.4</v>
      </c>
      <c r="H518" t="n">
        <v>0</v>
      </c>
      <c r="I518" t="n">
        <v>0</v>
      </c>
      <c r="J518" t="n">
        <v>1</v>
      </c>
      <c r="K518" t="n">
        <v>0</v>
      </c>
      <c r="L518" t="n">
        <v>0</v>
      </c>
      <c r="M518" t="n">
        <v>0</v>
      </c>
      <c r="N518" t="n">
        <v>0</v>
      </c>
      <c r="O518" t="n">
        <v>1</v>
      </c>
      <c r="P518" t="n">
        <v>0</v>
      </c>
      <c r="Q518" t="n">
        <v>1</v>
      </c>
      <c r="R518" s="2" t="inlineStr">
        <is>
          <t>Lunglav</t>
        </is>
      </c>
      <c r="S518">
        <f>HYPERLINK("https://klasma.github.io/Logging_2283/artfynd/A 44624-2024 artfynd.xlsx", "A 44624-2024")</f>
        <v/>
      </c>
      <c r="T518">
        <f>HYPERLINK("https://klasma.github.io/Logging_2283/kartor/A 44624-2024 karta.png", "A 44624-2024")</f>
        <v/>
      </c>
      <c r="V518">
        <f>HYPERLINK("https://klasma.github.io/Logging_2283/klagomål/A 44624-2024 FSC-klagomål.docx", "A 44624-2024")</f>
        <v/>
      </c>
      <c r="W518">
        <f>HYPERLINK("https://klasma.github.io/Logging_2283/klagomålsmail/A 44624-2024 FSC-klagomål mail.docx", "A 44624-2024")</f>
        <v/>
      </c>
      <c r="X518">
        <f>HYPERLINK("https://klasma.github.io/Logging_2283/tillsyn/A 44624-2024 tillsynsbegäran.docx", "A 44624-2024")</f>
        <v/>
      </c>
      <c r="Y518">
        <f>HYPERLINK("https://klasma.github.io/Logging_2283/tillsynsmail/A 44624-2024 tillsynsbegäran mail.docx", "A 44624-2024")</f>
        <v/>
      </c>
    </row>
    <row r="519" ht="15" customHeight="1">
      <c r="A519" t="inlineStr">
        <is>
          <t>A 48948-2024</t>
        </is>
      </c>
      <c r="B519" s="1" t="n">
        <v>45594</v>
      </c>
      <c r="C519" s="1" t="n">
        <v>45822</v>
      </c>
      <c r="D519" t="inlineStr">
        <is>
          <t>VÄSTERNORRLANDS LÄN</t>
        </is>
      </c>
      <c r="E519" t="inlineStr">
        <is>
          <t>SOLLEFTEÅ</t>
        </is>
      </c>
      <c r="F519" t="inlineStr">
        <is>
          <t>SCA</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HYPERLINK("https://klasma.github.io/Logging_2283/artfynd/A 48948-2024 artfynd.xlsx", "A 48948-2024")</f>
        <v/>
      </c>
      <c r="T519">
        <f>HYPERLINK("https://klasma.github.io/Logging_2283/kartor/A 48948-2024 karta.png", "A 48948-2024")</f>
        <v/>
      </c>
      <c r="V519">
        <f>HYPERLINK("https://klasma.github.io/Logging_2283/klagomål/A 48948-2024 FSC-klagomål.docx", "A 48948-2024")</f>
        <v/>
      </c>
      <c r="W519">
        <f>HYPERLINK("https://klasma.github.io/Logging_2283/klagomålsmail/A 48948-2024 FSC-klagomål mail.docx", "A 48948-2024")</f>
        <v/>
      </c>
      <c r="X519">
        <f>HYPERLINK("https://klasma.github.io/Logging_2283/tillsyn/A 48948-2024 tillsynsbegäran.docx", "A 48948-2024")</f>
        <v/>
      </c>
      <c r="Y519">
        <f>HYPERLINK("https://klasma.github.io/Logging_2283/tillsynsmail/A 48948-2024 tillsynsbegäran mail.docx", "A 48948-2024")</f>
        <v/>
      </c>
    </row>
    <row r="520" ht="15" customHeight="1">
      <c r="A520" t="inlineStr">
        <is>
          <t>A 48897-2024</t>
        </is>
      </c>
      <c r="B520" s="1" t="n">
        <v>45594</v>
      </c>
      <c r="C520" s="1" t="n">
        <v>45822</v>
      </c>
      <c r="D520" t="inlineStr">
        <is>
          <t>VÄSTERNORRLANDS LÄN</t>
        </is>
      </c>
      <c r="E520" t="inlineStr">
        <is>
          <t>SOLLEFTEÅ</t>
        </is>
      </c>
      <c r="F520" t="inlineStr">
        <is>
          <t>SCA</t>
        </is>
      </c>
      <c r="G520" t="n">
        <v>2.6</v>
      </c>
      <c r="H520" t="n">
        <v>0</v>
      </c>
      <c r="I520" t="n">
        <v>0</v>
      </c>
      <c r="J520" t="n">
        <v>1</v>
      </c>
      <c r="K520" t="n">
        <v>0</v>
      </c>
      <c r="L520" t="n">
        <v>0</v>
      </c>
      <c r="M520" t="n">
        <v>0</v>
      </c>
      <c r="N520" t="n">
        <v>0</v>
      </c>
      <c r="O520" t="n">
        <v>1</v>
      </c>
      <c r="P520" t="n">
        <v>0</v>
      </c>
      <c r="Q520" t="n">
        <v>1</v>
      </c>
      <c r="R520" s="2" t="inlineStr">
        <is>
          <t>Garnlav</t>
        </is>
      </c>
      <c r="S520">
        <f>HYPERLINK("https://klasma.github.io/Logging_2283/artfynd/A 48897-2024 artfynd.xlsx", "A 48897-2024")</f>
        <v/>
      </c>
      <c r="T520">
        <f>HYPERLINK("https://klasma.github.io/Logging_2283/kartor/A 48897-2024 karta.png", "A 48897-2024")</f>
        <v/>
      </c>
      <c r="V520">
        <f>HYPERLINK("https://klasma.github.io/Logging_2283/klagomål/A 48897-2024 FSC-klagomål.docx", "A 48897-2024")</f>
        <v/>
      </c>
      <c r="W520">
        <f>HYPERLINK("https://klasma.github.io/Logging_2283/klagomålsmail/A 48897-2024 FSC-klagomål mail.docx", "A 48897-2024")</f>
        <v/>
      </c>
      <c r="X520">
        <f>HYPERLINK("https://klasma.github.io/Logging_2283/tillsyn/A 48897-2024 tillsynsbegäran.docx", "A 48897-2024")</f>
        <v/>
      </c>
      <c r="Y520">
        <f>HYPERLINK("https://klasma.github.io/Logging_2283/tillsynsmail/A 48897-2024 tillsynsbegäran mail.docx", "A 48897-2024")</f>
        <v/>
      </c>
    </row>
    <row r="521" ht="15" customHeight="1">
      <c r="A521" t="inlineStr">
        <is>
          <t>A 49366-2024</t>
        </is>
      </c>
      <c r="B521" s="1" t="n">
        <v>45595</v>
      </c>
      <c r="C521" s="1" t="n">
        <v>45822</v>
      </c>
      <c r="D521" t="inlineStr">
        <is>
          <t>VÄSTERNORRLANDS LÄN</t>
        </is>
      </c>
      <c r="E521" t="inlineStr">
        <is>
          <t>SOLLEFTEÅ</t>
        </is>
      </c>
      <c r="F521" t="inlineStr">
        <is>
          <t>SCA</t>
        </is>
      </c>
      <c r="G521" t="n">
        <v>1.6</v>
      </c>
      <c r="H521" t="n">
        <v>1</v>
      </c>
      <c r="I521" t="n">
        <v>0</v>
      </c>
      <c r="J521" t="n">
        <v>0</v>
      </c>
      <c r="K521" t="n">
        <v>1</v>
      </c>
      <c r="L521" t="n">
        <v>0</v>
      </c>
      <c r="M521" t="n">
        <v>0</v>
      </c>
      <c r="N521" t="n">
        <v>0</v>
      </c>
      <c r="O521" t="n">
        <v>1</v>
      </c>
      <c r="P521" t="n">
        <v>1</v>
      </c>
      <c r="Q521" t="n">
        <v>1</v>
      </c>
      <c r="R521" s="2" t="inlineStr">
        <is>
          <t>Knärot</t>
        </is>
      </c>
      <c r="S521">
        <f>HYPERLINK("https://klasma.github.io/Logging_2283/artfynd/A 49366-2024 artfynd.xlsx", "A 49366-2024")</f>
        <v/>
      </c>
      <c r="T521">
        <f>HYPERLINK("https://klasma.github.io/Logging_2283/kartor/A 49366-2024 karta.png", "A 49366-2024")</f>
        <v/>
      </c>
      <c r="U521">
        <f>HYPERLINK("https://klasma.github.io/Logging_2283/knärot/A 49366-2024 karta knärot.png", "A 49366-2024")</f>
        <v/>
      </c>
      <c r="V521">
        <f>HYPERLINK("https://klasma.github.io/Logging_2283/klagomål/A 49366-2024 FSC-klagomål.docx", "A 49366-2024")</f>
        <v/>
      </c>
      <c r="W521">
        <f>HYPERLINK("https://klasma.github.io/Logging_2283/klagomålsmail/A 49366-2024 FSC-klagomål mail.docx", "A 49366-2024")</f>
        <v/>
      </c>
      <c r="X521">
        <f>HYPERLINK("https://klasma.github.io/Logging_2283/tillsyn/A 49366-2024 tillsynsbegäran.docx", "A 49366-2024")</f>
        <v/>
      </c>
      <c r="Y521">
        <f>HYPERLINK("https://klasma.github.io/Logging_2283/tillsynsmail/A 49366-2024 tillsynsbegäran mail.docx", "A 49366-2024")</f>
        <v/>
      </c>
    </row>
    <row r="522" ht="15" customHeight="1">
      <c r="A522" t="inlineStr">
        <is>
          <t>A 49367-2024</t>
        </is>
      </c>
      <c r="B522" s="1" t="n">
        <v>45595</v>
      </c>
      <c r="C522" s="1" t="n">
        <v>45822</v>
      </c>
      <c r="D522" t="inlineStr">
        <is>
          <t>VÄSTERNORRLANDS LÄN</t>
        </is>
      </c>
      <c r="E522" t="inlineStr">
        <is>
          <t>SOLLEFTEÅ</t>
        </is>
      </c>
      <c r="F522" t="inlineStr">
        <is>
          <t>SCA</t>
        </is>
      </c>
      <c r="G522" t="n">
        <v>1.6</v>
      </c>
      <c r="H522" t="n">
        <v>1</v>
      </c>
      <c r="I522" t="n">
        <v>0</v>
      </c>
      <c r="J522" t="n">
        <v>0</v>
      </c>
      <c r="K522" t="n">
        <v>1</v>
      </c>
      <c r="L522" t="n">
        <v>0</v>
      </c>
      <c r="M522" t="n">
        <v>0</v>
      </c>
      <c r="N522" t="n">
        <v>0</v>
      </c>
      <c r="O522" t="n">
        <v>1</v>
      </c>
      <c r="P522" t="n">
        <v>1</v>
      </c>
      <c r="Q522" t="n">
        <v>1</v>
      </c>
      <c r="R522" s="2" t="inlineStr">
        <is>
          <t>Knärot</t>
        </is>
      </c>
      <c r="S522">
        <f>HYPERLINK("https://klasma.github.io/Logging_2283/artfynd/A 49367-2024 artfynd.xlsx", "A 49367-2024")</f>
        <v/>
      </c>
      <c r="T522">
        <f>HYPERLINK("https://klasma.github.io/Logging_2283/kartor/A 49367-2024 karta.png", "A 49367-2024")</f>
        <v/>
      </c>
      <c r="U522">
        <f>HYPERLINK("https://klasma.github.io/Logging_2283/knärot/A 49367-2024 karta knärot.png", "A 49367-2024")</f>
        <v/>
      </c>
      <c r="V522">
        <f>HYPERLINK("https://klasma.github.io/Logging_2283/klagomål/A 49367-2024 FSC-klagomål.docx", "A 49367-2024")</f>
        <v/>
      </c>
      <c r="W522">
        <f>HYPERLINK("https://klasma.github.io/Logging_2283/klagomålsmail/A 49367-2024 FSC-klagomål mail.docx", "A 49367-2024")</f>
        <v/>
      </c>
      <c r="X522">
        <f>HYPERLINK("https://klasma.github.io/Logging_2283/tillsyn/A 49367-2024 tillsynsbegäran.docx", "A 49367-2024")</f>
        <v/>
      </c>
      <c r="Y522">
        <f>HYPERLINK("https://klasma.github.io/Logging_2283/tillsynsmail/A 49367-2024 tillsynsbegäran mail.docx", "A 49367-2024")</f>
        <v/>
      </c>
    </row>
    <row r="523" ht="15" customHeight="1">
      <c r="A523" t="inlineStr">
        <is>
          <t>A 54734-2024</t>
        </is>
      </c>
      <c r="B523" s="1" t="n">
        <v>45618</v>
      </c>
      <c r="C523" s="1" t="n">
        <v>45822</v>
      </c>
      <c r="D523" t="inlineStr">
        <is>
          <t>VÄSTERNORRLANDS LÄN</t>
        </is>
      </c>
      <c r="E523" t="inlineStr">
        <is>
          <t>SOLLEFTEÅ</t>
        </is>
      </c>
      <c r="F523" t="inlineStr">
        <is>
          <t>SCA</t>
        </is>
      </c>
      <c r="G523" t="n">
        <v>3.2</v>
      </c>
      <c r="H523" t="n">
        <v>0</v>
      </c>
      <c r="I523" t="n">
        <v>0</v>
      </c>
      <c r="J523" t="n">
        <v>1</v>
      </c>
      <c r="K523" t="n">
        <v>0</v>
      </c>
      <c r="L523" t="n">
        <v>0</v>
      </c>
      <c r="M523" t="n">
        <v>0</v>
      </c>
      <c r="N523" t="n">
        <v>0</v>
      </c>
      <c r="O523" t="n">
        <v>1</v>
      </c>
      <c r="P523" t="n">
        <v>0</v>
      </c>
      <c r="Q523" t="n">
        <v>1</v>
      </c>
      <c r="R523" s="2" t="inlineStr">
        <is>
          <t>Ullticka</t>
        </is>
      </c>
      <c r="S523">
        <f>HYPERLINK("https://klasma.github.io/Logging_2283/artfynd/A 54734-2024 artfynd.xlsx", "A 54734-2024")</f>
        <v/>
      </c>
      <c r="T523">
        <f>HYPERLINK("https://klasma.github.io/Logging_2283/kartor/A 54734-2024 karta.png", "A 54734-2024")</f>
        <v/>
      </c>
      <c r="V523">
        <f>HYPERLINK("https://klasma.github.io/Logging_2283/klagomål/A 54734-2024 FSC-klagomål.docx", "A 54734-2024")</f>
        <v/>
      </c>
      <c r="W523">
        <f>HYPERLINK("https://klasma.github.io/Logging_2283/klagomålsmail/A 54734-2024 FSC-klagomål mail.docx", "A 54734-2024")</f>
        <v/>
      </c>
      <c r="X523">
        <f>HYPERLINK("https://klasma.github.io/Logging_2283/tillsyn/A 54734-2024 tillsynsbegäran.docx", "A 54734-2024")</f>
        <v/>
      </c>
      <c r="Y523">
        <f>HYPERLINK("https://klasma.github.io/Logging_2283/tillsynsmail/A 54734-2024 tillsynsbegäran mail.docx", "A 54734-2024")</f>
        <v/>
      </c>
    </row>
    <row r="524" ht="15" customHeight="1">
      <c r="A524" t="inlineStr">
        <is>
          <t>A 58812-2024</t>
        </is>
      </c>
      <c r="B524" s="1" t="n">
        <v>45636</v>
      </c>
      <c r="C524" s="1" t="n">
        <v>45822</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Harticka</t>
        </is>
      </c>
      <c r="S524">
        <f>HYPERLINK("https://klasma.github.io/Logging_2283/artfynd/A 58812-2024 artfynd.xlsx", "A 58812-2024")</f>
        <v/>
      </c>
      <c r="T524">
        <f>HYPERLINK("https://klasma.github.io/Logging_2283/kartor/A 58812-2024 karta.png", "A 58812-2024")</f>
        <v/>
      </c>
      <c r="V524">
        <f>HYPERLINK("https://klasma.github.io/Logging_2283/klagomål/A 58812-2024 FSC-klagomål.docx", "A 58812-2024")</f>
        <v/>
      </c>
      <c r="W524">
        <f>HYPERLINK("https://klasma.github.io/Logging_2283/klagomålsmail/A 58812-2024 FSC-klagomål mail.docx", "A 58812-2024")</f>
        <v/>
      </c>
      <c r="X524">
        <f>HYPERLINK("https://klasma.github.io/Logging_2283/tillsyn/A 58812-2024 tillsynsbegäran.docx", "A 58812-2024")</f>
        <v/>
      </c>
      <c r="Y524">
        <f>HYPERLINK("https://klasma.github.io/Logging_2283/tillsynsmail/A 58812-2024 tillsynsbegäran mail.docx", "A 58812-2024")</f>
        <v/>
      </c>
    </row>
    <row r="525" ht="15" customHeight="1">
      <c r="A525" t="inlineStr">
        <is>
          <t>A 59997-2024</t>
        </is>
      </c>
      <c r="B525" s="1" t="n">
        <v>45642</v>
      </c>
      <c r="C525" s="1" t="n">
        <v>45822</v>
      </c>
      <c r="D525" t="inlineStr">
        <is>
          <t>VÄSTERNORRLANDS LÄN</t>
        </is>
      </c>
      <c r="E525" t="inlineStr">
        <is>
          <t>SOLLEFTEÅ</t>
        </is>
      </c>
      <c r="F525" t="inlineStr">
        <is>
          <t>SCA</t>
        </is>
      </c>
      <c r="G525" t="n">
        <v>2.8</v>
      </c>
      <c r="H525" t="n">
        <v>0</v>
      </c>
      <c r="I525" t="n">
        <v>0</v>
      </c>
      <c r="J525" t="n">
        <v>1</v>
      </c>
      <c r="K525" t="n">
        <v>0</v>
      </c>
      <c r="L525" t="n">
        <v>0</v>
      </c>
      <c r="M525" t="n">
        <v>0</v>
      </c>
      <c r="N525" t="n">
        <v>0</v>
      </c>
      <c r="O525" t="n">
        <v>1</v>
      </c>
      <c r="P525" t="n">
        <v>0</v>
      </c>
      <c r="Q525" t="n">
        <v>1</v>
      </c>
      <c r="R525" s="2" t="inlineStr">
        <is>
          <t>Garnlav</t>
        </is>
      </c>
      <c r="S525">
        <f>HYPERLINK("https://klasma.github.io/Logging_2283/artfynd/A 59997-2024 artfynd.xlsx", "A 59997-2024")</f>
        <v/>
      </c>
      <c r="T525">
        <f>HYPERLINK("https://klasma.github.io/Logging_2283/kartor/A 59997-2024 karta.png", "A 59997-2024")</f>
        <v/>
      </c>
      <c r="V525">
        <f>HYPERLINK("https://klasma.github.io/Logging_2283/klagomål/A 59997-2024 FSC-klagomål.docx", "A 59997-2024")</f>
        <v/>
      </c>
      <c r="W525">
        <f>HYPERLINK("https://klasma.github.io/Logging_2283/klagomålsmail/A 59997-2024 FSC-klagomål mail.docx", "A 59997-2024")</f>
        <v/>
      </c>
      <c r="X525">
        <f>HYPERLINK("https://klasma.github.io/Logging_2283/tillsyn/A 59997-2024 tillsynsbegäran.docx", "A 59997-2024")</f>
        <v/>
      </c>
      <c r="Y525">
        <f>HYPERLINK("https://klasma.github.io/Logging_2283/tillsynsmail/A 59997-2024 tillsynsbegäran mail.docx", "A 59997-2024")</f>
        <v/>
      </c>
    </row>
    <row r="526" ht="15" customHeight="1">
      <c r="A526" t="inlineStr">
        <is>
          <t>A 1343-2025</t>
        </is>
      </c>
      <c r="B526" s="1" t="n">
        <v>45667</v>
      </c>
      <c r="C526" s="1" t="n">
        <v>45822</v>
      </c>
      <c r="D526" t="inlineStr">
        <is>
          <t>VÄSTERNORRLANDS LÄN</t>
        </is>
      </c>
      <c r="E526" t="inlineStr">
        <is>
          <t>SOLLEFTEÅ</t>
        </is>
      </c>
      <c r="G526" t="n">
        <v>5.2</v>
      </c>
      <c r="H526" t="n">
        <v>0</v>
      </c>
      <c r="I526" t="n">
        <v>0</v>
      </c>
      <c r="J526" t="n">
        <v>1</v>
      </c>
      <c r="K526" t="n">
        <v>0</v>
      </c>
      <c r="L526" t="n">
        <v>0</v>
      </c>
      <c r="M526" t="n">
        <v>0</v>
      </c>
      <c r="N526" t="n">
        <v>0</v>
      </c>
      <c r="O526" t="n">
        <v>1</v>
      </c>
      <c r="P526" t="n">
        <v>0</v>
      </c>
      <c r="Q526" t="n">
        <v>1</v>
      </c>
      <c r="R526" s="2" t="inlineStr">
        <is>
          <t>Granticka</t>
        </is>
      </c>
      <c r="S526">
        <f>HYPERLINK("https://klasma.github.io/Logging_2283/artfynd/A 1343-2025 artfynd.xlsx", "A 1343-2025")</f>
        <v/>
      </c>
      <c r="T526">
        <f>HYPERLINK("https://klasma.github.io/Logging_2283/kartor/A 1343-2025 karta.png", "A 1343-2025")</f>
        <v/>
      </c>
      <c r="V526">
        <f>HYPERLINK("https://klasma.github.io/Logging_2283/klagomål/A 1343-2025 FSC-klagomål.docx", "A 1343-2025")</f>
        <v/>
      </c>
      <c r="W526">
        <f>HYPERLINK("https://klasma.github.io/Logging_2283/klagomålsmail/A 1343-2025 FSC-klagomål mail.docx", "A 1343-2025")</f>
        <v/>
      </c>
      <c r="X526">
        <f>HYPERLINK("https://klasma.github.io/Logging_2283/tillsyn/A 1343-2025 tillsynsbegäran.docx", "A 1343-2025")</f>
        <v/>
      </c>
      <c r="Y526">
        <f>HYPERLINK("https://klasma.github.io/Logging_2283/tillsynsmail/A 1343-2025 tillsynsbegäran mail.docx", "A 1343-2025")</f>
        <v/>
      </c>
    </row>
    <row r="527" ht="15" customHeight="1">
      <c r="A527" t="inlineStr">
        <is>
          <t>A 1802-2025</t>
        </is>
      </c>
      <c r="B527" s="1" t="n">
        <v>45671</v>
      </c>
      <c r="C527" s="1" t="n">
        <v>45822</v>
      </c>
      <c r="D527" t="inlineStr">
        <is>
          <t>VÄSTERNORRLANDS LÄN</t>
        </is>
      </c>
      <c r="E527" t="inlineStr">
        <is>
          <t>SOLLEFTEÅ</t>
        </is>
      </c>
      <c r="G527" t="n">
        <v>0.9</v>
      </c>
      <c r="H527" t="n">
        <v>1</v>
      </c>
      <c r="I527" t="n">
        <v>1</v>
      </c>
      <c r="J527" t="n">
        <v>0</v>
      </c>
      <c r="K527" t="n">
        <v>0</v>
      </c>
      <c r="L527" t="n">
        <v>0</v>
      </c>
      <c r="M527" t="n">
        <v>0</v>
      </c>
      <c r="N527" t="n">
        <v>0</v>
      </c>
      <c r="O527" t="n">
        <v>0</v>
      </c>
      <c r="P527" t="n">
        <v>0</v>
      </c>
      <c r="Q527" t="n">
        <v>1</v>
      </c>
      <c r="R527" s="2" t="inlineStr">
        <is>
          <t>Guckusko</t>
        </is>
      </c>
      <c r="S527">
        <f>HYPERLINK("https://klasma.github.io/Logging_2283/artfynd/A 1802-2025 artfynd.xlsx", "A 1802-2025")</f>
        <v/>
      </c>
      <c r="T527">
        <f>HYPERLINK("https://klasma.github.io/Logging_2283/kartor/A 1802-2025 karta.png", "A 1802-2025")</f>
        <v/>
      </c>
      <c r="V527">
        <f>HYPERLINK("https://klasma.github.io/Logging_2283/klagomål/A 1802-2025 FSC-klagomål.docx", "A 1802-2025")</f>
        <v/>
      </c>
      <c r="W527">
        <f>HYPERLINK("https://klasma.github.io/Logging_2283/klagomålsmail/A 1802-2025 FSC-klagomål mail.docx", "A 1802-2025")</f>
        <v/>
      </c>
      <c r="X527">
        <f>HYPERLINK("https://klasma.github.io/Logging_2283/tillsyn/A 1802-2025 tillsynsbegäran.docx", "A 1802-2025")</f>
        <v/>
      </c>
      <c r="Y527">
        <f>HYPERLINK("https://klasma.github.io/Logging_2283/tillsynsmail/A 1802-2025 tillsynsbegäran mail.docx", "A 1802-2025")</f>
        <v/>
      </c>
    </row>
    <row r="528" ht="15" customHeight="1">
      <c r="A528" t="inlineStr">
        <is>
          <t>A 5790-2025</t>
        </is>
      </c>
      <c r="B528" s="1" t="n">
        <v>45694</v>
      </c>
      <c r="C528" s="1" t="n">
        <v>45822</v>
      </c>
      <c r="D528" t="inlineStr">
        <is>
          <t>VÄSTERNORRLANDS LÄN</t>
        </is>
      </c>
      <c r="E528" t="inlineStr">
        <is>
          <t>SOLLEFTEÅ</t>
        </is>
      </c>
      <c r="F528" t="inlineStr">
        <is>
          <t>SCA</t>
        </is>
      </c>
      <c r="G528" t="n">
        <v>32.7</v>
      </c>
      <c r="H528" t="n">
        <v>0</v>
      </c>
      <c r="I528" t="n">
        <v>0</v>
      </c>
      <c r="J528" t="n">
        <v>1</v>
      </c>
      <c r="K528" t="n">
        <v>0</v>
      </c>
      <c r="L528" t="n">
        <v>0</v>
      </c>
      <c r="M528" t="n">
        <v>0</v>
      </c>
      <c r="N528" t="n">
        <v>0</v>
      </c>
      <c r="O528" t="n">
        <v>1</v>
      </c>
      <c r="P528" t="n">
        <v>0</v>
      </c>
      <c r="Q528" t="n">
        <v>1</v>
      </c>
      <c r="R528" s="2" t="inlineStr">
        <is>
          <t>Lunglav</t>
        </is>
      </c>
      <c r="S528">
        <f>HYPERLINK("https://klasma.github.io/Logging_2283/artfynd/A 5790-2025 artfynd.xlsx", "A 5790-2025")</f>
        <v/>
      </c>
      <c r="T528">
        <f>HYPERLINK("https://klasma.github.io/Logging_2283/kartor/A 5790-2025 karta.png", "A 5790-2025")</f>
        <v/>
      </c>
      <c r="V528">
        <f>HYPERLINK("https://klasma.github.io/Logging_2283/klagomål/A 5790-2025 FSC-klagomål.docx", "A 5790-2025")</f>
        <v/>
      </c>
      <c r="W528">
        <f>HYPERLINK("https://klasma.github.io/Logging_2283/klagomålsmail/A 5790-2025 FSC-klagomål mail.docx", "A 5790-2025")</f>
        <v/>
      </c>
      <c r="X528">
        <f>HYPERLINK("https://klasma.github.io/Logging_2283/tillsyn/A 5790-2025 tillsynsbegäran.docx", "A 5790-2025")</f>
        <v/>
      </c>
      <c r="Y528">
        <f>HYPERLINK("https://klasma.github.io/Logging_2283/tillsynsmail/A 5790-2025 tillsynsbegäran mail.docx", "A 5790-2025")</f>
        <v/>
      </c>
    </row>
    <row r="529" ht="15" customHeight="1">
      <c r="A529" t="inlineStr">
        <is>
          <t>A 7722-2025</t>
        </is>
      </c>
      <c r="B529" s="1" t="n">
        <v>45706</v>
      </c>
      <c r="C529" s="1" t="n">
        <v>45822</v>
      </c>
      <c r="D529" t="inlineStr">
        <is>
          <t>VÄSTERNORRLANDS LÄN</t>
        </is>
      </c>
      <c r="E529" t="inlineStr">
        <is>
          <t>SOLLEFTEÅ</t>
        </is>
      </c>
      <c r="G529" t="n">
        <v>4.6</v>
      </c>
      <c r="H529" t="n">
        <v>1</v>
      </c>
      <c r="I529" t="n">
        <v>0</v>
      </c>
      <c r="J529" t="n">
        <v>0</v>
      </c>
      <c r="K529" t="n">
        <v>0</v>
      </c>
      <c r="L529" t="n">
        <v>0</v>
      </c>
      <c r="M529" t="n">
        <v>0</v>
      </c>
      <c r="N529" t="n">
        <v>0</v>
      </c>
      <c r="O529" t="n">
        <v>0</v>
      </c>
      <c r="P529" t="n">
        <v>0</v>
      </c>
      <c r="Q529" t="n">
        <v>1</v>
      </c>
      <c r="R529" s="2" t="inlineStr">
        <is>
          <t>Revlummer</t>
        </is>
      </c>
      <c r="S529">
        <f>HYPERLINK("https://klasma.github.io/Logging_2283/artfynd/A 7722-2025 artfynd.xlsx", "A 7722-2025")</f>
        <v/>
      </c>
      <c r="T529">
        <f>HYPERLINK("https://klasma.github.io/Logging_2283/kartor/A 7722-2025 karta.png", "A 7722-2025")</f>
        <v/>
      </c>
      <c r="V529">
        <f>HYPERLINK("https://klasma.github.io/Logging_2283/klagomål/A 7722-2025 FSC-klagomål.docx", "A 7722-2025")</f>
        <v/>
      </c>
      <c r="W529">
        <f>HYPERLINK("https://klasma.github.io/Logging_2283/klagomålsmail/A 7722-2025 FSC-klagomål mail.docx", "A 7722-2025")</f>
        <v/>
      </c>
      <c r="X529">
        <f>HYPERLINK("https://klasma.github.io/Logging_2283/tillsyn/A 7722-2025 tillsynsbegäran.docx", "A 7722-2025")</f>
        <v/>
      </c>
      <c r="Y529">
        <f>HYPERLINK("https://klasma.github.io/Logging_2283/tillsynsmail/A 7722-2025 tillsynsbegäran mail.docx", "A 7722-2025")</f>
        <v/>
      </c>
    </row>
    <row r="530" ht="15" customHeight="1">
      <c r="A530" t="inlineStr">
        <is>
          <t>A 11667-2025</t>
        </is>
      </c>
      <c r="B530" s="1" t="n">
        <v>45727</v>
      </c>
      <c r="C530" s="1" t="n">
        <v>45822</v>
      </c>
      <c r="D530" t="inlineStr">
        <is>
          <t>VÄSTERNORRLANDS LÄN</t>
        </is>
      </c>
      <c r="E530" t="inlineStr">
        <is>
          <t>SOLLEFTEÅ</t>
        </is>
      </c>
      <c r="F530" t="inlineStr">
        <is>
          <t>SCA</t>
        </is>
      </c>
      <c r="G530" t="n">
        <v>4.5</v>
      </c>
      <c r="H530" t="n">
        <v>1</v>
      </c>
      <c r="I530" t="n">
        <v>0</v>
      </c>
      <c r="J530" t="n">
        <v>1</v>
      </c>
      <c r="K530" t="n">
        <v>0</v>
      </c>
      <c r="L530" t="n">
        <v>0</v>
      </c>
      <c r="M530" t="n">
        <v>0</v>
      </c>
      <c r="N530" t="n">
        <v>0</v>
      </c>
      <c r="O530" t="n">
        <v>1</v>
      </c>
      <c r="P530" t="n">
        <v>0</v>
      </c>
      <c r="Q530" t="n">
        <v>1</v>
      </c>
      <c r="R530" s="2" t="inlineStr">
        <is>
          <t>Järpe</t>
        </is>
      </c>
      <c r="S530">
        <f>HYPERLINK("https://klasma.github.io/Logging_222283/artfynd/A 11667-2025 artfynd.xlsx", "A 11667-2025")</f>
        <v/>
      </c>
      <c r="T530">
        <f>HYPERLINK("https://klasma.github.io/Logging_222283/kartor/A 11667-2025 karta.png", "A 11667-2025")</f>
        <v/>
      </c>
      <c r="V530">
        <f>HYPERLINK("https://klasma.github.io/Logging_222283/klagomål/A 11667-2025 FSC-klagomål.docx", "A 11667-2025")</f>
        <v/>
      </c>
      <c r="W530">
        <f>HYPERLINK("https://klasma.github.io/Logging_222283/klagomålsmail/A 11667-2025 FSC-klagomål mail.docx", "A 11667-2025")</f>
        <v/>
      </c>
      <c r="X530">
        <f>HYPERLINK("https://klasma.github.io/Logging_222283/tillsyn/A 11667-2025 tillsynsbegäran.docx", "A 11667-2025")</f>
        <v/>
      </c>
      <c r="Y530">
        <f>HYPERLINK("https://klasma.github.io/Logging_222283/tillsynsmail/A 11667-2025 tillsynsbegäran mail.docx", "A 11667-2025")</f>
        <v/>
      </c>
      <c r="Z530">
        <f>HYPERLINK("https://klasma.github.io/Logging_222283/fåglar/A 11667-2025 prioriterade fågelarter.docx", "A 11667-2025")</f>
        <v/>
      </c>
    </row>
    <row r="531" ht="15" customHeight="1">
      <c r="A531" t="inlineStr">
        <is>
          <t>A 17215-2025</t>
        </is>
      </c>
      <c r="B531" s="1" t="n">
        <v>45756</v>
      </c>
      <c r="C531" s="1" t="n">
        <v>45822</v>
      </c>
      <c r="D531" t="inlineStr">
        <is>
          <t>VÄSTERNORRLANDS LÄN</t>
        </is>
      </c>
      <c r="E531" t="inlineStr">
        <is>
          <t>SOLLEFTEÅ</t>
        </is>
      </c>
      <c r="F531" t="inlineStr">
        <is>
          <t>SCA</t>
        </is>
      </c>
      <c r="G531" t="n">
        <v>5</v>
      </c>
      <c r="H531" t="n">
        <v>0</v>
      </c>
      <c r="I531" t="n">
        <v>0</v>
      </c>
      <c r="J531" t="n">
        <v>1</v>
      </c>
      <c r="K531" t="n">
        <v>0</v>
      </c>
      <c r="L531" t="n">
        <v>0</v>
      </c>
      <c r="M531" t="n">
        <v>0</v>
      </c>
      <c r="N531" t="n">
        <v>0</v>
      </c>
      <c r="O531" t="n">
        <v>1</v>
      </c>
      <c r="P531" t="n">
        <v>0</v>
      </c>
      <c r="Q531" t="n">
        <v>1</v>
      </c>
      <c r="R531" s="2" t="inlineStr">
        <is>
          <t>Vitgrynig nållav</t>
        </is>
      </c>
      <c r="S531">
        <f>HYPERLINK("https://klasma.github.io/Logging_222283/artfynd/A 17215-2025 artfynd.xlsx", "A 17215-2025")</f>
        <v/>
      </c>
      <c r="T531">
        <f>HYPERLINK("https://klasma.github.io/Logging_222283/kartor/A 17215-2025 karta.png", "A 17215-2025")</f>
        <v/>
      </c>
      <c r="V531">
        <f>HYPERLINK("https://klasma.github.io/Logging_222283/klagomål/A 17215-2025 FSC-klagomål.docx", "A 17215-2025")</f>
        <v/>
      </c>
      <c r="W531">
        <f>HYPERLINK("https://klasma.github.io/Logging_222283/klagomålsmail/A 17215-2025 FSC-klagomål mail.docx", "A 17215-2025")</f>
        <v/>
      </c>
      <c r="X531">
        <f>HYPERLINK("https://klasma.github.io/Logging_222283/tillsyn/A 17215-2025 tillsynsbegäran.docx", "A 17215-2025")</f>
        <v/>
      </c>
      <c r="Y531">
        <f>HYPERLINK("https://klasma.github.io/Logging_222283/tillsynsmail/A 17215-2025 tillsynsbegäran mail.docx", "A 17215-2025")</f>
        <v/>
      </c>
    </row>
    <row r="532" ht="15" customHeight="1">
      <c r="A532" t="inlineStr">
        <is>
          <t>A 17251-2025</t>
        </is>
      </c>
      <c r="B532" s="1" t="n">
        <v>45756</v>
      </c>
      <c r="C532" s="1" t="n">
        <v>45822</v>
      </c>
      <c r="D532" t="inlineStr">
        <is>
          <t>VÄSTERNORRLANDS LÄN</t>
        </is>
      </c>
      <c r="E532" t="inlineStr">
        <is>
          <t>SOLLEFTEÅ</t>
        </is>
      </c>
      <c r="F532" t="inlineStr">
        <is>
          <t>SCA</t>
        </is>
      </c>
      <c r="G532" t="n">
        <v>3.1</v>
      </c>
      <c r="H532" t="n">
        <v>0</v>
      </c>
      <c r="I532" t="n">
        <v>0</v>
      </c>
      <c r="J532" t="n">
        <v>0</v>
      </c>
      <c r="K532" t="n">
        <v>1</v>
      </c>
      <c r="L532" t="n">
        <v>0</v>
      </c>
      <c r="M532" t="n">
        <v>0</v>
      </c>
      <c r="N532" t="n">
        <v>0</v>
      </c>
      <c r="O532" t="n">
        <v>1</v>
      </c>
      <c r="P532" t="n">
        <v>1</v>
      </c>
      <c r="Q532" t="n">
        <v>1</v>
      </c>
      <c r="R532" s="2" t="inlineStr">
        <is>
          <t>Rynkskinn</t>
        </is>
      </c>
      <c r="S532">
        <f>HYPERLINK("https://klasma.github.io/Logging_222283/artfynd/A 17251-2025 artfynd.xlsx", "A 17251-2025")</f>
        <v/>
      </c>
      <c r="T532">
        <f>HYPERLINK("https://klasma.github.io/Logging_222283/kartor/A 17251-2025 karta.png", "A 17251-2025")</f>
        <v/>
      </c>
      <c r="V532">
        <f>HYPERLINK("https://klasma.github.io/Logging_222283/klagomål/A 17251-2025 FSC-klagomål.docx", "A 17251-2025")</f>
        <v/>
      </c>
      <c r="W532">
        <f>HYPERLINK("https://klasma.github.io/Logging_222283/klagomålsmail/A 17251-2025 FSC-klagomål mail.docx", "A 17251-2025")</f>
        <v/>
      </c>
      <c r="X532">
        <f>HYPERLINK("https://klasma.github.io/Logging_222283/tillsyn/A 17251-2025 tillsynsbegäran.docx", "A 17251-2025")</f>
        <v/>
      </c>
      <c r="Y532">
        <f>HYPERLINK("https://klasma.github.io/Logging_222283/tillsynsmail/A 17251-2025 tillsynsbegäran mail.docx", "A 17251-2025")</f>
        <v/>
      </c>
    </row>
    <row r="533" ht="15" customHeight="1">
      <c r="A533" t="inlineStr">
        <is>
          <t>A 18697-2025</t>
        </is>
      </c>
      <c r="B533" s="1" t="n">
        <v>45763</v>
      </c>
      <c r="C533" s="1" t="n">
        <v>45822</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Kolflarnlav</t>
        </is>
      </c>
      <c r="S533">
        <f>HYPERLINK("https://klasma.github.io/Logging_222283/artfynd/A 18697-2025 artfynd.xlsx", "A 18697-2025")</f>
        <v/>
      </c>
      <c r="T533">
        <f>HYPERLINK("https://klasma.github.io/Logging_222283/kartor/A 18697-2025 karta.png", "A 18697-2025")</f>
        <v/>
      </c>
      <c r="V533">
        <f>HYPERLINK("https://klasma.github.io/Logging_222283/klagomål/A 18697-2025 FSC-klagomål.docx", "A 18697-2025")</f>
        <v/>
      </c>
      <c r="W533">
        <f>HYPERLINK("https://klasma.github.io/Logging_222283/klagomålsmail/A 18697-2025 FSC-klagomål mail.docx", "A 18697-2025")</f>
        <v/>
      </c>
      <c r="X533">
        <f>HYPERLINK("https://klasma.github.io/Logging_222283/tillsyn/A 18697-2025 tillsynsbegäran.docx", "A 18697-2025")</f>
        <v/>
      </c>
      <c r="Y533">
        <f>HYPERLINK("https://klasma.github.io/Logging_222283/tillsynsmail/A 18697-2025 tillsynsbegäran mail.docx", "A 18697-2025")</f>
        <v/>
      </c>
    </row>
    <row r="534" ht="15" customHeight="1">
      <c r="A534" t="inlineStr">
        <is>
          <t>A 19204-2025</t>
        </is>
      </c>
      <c r="B534" s="1" t="n">
        <v>45769</v>
      </c>
      <c r="C534" s="1" t="n">
        <v>45822</v>
      </c>
      <c r="D534" t="inlineStr">
        <is>
          <t>VÄSTERNORRLANDS LÄN</t>
        </is>
      </c>
      <c r="E534" t="inlineStr">
        <is>
          <t>SOLLEFTEÅ</t>
        </is>
      </c>
      <c r="F534" t="inlineStr">
        <is>
          <t>SCA</t>
        </is>
      </c>
      <c r="G534" t="n">
        <v>5.7</v>
      </c>
      <c r="H534" t="n">
        <v>1</v>
      </c>
      <c r="I534" t="n">
        <v>0</v>
      </c>
      <c r="J534" t="n">
        <v>0</v>
      </c>
      <c r="K534" t="n">
        <v>0</v>
      </c>
      <c r="L534" t="n">
        <v>0</v>
      </c>
      <c r="M534" t="n">
        <v>0</v>
      </c>
      <c r="N534" t="n">
        <v>0</v>
      </c>
      <c r="O534" t="n">
        <v>0</v>
      </c>
      <c r="P534" t="n">
        <v>0</v>
      </c>
      <c r="Q534" t="n">
        <v>1</v>
      </c>
      <c r="R534" s="2" t="inlineStr">
        <is>
          <t>Tjäder</t>
        </is>
      </c>
      <c r="S534">
        <f>HYPERLINK("https://klasma.github.io/Logging_222283/artfynd/A 19204-2025 artfynd.xlsx", "A 19204-2025")</f>
        <v/>
      </c>
      <c r="T534">
        <f>HYPERLINK("https://klasma.github.io/Logging_222283/kartor/A 19204-2025 karta.png", "A 19204-2025")</f>
        <v/>
      </c>
      <c r="V534">
        <f>HYPERLINK("https://klasma.github.io/Logging_222283/klagomål/A 19204-2025 FSC-klagomål.docx", "A 19204-2025")</f>
        <v/>
      </c>
      <c r="W534">
        <f>HYPERLINK("https://klasma.github.io/Logging_222283/klagomålsmail/A 19204-2025 FSC-klagomål mail.docx", "A 19204-2025")</f>
        <v/>
      </c>
      <c r="X534">
        <f>HYPERLINK("https://klasma.github.io/Logging_222283/tillsyn/A 19204-2025 tillsynsbegäran.docx", "A 19204-2025")</f>
        <v/>
      </c>
      <c r="Y534">
        <f>HYPERLINK("https://klasma.github.io/Logging_222283/tillsynsmail/A 19204-2025 tillsynsbegäran mail.docx", "A 19204-2025")</f>
        <v/>
      </c>
      <c r="Z534">
        <f>HYPERLINK("https://klasma.github.io/Logging_222283/fåglar/A 19204-2025 prioriterade fågelarter.docx", "A 19204-2025")</f>
        <v/>
      </c>
    </row>
    <row r="535" ht="15" customHeight="1">
      <c r="A535" t="inlineStr">
        <is>
          <t>A 21962-2025</t>
        </is>
      </c>
      <c r="B535" s="1" t="n">
        <v>45784</v>
      </c>
      <c r="C535" s="1" t="n">
        <v>45822</v>
      </c>
      <c r="D535" t="inlineStr">
        <is>
          <t>VÄSTERNORRLANDS LÄN</t>
        </is>
      </c>
      <c r="E535" t="inlineStr">
        <is>
          <t>SOLLEFTEÅ</t>
        </is>
      </c>
      <c r="F535" t="inlineStr">
        <is>
          <t>SCA</t>
        </is>
      </c>
      <c r="G535" t="n">
        <v>22.5</v>
      </c>
      <c r="H535" t="n">
        <v>1</v>
      </c>
      <c r="I535" t="n">
        <v>0</v>
      </c>
      <c r="J535" t="n">
        <v>1</v>
      </c>
      <c r="K535" t="n">
        <v>0</v>
      </c>
      <c r="L535" t="n">
        <v>0</v>
      </c>
      <c r="M535" t="n">
        <v>0</v>
      </c>
      <c r="N535" t="n">
        <v>0</v>
      </c>
      <c r="O535" t="n">
        <v>1</v>
      </c>
      <c r="P535" t="n">
        <v>0</v>
      </c>
      <c r="Q535" t="n">
        <v>1</v>
      </c>
      <c r="R535" s="2" t="inlineStr">
        <is>
          <t>Järpe</t>
        </is>
      </c>
      <c r="S535">
        <f>HYPERLINK("https://klasma.github.io/Logging_222283/artfynd/A 21962-2025 artfynd.xlsx", "A 21962-2025")</f>
        <v/>
      </c>
      <c r="T535">
        <f>HYPERLINK("https://klasma.github.io/Logging_222283/kartor/A 21962-2025 karta.png", "A 21962-2025")</f>
        <v/>
      </c>
      <c r="V535">
        <f>HYPERLINK("https://klasma.github.io/Logging_222283/klagomål/A 21962-2025 FSC-klagomål.docx", "A 21962-2025")</f>
        <v/>
      </c>
      <c r="W535">
        <f>HYPERLINK("https://klasma.github.io/Logging_222283/klagomålsmail/A 21962-2025 FSC-klagomål mail.docx", "A 21962-2025")</f>
        <v/>
      </c>
      <c r="X535">
        <f>HYPERLINK("https://klasma.github.io/Logging_222283/tillsyn/A 21962-2025 tillsynsbegäran.docx", "A 21962-2025")</f>
        <v/>
      </c>
      <c r="Y535">
        <f>HYPERLINK("https://klasma.github.io/Logging_222283/tillsynsmail/A 21962-2025 tillsynsbegäran mail.docx", "A 21962-2025")</f>
        <v/>
      </c>
      <c r="Z535">
        <f>HYPERLINK("https://klasma.github.io/Logging_222283/fåglar/A 21962-2025 prioriterade fågelarter.docx", "A 21962-2025")</f>
        <v/>
      </c>
    </row>
    <row r="536" ht="15" customHeight="1">
      <c r="A536" t="inlineStr">
        <is>
          <t>A 22214-2025</t>
        </is>
      </c>
      <c r="B536" s="1" t="n">
        <v>45785</v>
      </c>
      <c r="C536" s="1" t="n">
        <v>45822</v>
      </c>
      <c r="D536" t="inlineStr">
        <is>
          <t>VÄSTERNORRLANDS LÄN</t>
        </is>
      </c>
      <c r="E536" t="inlineStr">
        <is>
          <t>SOLLEFTEÅ</t>
        </is>
      </c>
      <c r="F536" t="inlineStr">
        <is>
          <t>SCA</t>
        </is>
      </c>
      <c r="G536" t="n">
        <v>4.6</v>
      </c>
      <c r="H536" t="n">
        <v>0</v>
      </c>
      <c r="I536" t="n">
        <v>0</v>
      </c>
      <c r="J536" t="n">
        <v>1</v>
      </c>
      <c r="K536" t="n">
        <v>0</v>
      </c>
      <c r="L536" t="n">
        <v>0</v>
      </c>
      <c r="M536" t="n">
        <v>0</v>
      </c>
      <c r="N536" t="n">
        <v>0</v>
      </c>
      <c r="O536" t="n">
        <v>1</v>
      </c>
      <c r="P536" t="n">
        <v>0</v>
      </c>
      <c r="Q536" t="n">
        <v>1</v>
      </c>
      <c r="R536" s="2" t="inlineStr">
        <is>
          <t>Reliktbock</t>
        </is>
      </c>
      <c r="S536">
        <f>HYPERLINK("https://klasma.github.io/Logging_222283/artfynd/A 22214-2025 artfynd.xlsx", "A 22214-2025")</f>
        <v/>
      </c>
      <c r="T536">
        <f>HYPERLINK("https://klasma.github.io/Logging_222283/kartor/A 22214-2025 karta.png", "A 22214-2025")</f>
        <v/>
      </c>
      <c r="V536">
        <f>HYPERLINK("https://klasma.github.io/Logging_222283/klagomål/A 22214-2025 FSC-klagomål.docx", "A 22214-2025")</f>
        <v/>
      </c>
      <c r="W536">
        <f>HYPERLINK("https://klasma.github.io/Logging_222283/klagomålsmail/A 22214-2025 FSC-klagomål mail.docx", "A 22214-2025")</f>
        <v/>
      </c>
      <c r="X536">
        <f>HYPERLINK("https://klasma.github.io/Logging_222283/tillsyn/A 22214-2025 tillsynsbegäran.docx", "A 22214-2025")</f>
        <v/>
      </c>
      <c r="Y536">
        <f>HYPERLINK("https://klasma.github.io/Logging_222283/tillsynsmail/A 22214-2025 tillsynsbegäran mail.docx", "A 22214-2025")</f>
        <v/>
      </c>
    </row>
    <row r="537" ht="15" customHeight="1">
      <c r="A537" t="inlineStr">
        <is>
          <t>A 22428-2025</t>
        </is>
      </c>
      <c r="B537" s="1" t="n">
        <v>45786</v>
      </c>
      <c r="C537" s="1" t="n">
        <v>45822</v>
      </c>
      <c r="D537" t="inlineStr">
        <is>
          <t>VÄSTERNORRLANDS LÄN</t>
        </is>
      </c>
      <c r="E537" t="inlineStr">
        <is>
          <t>SOLLEFTEÅ</t>
        </is>
      </c>
      <c r="G537" t="n">
        <v>11.6</v>
      </c>
      <c r="H537" t="n">
        <v>1</v>
      </c>
      <c r="I537" t="n">
        <v>0</v>
      </c>
      <c r="J537" t="n">
        <v>1</v>
      </c>
      <c r="K537" t="n">
        <v>0</v>
      </c>
      <c r="L537" t="n">
        <v>0</v>
      </c>
      <c r="M537" t="n">
        <v>0</v>
      </c>
      <c r="N537" t="n">
        <v>0</v>
      </c>
      <c r="O537" t="n">
        <v>1</v>
      </c>
      <c r="P537" t="n">
        <v>0</v>
      </c>
      <c r="Q537" t="n">
        <v>1</v>
      </c>
      <c r="R537" s="2" t="inlineStr">
        <is>
          <t>Tretåig hackspett</t>
        </is>
      </c>
      <c r="S537">
        <f>HYPERLINK("https://klasma.github.io/Logging_222283/artfynd/A 22428-2025 artfynd.xlsx", "A 22428-2025")</f>
        <v/>
      </c>
      <c r="T537">
        <f>HYPERLINK("https://klasma.github.io/Logging_222283/kartor/A 22428-2025 karta.png", "A 22428-2025")</f>
        <v/>
      </c>
      <c r="V537">
        <f>HYPERLINK("https://klasma.github.io/Logging_222283/klagomål/A 22428-2025 FSC-klagomål.docx", "A 22428-2025")</f>
        <v/>
      </c>
      <c r="W537">
        <f>HYPERLINK("https://klasma.github.io/Logging_222283/klagomålsmail/A 22428-2025 FSC-klagomål mail.docx", "A 22428-2025")</f>
        <v/>
      </c>
      <c r="X537">
        <f>HYPERLINK("https://klasma.github.io/Logging_222283/tillsyn/A 22428-2025 tillsynsbegäran.docx", "A 22428-2025")</f>
        <v/>
      </c>
      <c r="Y537">
        <f>HYPERLINK("https://klasma.github.io/Logging_222283/tillsynsmail/A 22428-2025 tillsynsbegäran mail.docx", "A 22428-2025")</f>
        <v/>
      </c>
      <c r="Z537">
        <f>HYPERLINK("https://klasma.github.io/Logging_222283/fåglar/A 22428-2025 prioriterade fågelarter.docx", "A 22428-2025")</f>
        <v/>
      </c>
    </row>
    <row r="538" ht="15" customHeight="1">
      <c r="A538" t="inlineStr">
        <is>
          <t>A 22345-2025</t>
        </is>
      </c>
      <c r="B538" s="1" t="n">
        <v>45786</v>
      </c>
      <c r="C538" s="1" t="n">
        <v>45822</v>
      </c>
      <c r="D538" t="inlineStr">
        <is>
          <t>VÄSTERNORRLANDS LÄN</t>
        </is>
      </c>
      <c r="E538" t="inlineStr">
        <is>
          <t>SOLLEFTEÅ</t>
        </is>
      </c>
      <c r="F538" t="inlineStr">
        <is>
          <t>SCA</t>
        </is>
      </c>
      <c r="G538" t="n">
        <v>7.2</v>
      </c>
      <c r="H538" t="n">
        <v>0</v>
      </c>
      <c r="I538" t="n">
        <v>0</v>
      </c>
      <c r="J538" t="n">
        <v>1</v>
      </c>
      <c r="K538" t="n">
        <v>0</v>
      </c>
      <c r="L538" t="n">
        <v>0</v>
      </c>
      <c r="M538" t="n">
        <v>0</v>
      </c>
      <c r="N538" t="n">
        <v>0</v>
      </c>
      <c r="O538" t="n">
        <v>1</v>
      </c>
      <c r="P538" t="n">
        <v>0</v>
      </c>
      <c r="Q538" t="n">
        <v>1</v>
      </c>
      <c r="R538" s="2" t="inlineStr">
        <is>
          <t>Gammelgransskål</t>
        </is>
      </c>
      <c r="S538">
        <f>HYPERLINK("https://klasma.github.io/Logging_222283/artfynd/A 22345-2025 artfynd.xlsx", "A 22345-2025")</f>
        <v/>
      </c>
      <c r="T538">
        <f>HYPERLINK("https://klasma.github.io/Logging_222283/kartor/A 22345-2025 karta.png", "A 22345-2025")</f>
        <v/>
      </c>
      <c r="V538">
        <f>HYPERLINK("https://klasma.github.io/Logging_222283/klagomål/A 22345-2025 FSC-klagomål.docx", "A 22345-2025")</f>
        <v/>
      </c>
      <c r="W538">
        <f>HYPERLINK("https://klasma.github.io/Logging_222283/klagomålsmail/A 22345-2025 FSC-klagomål mail.docx", "A 22345-2025")</f>
        <v/>
      </c>
      <c r="X538">
        <f>HYPERLINK("https://klasma.github.io/Logging_222283/tillsyn/A 22345-2025 tillsynsbegäran.docx", "A 22345-2025")</f>
        <v/>
      </c>
      <c r="Y538">
        <f>HYPERLINK("https://klasma.github.io/Logging_222283/tillsynsmail/A 22345-2025 tillsynsbegäran mail.docx", "A 22345-2025")</f>
        <v/>
      </c>
    </row>
    <row r="539" ht="15" customHeight="1">
      <c r="A539" t="inlineStr">
        <is>
          <t>A 22517-2025</t>
        </is>
      </c>
      <c r="B539" s="1" t="n">
        <v>45786</v>
      </c>
      <c r="C539" s="1" t="n">
        <v>45822</v>
      </c>
      <c r="D539" t="inlineStr">
        <is>
          <t>VÄSTERNORRLANDS LÄN</t>
        </is>
      </c>
      <c r="E539" t="inlineStr">
        <is>
          <t>SOLLEFTEÅ</t>
        </is>
      </c>
      <c r="F539" t="inlineStr">
        <is>
          <t>SCA</t>
        </is>
      </c>
      <c r="G539" t="n">
        <v>3.7</v>
      </c>
      <c r="H539" t="n">
        <v>0</v>
      </c>
      <c r="I539" t="n">
        <v>0</v>
      </c>
      <c r="J539" t="n">
        <v>1</v>
      </c>
      <c r="K539" t="n">
        <v>0</v>
      </c>
      <c r="L539" t="n">
        <v>0</v>
      </c>
      <c r="M539" t="n">
        <v>0</v>
      </c>
      <c r="N539" t="n">
        <v>0</v>
      </c>
      <c r="O539" t="n">
        <v>1</v>
      </c>
      <c r="P539" t="n">
        <v>0</v>
      </c>
      <c r="Q539" t="n">
        <v>1</v>
      </c>
      <c r="R539" s="2" t="inlineStr">
        <is>
          <t>Garnlav</t>
        </is>
      </c>
      <c r="S539">
        <f>HYPERLINK("https://klasma.github.io/Logging_222283/artfynd/A 22517-2025 artfynd.xlsx", "A 22517-2025")</f>
        <v/>
      </c>
      <c r="T539">
        <f>HYPERLINK("https://klasma.github.io/Logging_222283/kartor/A 22517-2025 karta.png", "A 22517-2025")</f>
        <v/>
      </c>
      <c r="V539">
        <f>HYPERLINK("https://klasma.github.io/Logging_222283/klagomål/A 22517-2025 FSC-klagomål.docx", "A 22517-2025")</f>
        <v/>
      </c>
      <c r="W539">
        <f>HYPERLINK("https://klasma.github.io/Logging_222283/klagomålsmail/A 22517-2025 FSC-klagomål mail.docx", "A 22517-2025")</f>
        <v/>
      </c>
      <c r="X539">
        <f>HYPERLINK("https://klasma.github.io/Logging_222283/tillsyn/A 22517-2025 tillsynsbegäran.docx", "A 22517-2025")</f>
        <v/>
      </c>
      <c r="Y539">
        <f>HYPERLINK("https://klasma.github.io/Logging_222283/tillsynsmail/A 22517-2025 tillsynsbegäran mail.docx", "A 22517-2025")</f>
        <v/>
      </c>
    </row>
    <row r="540" ht="15" customHeight="1">
      <c r="A540" t="inlineStr">
        <is>
          <t>A 22776-2025</t>
        </is>
      </c>
      <c r="B540" s="1" t="n">
        <v>45789</v>
      </c>
      <c r="C540" s="1" t="n">
        <v>45822</v>
      </c>
      <c r="D540" t="inlineStr">
        <is>
          <t>VÄSTERNORRLANDS LÄN</t>
        </is>
      </c>
      <c r="E540" t="inlineStr">
        <is>
          <t>SOLLEFTEÅ</t>
        </is>
      </c>
      <c r="F540" t="inlineStr">
        <is>
          <t>SCA</t>
        </is>
      </c>
      <c r="G540" t="n">
        <v>5.2</v>
      </c>
      <c r="H540" t="n">
        <v>1</v>
      </c>
      <c r="I540" t="n">
        <v>0</v>
      </c>
      <c r="J540" t="n">
        <v>0</v>
      </c>
      <c r="K540" t="n">
        <v>1</v>
      </c>
      <c r="L540" t="n">
        <v>0</v>
      </c>
      <c r="M540" t="n">
        <v>0</v>
      </c>
      <c r="N540" t="n">
        <v>0</v>
      </c>
      <c r="O540" t="n">
        <v>1</v>
      </c>
      <c r="P540" t="n">
        <v>1</v>
      </c>
      <c r="Q540" t="n">
        <v>1</v>
      </c>
      <c r="R540" s="2" t="inlineStr">
        <is>
          <t>Doftticka</t>
        </is>
      </c>
      <c r="S540">
        <f>HYPERLINK("https://klasma.github.io/Logging_222283/artfynd/A 22776-2025 artfynd.xlsx", "A 22776-2025")</f>
        <v/>
      </c>
      <c r="T540">
        <f>HYPERLINK("https://klasma.github.io/Logging_222283/kartor/A 22776-2025 karta.png", "A 22776-2025")</f>
        <v/>
      </c>
      <c r="V540">
        <f>HYPERLINK("https://klasma.github.io/Logging_222283/klagomål/A 22776-2025 FSC-klagomål.docx", "A 22776-2025")</f>
        <v/>
      </c>
      <c r="W540">
        <f>HYPERLINK("https://klasma.github.io/Logging_222283/klagomålsmail/A 22776-2025 FSC-klagomål mail.docx", "A 22776-2025")</f>
        <v/>
      </c>
      <c r="X540">
        <f>HYPERLINK("https://klasma.github.io/Logging_222283/tillsyn/A 22776-2025 tillsynsbegäran.docx", "A 22776-2025")</f>
        <v/>
      </c>
      <c r="Y540">
        <f>HYPERLINK("https://klasma.github.io/Logging_222283/tillsynsmail/A 22776-2025 tillsynsbegäran mail.docx", "A 22776-2025")</f>
        <v/>
      </c>
    </row>
    <row r="541" ht="15" customHeight="1">
      <c r="A541" t="inlineStr">
        <is>
          <t>A 22768-2025</t>
        </is>
      </c>
      <c r="B541" s="1" t="n">
        <v>45789</v>
      </c>
      <c r="C541" s="1" t="n">
        <v>45822</v>
      </c>
      <c r="D541" t="inlineStr">
        <is>
          <t>VÄSTERNORRLANDS LÄN</t>
        </is>
      </c>
      <c r="E541" t="inlineStr">
        <is>
          <t>SOLLEFTEÅ</t>
        </is>
      </c>
      <c r="G541" t="n">
        <v>1.9</v>
      </c>
      <c r="H541" t="n">
        <v>0</v>
      </c>
      <c r="I541" t="n">
        <v>0</v>
      </c>
      <c r="J541" t="n">
        <v>1</v>
      </c>
      <c r="K541" t="n">
        <v>0</v>
      </c>
      <c r="L541" t="n">
        <v>0</v>
      </c>
      <c r="M541" t="n">
        <v>0</v>
      </c>
      <c r="N541" t="n">
        <v>0</v>
      </c>
      <c r="O541" t="n">
        <v>1</v>
      </c>
      <c r="P541" t="n">
        <v>0</v>
      </c>
      <c r="Q541" t="n">
        <v>1</v>
      </c>
      <c r="R541" s="2" t="inlineStr">
        <is>
          <t>Granticka</t>
        </is>
      </c>
      <c r="S541">
        <f>HYPERLINK("https://klasma.github.io/Logging_222283/artfynd/A 22768-2025 artfynd.xlsx", "A 22768-2025")</f>
        <v/>
      </c>
      <c r="T541">
        <f>HYPERLINK("https://klasma.github.io/Logging_222283/kartor/A 22768-2025 karta.png", "A 22768-2025")</f>
        <v/>
      </c>
      <c r="V541">
        <f>HYPERLINK("https://klasma.github.io/Logging_222283/klagomål/A 22768-2025 FSC-klagomål.docx", "A 22768-2025")</f>
        <v/>
      </c>
      <c r="W541">
        <f>HYPERLINK("https://klasma.github.io/Logging_222283/klagomålsmail/A 22768-2025 FSC-klagomål mail.docx", "A 22768-2025")</f>
        <v/>
      </c>
      <c r="X541">
        <f>HYPERLINK("https://klasma.github.io/Logging_222283/tillsyn/A 22768-2025 tillsynsbegäran.docx", "A 22768-2025")</f>
        <v/>
      </c>
      <c r="Y541">
        <f>HYPERLINK("https://klasma.github.io/Logging_222283/tillsynsmail/A 22768-2025 tillsynsbegäran mail.docx", "A 22768-2025")</f>
        <v/>
      </c>
    </row>
    <row r="542" ht="15" customHeight="1">
      <c r="A542" t="inlineStr">
        <is>
          <t>A 23169-2025</t>
        </is>
      </c>
      <c r="B542" s="1" t="n">
        <v>45791</v>
      </c>
      <c r="C542" s="1" t="n">
        <v>45822</v>
      </c>
      <c r="D542" t="inlineStr">
        <is>
          <t>VÄSTERNORRLANDS LÄN</t>
        </is>
      </c>
      <c r="E542" t="inlineStr">
        <is>
          <t>SOLLEFTEÅ</t>
        </is>
      </c>
      <c r="F542" t="inlineStr">
        <is>
          <t>SCA</t>
        </is>
      </c>
      <c r="G542" t="n">
        <v>1.8</v>
      </c>
      <c r="H542" t="n">
        <v>1</v>
      </c>
      <c r="I542" t="n">
        <v>0</v>
      </c>
      <c r="J542" t="n">
        <v>1</v>
      </c>
      <c r="K542" t="n">
        <v>0</v>
      </c>
      <c r="L542" t="n">
        <v>0</v>
      </c>
      <c r="M542" t="n">
        <v>0</v>
      </c>
      <c r="N542" t="n">
        <v>0</v>
      </c>
      <c r="O542" t="n">
        <v>1</v>
      </c>
      <c r="P542" t="n">
        <v>0</v>
      </c>
      <c r="Q542" t="n">
        <v>1</v>
      </c>
      <c r="R542" s="2" t="inlineStr">
        <is>
          <t>Järpe</t>
        </is>
      </c>
      <c r="S542">
        <f>HYPERLINK("https://klasma.github.io/Logging_222283/artfynd/A 23169-2025 artfynd.xlsx", "A 23169-2025")</f>
        <v/>
      </c>
      <c r="T542">
        <f>HYPERLINK("https://klasma.github.io/Logging_222283/kartor/A 23169-2025 karta.png", "A 23169-2025")</f>
        <v/>
      </c>
      <c r="V542">
        <f>HYPERLINK("https://klasma.github.io/Logging_222283/klagomål/A 23169-2025 FSC-klagomål.docx", "A 23169-2025")</f>
        <v/>
      </c>
      <c r="W542">
        <f>HYPERLINK("https://klasma.github.io/Logging_222283/klagomålsmail/A 23169-2025 FSC-klagomål mail.docx", "A 23169-2025")</f>
        <v/>
      </c>
      <c r="X542">
        <f>HYPERLINK("https://klasma.github.io/Logging_222283/tillsyn/A 23169-2025 tillsynsbegäran.docx", "A 23169-2025")</f>
        <v/>
      </c>
      <c r="Y542">
        <f>HYPERLINK("https://klasma.github.io/Logging_222283/tillsynsmail/A 23169-2025 tillsynsbegäran mail.docx", "A 23169-2025")</f>
        <v/>
      </c>
      <c r="Z542">
        <f>HYPERLINK("https://klasma.github.io/Logging_222283/fåglar/A 23169-2025 prioriterade fågelarter.docx", "A 23169-2025")</f>
        <v/>
      </c>
    </row>
    <row r="543" ht="15" customHeight="1">
      <c r="A543" t="inlineStr">
        <is>
          <t>A 26501-2025</t>
        </is>
      </c>
      <c r="B543" s="1" t="n">
        <v>45807</v>
      </c>
      <c r="C543" s="1" t="n">
        <v>45822</v>
      </c>
      <c r="D543" t="inlineStr">
        <is>
          <t>VÄSTERNORRLANDS LÄN</t>
        </is>
      </c>
      <c r="E543" t="inlineStr">
        <is>
          <t>SOLLEFTEÅ</t>
        </is>
      </c>
      <c r="F543" t="inlineStr">
        <is>
          <t>SCA</t>
        </is>
      </c>
      <c r="G543" t="n">
        <v>3.9</v>
      </c>
      <c r="H543" t="n">
        <v>0</v>
      </c>
      <c r="I543" t="n">
        <v>0</v>
      </c>
      <c r="J543" t="n">
        <v>1</v>
      </c>
      <c r="K543" t="n">
        <v>0</v>
      </c>
      <c r="L543" t="n">
        <v>0</v>
      </c>
      <c r="M543" t="n">
        <v>0</v>
      </c>
      <c r="N543" t="n">
        <v>0</v>
      </c>
      <c r="O543" t="n">
        <v>1</v>
      </c>
      <c r="P543" t="n">
        <v>0</v>
      </c>
      <c r="Q543" t="n">
        <v>1</v>
      </c>
      <c r="R543" s="2" t="inlineStr">
        <is>
          <t>Vedflikmossa</t>
        </is>
      </c>
      <c r="S543">
        <f>HYPERLINK("https://klasma.github.io/Logging_222283/artfynd/A 26501-2025 artfynd.xlsx", "A 26501-2025")</f>
        <v/>
      </c>
      <c r="T543">
        <f>HYPERLINK("https://klasma.github.io/Logging_222283/kartor/A 26501-2025 karta.png", "A 26501-2025")</f>
        <v/>
      </c>
      <c r="V543">
        <f>HYPERLINK("https://klasma.github.io/Logging_222283/klagomål/A 26501-2025 FSC-klagomål.docx", "A 26501-2025")</f>
        <v/>
      </c>
      <c r="W543">
        <f>HYPERLINK("https://klasma.github.io/Logging_222283/klagomålsmail/A 26501-2025 FSC-klagomål mail.docx", "A 26501-2025")</f>
        <v/>
      </c>
      <c r="X543">
        <f>HYPERLINK("https://klasma.github.io/Logging_222283/tillsyn/A 26501-2025 tillsynsbegäran.docx", "A 26501-2025")</f>
        <v/>
      </c>
      <c r="Y543">
        <f>HYPERLINK("https://klasma.github.io/Logging_222283/tillsynsmail/A 26501-2025 tillsynsbegäran mail.docx", "A 26501-2025")</f>
        <v/>
      </c>
    </row>
    <row r="544" ht="15" customHeight="1">
      <c r="A544" t="inlineStr">
        <is>
          <t>A 27460-2025</t>
        </is>
      </c>
      <c r="B544" s="1" t="n">
        <v>45813</v>
      </c>
      <c r="C544" s="1" t="n">
        <v>45822</v>
      </c>
      <c r="D544" t="inlineStr">
        <is>
          <t>VÄSTERNORRLANDS LÄN</t>
        </is>
      </c>
      <c r="E544" t="inlineStr">
        <is>
          <t>SOLLEFTEÅ</t>
        </is>
      </c>
      <c r="F544" t="inlineStr">
        <is>
          <t>SCA</t>
        </is>
      </c>
      <c r="G544" t="n">
        <v>15.7</v>
      </c>
      <c r="H544" t="n">
        <v>1</v>
      </c>
      <c r="I544" t="n">
        <v>0</v>
      </c>
      <c r="J544" t="n">
        <v>1</v>
      </c>
      <c r="K544" t="n">
        <v>0</v>
      </c>
      <c r="L544" t="n">
        <v>0</v>
      </c>
      <c r="M544" t="n">
        <v>0</v>
      </c>
      <c r="N544" t="n">
        <v>0</v>
      </c>
      <c r="O544" t="n">
        <v>1</v>
      </c>
      <c r="P544" t="n">
        <v>0</v>
      </c>
      <c r="Q544" t="n">
        <v>1</v>
      </c>
      <c r="R544" s="2" t="inlineStr">
        <is>
          <t>Tretåig hackspett</t>
        </is>
      </c>
      <c r="S544">
        <f>HYPERLINK("https://klasma.github.io/Logging_222283/artfynd/A 27460-2025 artfynd.xlsx", "A 27460-2025")</f>
        <v/>
      </c>
      <c r="T544">
        <f>HYPERLINK("https://klasma.github.io/Logging_222283/kartor/A 27460-2025 karta.png", "A 27460-2025")</f>
        <v/>
      </c>
      <c r="V544">
        <f>HYPERLINK("https://klasma.github.io/Logging_222283/klagomål/A 27460-2025 FSC-klagomål.docx", "A 27460-2025")</f>
        <v/>
      </c>
      <c r="W544">
        <f>HYPERLINK("https://klasma.github.io/Logging_222283/klagomålsmail/A 27460-2025 FSC-klagomål mail.docx", "A 27460-2025")</f>
        <v/>
      </c>
      <c r="X544">
        <f>HYPERLINK("https://klasma.github.io/Logging_222283/tillsyn/A 27460-2025 tillsynsbegäran.docx", "A 27460-2025")</f>
        <v/>
      </c>
      <c r="Y544">
        <f>HYPERLINK("https://klasma.github.io/Logging_222283/tillsynsmail/A 27460-2025 tillsynsbegäran mail.docx", "A 27460-2025")</f>
        <v/>
      </c>
      <c r="Z544">
        <f>HYPERLINK("https://klasma.github.io/Logging_222283/fåglar/A 27460-2025 prioriterade fågelarter.docx", "A 27460-2025")</f>
        <v/>
      </c>
    </row>
    <row r="545" ht="15" customHeight="1">
      <c r="A545" t="inlineStr">
        <is>
          <t>A 18277-2019</t>
        </is>
      </c>
      <c r="B545" s="1" t="n">
        <v>43557</v>
      </c>
      <c r="C545" s="1" t="n">
        <v>45822</v>
      </c>
      <c r="D545" t="inlineStr">
        <is>
          <t>VÄSTERNORRLANDS LÄN</t>
        </is>
      </c>
      <c r="E545" t="inlineStr">
        <is>
          <t>SOLLEFTEÅ</t>
        </is>
      </c>
      <c r="G545" t="n">
        <v>6.2</v>
      </c>
      <c r="H545" t="n">
        <v>0</v>
      </c>
      <c r="I545" t="n">
        <v>0</v>
      </c>
      <c r="J545" t="n">
        <v>0</v>
      </c>
      <c r="K545" t="n">
        <v>0</v>
      </c>
      <c r="L545" t="n">
        <v>0</v>
      </c>
      <c r="M545" t="n">
        <v>0</v>
      </c>
      <c r="N545" t="n">
        <v>0</v>
      </c>
      <c r="O545" t="n">
        <v>0</v>
      </c>
      <c r="P545" t="n">
        <v>0</v>
      </c>
      <c r="Q545" t="n">
        <v>0</v>
      </c>
      <c r="R545" s="2" t="inlineStr"/>
    </row>
    <row r="546" ht="15" customHeight="1">
      <c r="A546" t="inlineStr">
        <is>
          <t>A 18578-2019</t>
        </is>
      </c>
      <c r="B546" s="1" t="n">
        <v>43558</v>
      </c>
      <c r="C546" s="1" t="n">
        <v>45822</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18925-2019</t>
        </is>
      </c>
      <c r="B547" s="1" t="n">
        <v>43563</v>
      </c>
      <c r="C547" s="1" t="n">
        <v>45822</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19123-2019</t>
        </is>
      </c>
      <c r="B548" s="1" t="n">
        <v>43564</v>
      </c>
      <c r="C548" s="1" t="n">
        <v>45822</v>
      </c>
      <c r="D548" t="inlineStr">
        <is>
          <t>VÄSTERNORRLANDS LÄN</t>
        </is>
      </c>
      <c r="E548" t="inlineStr">
        <is>
          <t>SOLLEFTEÅ</t>
        </is>
      </c>
      <c r="G548" t="n">
        <v>9.4</v>
      </c>
      <c r="H548" t="n">
        <v>0</v>
      </c>
      <c r="I548" t="n">
        <v>0</v>
      </c>
      <c r="J548" t="n">
        <v>0</v>
      </c>
      <c r="K548" t="n">
        <v>0</v>
      </c>
      <c r="L548" t="n">
        <v>0</v>
      </c>
      <c r="M548" t="n">
        <v>0</v>
      </c>
      <c r="N548" t="n">
        <v>0</v>
      </c>
      <c r="O548" t="n">
        <v>0</v>
      </c>
      <c r="P548" t="n">
        <v>0</v>
      </c>
      <c r="Q548" t="n">
        <v>0</v>
      </c>
      <c r="R548" s="2" t="inlineStr"/>
    </row>
    <row r="549" ht="15" customHeight="1">
      <c r="A549" t="inlineStr">
        <is>
          <t>A 19219-2019</t>
        </is>
      </c>
      <c r="B549" s="1" t="n">
        <v>43564</v>
      </c>
      <c r="C549" s="1" t="n">
        <v>45822</v>
      </c>
      <c r="D549" t="inlineStr">
        <is>
          <t>VÄSTERNORRLANDS LÄN</t>
        </is>
      </c>
      <c r="E549" t="inlineStr">
        <is>
          <t>SOLLEFTEÅ</t>
        </is>
      </c>
      <c r="G549" t="n">
        <v>37</v>
      </c>
      <c r="H549" t="n">
        <v>0</v>
      </c>
      <c r="I549" t="n">
        <v>0</v>
      </c>
      <c r="J549" t="n">
        <v>0</v>
      </c>
      <c r="K549" t="n">
        <v>0</v>
      </c>
      <c r="L549" t="n">
        <v>0</v>
      </c>
      <c r="M549" t="n">
        <v>0</v>
      </c>
      <c r="N549" t="n">
        <v>0</v>
      </c>
      <c r="O549" t="n">
        <v>0</v>
      </c>
      <c r="P549" t="n">
        <v>0</v>
      </c>
      <c r="Q549" t="n">
        <v>0</v>
      </c>
      <c r="R549" s="2" t="inlineStr"/>
    </row>
    <row r="550" ht="15" customHeight="1">
      <c r="A550" t="inlineStr">
        <is>
          <t>A 19553-2019</t>
        </is>
      </c>
      <c r="B550" s="1" t="n">
        <v>43565</v>
      </c>
      <c r="C550" s="1" t="n">
        <v>45822</v>
      </c>
      <c r="D550" t="inlineStr">
        <is>
          <t>VÄSTERNORRLANDS LÄN</t>
        </is>
      </c>
      <c r="E550" t="inlineStr">
        <is>
          <t>SOLLEFTEÅ</t>
        </is>
      </c>
      <c r="G550" t="n">
        <v>28.1</v>
      </c>
      <c r="H550" t="n">
        <v>0</v>
      </c>
      <c r="I550" t="n">
        <v>0</v>
      </c>
      <c r="J550" t="n">
        <v>0</v>
      </c>
      <c r="K550" t="n">
        <v>0</v>
      </c>
      <c r="L550" t="n">
        <v>0</v>
      </c>
      <c r="M550" t="n">
        <v>0</v>
      </c>
      <c r="N550" t="n">
        <v>0</v>
      </c>
      <c r="O550" t="n">
        <v>0</v>
      </c>
      <c r="P550" t="n">
        <v>0</v>
      </c>
      <c r="Q550" t="n">
        <v>0</v>
      </c>
      <c r="R550" s="2" t="inlineStr"/>
    </row>
    <row r="551" ht="15" customHeight="1">
      <c r="A551" t="inlineStr">
        <is>
          <t>A 19730-2019</t>
        </is>
      </c>
      <c r="B551" s="1" t="n">
        <v>43566</v>
      </c>
      <c r="C551" s="1" t="n">
        <v>45822</v>
      </c>
      <c r="D551" t="inlineStr">
        <is>
          <t>VÄSTERNORRLANDS LÄN</t>
        </is>
      </c>
      <c r="E551" t="inlineStr">
        <is>
          <t>SOLLEFTEÅ</t>
        </is>
      </c>
      <c r="G551" t="n">
        <v>2</v>
      </c>
      <c r="H551" t="n">
        <v>0</v>
      </c>
      <c r="I551" t="n">
        <v>0</v>
      </c>
      <c r="J551" t="n">
        <v>0</v>
      </c>
      <c r="K551" t="n">
        <v>0</v>
      </c>
      <c r="L551" t="n">
        <v>0</v>
      </c>
      <c r="M551" t="n">
        <v>0</v>
      </c>
      <c r="N551" t="n">
        <v>0</v>
      </c>
      <c r="O551" t="n">
        <v>0</v>
      </c>
      <c r="P551" t="n">
        <v>0</v>
      </c>
      <c r="Q551" t="n">
        <v>0</v>
      </c>
      <c r="R551" s="2" t="inlineStr"/>
    </row>
    <row r="552" ht="15" customHeight="1">
      <c r="A552" t="inlineStr">
        <is>
          <t>A 19595-2019</t>
        </is>
      </c>
      <c r="B552" s="1" t="n">
        <v>43566</v>
      </c>
      <c r="C552" s="1" t="n">
        <v>45822</v>
      </c>
      <c r="D552" t="inlineStr">
        <is>
          <t>VÄSTERNORRLANDS LÄN</t>
        </is>
      </c>
      <c r="E552" t="inlineStr">
        <is>
          <t>SOLLEFTEÅ</t>
        </is>
      </c>
      <c r="F552" t="inlineStr">
        <is>
          <t>Kyrkan</t>
        </is>
      </c>
      <c r="G552" t="n">
        <v>2.5</v>
      </c>
      <c r="H552" t="n">
        <v>0</v>
      </c>
      <c r="I552" t="n">
        <v>0</v>
      </c>
      <c r="J552" t="n">
        <v>0</v>
      </c>
      <c r="K552" t="n">
        <v>0</v>
      </c>
      <c r="L552" t="n">
        <v>0</v>
      </c>
      <c r="M552" t="n">
        <v>0</v>
      </c>
      <c r="N552" t="n">
        <v>0</v>
      </c>
      <c r="O552" t="n">
        <v>0</v>
      </c>
      <c r="P552" t="n">
        <v>0</v>
      </c>
      <c r="Q552" t="n">
        <v>0</v>
      </c>
      <c r="R552" s="2" t="inlineStr"/>
    </row>
    <row r="553" ht="15" customHeight="1">
      <c r="A553" t="inlineStr">
        <is>
          <t>A 19732-2019</t>
        </is>
      </c>
      <c r="B553" s="1" t="n">
        <v>43566</v>
      </c>
      <c r="C553" s="1" t="n">
        <v>45822</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19731-2019</t>
        </is>
      </c>
      <c r="B554" s="1" t="n">
        <v>43566</v>
      </c>
      <c r="C554" s="1" t="n">
        <v>45822</v>
      </c>
      <c r="D554" t="inlineStr">
        <is>
          <t>VÄSTERNORRLANDS LÄN</t>
        </is>
      </c>
      <c r="E554" t="inlineStr">
        <is>
          <t>SOLLEFTEÅ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20201-2019</t>
        </is>
      </c>
      <c r="B555" s="1" t="n">
        <v>43570</v>
      </c>
      <c r="C555" s="1" t="n">
        <v>45822</v>
      </c>
      <c r="D555" t="inlineStr">
        <is>
          <t>VÄSTERNORRLANDS LÄN</t>
        </is>
      </c>
      <c r="E555" t="inlineStr">
        <is>
          <t>SOLLEFTEÅ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20198-2019</t>
        </is>
      </c>
      <c r="B556" s="1" t="n">
        <v>43570</v>
      </c>
      <c r="C556" s="1" t="n">
        <v>45822</v>
      </c>
      <c r="D556" t="inlineStr">
        <is>
          <t>VÄSTERNORRLANDS LÄN</t>
        </is>
      </c>
      <c r="E556" t="inlineStr">
        <is>
          <t>SOLLEFTEÅ</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20200-2019</t>
        </is>
      </c>
      <c r="B557" s="1" t="n">
        <v>43570</v>
      </c>
      <c r="C557" s="1" t="n">
        <v>45822</v>
      </c>
      <c r="D557" t="inlineStr">
        <is>
          <t>VÄSTERNORRLANDS LÄN</t>
        </is>
      </c>
      <c r="E557" t="inlineStr">
        <is>
          <t>SOLLEFTEÅ</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20444-2019</t>
        </is>
      </c>
      <c r="B558" s="1" t="n">
        <v>43571</v>
      </c>
      <c r="C558" s="1" t="n">
        <v>45822</v>
      </c>
      <c r="D558" t="inlineStr">
        <is>
          <t>VÄSTERNORRLANDS LÄN</t>
        </is>
      </c>
      <c r="E558" t="inlineStr">
        <is>
          <t>SOLLEFTEÅ</t>
        </is>
      </c>
      <c r="G558" t="n">
        <v>2.9</v>
      </c>
      <c r="H558" t="n">
        <v>0</v>
      </c>
      <c r="I558" t="n">
        <v>0</v>
      </c>
      <c r="J558" t="n">
        <v>0</v>
      </c>
      <c r="K558" t="n">
        <v>0</v>
      </c>
      <c r="L558" t="n">
        <v>0</v>
      </c>
      <c r="M558" t="n">
        <v>0</v>
      </c>
      <c r="N558" t="n">
        <v>0</v>
      </c>
      <c r="O558" t="n">
        <v>0</v>
      </c>
      <c r="P558" t="n">
        <v>0</v>
      </c>
      <c r="Q558" t="n">
        <v>0</v>
      </c>
      <c r="R558" s="2" t="inlineStr"/>
    </row>
    <row r="559" ht="15" customHeight="1">
      <c r="A559" t="inlineStr">
        <is>
          <t>A 20649-2019</t>
        </is>
      </c>
      <c r="B559" s="1" t="n">
        <v>43572</v>
      </c>
      <c r="C559" s="1" t="n">
        <v>45822</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20648-2019</t>
        </is>
      </c>
      <c r="B560" s="1" t="n">
        <v>43572</v>
      </c>
      <c r="C560" s="1" t="n">
        <v>45822</v>
      </c>
      <c r="D560" t="inlineStr">
        <is>
          <t>VÄSTERNORRLANDS LÄN</t>
        </is>
      </c>
      <c r="E560" t="inlineStr">
        <is>
          <t>SOLLEFTEÅ</t>
        </is>
      </c>
      <c r="G560" t="n">
        <v>3.9</v>
      </c>
      <c r="H560" t="n">
        <v>0</v>
      </c>
      <c r="I560" t="n">
        <v>0</v>
      </c>
      <c r="J560" t="n">
        <v>0</v>
      </c>
      <c r="K560" t="n">
        <v>0</v>
      </c>
      <c r="L560" t="n">
        <v>0</v>
      </c>
      <c r="M560" t="n">
        <v>0</v>
      </c>
      <c r="N560" t="n">
        <v>0</v>
      </c>
      <c r="O560" t="n">
        <v>0</v>
      </c>
      <c r="P560" t="n">
        <v>0</v>
      </c>
      <c r="Q560" t="n">
        <v>0</v>
      </c>
      <c r="R560" s="2" t="inlineStr"/>
    </row>
    <row r="561" ht="15" customHeight="1">
      <c r="A561" t="inlineStr">
        <is>
          <t>A 21119-2019</t>
        </is>
      </c>
      <c r="B561" s="1" t="n">
        <v>43578</v>
      </c>
      <c r="C561" s="1" t="n">
        <v>45822</v>
      </c>
      <c r="D561" t="inlineStr">
        <is>
          <t>VÄSTERNORRLANDS LÄN</t>
        </is>
      </c>
      <c r="E561" t="inlineStr">
        <is>
          <t>SOLLEFTEÅ</t>
        </is>
      </c>
      <c r="F561" t="inlineStr">
        <is>
          <t>SCA</t>
        </is>
      </c>
      <c r="G561" t="n">
        <v>57.7</v>
      </c>
      <c r="H561" t="n">
        <v>0</v>
      </c>
      <c r="I561" t="n">
        <v>0</v>
      </c>
      <c r="J561" t="n">
        <v>0</v>
      </c>
      <c r="K561" t="n">
        <v>0</v>
      </c>
      <c r="L561" t="n">
        <v>0</v>
      </c>
      <c r="M561" t="n">
        <v>0</v>
      </c>
      <c r="N561" t="n">
        <v>0</v>
      </c>
      <c r="O561" t="n">
        <v>0</v>
      </c>
      <c r="P561" t="n">
        <v>0</v>
      </c>
      <c r="Q561" t="n">
        <v>0</v>
      </c>
      <c r="R561" s="2" t="inlineStr"/>
    </row>
    <row r="562" ht="15" customHeight="1">
      <c r="A562" t="inlineStr">
        <is>
          <t>A 21526-2019</t>
        </is>
      </c>
      <c r="B562" s="1" t="n">
        <v>43580</v>
      </c>
      <c r="C562" s="1" t="n">
        <v>45822</v>
      </c>
      <c r="D562" t="inlineStr">
        <is>
          <t>VÄSTERNORRLANDS LÄN</t>
        </is>
      </c>
      <c r="E562" t="inlineStr">
        <is>
          <t>SOLLEFTEÅ</t>
        </is>
      </c>
      <c r="G562" t="n">
        <v>3.1</v>
      </c>
      <c r="H562" t="n">
        <v>0</v>
      </c>
      <c r="I562" t="n">
        <v>0</v>
      </c>
      <c r="J562" t="n">
        <v>0</v>
      </c>
      <c r="K562" t="n">
        <v>0</v>
      </c>
      <c r="L562" t="n">
        <v>0</v>
      </c>
      <c r="M562" t="n">
        <v>0</v>
      </c>
      <c r="N562" t="n">
        <v>0</v>
      </c>
      <c r="O562" t="n">
        <v>0</v>
      </c>
      <c r="P562" t="n">
        <v>0</v>
      </c>
      <c r="Q562" t="n">
        <v>0</v>
      </c>
      <c r="R562" s="2" t="inlineStr"/>
    </row>
    <row r="563" ht="15" customHeight="1">
      <c r="A563" t="inlineStr">
        <is>
          <t>A 21799-2019</t>
        </is>
      </c>
      <c r="B563" s="1" t="n">
        <v>43581</v>
      </c>
      <c r="C563" s="1" t="n">
        <v>45822</v>
      </c>
      <c r="D563" t="inlineStr">
        <is>
          <t>VÄSTERNORRLANDS LÄN</t>
        </is>
      </c>
      <c r="E563" t="inlineStr">
        <is>
          <t>SOLLEFTEÅ</t>
        </is>
      </c>
      <c r="F563" t="inlineStr">
        <is>
          <t>SCA</t>
        </is>
      </c>
      <c r="G563" t="n">
        <v>14.1</v>
      </c>
      <c r="H563" t="n">
        <v>0</v>
      </c>
      <c r="I563" t="n">
        <v>0</v>
      </c>
      <c r="J563" t="n">
        <v>0</v>
      </c>
      <c r="K563" t="n">
        <v>0</v>
      </c>
      <c r="L563" t="n">
        <v>0</v>
      </c>
      <c r="M563" t="n">
        <v>0</v>
      </c>
      <c r="N563" t="n">
        <v>0</v>
      </c>
      <c r="O563" t="n">
        <v>0</v>
      </c>
      <c r="P563" t="n">
        <v>0</v>
      </c>
      <c r="Q563" t="n">
        <v>0</v>
      </c>
      <c r="R563" s="2" t="inlineStr"/>
    </row>
    <row r="564" ht="15" customHeight="1">
      <c r="A564" t="inlineStr">
        <is>
          <t>A 21788-2019</t>
        </is>
      </c>
      <c r="B564" s="1" t="n">
        <v>43581</v>
      </c>
      <c r="C564" s="1" t="n">
        <v>45822</v>
      </c>
      <c r="D564" t="inlineStr">
        <is>
          <t>VÄSTERNORRLANDS LÄN</t>
        </is>
      </c>
      <c r="E564" t="inlineStr">
        <is>
          <t>SOLLEFTEÅ</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22088-2019</t>
        </is>
      </c>
      <c r="B565" s="1" t="n">
        <v>43584</v>
      </c>
      <c r="C565" s="1" t="n">
        <v>45822</v>
      </c>
      <c r="D565" t="inlineStr">
        <is>
          <t>VÄSTERNORRLANDS LÄN</t>
        </is>
      </c>
      <c r="E565" t="inlineStr">
        <is>
          <t>SOLLEFTEÅ</t>
        </is>
      </c>
      <c r="F565" t="inlineStr">
        <is>
          <t>SCA</t>
        </is>
      </c>
      <c r="G565" t="n">
        <v>37.9</v>
      </c>
      <c r="H565" t="n">
        <v>0</v>
      </c>
      <c r="I565" t="n">
        <v>0</v>
      </c>
      <c r="J565" t="n">
        <v>0</v>
      </c>
      <c r="K565" t="n">
        <v>0</v>
      </c>
      <c r="L565" t="n">
        <v>0</v>
      </c>
      <c r="M565" t="n">
        <v>0</v>
      </c>
      <c r="N565" t="n">
        <v>0</v>
      </c>
      <c r="O565" t="n">
        <v>0</v>
      </c>
      <c r="P565" t="n">
        <v>0</v>
      </c>
      <c r="Q565" t="n">
        <v>0</v>
      </c>
      <c r="R565" s="2" t="inlineStr"/>
    </row>
    <row r="566" ht="15" customHeight="1">
      <c r="A566" t="inlineStr">
        <is>
          <t>A 22283-2019</t>
        </is>
      </c>
      <c r="B566" s="1" t="n">
        <v>43585</v>
      </c>
      <c r="C566" s="1" t="n">
        <v>45822</v>
      </c>
      <c r="D566" t="inlineStr">
        <is>
          <t>VÄSTERNORRLANDS LÄN</t>
        </is>
      </c>
      <c r="E566" t="inlineStr">
        <is>
          <t>SOLLEFTEÅ</t>
        </is>
      </c>
      <c r="F566" t="inlineStr">
        <is>
          <t>SCA</t>
        </is>
      </c>
      <c r="G566" t="n">
        <v>9.1</v>
      </c>
      <c r="H566" t="n">
        <v>0</v>
      </c>
      <c r="I566" t="n">
        <v>0</v>
      </c>
      <c r="J566" t="n">
        <v>0</v>
      </c>
      <c r="K566" t="n">
        <v>0</v>
      </c>
      <c r="L566" t="n">
        <v>0</v>
      </c>
      <c r="M566" t="n">
        <v>0</v>
      </c>
      <c r="N566" t="n">
        <v>0</v>
      </c>
      <c r="O566" t="n">
        <v>0</v>
      </c>
      <c r="P566" t="n">
        <v>0</v>
      </c>
      <c r="Q566" t="n">
        <v>0</v>
      </c>
      <c r="R566" s="2" t="inlineStr"/>
    </row>
    <row r="567" ht="15" customHeight="1">
      <c r="A567" t="inlineStr">
        <is>
          <t>A 22587-2019</t>
        </is>
      </c>
      <c r="B567" s="1" t="n">
        <v>43587</v>
      </c>
      <c r="C567" s="1" t="n">
        <v>45822</v>
      </c>
      <c r="D567" t="inlineStr">
        <is>
          <t>VÄSTERNORRLANDS LÄN</t>
        </is>
      </c>
      <c r="E567" t="inlineStr">
        <is>
          <t>SOLLEFTEÅ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23241-2019</t>
        </is>
      </c>
      <c r="B568" s="1" t="n">
        <v>43591</v>
      </c>
      <c r="C568" s="1" t="n">
        <v>45822</v>
      </c>
      <c r="D568" t="inlineStr">
        <is>
          <t>VÄSTERNORRLANDS LÄN</t>
        </is>
      </c>
      <c r="E568" t="inlineStr">
        <is>
          <t>SOLLEFTEÅ</t>
        </is>
      </c>
      <c r="G568" t="n">
        <v>6.2</v>
      </c>
      <c r="H568" t="n">
        <v>0</v>
      </c>
      <c r="I568" t="n">
        <v>0</v>
      </c>
      <c r="J568" t="n">
        <v>0</v>
      </c>
      <c r="K568" t="n">
        <v>0</v>
      </c>
      <c r="L568" t="n">
        <v>0</v>
      </c>
      <c r="M568" t="n">
        <v>0</v>
      </c>
      <c r="N568" t="n">
        <v>0</v>
      </c>
      <c r="O568" t="n">
        <v>0</v>
      </c>
      <c r="P568" t="n">
        <v>0</v>
      </c>
      <c r="Q568" t="n">
        <v>0</v>
      </c>
      <c r="R568" s="2" t="inlineStr"/>
    </row>
    <row r="569" ht="15" customHeight="1">
      <c r="A569" t="inlineStr">
        <is>
          <t>A 23314-2019</t>
        </is>
      </c>
      <c r="B569" s="1" t="n">
        <v>43591</v>
      </c>
      <c r="C569" s="1" t="n">
        <v>45822</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23323-2019</t>
        </is>
      </c>
      <c r="B570" s="1" t="n">
        <v>43591</v>
      </c>
      <c r="C570" s="1" t="n">
        <v>45822</v>
      </c>
      <c r="D570" t="inlineStr">
        <is>
          <t>VÄSTERNORRLANDS LÄN</t>
        </is>
      </c>
      <c r="E570" t="inlineStr">
        <is>
          <t>SOLLEFTEÅ</t>
        </is>
      </c>
      <c r="G570" t="n">
        <v>2.4</v>
      </c>
      <c r="H570" t="n">
        <v>0</v>
      </c>
      <c r="I570" t="n">
        <v>0</v>
      </c>
      <c r="J570" t="n">
        <v>0</v>
      </c>
      <c r="K570" t="n">
        <v>0</v>
      </c>
      <c r="L570" t="n">
        <v>0</v>
      </c>
      <c r="M570" t="n">
        <v>0</v>
      </c>
      <c r="N570" t="n">
        <v>0</v>
      </c>
      <c r="O570" t="n">
        <v>0</v>
      </c>
      <c r="P570" t="n">
        <v>0</v>
      </c>
      <c r="Q570" t="n">
        <v>0</v>
      </c>
      <c r="R570" s="2" t="inlineStr"/>
    </row>
    <row r="571" ht="15" customHeight="1">
      <c r="A571" t="inlineStr">
        <is>
          <t>A 23246-2019</t>
        </is>
      </c>
      <c r="B571" s="1" t="n">
        <v>43591</v>
      </c>
      <c r="C571" s="1" t="n">
        <v>45822</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24157-2019</t>
        </is>
      </c>
      <c r="B572" s="1" t="n">
        <v>43598</v>
      </c>
      <c r="C572" s="1" t="n">
        <v>45822</v>
      </c>
      <c r="D572" t="inlineStr">
        <is>
          <t>VÄSTERNORRLANDS LÄN</t>
        </is>
      </c>
      <c r="E572" t="inlineStr">
        <is>
          <t>SOLLEFTEÅ</t>
        </is>
      </c>
      <c r="F572" t="inlineStr">
        <is>
          <t>SCA</t>
        </is>
      </c>
      <c r="G572" t="n">
        <v>0.1</v>
      </c>
      <c r="H572" t="n">
        <v>0</v>
      </c>
      <c r="I572" t="n">
        <v>0</v>
      </c>
      <c r="J572" t="n">
        <v>0</v>
      </c>
      <c r="K572" t="n">
        <v>0</v>
      </c>
      <c r="L572" t="n">
        <v>0</v>
      </c>
      <c r="M572" t="n">
        <v>0</v>
      </c>
      <c r="N572" t="n">
        <v>0</v>
      </c>
      <c r="O572" t="n">
        <v>0</v>
      </c>
      <c r="P572" t="n">
        <v>0</v>
      </c>
      <c r="Q572" t="n">
        <v>0</v>
      </c>
      <c r="R572" s="2" t="inlineStr"/>
    </row>
    <row r="573" ht="15" customHeight="1">
      <c r="A573" t="inlineStr">
        <is>
          <t>A 24168-2019</t>
        </is>
      </c>
      <c r="B573" s="1" t="n">
        <v>43598</v>
      </c>
      <c r="C573" s="1" t="n">
        <v>45822</v>
      </c>
      <c r="D573" t="inlineStr">
        <is>
          <t>VÄSTERNORRLANDS LÄN</t>
        </is>
      </c>
      <c r="E573" t="inlineStr">
        <is>
          <t>SOLLEFTEÅ</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25334-2019</t>
        </is>
      </c>
      <c r="B574" s="1" t="n">
        <v>43601</v>
      </c>
      <c r="C574" s="1" t="n">
        <v>45822</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25331-2019</t>
        </is>
      </c>
      <c r="B575" s="1" t="n">
        <v>43601</v>
      </c>
      <c r="C575" s="1" t="n">
        <v>45822</v>
      </c>
      <c r="D575" t="inlineStr">
        <is>
          <t>VÄSTERNORRLANDS LÄN</t>
        </is>
      </c>
      <c r="E575" t="inlineStr">
        <is>
          <t>SOLLEFTEÅ</t>
        </is>
      </c>
      <c r="G575" t="n">
        <v>7.2</v>
      </c>
      <c r="H575" t="n">
        <v>0</v>
      </c>
      <c r="I575" t="n">
        <v>0</v>
      </c>
      <c r="J575" t="n">
        <v>0</v>
      </c>
      <c r="K575" t="n">
        <v>0</v>
      </c>
      <c r="L575" t="n">
        <v>0</v>
      </c>
      <c r="M575" t="n">
        <v>0</v>
      </c>
      <c r="N575" t="n">
        <v>0</v>
      </c>
      <c r="O575" t="n">
        <v>0</v>
      </c>
      <c r="P575" t="n">
        <v>0</v>
      </c>
      <c r="Q575" t="n">
        <v>0</v>
      </c>
      <c r="R575" s="2" t="inlineStr"/>
    </row>
    <row r="576" ht="15" customHeight="1">
      <c r="A576" t="inlineStr">
        <is>
          <t>A 25260-2019</t>
        </is>
      </c>
      <c r="B576" s="1" t="n">
        <v>43601</v>
      </c>
      <c r="C576" s="1" t="n">
        <v>45822</v>
      </c>
      <c r="D576" t="inlineStr">
        <is>
          <t>VÄSTERNORRLANDS LÄN</t>
        </is>
      </c>
      <c r="E576" t="inlineStr">
        <is>
          <t>SOLLEFTEÅ</t>
        </is>
      </c>
      <c r="G576" t="n">
        <v>3.4</v>
      </c>
      <c r="H576" t="n">
        <v>0</v>
      </c>
      <c r="I576" t="n">
        <v>0</v>
      </c>
      <c r="J576" t="n">
        <v>0</v>
      </c>
      <c r="K576" t="n">
        <v>0</v>
      </c>
      <c r="L576" t="n">
        <v>0</v>
      </c>
      <c r="M576" t="n">
        <v>0</v>
      </c>
      <c r="N576" t="n">
        <v>0</v>
      </c>
      <c r="O576" t="n">
        <v>0</v>
      </c>
      <c r="P576" t="n">
        <v>0</v>
      </c>
      <c r="Q576" t="n">
        <v>0</v>
      </c>
      <c r="R576" s="2" t="inlineStr"/>
    </row>
    <row r="577" ht="15" customHeight="1">
      <c r="A577" t="inlineStr">
        <is>
          <t>A 25328-2019</t>
        </is>
      </c>
      <c r="B577" s="1" t="n">
        <v>43601</v>
      </c>
      <c r="C577" s="1" t="n">
        <v>45822</v>
      </c>
      <c r="D577" t="inlineStr">
        <is>
          <t>VÄSTERNORRLANDS LÄN</t>
        </is>
      </c>
      <c r="E577" t="inlineStr">
        <is>
          <t>SOLLEFTEÅ</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25014-2019</t>
        </is>
      </c>
      <c r="B578" s="1" t="n">
        <v>43602</v>
      </c>
      <c r="C578" s="1" t="n">
        <v>45822</v>
      </c>
      <c r="D578" t="inlineStr">
        <is>
          <t>VÄSTERNORRLANDS LÄN</t>
        </is>
      </c>
      <c r="E578" t="inlineStr">
        <is>
          <t>SOLLEFTEÅ</t>
        </is>
      </c>
      <c r="F578" t="inlineStr">
        <is>
          <t>SCA</t>
        </is>
      </c>
      <c r="G578" t="n">
        <v>11.1</v>
      </c>
      <c r="H578" t="n">
        <v>0</v>
      </c>
      <c r="I578" t="n">
        <v>0</v>
      </c>
      <c r="J578" t="n">
        <v>0</v>
      </c>
      <c r="K578" t="n">
        <v>0</v>
      </c>
      <c r="L578" t="n">
        <v>0</v>
      </c>
      <c r="M578" t="n">
        <v>0</v>
      </c>
      <c r="N578" t="n">
        <v>0</v>
      </c>
      <c r="O578" t="n">
        <v>0</v>
      </c>
      <c r="P578" t="n">
        <v>0</v>
      </c>
      <c r="Q578" t="n">
        <v>0</v>
      </c>
      <c r="R578" s="2" t="inlineStr"/>
    </row>
    <row r="579" ht="15" customHeight="1">
      <c r="A579" t="inlineStr">
        <is>
          <t>A 26111-2019</t>
        </is>
      </c>
      <c r="B579" s="1" t="n">
        <v>43605</v>
      </c>
      <c r="C579" s="1" t="n">
        <v>45822</v>
      </c>
      <c r="D579" t="inlineStr">
        <is>
          <t>VÄSTERNORRLANDS LÄN</t>
        </is>
      </c>
      <c r="E579" t="inlineStr">
        <is>
          <t>SOLLEFTEÅ</t>
        </is>
      </c>
      <c r="G579" t="n">
        <v>3.5</v>
      </c>
      <c r="H579" t="n">
        <v>0</v>
      </c>
      <c r="I579" t="n">
        <v>0</v>
      </c>
      <c r="J579" t="n">
        <v>0</v>
      </c>
      <c r="K579" t="n">
        <v>0</v>
      </c>
      <c r="L579" t="n">
        <v>0</v>
      </c>
      <c r="M579" t="n">
        <v>0</v>
      </c>
      <c r="N579" t="n">
        <v>0</v>
      </c>
      <c r="O579" t="n">
        <v>0</v>
      </c>
      <c r="P579" t="n">
        <v>0</v>
      </c>
      <c r="Q579" t="n">
        <v>0</v>
      </c>
      <c r="R579" s="2" t="inlineStr"/>
    </row>
    <row r="580" ht="15" customHeight="1">
      <c r="A580" t="inlineStr">
        <is>
          <t>A 25714-2019</t>
        </is>
      </c>
      <c r="B580" s="1" t="n">
        <v>43607</v>
      </c>
      <c r="C580" s="1" t="n">
        <v>45822</v>
      </c>
      <c r="D580" t="inlineStr">
        <is>
          <t>VÄSTERNORRLANDS LÄN</t>
        </is>
      </c>
      <c r="E580" t="inlineStr">
        <is>
          <t>SOLLEFTEÅ</t>
        </is>
      </c>
      <c r="F580" t="inlineStr">
        <is>
          <t>SCA</t>
        </is>
      </c>
      <c r="G580" t="n">
        <v>28.3</v>
      </c>
      <c r="H580" t="n">
        <v>0</v>
      </c>
      <c r="I580" t="n">
        <v>0</v>
      </c>
      <c r="J580" t="n">
        <v>0</v>
      </c>
      <c r="K580" t="n">
        <v>0</v>
      </c>
      <c r="L580" t="n">
        <v>0</v>
      </c>
      <c r="M580" t="n">
        <v>0</v>
      </c>
      <c r="N580" t="n">
        <v>0</v>
      </c>
      <c r="O580" t="n">
        <v>0</v>
      </c>
      <c r="P580" t="n">
        <v>0</v>
      </c>
      <c r="Q580" t="n">
        <v>0</v>
      </c>
      <c r="R580" s="2" t="inlineStr"/>
    </row>
    <row r="581" ht="15" customHeight="1">
      <c r="A581" t="inlineStr">
        <is>
          <t>A 25979-2019</t>
        </is>
      </c>
      <c r="B581" s="1" t="n">
        <v>43608</v>
      </c>
      <c r="C581" s="1" t="n">
        <v>45822</v>
      </c>
      <c r="D581" t="inlineStr">
        <is>
          <t>VÄSTERNORRLANDS LÄN</t>
        </is>
      </c>
      <c r="E581" t="inlineStr">
        <is>
          <t>SOLLEFTEÅ</t>
        </is>
      </c>
      <c r="F581" t="inlineStr">
        <is>
          <t>SCA</t>
        </is>
      </c>
      <c r="G581" t="n">
        <v>26.1</v>
      </c>
      <c r="H581" t="n">
        <v>0</v>
      </c>
      <c r="I581" t="n">
        <v>0</v>
      </c>
      <c r="J581" t="n">
        <v>0</v>
      </c>
      <c r="K581" t="n">
        <v>0</v>
      </c>
      <c r="L581" t="n">
        <v>0</v>
      </c>
      <c r="M581" t="n">
        <v>0</v>
      </c>
      <c r="N581" t="n">
        <v>0</v>
      </c>
      <c r="O581" t="n">
        <v>0</v>
      </c>
      <c r="P581" t="n">
        <v>0</v>
      </c>
      <c r="Q581" t="n">
        <v>0</v>
      </c>
      <c r="R581" s="2" t="inlineStr"/>
    </row>
    <row r="582" ht="15" customHeight="1">
      <c r="A582" t="inlineStr">
        <is>
          <t>A 25982-2019</t>
        </is>
      </c>
      <c r="B582" s="1" t="n">
        <v>43608</v>
      </c>
      <c r="C582" s="1" t="n">
        <v>45822</v>
      </c>
      <c r="D582" t="inlineStr">
        <is>
          <t>VÄSTERNORRLANDS LÄN</t>
        </is>
      </c>
      <c r="E582" t="inlineStr">
        <is>
          <t>SOLLEFTEÅ</t>
        </is>
      </c>
      <c r="G582" t="n">
        <v>1.4</v>
      </c>
      <c r="H582" t="n">
        <v>0</v>
      </c>
      <c r="I582" t="n">
        <v>0</v>
      </c>
      <c r="J582" t="n">
        <v>0</v>
      </c>
      <c r="K582" t="n">
        <v>0</v>
      </c>
      <c r="L582" t="n">
        <v>0</v>
      </c>
      <c r="M582" t="n">
        <v>0</v>
      </c>
      <c r="N582" t="n">
        <v>0</v>
      </c>
      <c r="O582" t="n">
        <v>0</v>
      </c>
      <c r="P582" t="n">
        <v>0</v>
      </c>
      <c r="Q582" t="n">
        <v>0</v>
      </c>
      <c r="R582" s="2" t="inlineStr"/>
    </row>
    <row r="583" ht="15" customHeight="1">
      <c r="A583" t="inlineStr">
        <is>
          <t>A 25997-2019</t>
        </is>
      </c>
      <c r="B583" s="1" t="n">
        <v>43608</v>
      </c>
      <c r="C583" s="1" t="n">
        <v>45822</v>
      </c>
      <c r="D583" t="inlineStr">
        <is>
          <t>VÄSTERNORRLANDS LÄN</t>
        </is>
      </c>
      <c r="E583" t="inlineStr">
        <is>
          <t>SOLLEFTEÅ</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25959-2019</t>
        </is>
      </c>
      <c r="B584" s="1" t="n">
        <v>43608</v>
      </c>
      <c r="C584" s="1" t="n">
        <v>45822</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26254-2019</t>
        </is>
      </c>
      <c r="B585" s="1" t="n">
        <v>43609</v>
      </c>
      <c r="C585" s="1" t="n">
        <v>45822</v>
      </c>
      <c r="D585" t="inlineStr">
        <is>
          <t>VÄSTERNORRLANDS LÄN</t>
        </is>
      </c>
      <c r="E585" t="inlineStr">
        <is>
          <t>SOLLEFTEÅ</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26640-2019</t>
        </is>
      </c>
      <c r="B586" s="1" t="n">
        <v>43612</v>
      </c>
      <c r="C586" s="1" t="n">
        <v>45822</v>
      </c>
      <c r="D586" t="inlineStr">
        <is>
          <t>VÄSTERNORRLANDS LÄN</t>
        </is>
      </c>
      <c r="E586" t="inlineStr">
        <is>
          <t>SOLLEFTEÅ</t>
        </is>
      </c>
      <c r="F586" t="inlineStr">
        <is>
          <t>SCA</t>
        </is>
      </c>
      <c r="G586" t="n">
        <v>10.4</v>
      </c>
      <c r="H586" t="n">
        <v>0</v>
      </c>
      <c r="I586" t="n">
        <v>0</v>
      </c>
      <c r="J586" t="n">
        <v>0</v>
      </c>
      <c r="K586" t="n">
        <v>0</v>
      </c>
      <c r="L586" t="n">
        <v>0</v>
      </c>
      <c r="M586" t="n">
        <v>0</v>
      </c>
      <c r="N586" t="n">
        <v>0</v>
      </c>
      <c r="O586" t="n">
        <v>0</v>
      </c>
      <c r="P586" t="n">
        <v>0</v>
      </c>
      <c r="Q586" t="n">
        <v>0</v>
      </c>
      <c r="R586" s="2" t="inlineStr"/>
    </row>
    <row r="587" ht="15" customHeight="1">
      <c r="A587" t="inlineStr">
        <is>
          <t>A 27597-2019</t>
        </is>
      </c>
      <c r="B587" s="1" t="n">
        <v>43612</v>
      </c>
      <c r="C587" s="1" t="n">
        <v>45822</v>
      </c>
      <c r="D587" t="inlineStr">
        <is>
          <t>VÄSTERNORRLANDS LÄN</t>
        </is>
      </c>
      <c r="E587" t="inlineStr">
        <is>
          <t>SOLLEFTEÅ</t>
        </is>
      </c>
      <c r="G587" t="n">
        <v>5.6</v>
      </c>
      <c r="H587" t="n">
        <v>0</v>
      </c>
      <c r="I587" t="n">
        <v>0</v>
      </c>
      <c r="J587" t="n">
        <v>0</v>
      </c>
      <c r="K587" t="n">
        <v>0</v>
      </c>
      <c r="L587" t="n">
        <v>0</v>
      </c>
      <c r="M587" t="n">
        <v>0</v>
      </c>
      <c r="N587" t="n">
        <v>0</v>
      </c>
      <c r="O587" t="n">
        <v>0</v>
      </c>
      <c r="P587" t="n">
        <v>0</v>
      </c>
      <c r="Q587" t="n">
        <v>0</v>
      </c>
      <c r="R587" s="2" t="inlineStr"/>
    </row>
    <row r="588" ht="15" customHeight="1">
      <c r="A588" t="inlineStr">
        <is>
          <t>A 26945-2019</t>
        </is>
      </c>
      <c r="B588" s="1" t="n">
        <v>43613</v>
      </c>
      <c r="C588" s="1" t="n">
        <v>45822</v>
      </c>
      <c r="D588" t="inlineStr">
        <is>
          <t>VÄSTERNORRLANDS LÄN</t>
        </is>
      </c>
      <c r="E588" t="inlineStr">
        <is>
          <t>SOLLEFTEÅ</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26957-2019</t>
        </is>
      </c>
      <c r="B589" s="1" t="n">
        <v>43613</v>
      </c>
      <c r="C589" s="1" t="n">
        <v>45822</v>
      </c>
      <c r="D589" t="inlineStr">
        <is>
          <t>VÄSTERNORRLANDS LÄN</t>
        </is>
      </c>
      <c r="E589" t="inlineStr">
        <is>
          <t>SOLLEFTEÅ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27226-2019</t>
        </is>
      </c>
      <c r="B590" s="1" t="n">
        <v>43614</v>
      </c>
      <c r="C590" s="1" t="n">
        <v>45822</v>
      </c>
      <c r="D590" t="inlineStr">
        <is>
          <t>VÄSTERNORRLANDS LÄN</t>
        </is>
      </c>
      <c r="E590" t="inlineStr">
        <is>
          <t>SOLLEFTEÅ</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27979-2019</t>
        </is>
      </c>
      <c r="B591" s="1" t="n">
        <v>43620</v>
      </c>
      <c r="C591" s="1" t="n">
        <v>45822</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28212-2019</t>
        </is>
      </c>
      <c r="B592" s="1" t="n">
        <v>43621</v>
      </c>
      <c r="C592" s="1" t="n">
        <v>45822</v>
      </c>
      <c r="D592" t="inlineStr">
        <is>
          <t>VÄSTERNORRLANDS LÄN</t>
        </is>
      </c>
      <c r="E592" t="inlineStr">
        <is>
          <t>SOLLEFTEÅ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28236-2019</t>
        </is>
      </c>
      <c r="B593" s="1" t="n">
        <v>43621</v>
      </c>
      <c r="C593" s="1" t="n">
        <v>45822</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30383-2019</t>
        </is>
      </c>
      <c r="B594" s="1" t="n">
        <v>43634</v>
      </c>
      <c r="C594" s="1" t="n">
        <v>45822</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30628-2019</t>
        </is>
      </c>
      <c r="B595" s="1" t="n">
        <v>43635</v>
      </c>
      <c r="C595" s="1" t="n">
        <v>45822</v>
      </c>
      <c r="D595" t="inlineStr">
        <is>
          <t>VÄSTERNORRLANDS LÄN</t>
        </is>
      </c>
      <c r="E595" t="inlineStr">
        <is>
          <t>SOLLEFTEÅ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32202-2019</t>
        </is>
      </c>
      <c r="B596" s="1" t="n">
        <v>43643</v>
      </c>
      <c r="C596" s="1" t="n">
        <v>45822</v>
      </c>
      <c r="D596" t="inlineStr">
        <is>
          <t>VÄSTERNORRLANDS LÄN</t>
        </is>
      </c>
      <c r="E596" t="inlineStr">
        <is>
          <t>SOLLEFTEÅ</t>
        </is>
      </c>
      <c r="G596" t="n">
        <v>2.7</v>
      </c>
      <c r="H596" t="n">
        <v>0</v>
      </c>
      <c r="I596" t="n">
        <v>0</v>
      </c>
      <c r="J596" t="n">
        <v>0</v>
      </c>
      <c r="K596" t="n">
        <v>0</v>
      </c>
      <c r="L596" t="n">
        <v>0</v>
      </c>
      <c r="M596" t="n">
        <v>0</v>
      </c>
      <c r="N596" t="n">
        <v>0</v>
      </c>
      <c r="O596" t="n">
        <v>0</v>
      </c>
      <c r="P596" t="n">
        <v>0</v>
      </c>
      <c r="Q596" t="n">
        <v>0</v>
      </c>
      <c r="R596" s="2" t="inlineStr"/>
    </row>
    <row r="597" ht="15" customHeight="1">
      <c r="A597" t="inlineStr">
        <is>
          <t>A 32203-2019</t>
        </is>
      </c>
      <c r="B597" s="1" t="n">
        <v>43643</v>
      </c>
      <c r="C597" s="1" t="n">
        <v>45822</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32744-2019</t>
        </is>
      </c>
      <c r="B598" s="1" t="n">
        <v>43647</v>
      </c>
      <c r="C598" s="1" t="n">
        <v>45822</v>
      </c>
      <c r="D598" t="inlineStr">
        <is>
          <t>VÄSTERNORRLANDS LÄN</t>
        </is>
      </c>
      <c r="E598" t="inlineStr">
        <is>
          <t>SOLLEFTEÅ</t>
        </is>
      </c>
      <c r="F598" t="inlineStr">
        <is>
          <t>SCA</t>
        </is>
      </c>
      <c r="G598" t="n">
        <v>33.3</v>
      </c>
      <c r="H598" t="n">
        <v>0</v>
      </c>
      <c r="I598" t="n">
        <v>0</v>
      </c>
      <c r="J598" t="n">
        <v>0</v>
      </c>
      <c r="K598" t="n">
        <v>0</v>
      </c>
      <c r="L598" t="n">
        <v>0</v>
      </c>
      <c r="M598" t="n">
        <v>0</v>
      </c>
      <c r="N598" t="n">
        <v>0</v>
      </c>
      <c r="O598" t="n">
        <v>0</v>
      </c>
      <c r="P598" t="n">
        <v>0</v>
      </c>
      <c r="Q598" t="n">
        <v>0</v>
      </c>
      <c r="R598" s="2" t="inlineStr"/>
    </row>
    <row r="599" ht="15" customHeight="1">
      <c r="A599" t="inlineStr">
        <is>
          <t>A 33217-2019</t>
        </is>
      </c>
      <c r="B599" s="1" t="n">
        <v>43649</v>
      </c>
      <c r="C599" s="1" t="n">
        <v>45822</v>
      </c>
      <c r="D599" t="inlineStr">
        <is>
          <t>VÄSTERNORRLANDS LÄN</t>
        </is>
      </c>
      <c r="E599" t="inlineStr">
        <is>
          <t>SOLLEFTEÅ</t>
        </is>
      </c>
      <c r="G599" t="n">
        <v>29.3</v>
      </c>
      <c r="H599" t="n">
        <v>0</v>
      </c>
      <c r="I599" t="n">
        <v>0</v>
      </c>
      <c r="J599" t="n">
        <v>0</v>
      </c>
      <c r="K599" t="n">
        <v>0</v>
      </c>
      <c r="L599" t="n">
        <v>0</v>
      </c>
      <c r="M599" t="n">
        <v>0</v>
      </c>
      <c r="N599" t="n">
        <v>0</v>
      </c>
      <c r="O599" t="n">
        <v>0</v>
      </c>
      <c r="P599" t="n">
        <v>0</v>
      </c>
      <c r="Q599" t="n">
        <v>0</v>
      </c>
      <c r="R599" s="2" t="inlineStr"/>
    </row>
    <row r="600" ht="15" customHeight="1">
      <c r="A600" t="inlineStr">
        <is>
          <t>A 34886-2019</t>
        </is>
      </c>
      <c r="B600" s="1" t="n">
        <v>43650</v>
      </c>
      <c r="C600" s="1" t="n">
        <v>45822</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33833-2019</t>
        </is>
      </c>
      <c r="B601" s="1" t="n">
        <v>43651</v>
      </c>
      <c r="C601" s="1" t="n">
        <v>45822</v>
      </c>
      <c r="D601" t="inlineStr">
        <is>
          <t>VÄSTERNORRLANDS LÄN</t>
        </is>
      </c>
      <c r="E601" t="inlineStr">
        <is>
          <t>SOLLEFTEÅ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33826-2019</t>
        </is>
      </c>
      <c r="B602" s="1" t="n">
        <v>43651</v>
      </c>
      <c r="C602" s="1" t="n">
        <v>45822</v>
      </c>
      <c r="D602" t="inlineStr">
        <is>
          <t>VÄSTERNORRLANDS LÄN</t>
        </is>
      </c>
      <c r="E602" t="inlineStr">
        <is>
          <t>SOLLEFTEÅ</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33852-2019</t>
        </is>
      </c>
      <c r="B603" s="1" t="n">
        <v>43651</v>
      </c>
      <c r="C603" s="1" t="n">
        <v>45822</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33914-2019</t>
        </is>
      </c>
      <c r="B604" s="1" t="n">
        <v>43654</v>
      </c>
      <c r="C604" s="1" t="n">
        <v>45822</v>
      </c>
      <c r="D604" t="inlineStr">
        <is>
          <t>VÄSTERNORRLANDS LÄN</t>
        </is>
      </c>
      <c r="E604" t="inlineStr">
        <is>
          <t>SOLLEFTEÅ</t>
        </is>
      </c>
      <c r="G604" t="n">
        <v>2.9</v>
      </c>
      <c r="H604" t="n">
        <v>0</v>
      </c>
      <c r="I604" t="n">
        <v>0</v>
      </c>
      <c r="J604" t="n">
        <v>0</v>
      </c>
      <c r="K604" t="n">
        <v>0</v>
      </c>
      <c r="L604" t="n">
        <v>0</v>
      </c>
      <c r="M604" t="n">
        <v>0</v>
      </c>
      <c r="N604" t="n">
        <v>0</v>
      </c>
      <c r="O604" t="n">
        <v>0</v>
      </c>
      <c r="P604" t="n">
        <v>0</v>
      </c>
      <c r="Q604" t="n">
        <v>0</v>
      </c>
      <c r="R604" s="2" t="inlineStr"/>
    </row>
    <row r="605" ht="15" customHeight="1">
      <c r="A605" t="inlineStr">
        <is>
          <t>A 34113-2019</t>
        </is>
      </c>
      <c r="B605" s="1" t="n">
        <v>43654</v>
      </c>
      <c r="C605" s="1" t="n">
        <v>45822</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34311-2019</t>
        </is>
      </c>
      <c r="B606" s="1" t="n">
        <v>43655</v>
      </c>
      <c r="C606" s="1" t="n">
        <v>45822</v>
      </c>
      <c r="D606" t="inlineStr">
        <is>
          <t>VÄSTERNORRLANDS LÄN</t>
        </is>
      </c>
      <c r="E606" t="inlineStr">
        <is>
          <t>SOLLEFTEÅ</t>
        </is>
      </c>
      <c r="F606" t="inlineStr">
        <is>
          <t>SCA</t>
        </is>
      </c>
      <c r="G606" t="n">
        <v>7.9</v>
      </c>
      <c r="H606" t="n">
        <v>0</v>
      </c>
      <c r="I606" t="n">
        <v>0</v>
      </c>
      <c r="J606" t="n">
        <v>0</v>
      </c>
      <c r="K606" t="n">
        <v>0</v>
      </c>
      <c r="L606" t="n">
        <v>0</v>
      </c>
      <c r="M606" t="n">
        <v>0</v>
      </c>
      <c r="N606" t="n">
        <v>0</v>
      </c>
      <c r="O606" t="n">
        <v>0</v>
      </c>
      <c r="P606" t="n">
        <v>0</v>
      </c>
      <c r="Q606" t="n">
        <v>0</v>
      </c>
      <c r="R606" s="2" t="inlineStr"/>
    </row>
    <row r="607" ht="15" customHeight="1">
      <c r="A607" t="inlineStr">
        <is>
          <t>A 34229-2019</t>
        </is>
      </c>
      <c r="B607" s="1" t="n">
        <v>43655</v>
      </c>
      <c r="C607" s="1" t="n">
        <v>45822</v>
      </c>
      <c r="D607" t="inlineStr">
        <is>
          <t>VÄSTERNORRLANDS LÄN</t>
        </is>
      </c>
      <c r="E607" t="inlineStr">
        <is>
          <t>SOLLEFTEÅ</t>
        </is>
      </c>
      <c r="G607" t="n">
        <v>7.9</v>
      </c>
      <c r="H607" t="n">
        <v>0</v>
      </c>
      <c r="I607" t="n">
        <v>0</v>
      </c>
      <c r="J607" t="n">
        <v>0</v>
      </c>
      <c r="K607" t="n">
        <v>0</v>
      </c>
      <c r="L607" t="n">
        <v>0</v>
      </c>
      <c r="M607" t="n">
        <v>0</v>
      </c>
      <c r="N607" t="n">
        <v>0</v>
      </c>
      <c r="O607" t="n">
        <v>0</v>
      </c>
      <c r="P607" t="n">
        <v>0</v>
      </c>
      <c r="Q607" t="n">
        <v>0</v>
      </c>
      <c r="R607" s="2" t="inlineStr"/>
    </row>
    <row r="608" ht="15" customHeight="1">
      <c r="A608" t="inlineStr">
        <is>
          <t>A 34302-2019</t>
        </is>
      </c>
      <c r="B608" s="1" t="n">
        <v>43655</v>
      </c>
      <c r="C608" s="1" t="n">
        <v>45822</v>
      </c>
      <c r="D608" t="inlineStr">
        <is>
          <t>VÄSTERNORRLANDS LÄN</t>
        </is>
      </c>
      <c r="E608" t="inlineStr">
        <is>
          <t>SOLLEFTEÅ</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34738-2019</t>
        </is>
      </c>
      <c r="B609" s="1" t="n">
        <v>43657</v>
      </c>
      <c r="C609" s="1" t="n">
        <v>45822</v>
      </c>
      <c r="D609" t="inlineStr">
        <is>
          <t>VÄSTERNORRLANDS LÄN</t>
        </is>
      </c>
      <c r="E609" t="inlineStr">
        <is>
          <t>SOLLEFTEÅ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34916-2019</t>
        </is>
      </c>
      <c r="B610" s="1" t="n">
        <v>43658</v>
      </c>
      <c r="C610" s="1" t="n">
        <v>45822</v>
      </c>
      <c r="D610" t="inlineStr">
        <is>
          <t>VÄSTERNORRLANDS LÄN</t>
        </is>
      </c>
      <c r="E610" t="inlineStr">
        <is>
          <t>SOLLEFTEÅ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35320-2019</t>
        </is>
      </c>
      <c r="B611" s="1" t="n">
        <v>43662</v>
      </c>
      <c r="C611" s="1" t="n">
        <v>45822</v>
      </c>
      <c r="D611" t="inlineStr">
        <is>
          <t>VÄSTERNORRLANDS LÄN</t>
        </is>
      </c>
      <c r="E611" t="inlineStr">
        <is>
          <t>SOLLEFTEÅ</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35970-2019</t>
        </is>
      </c>
      <c r="B612" s="1" t="n">
        <v>43665</v>
      </c>
      <c r="C612" s="1" t="n">
        <v>45822</v>
      </c>
      <c r="D612" t="inlineStr">
        <is>
          <t>VÄSTERNORRLANDS LÄN</t>
        </is>
      </c>
      <c r="E612" t="inlineStr">
        <is>
          <t>SOLLEFTEÅ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35969-2019</t>
        </is>
      </c>
      <c r="B613" s="1" t="n">
        <v>43665</v>
      </c>
      <c r="C613" s="1" t="n">
        <v>45822</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36137-2019</t>
        </is>
      </c>
      <c r="B614" s="1" t="n">
        <v>43668</v>
      </c>
      <c r="C614" s="1" t="n">
        <v>45822</v>
      </c>
      <c r="D614" t="inlineStr">
        <is>
          <t>VÄSTERNORRLANDS LÄN</t>
        </is>
      </c>
      <c r="E614" t="inlineStr">
        <is>
          <t>SOLLEFTEÅ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36486-2019</t>
        </is>
      </c>
      <c r="B615" s="1" t="n">
        <v>43668</v>
      </c>
      <c r="C615" s="1" t="n">
        <v>45822</v>
      </c>
      <c r="D615" t="inlineStr">
        <is>
          <t>VÄSTERNORRLANDS LÄN</t>
        </is>
      </c>
      <c r="E615" t="inlineStr">
        <is>
          <t>SOLLEFTEÅ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36293-2019</t>
        </is>
      </c>
      <c r="B616" s="1" t="n">
        <v>43669</v>
      </c>
      <c r="C616" s="1" t="n">
        <v>45822</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36711-2019</t>
        </is>
      </c>
      <c r="B617" s="1" t="n">
        <v>43671</v>
      </c>
      <c r="C617" s="1" t="n">
        <v>45822</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37292-2019</t>
        </is>
      </c>
      <c r="B618" s="1" t="n">
        <v>43677</v>
      </c>
      <c r="C618" s="1" t="n">
        <v>45822</v>
      </c>
      <c r="D618" t="inlineStr">
        <is>
          <t>VÄSTERNORRLANDS LÄN</t>
        </is>
      </c>
      <c r="E618" t="inlineStr">
        <is>
          <t>SOLLEFTEÅ</t>
        </is>
      </c>
      <c r="G618" t="n">
        <v>7.8</v>
      </c>
      <c r="H618" t="n">
        <v>0</v>
      </c>
      <c r="I618" t="n">
        <v>0</v>
      </c>
      <c r="J618" t="n">
        <v>0</v>
      </c>
      <c r="K618" t="n">
        <v>0</v>
      </c>
      <c r="L618" t="n">
        <v>0</v>
      </c>
      <c r="M618" t="n">
        <v>0</v>
      </c>
      <c r="N618" t="n">
        <v>0</v>
      </c>
      <c r="O618" t="n">
        <v>0</v>
      </c>
      <c r="P618" t="n">
        <v>0</v>
      </c>
      <c r="Q618" t="n">
        <v>0</v>
      </c>
      <c r="R618" s="2" t="inlineStr"/>
    </row>
    <row r="619" ht="15" customHeight="1">
      <c r="A619" t="inlineStr">
        <is>
          <t>A 37291-2019</t>
        </is>
      </c>
      <c r="B619" s="1" t="n">
        <v>43677</v>
      </c>
      <c r="C619" s="1" t="n">
        <v>45822</v>
      </c>
      <c r="D619" t="inlineStr">
        <is>
          <t>VÄSTERNORRLANDS LÄN</t>
        </is>
      </c>
      <c r="E619" t="inlineStr">
        <is>
          <t>SOLLEFTEÅ</t>
        </is>
      </c>
      <c r="G619" t="n">
        <v>7.4</v>
      </c>
      <c r="H619" t="n">
        <v>0</v>
      </c>
      <c r="I619" t="n">
        <v>0</v>
      </c>
      <c r="J619" t="n">
        <v>0</v>
      </c>
      <c r="K619" t="n">
        <v>0</v>
      </c>
      <c r="L619" t="n">
        <v>0</v>
      </c>
      <c r="M619" t="n">
        <v>0</v>
      </c>
      <c r="N619" t="n">
        <v>0</v>
      </c>
      <c r="O619" t="n">
        <v>0</v>
      </c>
      <c r="P619" t="n">
        <v>0</v>
      </c>
      <c r="Q619" t="n">
        <v>0</v>
      </c>
      <c r="R619" s="2" t="inlineStr"/>
    </row>
    <row r="620" ht="15" customHeight="1">
      <c r="A620" t="inlineStr">
        <is>
          <t>A 37434-2019</t>
        </is>
      </c>
      <c r="B620" s="1" t="n">
        <v>43678</v>
      </c>
      <c r="C620" s="1" t="n">
        <v>45822</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37652-2019</t>
        </is>
      </c>
      <c r="B621" s="1" t="n">
        <v>43679</v>
      </c>
      <c r="C621" s="1" t="n">
        <v>45822</v>
      </c>
      <c r="D621" t="inlineStr">
        <is>
          <t>VÄSTERNORRLANDS LÄN</t>
        </is>
      </c>
      <c r="E621" t="inlineStr">
        <is>
          <t>SOLLEFTEÅ</t>
        </is>
      </c>
      <c r="G621" t="n">
        <v>3.6</v>
      </c>
      <c r="H621" t="n">
        <v>0</v>
      </c>
      <c r="I621" t="n">
        <v>0</v>
      </c>
      <c r="J621" t="n">
        <v>0</v>
      </c>
      <c r="K621" t="n">
        <v>0</v>
      </c>
      <c r="L621" t="n">
        <v>0</v>
      </c>
      <c r="M621" t="n">
        <v>0</v>
      </c>
      <c r="N621" t="n">
        <v>0</v>
      </c>
      <c r="O621" t="n">
        <v>0</v>
      </c>
      <c r="P621" t="n">
        <v>0</v>
      </c>
      <c r="Q621" t="n">
        <v>0</v>
      </c>
      <c r="R621" s="2" t="inlineStr"/>
    </row>
    <row r="622" ht="15" customHeight="1">
      <c r="A622" t="inlineStr">
        <is>
          <t>A 37670-2019</t>
        </is>
      </c>
      <c r="B622" s="1" t="n">
        <v>43679</v>
      </c>
      <c r="C622" s="1" t="n">
        <v>45822</v>
      </c>
      <c r="D622" t="inlineStr">
        <is>
          <t>VÄSTERNORRLANDS LÄN</t>
        </is>
      </c>
      <c r="E622" t="inlineStr">
        <is>
          <t>SOLLEFTEÅ</t>
        </is>
      </c>
      <c r="G622" t="n">
        <v>3.2</v>
      </c>
      <c r="H622" t="n">
        <v>0</v>
      </c>
      <c r="I622" t="n">
        <v>0</v>
      </c>
      <c r="J622" t="n">
        <v>0</v>
      </c>
      <c r="K622" t="n">
        <v>0</v>
      </c>
      <c r="L622" t="n">
        <v>0</v>
      </c>
      <c r="M622" t="n">
        <v>0</v>
      </c>
      <c r="N622" t="n">
        <v>0</v>
      </c>
      <c r="O622" t="n">
        <v>0</v>
      </c>
      <c r="P622" t="n">
        <v>0</v>
      </c>
      <c r="Q622" t="n">
        <v>0</v>
      </c>
      <c r="R622" s="2" t="inlineStr"/>
    </row>
    <row r="623" ht="15" customHeight="1">
      <c r="A623" t="inlineStr">
        <is>
          <t>A 38081-2019</t>
        </is>
      </c>
      <c r="B623" s="1" t="n">
        <v>43682</v>
      </c>
      <c r="C623" s="1" t="n">
        <v>45822</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38074-2019</t>
        </is>
      </c>
      <c r="B624" s="1" t="n">
        <v>43682</v>
      </c>
      <c r="C624" s="1" t="n">
        <v>45822</v>
      </c>
      <c r="D624" t="inlineStr">
        <is>
          <t>VÄSTERNORRLANDS LÄN</t>
        </is>
      </c>
      <c r="E624" t="inlineStr">
        <is>
          <t>SOLLEFTEÅ</t>
        </is>
      </c>
      <c r="G624" t="n">
        <v>4.2</v>
      </c>
      <c r="H624" t="n">
        <v>0</v>
      </c>
      <c r="I624" t="n">
        <v>0</v>
      </c>
      <c r="J624" t="n">
        <v>0</v>
      </c>
      <c r="K624" t="n">
        <v>0</v>
      </c>
      <c r="L624" t="n">
        <v>0</v>
      </c>
      <c r="M624" t="n">
        <v>0</v>
      </c>
      <c r="N624" t="n">
        <v>0</v>
      </c>
      <c r="O624" t="n">
        <v>0</v>
      </c>
      <c r="P624" t="n">
        <v>0</v>
      </c>
      <c r="Q624" t="n">
        <v>0</v>
      </c>
      <c r="R624" s="2" t="inlineStr"/>
    </row>
    <row r="625" ht="15" customHeight="1">
      <c r="A625" t="inlineStr">
        <is>
          <t>A 38080-2019</t>
        </is>
      </c>
      <c r="B625" s="1" t="n">
        <v>43682</v>
      </c>
      <c r="C625" s="1" t="n">
        <v>45822</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38083-2019</t>
        </is>
      </c>
      <c r="B626" s="1" t="n">
        <v>43682</v>
      </c>
      <c r="C626" s="1" t="n">
        <v>45822</v>
      </c>
      <c r="D626" t="inlineStr">
        <is>
          <t>VÄSTERNORRLANDS LÄN</t>
        </is>
      </c>
      <c r="E626" t="inlineStr">
        <is>
          <t>SOLLEFTEÅ</t>
        </is>
      </c>
      <c r="G626" t="n">
        <v>9.6</v>
      </c>
      <c r="H626" t="n">
        <v>0</v>
      </c>
      <c r="I626" t="n">
        <v>0</v>
      </c>
      <c r="J626" t="n">
        <v>0</v>
      </c>
      <c r="K626" t="n">
        <v>0</v>
      </c>
      <c r="L626" t="n">
        <v>0</v>
      </c>
      <c r="M626" t="n">
        <v>0</v>
      </c>
      <c r="N626" t="n">
        <v>0</v>
      </c>
      <c r="O626" t="n">
        <v>0</v>
      </c>
      <c r="P626" t="n">
        <v>0</v>
      </c>
      <c r="Q626" t="n">
        <v>0</v>
      </c>
      <c r="R626" s="2" t="inlineStr"/>
    </row>
    <row r="627" ht="15" customHeight="1">
      <c r="A627" t="inlineStr">
        <is>
          <t>A 38544-2019</t>
        </is>
      </c>
      <c r="B627" s="1" t="n">
        <v>43684</v>
      </c>
      <c r="C627" s="1" t="n">
        <v>45822</v>
      </c>
      <c r="D627" t="inlineStr">
        <is>
          <t>VÄSTERNORRLANDS LÄN</t>
        </is>
      </c>
      <c r="E627" t="inlineStr">
        <is>
          <t>SOLLEFTEÅ</t>
        </is>
      </c>
      <c r="G627" t="n">
        <v>6.6</v>
      </c>
      <c r="H627" t="n">
        <v>0</v>
      </c>
      <c r="I627" t="n">
        <v>0</v>
      </c>
      <c r="J627" t="n">
        <v>0</v>
      </c>
      <c r="K627" t="n">
        <v>0</v>
      </c>
      <c r="L627" t="n">
        <v>0</v>
      </c>
      <c r="M627" t="n">
        <v>0</v>
      </c>
      <c r="N627" t="n">
        <v>0</v>
      </c>
      <c r="O627" t="n">
        <v>0</v>
      </c>
      <c r="P627" t="n">
        <v>0</v>
      </c>
      <c r="Q627" t="n">
        <v>0</v>
      </c>
      <c r="R627" s="2" t="inlineStr"/>
    </row>
    <row r="628" ht="15" customHeight="1">
      <c r="A628" t="inlineStr">
        <is>
          <t>A 38252-2019</t>
        </is>
      </c>
      <c r="B628" s="1" t="n">
        <v>43684</v>
      </c>
      <c r="C628" s="1" t="n">
        <v>45822</v>
      </c>
      <c r="D628" t="inlineStr">
        <is>
          <t>VÄSTERNORRLANDS LÄN</t>
        </is>
      </c>
      <c r="E628" t="inlineStr">
        <is>
          <t>SOLLEFTEÅ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38566-2019</t>
        </is>
      </c>
      <c r="B629" s="1" t="n">
        <v>43685</v>
      </c>
      <c r="C629" s="1" t="n">
        <v>45822</v>
      </c>
      <c r="D629" t="inlineStr">
        <is>
          <t>VÄSTERNORRLANDS LÄN</t>
        </is>
      </c>
      <c r="E629" t="inlineStr">
        <is>
          <t>SOLLEFTEÅ</t>
        </is>
      </c>
      <c r="F629" t="inlineStr">
        <is>
          <t>SCA</t>
        </is>
      </c>
      <c r="G629" t="n">
        <v>15.1</v>
      </c>
      <c r="H629" t="n">
        <v>0</v>
      </c>
      <c r="I629" t="n">
        <v>0</v>
      </c>
      <c r="J629" t="n">
        <v>0</v>
      </c>
      <c r="K629" t="n">
        <v>0</v>
      </c>
      <c r="L629" t="n">
        <v>0</v>
      </c>
      <c r="M629" t="n">
        <v>0</v>
      </c>
      <c r="N629" t="n">
        <v>0</v>
      </c>
      <c r="O629" t="n">
        <v>0</v>
      </c>
      <c r="P629" t="n">
        <v>0</v>
      </c>
      <c r="Q629" t="n">
        <v>0</v>
      </c>
      <c r="R629" s="2" t="inlineStr"/>
    </row>
    <row r="630" ht="15" customHeight="1">
      <c r="A630" t="inlineStr">
        <is>
          <t>A 38762-2019</t>
        </is>
      </c>
      <c r="B630" s="1" t="n">
        <v>43686</v>
      </c>
      <c r="C630" s="1" t="n">
        <v>45822</v>
      </c>
      <c r="D630" t="inlineStr">
        <is>
          <t>VÄSTERNORRLANDS LÄN</t>
        </is>
      </c>
      <c r="E630" t="inlineStr">
        <is>
          <t>SOLLEFTEÅ</t>
        </is>
      </c>
      <c r="G630" t="n">
        <v>7.7</v>
      </c>
      <c r="H630" t="n">
        <v>0</v>
      </c>
      <c r="I630" t="n">
        <v>0</v>
      </c>
      <c r="J630" t="n">
        <v>0</v>
      </c>
      <c r="K630" t="n">
        <v>0</v>
      </c>
      <c r="L630" t="n">
        <v>0</v>
      </c>
      <c r="M630" t="n">
        <v>0</v>
      </c>
      <c r="N630" t="n">
        <v>0</v>
      </c>
      <c r="O630" t="n">
        <v>0</v>
      </c>
      <c r="P630" t="n">
        <v>0</v>
      </c>
      <c r="Q630" t="n">
        <v>0</v>
      </c>
      <c r="R630" s="2" t="inlineStr"/>
    </row>
    <row r="631" ht="15" customHeight="1">
      <c r="A631" t="inlineStr">
        <is>
          <t>A 38763-2019</t>
        </is>
      </c>
      <c r="B631" s="1" t="n">
        <v>43686</v>
      </c>
      <c r="C631" s="1" t="n">
        <v>45822</v>
      </c>
      <c r="D631" t="inlineStr">
        <is>
          <t>VÄSTERNORRLANDS LÄN</t>
        </is>
      </c>
      <c r="E631" t="inlineStr">
        <is>
          <t>SOLLEFTEÅ</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39123-2019</t>
        </is>
      </c>
      <c r="B632" s="1" t="n">
        <v>43689</v>
      </c>
      <c r="C632" s="1" t="n">
        <v>45822</v>
      </c>
      <c r="D632" t="inlineStr">
        <is>
          <t>VÄSTERNORRLANDS LÄN</t>
        </is>
      </c>
      <c r="E632" t="inlineStr">
        <is>
          <t>SOLLEFTEÅ</t>
        </is>
      </c>
      <c r="G632" t="n">
        <v>10.9</v>
      </c>
      <c r="H632" t="n">
        <v>0</v>
      </c>
      <c r="I632" t="n">
        <v>0</v>
      </c>
      <c r="J632" t="n">
        <v>0</v>
      </c>
      <c r="K632" t="n">
        <v>0</v>
      </c>
      <c r="L632" t="n">
        <v>0</v>
      </c>
      <c r="M632" t="n">
        <v>0</v>
      </c>
      <c r="N632" t="n">
        <v>0</v>
      </c>
      <c r="O632" t="n">
        <v>0</v>
      </c>
      <c r="P632" t="n">
        <v>0</v>
      </c>
      <c r="Q632" t="n">
        <v>0</v>
      </c>
      <c r="R632" s="2" t="inlineStr"/>
    </row>
    <row r="633" ht="15" customHeight="1">
      <c r="A633" t="inlineStr">
        <is>
          <t>A 39768-2019</t>
        </is>
      </c>
      <c r="B633" s="1" t="n">
        <v>43689</v>
      </c>
      <c r="C633" s="1" t="n">
        <v>45822</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40764-2019</t>
        </is>
      </c>
      <c r="B634" s="1" t="n">
        <v>43692</v>
      </c>
      <c r="C634" s="1" t="n">
        <v>45822</v>
      </c>
      <c r="D634" t="inlineStr">
        <is>
          <t>VÄSTERNORRLANDS LÄN</t>
        </is>
      </c>
      <c r="E634" t="inlineStr">
        <is>
          <t>SOLLEFTEÅ</t>
        </is>
      </c>
      <c r="G634" t="n">
        <v>2.9</v>
      </c>
      <c r="H634" t="n">
        <v>0</v>
      </c>
      <c r="I634" t="n">
        <v>0</v>
      </c>
      <c r="J634" t="n">
        <v>0</v>
      </c>
      <c r="K634" t="n">
        <v>0</v>
      </c>
      <c r="L634" t="n">
        <v>0</v>
      </c>
      <c r="M634" t="n">
        <v>0</v>
      </c>
      <c r="N634" t="n">
        <v>0</v>
      </c>
      <c r="O634" t="n">
        <v>0</v>
      </c>
      <c r="P634" t="n">
        <v>0</v>
      </c>
      <c r="Q634" t="n">
        <v>0</v>
      </c>
      <c r="R634" s="2" t="inlineStr"/>
    </row>
    <row r="635" ht="15" customHeight="1">
      <c r="A635" t="inlineStr">
        <is>
          <t>A 40769-2019</t>
        </is>
      </c>
      <c r="B635" s="1" t="n">
        <v>43692</v>
      </c>
      <c r="C635" s="1" t="n">
        <v>45822</v>
      </c>
      <c r="D635" t="inlineStr">
        <is>
          <t>VÄSTERNORRLANDS LÄN</t>
        </is>
      </c>
      <c r="E635" t="inlineStr">
        <is>
          <t>SOLLEFTEÅ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41069-2019</t>
        </is>
      </c>
      <c r="B636" s="1" t="n">
        <v>43693</v>
      </c>
      <c r="C636" s="1" t="n">
        <v>45822</v>
      </c>
      <c r="D636" t="inlineStr">
        <is>
          <t>VÄSTERNORRLANDS LÄN</t>
        </is>
      </c>
      <c r="E636" t="inlineStr">
        <is>
          <t>SOLLEFTEÅ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40685-2019</t>
        </is>
      </c>
      <c r="B637" s="1" t="n">
        <v>43696</v>
      </c>
      <c r="C637" s="1" t="n">
        <v>45822</v>
      </c>
      <c r="D637" t="inlineStr">
        <is>
          <t>VÄSTERNORRLANDS LÄN</t>
        </is>
      </c>
      <c r="E637" t="inlineStr">
        <is>
          <t>SOLLEFTEÅ</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40682-2019</t>
        </is>
      </c>
      <c r="B638" s="1" t="n">
        <v>43696</v>
      </c>
      <c r="C638" s="1" t="n">
        <v>45822</v>
      </c>
      <c r="D638" t="inlineStr">
        <is>
          <t>VÄSTERNORRLANDS LÄN</t>
        </is>
      </c>
      <c r="E638" t="inlineStr">
        <is>
          <t>SOLLEFTEÅ</t>
        </is>
      </c>
      <c r="F638" t="inlineStr">
        <is>
          <t>SCA</t>
        </is>
      </c>
      <c r="G638" t="n">
        <v>7.1</v>
      </c>
      <c r="H638" t="n">
        <v>0</v>
      </c>
      <c r="I638" t="n">
        <v>0</v>
      </c>
      <c r="J638" t="n">
        <v>0</v>
      </c>
      <c r="K638" t="n">
        <v>0</v>
      </c>
      <c r="L638" t="n">
        <v>0</v>
      </c>
      <c r="M638" t="n">
        <v>0</v>
      </c>
      <c r="N638" t="n">
        <v>0</v>
      </c>
      <c r="O638" t="n">
        <v>0</v>
      </c>
      <c r="P638" t="n">
        <v>0</v>
      </c>
      <c r="Q638" t="n">
        <v>0</v>
      </c>
      <c r="R638" s="2" t="inlineStr"/>
    </row>
    <row r="639" ht="15" customHeight="1">
      <c r="A639" t="inlineStr">
        <is>
          <t>A 40514-2019</t>
        </is>
      </c>
      <c r="B639" s="1" t="n">
        <v>43696</v>
      </c>
      <c r="C639" s="1" t="n">
        <v>45822</v>
      </c>
      <c r="D639" t="inlineStr">
        <is>
          <t>VÄSTERNORRLANDS LÄN</t>
        </is>
      </c>
      <c r="E639" t="inlineStr">
        <is>
          <t>SOLLEFTEÅ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40679-2019</t>
        </is>
      </c>
      <c r="B640" s="1" t="n">
        <v>43696</v>
      </c>
      <c r="C640" s="1" t="n">
        <v>45822</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41786-2019</t>
        </is>
      </c>
      <c r="B641" s="1" t="n">
        <v>43699</v>
      </c>
      <c r="C641" s="1" t="n">
        <v>45822</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42417-2019</t>
        </is>
      </c>
      <c r="B642" s="1" t="n">
        <v>43703</v>
      </c>
      <c r="C642" s="1" t="n">
        <v>45822</v>
      </c>
      <c r="D642" t="inlineStr">
        <is>
          <t>VÄSTERNORRLANDS LÄN</t>
        </is>
      </c>
      <c r="E642" t="inlineStr">
        <is>
          <t>SOLLEFTEÅ</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42791-2019</t>
        </is>
      </c>
      <c r="B643" s="1" t="n">
        <v>43704</v>
      </c>
      <c r="C643" s="1" t="n">
        <v>45822</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42792-2019</t>
        </is>
      </c>
      <c r="B644" s="1" t="n">
        <v>43704</v>
      </c>
      <c r="C644" s="1" t="n">
        <v>45822</v>
      </c>
      <c r="D644" t="inlineStr">
        <is>
          <t>VÄSTERNORRLANDS LÄN</t>
        </is>
      </c>
      <c r="E644" t="inlineStr">
        <is>
          <t>SOLLEFTEÅ</t>
        </is>
      </c>
      <c r="G644" t="n">
        <v>5.7</v>
      </c>
      <c r="H644" t="n">
        <v>0</v>
      </c>
      <c r="I644" t="n">
        <v>0</v>
      </c>
      <c r="J644" t="n">
        <v>0</v>
      </c>
      <c r="K644" t="n">
        <v>0</v>
      </c>
      <c r="L644" t="n">
        <v>0</v>
      </c>
      <c r="M644" t="n">
        <v>0</v>
      </c>
      <c r="N644" t="n">
        <v>0</v>
      </c>
      <c r="O644" t="n">
        <v>0</v>
      </c>
      <c r="P644" t="n">
        <v>0</v>
      </c>
      <c r="Q644" t="n">
        <v>0</v>
      </c>
      <c r="R644" s="2" t="inlineStr"/>
    </row>
    <row r="645" ht="15" customHeight="1">
      <c r="A645" t="inlineStr">
        <is>
          <t>A 43499-2019</t>
        </is>
      </c>
      <c r="B645" s="1" t="n">
        <v>43706</v>
      </c>
      <c r="C645" s="1" t="n">
        <v>45822</v>
      </c>
      <c r="D645" t="inlineStr">
        <is>
          <t>VÄSTERNORRLANDS LÄN</t>
        </is>
      </c>
      <c r="E645" t="inlineStr">
        <is>
          <t>SOLLEFTEÅ</t>
        </is>
      </c>
      <c r="G645" t="n">
        <v>19.3</v>
      </c>
      <c r="H645" t="n">
        <v>0</v>
      </c>
      <c r="I645" t="n">
        <v>0</v>
      </c>
      <c r="J645" t="n">
        <v>0</v>
      </c>
      <c r="K645" t="n">
        <v>0</v>
      </c>
      <c r="L645" t="n">
        <v>0</v>
      </c>
      <c r="M645" t="n">
        <v>0</v>
      </c>
      <c r="N645" t="n">
        <v>0</v>
      </c>
      <c r="O645" t="n">
        <v>0</v>
      </c>
      <c r="P645" t="n">
        <v>0</v>
      </c>
      <c r="Q645" t="n">
        <v>0</v>
      </c>
      <c r="R645" s="2" t="inlineStr"/>
    </row>
    <row r="646" ht="15" customHeight="1">
      <c r="A646" t="inlineStr">
        <is>
          <t>A 45032-2019</t>
        </is>
      </c>
      <c r="B646" s="1" t="n">
        <v>43707</v>
      </c>
      <c r="C646" s="1" t="n">
        <v>45822</v>
      </c>
      <c r="D646" t="inlineStr">
        <is>
          <t>VÄSTERNORRLANDS LÄN</t>
        </is>
      </c>
      <c r="E646" t="inlineStr">
        <is>
          <t>SOLLEFTEÅ</t>
        </is>
      </c>
      <c r="G646" t="n">
        <v>9.4</v>
      </c>
      <c r="H646" t="n">
        <v>0</v>
      </c>
      <c r="I646" t="n">
        <v>0</v>
      </c>
      <c r="J646" t="n">
        <v>0</v>
      </c>
      <c r="K646" t="n">
        <v>0</v>
      </c>
      <c r="L646" t="n">
        <v>0</v>
      </c>
      <c r="M646" t="n">
        <v>0</v>
      </c>
      <c r="N646" t="n">
        <v>0</v>
      </c>
      <c r="O646" t="n">
        <v>0</v>
      </c>
      <c r="P646" t="n">
        <v>0</v>
      </c>
      <c r="Q646" t="n">
        <v>0</v>
      </c>
      <c r="R646" s="2" t="inlineStr"/>
    </row>
    <row r="647" ht="15" customHeight="1">
      <c r="A647" t="inlineStr">
        <is>
          <t>A 44815-2019</t>
        </is>
      </c>
      <c r="B647" s="1" t="n">
        <v>43712</v>
      </c>
      <c r="C647" s="1" t="n">
        <v>45822</v>
      </c>
      <c r="D647" t="inlineStr">
        <is>
          <t>VÄSTERNORRLANDS LÄN</t>
        </is>
      </c>
      <c r="E647" t="inlineStr">
        <is>
          <t>SOLLEFTEÅ</t>
        </is>
      </c>
      <c r="G647" t="n">
        <v>3</v>
      </c>
      <c r="H647" t="n">
        <v>0</v>
      </c>
      <c r="I647" t="n">
        <v>0</v>
      </c>
      <c r="J647" t="n">
        <v>0</v>
      </c>
      <c r="K647" t="n">
        <v>0</v>
      </c>
      <c r="L647" t="n">
        <v>0</v>
      </c>
      <c r="M647" t="n">
        <v>0</v>
      </c>
      <c r="N647" t="n">
        <v>0</v>
      </c>
      <c r="O647" t="n">
        <v>0</v>
      </c>
      <c r="P647" t="n">
        <v>0</v>
      </c>
      <c r="Q647" t="n">
        <v>0</v>
      </c>
      <c r="R647" s="2" t="inlineStr"/>
    </row>
    <row r="648" ht="15" customHeight="1">
      <c r="A648" t="inlineStr">
        <is>
          <t>A 45941-2019</t>
        </is>
      </c>
      <c r="B648" s="1" t="n">
        <v>43712</v>
      </c>
      <c r="C648" s="1" t="n">
        <v>45822</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44888-2019</t>
        </is>
      </c>
      <c r="B649" s="1" t="n">
        <v>43712</v>
      </c>
      <c r="C649" s="1" t="n">
        <v>45822</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44960-2019</t>
        </is>
      </c>
      <c r="B650" s="1" t="n">
        <v>43713</v>
      </c>
      <c r="C650" s="1" t="n">
        <v>45822</v>
      </c>
      <c r="D650" t="inlineStr">
        <is>
          <t>VÄSTERNORRLANDS LÄN</t>
        </is>
      </c>
      <c r="E650" t="inlineStr">
        <is>
          <t>SOLLEFTEÅ</t>
        </is>
      </c>
      <c r="G650" t="n">
        <v>14.9</v>
      </c>
      <c r="H650" t="n">
        <v>0</v>
      </c>
      <c r="I650" t="n">
        <v>0</v>
      </c>
      <c r="J650" t="n">
        <v>0</v>
      </c>
      <c r="K650" t="n">
        <v>0</v>
      </c>
      <c r="L650" t="n">
        <v>0</v>
      </c>
      <c r="M650" t="n">
        <v>0</v>
      </c>
      <c r="N650" t="n">
        <v>0</v>
      </c>
      <c r="O650" t="n">
        <v>0</v>
      </c>
      <c r="P650" t="n">
        <v>0</v>
      </c>
      <c r="Q650" t="n">
        <v>0</v>
      </c>
      <c r="R650" s="2" t="inlineStr"/>
    </row>
    <row r="651" ht="15" customHeight="1">
      <c r="A651" t="inlineStr">
        <is>
          <t>A 45537-2019</t>
        </is>
      </c>
      <c r="B651" s="1" t="n">
        <v>43714</v>
      </c>
      <c r="C651" s="1" t="n">
        <v>45822</v>
      </c>
      <c r="D651" t="inlineStr">
        <is>
          <t>VÄSTERNORRLANDS LÄN</t>
        </is>
      </c>
      <c r="E651" t="inlineStr">
        <is>
          <t>SOLLEFTEÅ</t>
        </is>
      </c>
      <c r="F651" t="inlineStr">
        <is>
          <t>SCA</t>
        </is>
      </c>
      <c r="G651" t="n">
        <v>35.1</v>
      </c>
      <c r="H651" t="n">
        <v>0</v>
      </c>
      <c r="I651" t="n">
        <v>0</v>
      </c>
      <c r="J651" t="n">
        <v>0</v>
      </c>
      <c r="K651" t="n">
        <v>0</v>
      </c>
      <c r="L651" t="n">
        <v>0</v>
      </c>
      <c r="M651" t="n">
        <v>0</v>
      </c>
      <c r="N651" t="n">
        <v>0</v>
      </c>
      <c r="O651" t="n">
        <v>0</v>
      </c>
      <c r="P651" t="n">
        <v>0</v>
      </c>
      <c r="Q651" t="n">
        <v>0</v>
      </c>
      <c r="R651" s="2" t="inlineStr"/>
    </row>
    <row r="652" ht="15" customHeight="1">
      <c r="A652" t="inlineStr">
        <is>
          <t>A 46345-2019</t>
        </is>
      </c>
      <c r="B652" s="1" t="n">
        <v>43718</v>
      </c>
      <c r="C652" s="1" t="n">
        <v>45822</v>
      </c>
      <c r="D652" t="inlineStr">
        <is>
          <t>VÄSTERNORRLANDS LÄN</t>
        </is>
      </c>
      <c r="E652" t="inlineStr">
        <is>
          <t>SOLLEFTEÅ</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46956-2019</t>
        </is>
      </c>
      <c r="B653" s="1" t="n">
        <v>43719</v>
      </c>
      <c r="C653" s="1" t="n">
        <v>45822</v>
      </c>
      <c r="D653" t="inlineStr">
        <is>
          <t>VÄSTERNORRLANDS LÄN</t>
        </is>
      </c>
      <c r="E653" t="inlineStr">
        <is>
          <t>SOLLEFTEÅ</t>
        </is>
      </c>
      <c r="G653" t="n">
        <v>18.1</v>
      </c>
      <c r="H653" t="n">
        <v>0</v>
      </c>
      <c r="I653" t="n">
        <v>0</v>
      </c>
      <c r="J653" t="n">
        <v>0</v>
      </c>
      <c r="K653" t="n">
        <v>0</v>
      </c>
      <c r="L653" t="n">
        <v>0</v>
      </c>
      <c r="M653" t="n">
        <v>0</v>
      </c>
      <c r="N653" t="n">
        <v>0</v>
      </c>
      <c r="O653" t="n">
        <v>0</v>
      </c>
      <c r="P653" t="n">
        <v>0</v>
      </c>
      <c r="Q653" t="n">
        <v>0</v>
      </c>
      <c r="R653" s="2" t="inlineStr"/>
    </row>
    <row r="654" ht="15" customHeight="1">
      <c r="A654" t="inlineStr">
        <is>
          <t>A 47366-2019</t>
        </is>
      </c>
      <c r="B654" s="1" t="n">
        <v>43721</v>
      </c>
      <c r="C654" s="1" t="n">
        <v>45822</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47764-2019</t>
        </is>
      </c>
      <c r="B655" s="1" t="n">
        <v>43724</v>
      </c>
      <c r="C655" s="1" t="n">
        <v>45822</v>
      </c>
      <c r="D655" t="inlineStr">
        <is>
          <t>VÄSTERNORRLANDS LÄN</t>
        </is>
      </c>
      <c r="E655" t="inlineStr">
        <is>
          <t>SOLLEFTEÅ</t>
        </is>
      </c>
      <c r="F655" t="inlineStr">
        <is>
          <t>Kyrkan</t>
        </is>
      </c>
      <c r="G655" t="n">
        <v>4.1</v>
      </c>
      <c r="H655" t="n">
        <v>0</v>
      </c>
      <c r="I655" t="n">
        <v>0</v>
      </c>
      <c r="J655" t="n">
        <v>0</v>
      </c>
      <c r="K655" t="n">
        <v>0</v>
      </c>
      <c r="L655" t="n">
        <v>0</v>
      </c>
      <c r="M655" t="n">
        <v>0</v>
      </c>
      <c r="N655" t="n">
        <v>0</v>
      </c>
      <c r="O655" t="n">
        <v>0</v>
      </c>
      <c r="P655" t="n">
        <v>0</v>
      </c>
      <c r="Q655" t="n">
        <v>0</v>
      </c>
      <c r="R655" s="2" t="inlineStr"/>
    </row>
    <row r="656" ht="15" customHeight="1">
      <c r="A656" t="inlineStr">
        <is>
          <t>A 47768-2019</t>
        </is>
      </c>
      <c r="B656" s="1" t="n">
        <v>43724</v>
      </c>
      <c r="C656" s="1" t="n">
        <v>45822</v>
      </c>
      <c r="D656" t="inlineStr">
        <is>
          <t>VÄSTERNORRLANDS LÄN</t>
        </is>
      </c>
      <c r="E656" t="inlineStr">
        <is>
          <t>SOLLEFTEÅ</t>
        </is>
      </c>
      <c r="F656" t="inlineStr">
        <is>
          <t>Kyrkan</t>
        </is>
      </c>
      <c r="G656" t="n">
        <v>12.1</v>
      </c>
      <c r="H656" t="n">
        <v>0</v>
      </c>
      <c r="I656" t="n">
        <v>0</v>
      </c>
      <c r="J656" t="n">
        <v>0</v>
      </c>
      <c r="K656" t="n">
        <v>0</v>
      </c>
      <c r="L656" t="n">
        <v>0</v>
      </c>
      <c r="M656" t="n">
        <v>0</v>
      </c>
      <c r="N656" t="n">
        <v>0</v>
      </c>
      <c r="O656" t="n">
        <v>0</v>
      </c>
      <c r="P656" t="n">
        <v>0</v>
      </c>
      <c r="Q656" t="n">
        <v>0</v>
      </c>
      <c r="R656" s="2" t="inlineStr"/>
    </row>
    <row r="657" ht="15" customHeight="1">
      <c r="A657" t="inlineStr">
        <is>
          <t>A 49381-2019</t>
        </is>
      </c>
      <c r="B657" s="1" t="n">
        <v>43731</v>
      </c>
      <c r="C657" s="1" t="n">
        <v>45822</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49380-2019</t>
        </is>
      </c>
      <c r="B658" s="1" t="n">
        <v>43731</v>
      </c>
      <c r="C658" s="1" t="n">
        <v>45822</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49674-2019</t>
        </is>
      </c>
      <c r="B659" s="1" t="n">
        <v>43732</v>
      </c>
      <c r="C659" s="1" t="n">
        <v>45822</v>
      </c>
      <c r="D659" t="inlineStr">
        <is>
          <t>VÄSTERNORRLANDS LÄN</t>
        </is>
      </c>
      <c r="E659" t="inlineStr">
        <is>
          <t>SOLLEFTEÅ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50283-2019</t>
        </is>
      </c>
      <c r="B660" s="1" t="n">
        <v>43734</v>
      </c>
      <c r="C660" s="1" t="n">
        <v>45822</v>
      </c>
      <c r="D660" t="inlineStr">
        <is>
          <t>VÄSTERNORRLANDS LÄN</t>
        </is>
      </c>
      <c r="E660" t="inlineStr">
        <is>
          <t>SOLLEFTEÅ</t>
        </is>
      </c>
      <c r="F660" t="inlineStr">
        <is>
          <t>SCA</t>
        </is>
      </c>
      <c r="G660" t="n">
        <v>10.6</v>
      </c>
      <c r="H660" t="n">
        <v>0</v>
      </c>
      <c r="I660" t="n">
        <v>0</v>
      </c>
      <c r="J660" t="n">
        <v>0</v>
      </c>
      <c r="K660" t="n">
        <v>0</v>
      </c>
      <c r="L660" t="n">
        <v>0</v>
      </c>
      <c r="M660" t="n">
        <v>0</v>
      </c>
      <c r="N660" t="n">
        <v>0</v>
      </c>
      <c r="O660" t="n">
        <v>0</v>
      </c>
      <c r="P660" t="n">
        <v>0</v>
      </c>
      <c r="Q660" t="n">
        <v>0</v>
      </c>
      <c r="R660" s="2" t="inlineStr"/>
    </row>
    <row r="661" ht="15" customHeight="1">
      <c r="A661" t="inlineStr">
        <is>
          <t>A 50513-2019</t>
        </is>
      </c>
      <c r="B661" s="1" t="n">
        <v>43735</v>
      </c>
      <c r="C661" s="1" t="n">
        <v>45822</v>
      </c>
      <c r="D661" t="inlineStr">
        <is>
          <t>VÄSTERNORRLANDS LÄN</t>
        </is>
      </c>
      <c r="E661" t="inlineStr">
        <is>
          <t>SOLLEFTEÅ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50668-2019</t>
        </is>
      </c>
      <c r="B662" s="1" t="n">
        <v>43737</v>
      </c>
      <c r="C662" s="1" t="n">
        <v>45822</v>
      </c>
      <c r="D662" t="inlineStr">
        <is>
          <t>VÄSTERNORRLANDS LÄN</t>
        </is>
      </c>
      <c r="E662" t="inlineStr">
        <is>
          <t>SOLLEFTEÅ</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51002-2019</t>
        </is>
      </c>
      <c r="B663" s="1" t="n">
        <v>43738</v>
      </c>
      <c r="C663" s="1" t="n">
        <v>45822</v>
      </c>
      <c r="D663" t="inlineStr">
        <is>
          <t>VÄSTERNORRLANDS LÄN</t>
        </is>
      </c>
      <c r="E663" t="inlineStr">
        <is>
          <t>SOLLEFTEÅ</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50999-2019</t>
        </is>
      </c>
      <c r="B664" s="1" t="n">
        <v>43738</v>
      </c>
      <c r="C664" s="1" t="n">
        <v>45822</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51675-2019</t>
        </is>
      </c>
      <c r="B665" s="1" t="n">
        <v>43740</v>
      </c>
      <c r="C665" s="1" t="n">
        <v>45822</v>
      </c>
      <c r="D665" t="inlineStr">
        <is>
          <t>VÄSTERNORRLANDS LÄN</t>
        </is>
      </c>
      <c r="E665" t="inlineStr">
        <is>
          <t>SOLLEFTEÅ</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51671-2019</t>
        </is>
      </c>
      <c r="B666" s="1" t="n">
        <v>43740</v>
      </c>
      <c r="C666" s="1" t="n">
        <v>45822</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51682-2019</t>
        </is>
      </c>
      <c r="B667" s="1" t="n">
        <v>43740</v>
      </c>
      <c r="C667" s="1" t="n">
        <v>45822</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53079-2019</t>
        </is>
      </c>
      <c r="B668" s="1" t="n">
        <v>43740</v>
      </c>
      <c r="C668" s="1" t="n">
        <v>45822</v>
      </c>
      <c r="D668" t="inlineStr">
        <is>
          <t>VÄSTERNORRLANDS LÄN</t>
        </is>
      </c>
      <c r="E668" t="inlineStr">
        <is>
          <t>SOLLEFTEÅ</t>
        </is>
      </c>
      <c r="G668" t="n">
        <v>7.9</v>
      </c>
      <c r="H668" t="n">
        <v>0</v>
      </c>
      <c r="I668" t="n">
        <v>0</v>
      </c>
      <c r="J668" t="n">
        <v>0</v>
      </c>
      <c r="K668" t="n">
        <v>0</v>
      </c>
      <c r="L668" t="n">
        <v>0</v>
      </c>
      <c r="M668" t="n">
        <v>0</v>
      </c>
      <c r="N668" t="n">
        <v>0</v>
      </c>
      <c r="O668" t="n">
        <v>0</v>
      </c>
      <c r="P668" t="n">
        <v>0</v>
      </c>
      <c r="Q668" t="n">
        <v>0</v>
      </c>
      <c r="R668" s="2" t="inlineStr"/>
    </row>
    <row r="669" ht="15" customHeight="1">
      <c r="A669" t="inlineStr">
        <is>
          <t>A 51673-2019</t>
        </is>
      </c>
      <c r="B669" s="1" t="n">
        <v>43740</v>
      </c>
      <c r="C669" s="1" t="n">
        <v>45822</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53076-2019</t>
        </is>
      </c>
      <c r="B670" s="1" t="n">
        <v>43740</v>
      </c>
      <c r="C670" s="1" t="n">
        <v>45822</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53088-2019</t>
        </is>
      </c>
      <c r="B671" s="1" t="n">
        <v>43740</v>
      </c>
      <c r="C671" s="1" t="n">
        <v>45822</v>
      </c>
      <c r="D671" t="inlineStr">
        <is>
          <t>VÄSTERNORRLANDS LÄN</t>
        </is>
      </c>
      <c r="E671" t="inlineStr">
        <is>
          <t>SOLLEFTEÅ</t>
        </is>
      </c>
      <c r="G671" t="n">
        <v>3</v>
      </c>
      <c r="H671" t="n">
        <v>0</v>
      </c>
      <c r="I671" t="n">
        <v>0</v>
      </c>
      <c r="J671" t="n">
        <v>0</v>
      </c>
      <c r="K671" t="n">
        <v>0</v>
      </c>
      <c r="L671" t="n">
        <v>0</v>
      </c>
      <c r="M671" t="n">
        <v>0</v>
      </c>
      <c r="N671" t="n">
        <v>0</v>
      </c>
      <c r="O671" t="n">
        <v>0</v>
      </c>
      <c r="P671" t="n">
        <v>0</v>
      </c>
      <c r="Q671" t="n">
        <v>0</v>
      </c>
      <c r="R671" s="2" t="inlineStr"/>
    </row>
    <row r="672" ht="15" customHeight="1">
      <c r="A672" t="inlineStr">
        <is>
          <t>A 51665-2019</t>
        </is>
      </c>
      <c r="B672" s="1" t="n">
        <v>43740</v>
      </c>
      <c r="C672" s="1" t="n">
        <v>45822</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51953-2019</t>
        </is>
      </c>
      <c r="B673" s="1" t="n">
        <v>43741</v>
      </c>
      <c r="C673" s="1" t="n">
        <v>45822</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53677-2019</t>
        </is>
      </c>
      <c r="B674" s="1" t="n">
        <v>43741</v>
      </c>
      <c r="C674" s="1" t="n">
        <v>45822</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51952-2019</t>
        </is>
      </c>
      <c r="B675" s="1" t="n">
        <v>43741</v>
      </c>
      <c r="C675" s="1" t="n">
        <v>45822</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52568-2019</t>
        </is>
      </c>
      <c r="B676" s="1" t="n">
        <v>43745</v>
      </c>
      <c r="C676" s="1" t="n">
        <v>45822</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52569-2019</t>
        </is>
      </c>
      <c r="B677" s="1" t="n">
        <v>43745</v>
      </c>
      <c r="C677" s="1" t="n">
        <v>45822</v>
      </c>
      <c r="D677" t="inlineStr">
        <is>
          <t>VÄSTERNORRLANDS LÄN</t>
        </is>
      </c>
      <c r="E677" t="inlineStr">
        <is>
          <t>SOLLEFTEÅ</t>
        </is>
      </c>
      <c r="G677" t="n">
        <v>7.1</v>
      </c>
      <c r="H677" t="n">
        <v>0</v>
      </c>
      <c r="I677" t="n">
        <v>0</v>
      </c>
      <c r="J677" t="n">
        <v>0</v>
      </c>
      <c r="K677" t="n">
        <v>0</v>
      </c>
      <c r="L677" t="n">
        <v>0</v>
      </c>
      <c r="M677" t="n">
        <v>0</v>
      </c>
      <c r="N677" t="n">
        <v>0</v>
      </c>
      <c r="O677" t="n">
        <v>0</v>
      </c>
      <c r="P677" t="n">
        <v>0</v>
      </c>
      <c r="Q677" t="n">
        <v>0</v>
      </c>
      <c r="R677" s="2" t="inlineStr"/>
      <c r="U677">
        <f>HYPERLINK("https://klasma.github.io/Logging_2283/knärot/A 52569-2019 karta knärot.png", "A 52569-2019")</f>
        <v/>
      </c>
      <c r="V677">
        <f>HYPERLINK("https://klasma.github.io/Logging_2283/klagomål/A 52569-2019 FSC-klagomål.docx", "A 52569-2019")</f>
        <v/>
      </c>
      <c r="W677">
        <f>HYPERLINK("https://klasma.github.io/Logging_2283/klagomålsmail/A 52569-2019 FSC-klagomål mail.docx", "A 52569-2019")</f>
        <v/>
      </c>
      <c r="X677">
        <f>HYPERLINK("https://klasma.github.io/Logging_2283/tillsyn/A 52569-2019 tillsynsbegäran.docx", "A 52569-2019")</f>
        <v/>
      </c>
      <c r="Y677">
        <f>HYPERLINK("https://klasma.github.io/Logging_2283/tillsynsmail/A 52569-2019 tillsynsbegäran mail.docx", "A 52569-2019")</f>
        <v/>
      </c>
    </row>
    <row r="678" ht="15" customHeight="1">
      <c r="A678" t="inlineStr">
        <is>
          <t>A 52922-2019</t>
        </is>
      </c>
      <c r="B678" s="1" t="n">
        <v>43746</v>
      </c>
      <c r="C678" s="1" t="n">
        <v>45822</v>
      </c>
      <c r="D678" t="inlineStr">
        <is>
          <t>VÄSTERNORRLANDS LÄN</t>
        </is>
      </c>
      <c r="E678" t="inlineStr">
        <is>
          <t>SOLLEFTEÅ</t>
        </is>
      </c>
      <c r="G678" t="n">
        <v>6.5</v>
      </c>
      <c r="H678" t="n">
        <v>0</v>
      </c>
      <c r="I678" t="n">
        <v>0</v>
      </c>
      <c r="J678" t="n">
        <v>0</v>
      </c>
      <c r="K678" t="n">
        <v>0</v>
      </c>
      <c r="L678" t="n">
        <v>0</v>
      </c>
      <c r="M678" t="n">
        <v>0</v>
      </c>
      <c r="N678" t="n">
        <v>0</v>
      </c>
      <c r="O678" t="n">
        <v>0</v>
      </c>
      <c r="P678" t="n">
        <v>0</v>
      </c>
      <c r="Q678" t="n">
        <v>0</v>
      </c>
      <c r="R678" s="2" t="inlineStr"/>
    </row>
    <row r="679" ht="15" customHeight="1">
      <c r="A679" t="inlineStr">
        <is>
          <t>A 53161-2019</t>
        </is>
      </c>
      <c r="B679" s="1" t="n">
        <v>43747</v>
      </c>
      <c r="C679" s="1" t="n">
        <v>45822</v>
      </c>
      <c r="D679" t="inlineStr">
        <is>
          <t>VÄSTERNORRLANDS LÄN</t>
        </is>
      </c>
      <c r="E679" t="inlineStr">
        <is>
          <t>SOLLEFTEÅ</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55623-2019</t>
        </is>
      </c>
      <c r="B680" s="1" t="n">
        <v>43755</v>
      </c>
      <c r="C680" s="1" t="n">
        <v>45822</v>
      </c>
      <c r="D680" t="inlineStr">
        <is>
          <t>VÄSTERNORRLANDS LÄN</t>
        </is>
      </c>
      <c r="E680" t="inlineStr">
        <is>
          <t>SOLLEFTEÅ</t>
        </is>
      </c>
      <c r="G680" t="n">
        <v>0.6</v>
      </c>
      <c r="H680" t="n">
        <v>0</v>
      </c>
      <c r="I680" t="n">
        <v>0</v>
      </c>
      <c r="J680" t="n">
        <v>0</v>
      </c>
      <c r="K680" t="n">
        <v>0</v>
      </c>
      <c r="L680" t="n">
        <v>0</v>
      </c>
      <c r="M680" t="n">
        <v>0</v>
      </c>
      <c r="N680" t="n">
        <v>0</v>
      </c>
      <c r="O680" t="n">
        <v>0</v>
      </c>
      <c r="P680" t="n">
        <v>0</v>
      </c>
      <c r="Q680" t="n">
        <v>0</v>
      </c>
      <c r="R680" s="2" t="inlineStr"/>
    </row>
    <row r="681" ht="15" customHeight="1">
      <c r="A681" t="inlineStr">
        <is>
          <t>A 55925-2019</t>
        </is>
      </c>
      <c r="B681" s="1" t="n">
        <v>43755</v>
      </c>
      <c r="C681" s="1" t="n">
        <v>45822</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55628-2019</t>
        </is>
      </c>
      <c r="B682" s="1" t="n">
        <v>43755</v>
      </c>
      <c r="C682" s="1" t="n">
        <v>45822</v>
      </c>
      <c r="D682" t="inlineStr">
        <is>
          <t>VÄSTERNORRLANDS LÄN</t>
        </is>
      </c>
      <c r="E682" t="inlineStr">
        <is>
          <t>SOLLEFTEÅ</t>
        </is>
      </c>
      <c r="G682" t="n">
        <v>2.6</v>
      </c>
      <c r="H682" t="n">
        <v>0</v>
      </c>
      <c r="I682" t="n">
        <v>0</v>
      </c>
      <c r="J682" t="n">
        <v>0</v>
      </c>
      <c r="K682" t="n">
        <v>0</v>
      </c>
      <c r="L682" t="n">
        <v>0</v>
      </c>
      <c r="M682" t="n">
        <v>0</v>
      </c>
      <c r="N682" t="n">
        <v>0</v>
      </c>
      <c r="O682" t="n">
        <v>0</v>
      </c>
      <c r="P682" t="n">
        <v>0</v>
      </c>
      <c r="Q682" t="n">
        <v>0</v>
      </c>
      <c r="R682" s="2" t="inlineStr"/>
    </row>
    <row r="683" ht="15" customHeight="1">
      <c r="A683" t="inlineStr">
        <is>
          <t>A 55625-2019</t>
        </is>
      </c>
      <c r="B683" s="1" t="n">
        <v>43755</v>
      </c>
      <c r="C683" s="1" t="n">
        <v>45822</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57365-2019</t>
        </is>
      </c>
      <c r="B684" s="1" t="n">
        <v>43760</v>
      </c>
      <c r="C684" s="1" t="n">
        <v>45822</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57575-2019</t>
        </is>
      </c>
      <c r="B685" s="1" t="n">
        <v>43761</v>
      </c>
      <c r="C685" s="1" t="n">
        <v>45822</v>
      </c>
      <c r="D685" t="inlineStr">
        <is>
          <t>VÄSTERNORRLANDS LÄN</t>
        </is>
      </c>
      <c r="E685" t="inlineStr">
        <is>
          <t>SOLLEFTEÅ</t>
        </is>
      </c>
      <c r="G685" t="n">
        <v>14.4</v>
      </c>
      <c r="H685" t="n">
        <v>0</v>
      </c>
      <c r="I685" t="n">
        <v>0</v>
      </c>
      <c r="J685" t="n">
        <v>0</v>
      </c>
      <c r="K685" t="n">
        <v>0</v>
      </c>
      <c r="L685" t="n">
        <v>0</v>
      </c>
      <c r="M685" t="n">
        <v>0</v>
      </c>
      <c r="N685" t="n">
        <v>0</v>
      </c>
      <c r="O685" t="n">
        <v>0</v>
      </c>
      <c r="P685" t="n">
        <v>0</v>
      </c>
      <c r="Q685" t="n">
        <v>0</v>
      </c>
      <c r="R685" s="2" t="inlineStr"/>
    </row>
    <row r="686" ht="15" customHeight="1">
      <c r="A686" t="inlineStr">
        <is>
          <t>A 56252-2019</t>
        </is>
      </c>
      <c r="B686" s="1" t="n">
        <v>43762</v>
      </c>
      <c r="C686" s="1" t="n">
        <v>45822</v>
      </c>
      <c r="D686" t="inlineStr">
        <is>
          <t>VÄSTERNORRLANDS LÄN</t>
        </is>
      </c>
      <c r="E686" t="inlineStr">
        <is>
          <t>SOLLEFTEÅ</t>
        </is>
      </c>
      <c r="F686" t="inlineStr">
        <is>
          <t>Kyrkan</t>
        </is>
      </c>
      <c r="G686" t="n">
        <v>1.1</v>
      </c>
      <c r="H686" t="n">
        <v>0</v>
      </c>
      <c r="I686" t="n">
        <v>0</v>
      </c>
      <c r="J686" t="n">
        <v>0</v>
      </c>
      <c r="K686" t="n">
        <v>0</v>
      </c>
      <c r="L686" t="n">
        <v>0</v>
      </c>
      <c r="M686" t="n">
        <v>0</v>
      </c>
      <c r="N686" t="n">
        <v>0</v>
      </c>
      <c r="O686" t="n">
        <v>0</v>
      </c>
      <c r="P686" t="n">
        <v>0</v>
      </c>
      <c r="Q686" t="n">
        <v>0</v>
      </c>
      <c r="R686" s="2" t="inlineStr"/>
    </row>
    <row r="687" ht="15" customHeight="1">
      <c r="A687" t="inlineStr">
        <is>
          <t>A 56493-2019</t>
        </is>
      </c>
      <c r="B687" s="1" t="n">
        <v>43762</v>
      </c>
      <c r="C687" s="1" t="n">
        <v>45822</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56492-2019</t>
        </is>
      </c>
      <c r="B688" s="1" t="n">
        <v>43762</v>
      </c>
      <c r="C688" s="1" t="n">
        <v>45822</v>
      </c>
      <c r="D688" t="inlineStr">
        <is>
          <t>VÄSTERNORRLANDS LÄN</t>
        </is>
      </c>
      <c r="E688" t="inlineStr">
        <is>
          <t>SOLLEFTEÅ</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56803-2019</t>
        </is>
      </c>
      <c r="B689" s="1" t="n">
        <v>43763</v>
      </c>
      <c r="C689" s="1" t="n">
        <v>45822</v>
      </c>
      <c r="D689" t="inlineStr">
        <is>
          <t>VÄSTERNORRLANDS LÄN</t>
        </is>
      </c>
      <c r="E689" t="inlineStr">
        <is>
          <t>SOLLEFTEÅ</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56874-2019</t>
        </is>
      </c>
      <c r="B690" s="1" t="n">
        <v>43766</v>
      </c>
      <c r="C690" s="1" t="n">
        <v>45822</v>
      </c>
      <c r="D690" t="inlineStr">
        <is>
          <t>VÄSTERNORRLANDS LÄN</t>
        </is>
      </c>
      <c r="E690" t="inlineStr">
        <is>
          <t>SOLLEFTEÅ</t>
        </is>
      </c>
      <c r="G690" t="n">
        <v>6.1</v>
      </c>
      <c r="H690" t="n">
        <v>0</v>
      </c>
      <c r="I690" t="n">
        <v>0</v>
      </c>
      <c r="J690" t="n">
        <v>0</v>
      </c>
      <c r="K690" t="n">
        <v>0</v>
      </c>
      <c r="L690" t="n">
        <v>0</v>
      </c>
      <c r="M690" t="n">
        <v>0</v>
      </c>
      <c r="N690" t="n">
        <v>0</v>
      </c>
      <c r="O690" t="n">
        <v>0</v>
      </c>
      <c r="P690" t="n">
        <v>0</v>
      </c>
      <c r="Q690" t="n">
        <v>0</v>
      </c>
      <c r="R690" s="2" t="inlineStr"/>
    </row>
    <row r="691" ht="15" customHeight="1">
      <c r="A691" t="inlineStr">
        <is>
          <t>A 56985-2019</t>
        </is>
      </c>
      <c r="B691" s="1" t="n">
        <v>43766</v>
      </c>
      <c r="C691" s="1" t="n">
        <v>45822</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57041-2019</t>
        </is>
      </c>
      <c r="B692" s="1" t="n">
        <v>43766</v>
      </c>
      <c r="C692" s="1" t="n">
        <v>45822</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57188-2019</t>
        </is>
      </c>
      <c r="B693" s="1" t="n">
        <v>43766</v>
      </c>
      <c r="C693" s="1" t="n">
        <v>45822</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57882-2019</t>
        </is>
      </c>
      <c r="B694" s="1" t="n">
        <v>43768</v>
      </c>
      <c r="C694" s="1" t="n">
        <v>45822</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57884-2019</t>
        </is>
      </c>
      <c r="B695" s="1" t="n">
        <v>43768</v>
      </c>
      <c r="C695" s="1" t="n">
        <v>45822</v>
      </c>
      <c r="D695" t="inlineStr">
        <is>
          <t>VÄSTERNORRLANDS LÄN</t>
        </is>
      </c>
      <c r="E695" t="inlineStr">
        <is>
          <t>SOLLEFTEÅ</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57883-2019</t>
        </is>
      </c>
      <c r="B696" s="1" t="n">
        <v>43768</v>
      </c>
      <c r="C696" s="1" t="n">
        <v>45822</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58170-2019</t>
        </is>
      </c>
      <c r="B697" s="1" t="n">
        <v>43769</v>
      </c>
      <c r="C697" s="1" t="n">
        <v>45822</v>
      </c>
      <c r="D697" t="inlineStr">
        <is>
          <t>VÄSTERNORRLANDS LÄN</t>
        </is>
      </c>
      <c r="E697" t="inlineStr">
        <is>
          <t>SOLLEFTEÅ</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58267-2019</t>
        </is>
      </c>
      <c r="B698" s="1" t="n">
        <v>43770</v>
      </c>
      <c r="C698" s="1" t="n">
        <v>45822</v>
      </c>
      <c r="D698" t="inlineStr">
        <is>
          <t>VÄSTERNORRLANDS LÄN</t>
        </is>
      </c>
      <c r="E698" t="inlineStr">
        <is>
          <t>SOLLEFTEÅ</t>
        </is>
      </c>
      <c r="G698" t="n">
        <v>4.6</v>
      </c>
      <c r="H698" t="n">
        <v>0</v>
      </c>
      <c r="I698" t="n">
        <v>0</v>
      </c>
      <c r="J698" t="n">
        <v>0</v>
      </c>
      <c r="K698" t="n">
        <v>0</v>
      </c>
      <c r="L698" t="n">
        <v>0</v>
      </c>
      <c r="M698" t="n">
        <v>0</v>
      </c>
      <c r="N698" t="n">
        <v>0</v>
      </c>
      <c r="O698" t="n">
        <v>0</v>
      </c>
      <c r="P698" t="n">
        <v>0</v>
      </c>
      <c r="Q698" t="n">
        <v>0</v>
      </c>
      <c r="R698" s="2" t="inlineStr"/>
    </row>
    <row r="699" ht="15" customHeight="1">
      <c r="A699" t="inlineStr">
        <is>
          <t>A 59460-2019</t>
        </is>
      </c>
      <c r="B699" s="1" t="n">
        <v>43776</v>
      </c>
      <c r="C699" s="1" t="n">
        <v>45822</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60491-2019</t>
        </is>
      </c>
      <c r="B700" s="1" t="n">
        <v>43780</v>
      </c>
      <c r="C700" s="1" t="n">
        <v>45822</v>
      </c>
      <c r="D700" t="inlineStr">
        <is>
          <t>VÄSTERNORRLANDS LÄN</t>
        </is>
      </c>
      <c r="E700" t="inlineStr">
        <is>
          <t>SOLLEFTEÅ</t>
        </is>
      </c>
      <c r="F700" t="inlineStr">
        <is>
          <t>Holmen skog AB</t>
        </is>
      </c>
      <c r="G700" t="n">
        <v>0.5</v>
      </c>
      <c r="H700" t="n">
        <v>0</v>
      </c>
      <c r="I700" t="n">
        <v>0</v>
      </c>
      <c r="J700" t="n">
        <v>0</v>
      </c>
      <c r="K700" t="n">
        <v>0</v>
      </c>
      <c r="L700" t="n">
        <v>0</v>
      </c>
      <c r="M700" t="n">
        <v>0</v>
      </c>
      <c r="N700" t="n">
        <v>0</v>
      </c>
      <c r="O700" t="n">
        <v>0</v>
      </c>
      <c r="P700" t="n">
        <v>0</v>
      </c>
      <c r="Q700" t="n">
        <v>0</v>
      </c>
      <c r="R700" s="2" t="inlineStr"/>
    </row>
    <row r="701" ht="15" customHeight="1">
      <c r="A701" t="inlineStr">
        <is>
          <t>A 61428-2019</t>
        </is>
      </c>
      <c r="B701" s="1" t="n">
        <v>43780</v>
      </c>
      <c r="C701" s="1" t="n">
        <v>45822</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60531-2019</t>
        </is>
      </c>
      <c r="B702" s="1" t="n">
        <v>43781</v>
      </c>
      <c r="C702" s="1" t="n">
        <v>45822</v>
      </c>
      <c r="D702" t="inlineStr">
        <is>
          <t>VÄSTERNORRLANDS LÄN</t>
        </is>
      </c>
      <c r="E702" t="inlineStr">
        <is>
          <t>SOLLEFTEÅ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60538-2019</t>
        </is>
      </c>
      <c r="B703" s="1" t="n">
        <v>43781</v>
      </c>
      <c r="C703" s="1" t="n">
        <v>45822</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60905-2019</t>
        </is>
      </c>
      <c r="B704" s="1" t="n">
        <v>43781</v>
      </c>
      <c r="C704" s="1" t="n">
        <v>45822</v>
      </c>
      <c r="D704" t="inlineStr">
        <is>
          <t>VÄSTERNORRLANDS LÄN</t>
        </is>
      </c>
      <c r="E704" t="inlineStr">
        <is>
          <t>SOLLEFTEÅ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61978-2019</t>
        </is>
      </c>
      <c r="B705" s="1" t="n">
        <v>43781</v>
      </c>
      <c r="C705" s="1" t="n">
        <v>45822</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63450-2019</t>
        </is>
      </c>
      <c r="B706" s="1" t="n">
        <v>43788</v>
      </c>
      <c r="C706" s="1" t="n">
        <v>45822</v>
      </c>
      <c r="D706" t="inlineStr">
        <is>
          <t>VÄSTERNORRLANDS LÄN</t>
        </is>
      </c>
      <c r="E706" t="inlineStr">
        <is>
          <t>SOLLEFTEÅ</t>
        </is>
      </c>
      <c r="G706" t="n">
        <v>8.6</v>
      </c>
      <c r="H706" t="n">
        <v>0</v>
      </c>
      <c r="I706" t="n">
        <v>0</v>
      </c>
      <c r="J706" t="n">
        <v>0</v>
      </c>
      <c r="K706" t="n">
        <v>0</v>
      </c>
      <c r="L706" t="n">
        <v>0</v>
      </c>
      <c r="M706" t="n">
        <v>0</v>
      </c>
      <c r="N706" t="n">
        <v>0</v>
      </c>
      <c r="O706" t="n">
        <v>0</v>
      </c>
      <c r="P706" t="n">
        <v>0</v>
      </c>
      <c r="Q706" t="n">
        <v>0</v>
      </c>
      <c r="R706" s="2" t="inlineStr"/>
    </row>
    <row r="707" ht="15" customHeight="1">
      <c r="A707" t="inlineStr">
        <is>
          <t>A 62500-2019</t>
        </is>
      </c>
      <c r="B707" s="1" t="n">
        <v>43788</v>
      </c>
      <c r="C707" s="1" t="n">
        <v>45822</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64197-2019</t>
        </is>
      </c>
      <c r="B708" s="1" t="n">
        <v>43791</v>
      </c>
      <c r="C708" s="1" t="n">
        <v>45822</v>
      </c>
      <c r="D708" t="inlineStr">
        <is>
          <t>VÄSTERNORRLANDS LÄN</t>
        </is>
      </c>
      <c r="E708" t="inlineStr">
        <is>
          <t>SOLLEFTEÅ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63552-2019</t>
        </is>
      </c>
      <c r="B709" s="1" t="n">
        <v>43794</v>
      </c>
      <c r="C709" s="1" t="n">
        <v>45822</v>
      </c>
      <c r="D709" t="inlineStr">
        <is>
          <t>VÄSTERNORRLANDS LÄN</t>
        </is>
      </c>
      <c r="E709" t="inlineStr">
        <is>
          <t>SOLLEFTEÅ</t>
        </is>
      </c>
      <c r="G709" t="n">
        <v>7.2</v>
      </c>
      <c r="H709" t="n">
        <v>0</v>
      </c>
      <c r="I709" t="n">
        <v>0</v>
      </c>
      <c r="J709" t="n">
        <v>0</v>
      </c>
      <c r="K709" t="n">
        <v>0</v>
      </c>
      <c r="L709" t="n">
        <v>0</v>
      </c>
      <c r="M709" t="n">
        <v>0</v>
      </c>
      <c r="N709" t="n">
        <v>0</v>
      </c>
      <c r="O709" t="n">
        <v>0</v>
      </c>
      <c r="P709" t="n">
        <v>0</v>
      </c>
      <c r="Q709" t="n">
        <v>0</v>
      </c>
      <c r="R709" s="2" t="inlineStr"/>
    </row>
    <row r="710" ht="15" customHeight="1">
      <c r="A710" t="inlineStr">
        <is>
          <t>A 63752-2019</t>
        </is>
      </c>
      <c r="B710" s="1" t="n">
        <v>43795</v>
      </c>
      <c r="C710" s="1" t="n">
        <v>45822</v>
      </c>
      <c r="D710" t="inlineStr">
        <is>
          <t>VÄSTERNORRLANDS LÄN</t>
        </is>
      </c>
      <c r="E710" t="inlineStr">
        <is>
          <t>SOLLEFTEÅ</t>
        </is>
      </c>
      <c r="G710" t="n">
        <v>4.2</v>
      </c>
      <c r="H710" t="n">
        <v>0</v>
      </c>
      <c r="I710" t="n">
        <v>0</v>
      </c>
      <c r="J710" t="n">
        <v>0</v>
      </c>
      <c r="K710" t="n">
        <v>0</v>
      </c>
      <c r="L710" t="n">
        <v>0</v>
      </c>
      <c r="M710" t="n">
        <v>0</v>
      </c>
      <c r="N710" t="n">
        <v>0</v>
      </c>
      <c r="O710" t="n">
        <v>0</v>
      </c>
      <c r="P710" t="n">
        <v>0</v>
      </c>
      <c r="Q710" t="n">
        <v>0</v>
      </c>
      <c r="R710" s="2" t="inlineStr"/>
    </row>
    <row r="711" ht="15" customHeight="1">
      <c r="A711" t="inlineStr">
        <is>
          <t>A 65218-2019</t>
        </is>
      </c>
      <c r="B711" s="1" t="n">
        <v>43797</v>
      </c>
      <c r="C711" s="1" t="n">
        <v>45822</v>
      </c>
      <c r="D711" t="inlineStr">
        <is>
          <t>VÄSTERNORRLANDS LÄN</t>
        </is>
      </c>
      <c r="E711" t="inlineStr">
        <is>
          <t>SOLLEFTEÅ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65029-2019</t>
        </is>
      </c>
      <c r="B712" s="1" t="n">
        <v>43801</v>
      </c>
      <c r="C712" s="1" t="n">
        <v>45822</v>
      </c>
      <c r="D712" t="inlineStr">
        <is>
          <t>VÄSTERNORRLANDS LÄN</t>
        </is>
      </c>
      <c r="E712" t="inlineStr">
        <is>
          <t>SOLLEFTEÅ</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65332-2019</t>
        </is>
      </c>
      <c r="B713" s="1" t="n">
        <v>43802</v>
      </c>
      <c r="C713" s="1" t="n">
        <v>45822</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66321-2019</t>
        </is>
      </c>
      <c r="B714" s="1" t="n">
        <v>43802</v>
      </c>
      <c r="C714" s="1" t="n">
        <v>45822</v>
      </c>
      <c r="D714" t="inlineStr">
        <is>
          <t>VÄSTERNORRLANDS LÄN</t>
        </is>
      </c>
      <c r="E714" t="inlineStr">
        <is>
          <t>SOLLEFTEÅ</t>
        </is>
      </c>
      <c r="G714" t="n">
        <v>6.4</v>
      </c>
      <c r="H714" t="n">
        <v>0</v>
      </c>
      <c r="I714" t="n">
        <v>0</v>
      </c>
      <c r="J714" t="n">
        <v>0</v>
      </c>
      <c r="K714" t="n">
        <v>0</v>
      </c>
      <c r="L714" t="n">
        <v>0</v>
      </c>
      <c r="M714" t="n">
        <v>0</v>
      </c>
      <c r="N714" t="n">
        <v>0</v>
      </c>
      <c r="O714" t="n">
        <v>0</v>
      </c>
      <c r="P714" t="n">
        <v>0</v>
      </c>
      <c r="Q714" t="n">
        <v>0</v>
      </c>
      <c r="R714" s="2" t="inlineStr"/>
    </row>
    <row r="715" ht="15" customHeight="1">
      <c r="A715" t="inlineStr">
        <is>
          <t>A 65319-2019</t>
        </is>
      </c>
      <c r="B715" s="1" t="n">
        <v>43802</v>
      </c>
      <c r="C715" s="1" t="n">
        <v>45822</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65327-2019</t>
        </is>
      </c>
      <c r="B716" s="1" t="n">
        <v>43802</v>
      </c>
      <c r="C716" s="1" t="n">
        <v>45822</v>
      </c>
      <c r="D716" t="inlineStr">
        <is>
          <t>VÄSTERNORRLANDS LÄN</t>
        </is>
      </c>
      <c r="E716" t="inlineStr">
        <is>
          <t>SOLLEFTEÅ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66391-2019</t>
        </is>
      </c>
      <c r="B717" s="1" t="n">
        <v>43808</v>
      </c>
      <c r="C717" s="1" t="n">
        <v>45822</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67805-2019</t>
        </is>
      </c>
      <c r="B718" s="1" t="n">
        <v>43815</v>
      </c>
      <c r="C718" s="1" t="n">
        <v>45822</v>
      </c>
      <c r="D718" t="inlineStr">
        <is>
          <t>VÄSTERNORRLANDS LÄN</t>
        </is>
      </c>
      <c r="E718" t="inlineStr">
        <is>
          <t>SOLLEFTEÅ</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67815-2019</t>
        </is>
      </c>
      <c r="B719" s="1" t="n">
        <v>43815</v>
      </c>
      <c r="C719" s="1" t="n">
        <v>45822</v>
      </c>
      <c r="D719" t="inlineStr">
        <is>
          <t>VÄSTERNORRLANDS LÄN</t>
        </is>
      </c>
      <c r="E719" t="inlineStr">
        <is>
          <t>SOLLEFTEÅ</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1627-2020</t>
        </is>
      </c>
      <c r="B720" s="1" t="n">
        <v>43829</v>
      </c>
      <c r="C720" s="1" t="n">
        <v>45822</v>
      </c>
      <c r="D720" t="inlineStr">
        <is>
          <t>VÄSTERNORRLANDS LÄN</t>
        </is>
      </c>
      <c r="E720" t="inlineStr">
        <is>
          <t>SOLLEFTEÅ</t>
        </is>
      </c>
      <c r="G720" t="n">
        <v>9</v>
      </c>
      <c r="H720" t="n">
        <v>0</v>
      </c>
      <c r="I720" t="n">
        <v>0</v>
      </c>
      <c r="J720" t="n">
        <v>0</v>
      </c>
      <c r="K720" t="n">
        <v>0</v>
      </c>
      <c r="L720" t="n">
        <v>0</v>
      </c>
      <c r="M720" t="n">
        <v>0</v>
      </c>
      <c r="N720" t="n">
        <v>0</v>
      </c>
      <c r="O720" t="n">
        <v>0</v>
      </c>
      <c r="P720" t="n">
        <v>0</v>
      </c>
      <c r="Q720" t="n">
        <v>0</v>
      </c>
      <c r="R720" s="2" t="inlineStr"/>
    </row>
    <row r="721" ht="15" customHeight="1">
      <c r="A721" t="inlineStr">
        <is>
          <t>A 127-2020</t>
        </is>
      </c>
      <c r="B721" s="1" t="n">
        <v>43832</v>
      </c>
      <c r="C721" s="1" t="n">
        <v>45822</v>
      </c>
      <c r="D721" t="inlineStr">
        <is>
          <t>VÄSTERNORRLANDS LÄN</t>
        </is>
      </c>
      <c r="E721" t="inlineStr">
        <is>
          <t>SOLLEFTEÅ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125-2020</t>
        </is>
      </c>
      <c r="B722" s="1" t="n">
        <v>43832</v>
      </c>
      <c r="C722" s="1" t="n">
        <v>45822</v>
      </c>
      <c r="D722" t="inlineStr">
        <is>
          <t>VÄSTERNORRLANDS LÄN</t>
        </is>
      </c>
      <c r="E722" t="inlineStr">
        <is>
          <t>SOLLEFTEÅ</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126-2020</t>
        </is>
      </c>
      <c r="B723" s="1" t="n">
        <v>43832</v>
      </c>
      <c r="C723" s="1" t="n">
        <v>45822</v>
      </c>
      <c r="D723" t="inlineStr">
        <is>
          <t>VÄSTERNORRLANDS LÄN</t>
        </is>
      </c>
      <c r="E723" t="inlineStr">
        <is>
          <t>SOLLEFTEÅ</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538-2020</t>
        </is>
      </c>
      <c r="B724" s="1" t="n">
        <v>43837</v>
      </c>
      <c r="C724" s="1" t="n">
        <v>45822</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1263-2020</t>
        </is>
      </c>
      <c r="B725" s="1" t="n">
        <v>43840</v>
      </c>
      <c r="C725" s="1" t="n">
        <v>45822</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1262-2020</t>
        </is>
      </c>
      <c r="B726" s="1" t="n">
        <v>43840</v>
      </c>
      <c r="C726" s="1" t="n">
        <v>45822</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1213-2020</t>
        </is>
      </c>
      <c r="B727" s="1" t="n">
        <v>43840</v>
      </c>
      <c r="C727" s="1" t="n">
        <v>45822</v>
      </c>
      <c r="D727" t="inlineStr">
        <is>
          <t>VÄSTERNORRLANDS LÄN</t>
        </is>
      </c>
      <c r="E727" t="inlineStr">
        <is>
          <t>SOLLEFTEÅ</t>
        </is>
      </c>
      <c r="F727" t="inlineStr">
        <is>
          <t>Kyrkan</t>
        </is>
      </c>
      <c r="G727" t="n">
        <v>13.9</v>
      </c>
      <c r="H727" t="n">
        <v>0</v>
      </c>
      <c r="I727" t="n">
        <v>0</v>
      </c>
      <c r="J727" t="n">
        <v>0</v>
      </c>
      <c r="K727" t="n">
        <v>0</v>
      </c>
      <c r="L727" t="n">
        <v>0</v>
      </c>
      <c r="M727" t="n">
        <v>0</v>
      </c>
      <c r="N727" t="n">
        <v>0</v>
      </c>
      <c r="O727" t="n">
        <v>0</v>
      </c>
      <c r="P727" t="n">
        <v>0</v>
      </c>
      <c r="Q727" t="n">
        <v>0</v>
      </c>
      <c r="R727" s="2" t="inlineStr"/>
    </row>
    <row r="728" ht="15" customHeight="1">
      <c r="A728" t="inlineStr">
        <is>
          <t>A 1568-2020</t>
        </is>
      </c>
      <c r="B728" s="1" t="n">
        <v>43844</v>
      </c>
      <c r="C728" s="1" t="n">
        <v>45822</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2897-2020</t>
        </is>
      </c>
      <c r="B729" s="1" t="n">
        <v>43850</v>
      </c>
      <c r="C729" s="1" t="n">
        <v>45822</v>
      </c>
      <c r="D729" t="inlineStr">
        <is>
          <t>VÄSTERNORRLANDS LÄN</t>
        </is>
      </c>
      <c r="E729" t="inlineStr">
        <is>
          <t>SOLLEFTEÅ</t>
        </is>
      </c>
      <c r="G729" t="n">
        <v>7.6</v>
      </c>
      <c r="H729" t="n">
        <v>0</v>
      </c>
      <c r="I729" t="n">
        <v>0</v>
      </c>
      <c r="J729" t="n">
        <v>0</v>
      </c>
      <c r="K729" t="n">
        <v>0</v>
      </c>
      <c r="L729" t="n">
        <v>0</v>
      </c>
      <c r="M729" t="n">
        <v>0</v>
      </c>
      <c r="N729" t="n">
        <v>0</v>
      </c>
      <c r="O729" t="n">
        <v>0</v>
      </c>
      <c r="P729" t="n">
        <v>0</v>
      </c>
      <c r="Q729" t="n">
        <v>0</v>
      </c>
      <c r="R729" s="2" t="inlineStr"/>
    </row>
    <row r="730" ht="15" customHeight="1">
      <c r="A730" t="inlineStr">
        <is>
          <t>A 3230-2020</t>
        </is>
      </c>
      <c r="B730" s="1" t="n">
        <v>43851</v>
      </c>
      <c r="C730" s="1" t="n">
        <v>45822</v>
      </c>
      <c r="D730" t="inlineStr">
        <is>
          <t>VÄSTERNORRLANDS LÄN</t>
        </is>
      </c>
      <c r="E730" t="inlineStr">
        <is>
          <t>SOLLEFTEÅ</t>
        </is>
      </c>
      <c r="F730" t="inlineStr">
        <is>
          <t>Övriga statliga verk och myndigheter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4363-2020</t>
        </is>
      </c>
      <c r="B731" s="1" t="n">
        <v>43857</v>
      </c>
      <c r="C731" s="1" t="n">
        <v>45822</v>
      </c>
      <c r="D731" t="inlineStr">
        <is>
          <t>VÄSTERNORRLANDS LÄN</t>
        </is>
      </c>
      <c r="E731" t="inlineStr">
        <is>
          <t>SOLLEFTEÅ</t>
        </is>
      </c>
      <c r="G731" t="n">
        <v>6.4</v>
      </c>
      <c r="H731" t="n">
        <v>0</v>
      </c>
      <c r="I731" t="n">
        <v>0</v>
      </c>
      <c r="J731" t="n">
        <v>0</v>
      </c>
      <c r="K731" t="n">
        <v>0</v>
      </c>
      <c r="L731" t="n">
        <v>0</v>
      </c>
      <c r="M731" t="n">
        <v>0</v>
      </c>
      <c r="N731" t="n">
        <v>0</v>
      </c>
      <c r="O731" t="n">
        <v>0</v>
      </c>
      <c r="P731" t="n">
        <v>0</v>
      </c>
      <c r="Q731" t="n">
        <v>0</v>
      </c>
      <c r="R731" s="2" t="inlineStr"/>
    </row>
    <row r="732" ht="15" customHeight="1">
      <c r="A732" t="inlineStr">
        <is>
          <t>A 5248-2020</t>
        </is>
      </c>
      <c r="B732" s="1" t="n">
        <v>43857</v>
      </c>
      <c r="C732" s="1" t="n">
        <v>45822</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5635-2020</t>
        </is>
      </c>
      <c r="B733" s="1" t="n">
        <v>43860</v>
      </c>
      <c r="C733" s="1" t="n">
        <v>45822</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5662-2020</t>
        </is>
      </c>
      <c r="B734" s="1" t="n">
        <v>43861</v>
      </c>
      <c r="C734" s="1" t="n">
        <v>45822</v>
      </c>
      <c r="D734" t="inlineStr">
        <is>
          <t>VÄSTERNORRLANDS LÄN</t>
        </is>
      </c>
      <c r="E734" t="inlineStr">
        <is>
          <t>SOLLEFTEÅ</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5714-2020</t>
        </is>
      </c>
      <c r="B735" s="1" t="n">
        <v>43861</v>
      </c>
      <c r="C735" s="1" t="n">
        <v>45822</v>
      </c>
      <c r="D735" t="inlineStr">
        <is>
          <t>VÄSTERNORRLANDS LÄN</t>
        </is>
      </c>
      <c r="E735" t="inlineStr">
        <is>
          <t>SOLLEFTEÅ</t>
        </is>
      </c>
      <c r="G735" t="n">
        <v>3</v>
      </c>
      <c r="H735" t="n">
        <v>0</v>
      </c>
      <c r="I735" t="n">
        <v>0</v>
      </c>
      <c r="J735" t="n">
        <v>0</v>
      </c>
      <c r="K735" t="n">
        <v>0</v>
      </c>
      <c r="L735" t="n">
        <v>0</v>
      </c>
      <c r="M735" t="n">
        <v>0</v>
      </c>
      <c r="N735" t="n">
        <v>0</v>
      </c>
      <c r="O735" t="n">
        <v>0</v>
      </c>
      <c r="P735" t="n">
        <v>0</v>
      </c>
      <c r="Q735" t="n">
        <v>0</v>
      </c>
      <c r="R735" s="2" t="inlineStr"/>
    </row>
    <row r="736" ht="15" customHeight="1">
      <c r="A736" t="inlineStr">
        <is>
          <t>A 5908-2020</t>
        </is>
      </c>
      <c r="B736" s="1" t="n">
        <v>43861</v>
      </c>
      <c r="C736" s="1" t="n">
        <v>45822</v>
      </c>
      <c r="D736" t="inlineStr">
        <is>
          <t>VÄSTERNORRLANDS LÄN</t>
        </is>
      </c>
      <c r="E736" t="inlineStr">
        <is>
          <t>SOLLEFTEÅ</t>
        </is>
      </c>
      <c r="G736" t="n">
        <v>4.6</v>
      </c>
      <c r="H736" t="n">
        <v>0</v>
      </c>
      <c r="I736" t="n">
        <v>0</v>
      </c>
      <c r="J736" t="n">
        <v>0</v>
      </c>
      <c r="K736" t="n">
        <v>0</v>
      </c>
      <c r="L736" t="n">
        <v>0</v>
      </c>
      <c r="M736" t="n">
        <v>0</v>
      </c>
      <c r="N736" t="n">
        <v>0</v>
      </c>
      <c r="O736" t="n">
        <v>0</v>
      </c>
      <c r="P736" t="n">
        <v>0</v>
      </c>
      <c r="Q736" t="n">
        <v>0</v>
      </c>
      <c r="R736" s="2" t="inlineStr"/>
    </row>
    <row r="737" ht="15" customHeight="1">
      <c r="A737" t="inlineStr">
        <is>
          <t>A 8363-2020</t>
        </is>
      </c>
      <c r="B737" s="1" t="n">
        <v>43875</v>
      </c>
      <c r="C737" s="1" t="n">
        <v>45822</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8935-2020</t>
        </is>
      </c>
      <c r="B738" s="1" t="n">
        <v>43878</v>
      </c>
      <c r="C738" s="1" t="n">
        <v>45822</v>
      </c>
      <c r="D738" t="inlineStr">
        <is>
          <t>VÄSTERNORRLANDS LÄN</t>
        </is>
      </c>
      <c r="E738" t="inlineStr">
        <is>
          <t>SOLLEFTEÅ</t>
        </is>
      </c>
      <c r="G738" t="n">
        <v>3.9</v>
      </c>
      <c r="H738" t="n">
        <v>0</v>
      </c>
      <c r="I738" t="n">
        <v>0</v>
      </c>
      <c r="J738" t="n">
        <v>0</v>
      </c>
      <c r="K738" t="n">
        <v>0</v>
      </c>
      <c r="L738" t="n">
        <v>0</v>
      </c>
      <c r="M738" t="n">
        <v>0</v>
      </c>
      <c r="N738" t="n">
        <v>0</v>
      </c>
      <c r="O738" t="n">
        <v>0</v>
      </c>
      <c r="P738" t="n">
        <v>0</v>
      </c>
      <c r="Q738" t="n">
        <v>0</v>
      </c>
      <c r="R738" s="2" t="inlineStr"/>
    </row>
    <row r="739" ht="15" customHeight="1">
      <c r="A739" t="inlineStr">
        <is>
          <t>A 10631-2020</t>
        </is>
      </c>
      <c r="B739" s="1" t="n">
        <v>43887</v>
      </c>
      <c r="C739" s="1" t="n">
        <v>45822</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10846-2020</t>
        </is>
      </c>
      <c r="B740" s="1" t="n">
        <v>43888</v>
      </c>
      <c r="C740" s="1" t="n">
        <v>45822</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11685-2020</t>
        </is>
      </c>
      <c r="B741" s="1" t="n">
        <v>43893</v>
      </c>
      <c r="C741" s="1" t="n">
        <v>45822</v>
      </c>
      <c r="D741" t="inlineStr">
        <is>
          <t>VÄSTERNORRLANDS LÄN</t>
        </is>
      </c>
      <c r="E741" t="inlineStr">
        <is>
          <t>SOLLEFTEÅ</t>
        </is>
      </c>
      <c r="F741" t="inlineStr">
        <is>
          <t>SCA</t>
        </is>
      </c>
      <c r="G741" t="n">
        <v>10.3</v>
      </c>
      <c r="H741" t="n">
        <v>0</v>
      </c>
      <c r="I741" t="n">
        <v>0</v>
      </c>
      <c r="J741" t="n">
        <v>0</v>
      </c>
      <c r="K741" t="n">
        <v>0</v>
      </c>
      <c r="L741" t="n">
        <v>0</v>
      </c>
      <c r="M741" t="n">
        <v>0</v>
      </c>
      <c r="N741" t="n">
        <v>0</v>
      </c>
      <c r="O741" t="n">
        <v>0</v>
      </c>
      <c r="P741" t="n">
        <v>0</v>
      </c>
      <c r="Q741" t="n">
        <v>0</v>
      </c>
      <c r="R741" s="2" t="inlineStr"/>
    </row>
    <row r="742" ht="15" customHeight="1">
      <c r="A742" t="inlineStr">
        <is>
          <t>A 12819-2020</t>
        </is>
      </c>
      <c r="B742" s="1" t="n">
        <v>43893</v>
      </c>
      <c r="C742" s="1" t="n">
        <v>45822</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12525-2020</t>
        </is>
      </c>
      <c r="B743" s="1" t="n">
        <v>43896</v>
      </c>
      <c r="C743" s="1" t="n">
        <v>45822</v>
      </c>
      <c r="D743" t="inlineStr">
        <is>
          <t>VÄSTERNORRLANDS LÄN</t>
        </is>
      </c>
      <c r="E743" t="inlineStr">
        <is>
          <t>SOLLEFTEÅ</t>
        </is>
      </c>
      <c r="F743" t="inlineStr">
        <is>
          <t>SCA</t>
        </is>
      </c>
      <c r="G743" t="n">
        <v>28.7</v>
      </c>
      <c r="H743" t="n">
        <v>0</v>
      </c>
      <c r="I743" t="n">
        <v>0</v>
      </c>
      <c r="J743" t="n">
        <v>0</v>
      </c>
      <c r="K743" t="n">
        <v>0</v>
      </c>
      <c r="L743" t="n">
        <v>0</v>
      </c>
      <c r="M743" t="n">
        <v>0</v>
      </c>
      <c r="N743" t="n">
        <v>0</v>
      </c>
      <c r="O743" t="n">
        <v>0</v>
      </c>
      <c r="P743" t="n">
        <v>0</v>
      </c>
      <c r="Q743" t="n">
        <v>0</v>
      </c>
      <c r="R743" s="2" t="inlineStr"/>
    </row>
    <row r="744" ht="15" customHeight="1">
      <c r="A744" t="inlineStr">
        <is>
          <t>A 13023-2020</t>
        </is>
      </c>
      <c r="B744" s="1" t="n">
        <v>43900</v>
      </c>
      <c r="C744" s="1" t="n">
        <v>45822</v>
      </c>
      <c r="D744" t="inlineStr">
        <is>
          <t>VÄSTERNORRLANDS LÄN</t>
        </is>
      </c>
      <c r="E744" t="inlineStr">
        <is>
          <t>SOLLEFTEÅ</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13567-2020</t>
        </is>
      </c>
      <c r="B745" s="1" t="n">
        <v>43902</v>
      </c>
      <c r="C745" s="1" t="n">
        <v>45822</v>
      </c>
      <c r="D745" t="inlineStr">
        <is>
          <t>VÄSTERNORRLANDS LÄN</t>
        </is>
      </c>
      <c r="E745" t="inlineStr">
        <is>
          <t>SOLLEFTEÅ</t>
        </is>
      </c>
      <c r="F745" t="inlineStr">
        <is>
          <t>SCA</t>
        </is>
      </c>
      <c r="G745" t="n">
        <v>15.9</v>
      </c>
      <c r="H745" t="n">
        <v>0</v>
      </c>
      <c r="I745" t="n">
        <v>0</v>
      </c>
      <c r="J745" t="n">
        <v>0</v>
      </c>
      <c r="K745" t="n">
        <v>0</v>
      </c>
      <c r="L745" t="n">
        <v>0</v>
      </c>
      <c r="M745" t="n">
        <v>0</v>
      </c>
      <c r="N745" t="n">
        <v>0</v>
      </c>
      <c r="O745" t="n">
        <v>0</v>
      </c>
      <c r="P745" t="n">
        <v>0</v>
      </c>
      <c r="Q745" t="n">
        <v>0</v>
      </c>
      <c r="R745" s="2" t="inlineStr"/>
    </row>
    <row r="746" ht="15" customHeight="1">
      <c r="A746" t="inlineStr">
        <is>
          <t>A 13577-2020</t>
        </is>
      </c>
      <c r="B746" s="1" t="n">
        <v>43902</v>
      </c>
      <c r="C746" s="1" t="n">
        <v>45822</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13565-2020</t>
        </is>
      </c>
      <c r="B747" s="1" t="n">
        <v>43902</v>
      </c>
      <c r="C747" s="1" t="n">
        <v>45822</v>
      </c>
      <c r="D747" t="inlineStr">
        <is>
          <t>VÄSTERNORRLANDS LÄN</t>
        </is>
      </c>
      <c r="E747" t="inlineStr">
        <is>
          <t>SOLLEFTEÅ</t>
        </is>
      </c>
      <c r="F747" t="inlineStr">
        <is>
          <t>SCA</t>
        </is>
      </c>
      <c r="G747" t="n">
        <v>12.6</v>
      </c>
      <c r="H747" t="n">
        <v>0</v>
      </c>
      <c r="I747" t="n">
        <v>0</v>
      </c>
      <c r="J747" t="n">
        <v>0</v>
      </c>
      <c r="K747" t="n">
        <v>0</v>
      </c>
      <c r="L747" t="n">
        <v>0</v>
      </c>
      <c r="M747" t="n">
        <v>0</v>
      </c>
      <c r="N747" t="n">
        <v>0</v>
      </c>
      <c r="O747" t="n">
        <v>0</v>
      </c>
      <c r="P747" t="n">
        <v>0</v>
      </c>
      <c r="Q747" t="n">
        <v>0</v>
      </c>
      <c r="R747" s="2" t="inlineStr"/>
    </row>
    <row r="748" ht="15" customHeight="1">
      <c r="A748" t="inlineStr">
        <is>
          <t>A 13575-2020</t>
        </is>
      </c>
      <c r="B748" s="1" t="n">
        <v>43902</v>
      </c>
      <c r="C748" s="1" t="n">
        <v>45822</v>
      </c>
      <c r="D748" t="inlineStr">
        <is>
          <t>VÄSTERNORRLANDS LÄN</t>
        </is>
      </c>
      <c r="E748" t="inlineStr">
        <is>
          <t>SOLLEFTEÅ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13561-2020</t>
        </is>
      </c>
      <c r="B749" s="1" t="n">
        <v>43902</v>
      </c>
      <c r="C749" s="1" t="n">
        <v>45822</v>
      </c>
      <c r="D749" t="inlineStr">
        <is>
          <t>VÄSTERNORRLANDS LÄN</t>
        </is>
      </c>
      <c r="E749" t="inlineStr">
        <is>
          <t>SOLLEFTEÅ</t>
        </is>
      </c>
      <c r="F749" t="inlineStr">
        <is>
          <t>SCA</t>
        </is>
      </c>
      <c r="G749" t="n">
        <v>7.8</v>
      </c>
      <c r="H749" t="n">
        <v>0</v>
      </c>
      <c r="I749" t="n">
        <v>0</v>
      </c>
      <c r="J749" t="n">
        <v>0</v>
      </c>
      <c r="K749" t="n">
        <v>0</v>
      </c>
      <c r="L749" t="n">
        <v>0</v>
      </c>
      <c r="M749" t="n">
        <v>0</v>
      </c>
      <c r="N749" t="n">
        <v>0</v>
      </c>
      <c r="O749" t="n">
        <v>0</v>
      </c>
      <c r="P749" t="n">
        <v>0</v>
      </c>
      <c r="Q749" t="n">
        <v>0</v>
      </c>
      <c r="R749" s="2" t="inlineStr"/>
    </row>
    <row r="750" ht="15" customHeight="1">
      <c r="A750" t="inlineStr">
        <is>
          <t>A 13564-2020</t>
        </is>
      </c>
      <c r="B750" s="1" t="n">
        <v>43902</v>
      </c>
      <c r="C750" s="1" t="n">
        <v>45822</v>
      </c>
      <c r="D750" t="inlineStr">
        <is>
          <t>VÄSTERNORRLANDS LÄN</t>
        </is>
      </c>
      <c r="E750" t="inlineStr">
        <is>
          <t>SOLLEFTEÅ</t>
        </is>
      </c>
      <c r="F750" t="inlineStr">
        <is>
          <t>SCA</t>
        </is>
      </c>
      <c r="G750" t="n">
        <v>26.1</v>
      </c>
      <c r="H750" t="n">
        <v>0</v>
      </c>
      <c r="I750" t="n">
        <v>0</v>
      </c>
      <c r="J750" t="n">
        <v>0</v>
      </c>
      <c r="K750" t="n">
        <v>0</v>
      </c>
      <c r="L750" t="n">
        <v>0</v>
      </c>
      <c r="M750" t="n">
        <v>0</v>
      </c>
      <c r="N750" t="n">
        <v>0</v>
      </c>
      <c r="O750" t="n">
        <v>0</v>
      </c>
      <c r="P750" t="n">
        <v>0</v>
      </c>
      <c r="Q750" t="n">
        <v>0</v>
      </c>
      <c r="R750" s="2" t="inlineStr"/>
    </row>
    <row r="751" ht="15" customHeight="1">
      <c r="A751" t="inlineStr">
        <is>
          <t>A 13798-2020</t>
        </is>
      </c>
      <c r="B751" s="1" t="n">
        <v>43903</v>
      </c>
      <c r="C751" s="1" t="n">
        <v>45822</v>
      </c>
      <c r="D751" t="inlineStr">
        <is>
          <t>VÄSTERNORRLANDS LÄN</t>
        </is>
      </c>
      <c r="E751" t="inlineStr">
        <is>
          <t>SOLLEFTEÅ</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13864-2020</t>
        </is>
      </c>
      <c r="B752" s="1" t="n">
        <v>43906</v>
      </c>
      <c r="C752" s="1" t="n">
        <v>45822</v>
      </c>
      <c r="D752" t="inlineStr">
        <is>
          <t>VÄSTERNORRLANDS LÄN</t>
        </is>
      </c>
      <c r="E752" t="inlineStr">
        <is>
          <t>SOLLEFTEÅ</t>
        </is>
      </c>
      <c r="G752" t="n">
        <v>0.4</v>
      </c>
      <c r="H752" t="n">
        <v>0</v>
      </c>
      <c r="I752" t="n">
        <v>0</v>
      </c>
      <c r="J752" t="n">
        <v>0</v>
      </c>
      <c r="K752" t="n">
        <v>0</v>
      </c>
      <c r="L752" t="n">
        <v>0</v>
      </c>
      <c r="M752" t="n">
        <v>0</v>
      </c>
      <c r="N752" t="n">
        <v>0</v>
      </c>
      <c r="O752" t="n">
        <v>0</v>
      </c>
      <c r="P752" t="n">
        <v>0</v>
      </c>
      <c r="Q752" t="n">
        <v>0</v>
      </c>
      <c r="R752" s="2" t="inlineStr"/>
    </row>
    <row r="753" ht="15" customHeight="1">
      <c r="A753" t="inlineStr">
        <is>
          <t>A 14859-2020</t>
        </is>
      </c>
      <c r="B753" s="1" t="n">
        <v>43909</v>
      </c>
      <c r="C753" s="1" t="n">
        <v>45822</v>
      </c>
      <c r="D753" t="inlineStr">
        <is>
          <t>VÄSTERNORRLANDS LÄN</t>
        </is>
      </c>
      <c r="E753" t="inlineStr">
        <is>
          <t>SOLLEFTEÅ</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18515-2020</t>
        </is>
      </c>
      <c r="B754" s="1" t="n">
        <v>43927</v>
      </c>
      <c r="C754" s="1" t="n">
        <v>45822</v>
      </c>
      <c r="D754" t="inlineStr">
        <is>
          <t>VÄSTERNORRLANDS LÄN</t>
        </is>
      </c>
      <c r="E754" t="inlineStr">
        <is>
          <t>SOLLEFTEÅ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18402-2020</t>
        </is>
      </c>
      <c r="B755" s="1" t="n">
        <v>43928</v>
      </c>
      <c r="C755" s="1" t="n">
        <v>45822</v>
      </c>
      <c r="D755" t="inlineStr">
        <is>
          <t>VÄSTERNORRLANDS LÄN</t>
        </is>
      </c>
      <c r="E755" t="inlineStr">
        <is>
          <t>SOLLEFTEÅ</t>
        </is>
      </c>
      <c r="F755" t="inlineStr">
        <is>
          <t>Kyrkan</t>
        </is>
      </c>
      <c r="G755" t="n">
        <v>2.2</v>
      </c>
      <c r="H755" t="n">
        <v>0</v>
      </c>
      <c r="I755" t="n">
        <v>0</v>
      </c>
      <c r="J755" t="n">
        <v>0</v>
      </c>
      <c r="K755" t="n">
        <v>0</v>
      </c>
      <c r="L755" t="n">
        <v>0</v>
      </c>
      <c r="M755" t="n">
        <v>0</v>
      </c>
      <c r="N755" t="n">
        <v>0</v>
      </c>
      <c r="O755" t="n">
        <v>0</v>
      </c>
      <c r="P755" t="n">
        <v>0</v>
      </c>
      <c r="Q755" t="n">
        <v>0</v>
      </c>
      <c r="R755" s="2" t="inlineStr"/>
    </row>
    <row r="756" ht="15" customHeight="1">
      <c r="A756" t="inlineStr">
        <is>
          <t>A 20164-2020</t>
        </is>
      </c>
      <c r="B756" s="1" t="n">
        <v>43944</v>
      </c>
      <c r="C756" s="1" t="n">
        <v>45822</v>
      </c>
      <c r="D756" t="inlineStr">
        <is>
          <t>VÄSTERNORRLANDS LÄN</t>
        </is>
      </c>
      <c r="E756" t="inlineStr">
        <is>
          <t>SOLLEFTEÅ</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20419-2020</t>
        </is>
      </c>
      <c r="B757" s="1" t="n">
        <v>43945</v>
      </c>
      <c r="C757" s="1" t="n">
        <v>45822</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20861-2020</t>
        </is>
      </c>
      <c r="B758" s="1" t="n">
        <v>43948</v>
      </c>
      <c r="C758" s="1" t="n">
        <v>45822</v>
      </c>
      <c r="D758" t="inlineStr">
        <is>
          <t>VÄSTERNORRLANDS LÄN</t>
        </is>
      </c>
      <c r="E758" t="inlineStr">
        <is>
          <t>SOLLEFTEÅ</t>
        </is>
      </c>
      <c r="G758" t="n">
        <v>2.9</v>
      </c>
      <c r="H758" t="n">
        <v>0</v>
      </c>
      <c r="I758" t="n">
        <v>0</v>
      </c>
      <c r="J758" t="n">
        <v>0</v>
      </c>
      <c r="K758" t="n">
        <v>0</v>
      </c>
      <c r="L758" t="n">
        <v>0</v>
      </c>
      <c r="M758" t="n">
        <v>0</v>
      </c>
      <c r="N758" t="n">
        <v>0</v>
      </c>
      <c r="O758" t="n">
        <v>0</v>
      </c>
      <c r="P758" t="n">
        <v>0</v>
      </c>
      <c r="Q758" t="n">
        <v>0</v>
      </c>
      <c r="R758" s="2" t="inlineStr"/>
    </row>
    <row r="759" ht="15" customHeight="1">
      <c r="A759" t="inlineStr">
        <is>
          <t>A 21022-2020</t>
        </is>
      </c>
      <c r="B759" s="1" t="n">
        <v>43950</v>
      </c>
      <c r="C759" s="1" t="n">
        <v>45822</v>
      </c>
      <c r="D759" t="inlineStr">
        <is>
          <t>VÄSTERNORRLANDS LÄN</t>
        </is>
      </c>
      <c r="E759" t="inlineStr">
        <is>
          <t>SOLLEFTEÅ</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21097-2020</t>
        </is>
      </c>
      <c r="B760" s="1" t="n">
        <v>43950</v>
      </c>
      <c r="C760" s="1" t="n">
        <v>45822</v>
      </c>
      <c r="D760" t="inlineStr">
        <is>
          <t>VÄSTERNORRLANDS LÄN</t>
        </is>
      </c>
      <c r="E760" t="inlineStr">
        <is>
          <t>SOLLEFTEÅ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21020-2020</t>
        </is>
      </c>
      <c r="B761" s="1" t="n">
        <v>43950</v>
      </c>
      <c r="C761" s="1" t="n">
        <v>45822</v>
      </c>
      <c r="D761" t="inlineStr">
        <is>
          <t>VÄSTERNORRLANDS LÄN</t>
        </is>
      </c>
      <c r="E761" t="inlineStr">
        <is>
          <t>SOLLEFTEÅ</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22371-2020</t>
        </is>
      </c>
      <c r="B762" s="1" t="n">
        <v>43957</v>
      </c>
      <c r="C762" s="1" t="n">
        <v>45822</v>
      </c>
      <c r="D762" t="inlineStr">
        <is>
          <t>VÄSTERNORRLANDS LÄN</t>
        </is>
      </c>
      <c r="E762" t="inlineStr">
        <is>
          <t>SOLLEFTEÅ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22731-2020</t>
        </is>
      </c>
      <c r="B763" s="1" t="n">
        <v>43962</v>
      </c>
      <c r="C763" s="1" t="n">
        <v>45822</v>
      </c>
      <c r="D763" t="inlineStr">
        <is>
          <t>VÄSTERNORRLANDS LÄN</t>
        </is>
      </c>
      <c r="E763" t="inlineStr">
        <is>
          <t>SOLLEFTEÅ</t>
        </is>
      </c>
      <c r="G763" t="n">
        <v>16.8</v>
      </c>
      <c r="H763" t="n">
        <v>0</v>
      </c>
      <c r="I763" t="n">
        <v>0</v>
      </c>
      <c r="J763" t="n">
        <v>0</v>
      </c>
      <c r="K763" t="n">
        <v>0</v>
      </c>
      <c r="L763" t="n">
        <v>0</v>
      </c>
      <c r="M763" t="n">
        <v>0</v>
      </c>
      <c r="N763" t="n">
        <v>0</v>
      </c>
      <c r="O763" t="n">
        <v>0</v>
      </c>
      <c r="P763" t="n">
        <v>0</v>
      </c>
      <c r="Q763" t="n">
        <v>0</v>
      </c>
      <c r="R763" s="2" t="inlineStr"/>
    </row>
    <row r="764" ht="15" customHeight="1">
      <c r="A764" t="inlineStr">
        <is>
          <t>A 21607-2020</t>
        </is>
      </c>
      <c r="B764" s="1" t="n">
        <v>43963</v>
      </c>
      <c r="C764" s="1" t="n">
        <v>45822</v>
      </c>
      <c r="D764" t="inlineStr">
        <is>
          <t>VÄSTERNORRLANDS LÄN</t>
        </is>
      </c>
      <c r="E764" t="inlineStr">
        <is>
          <t>SOLLEFTEÅ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22561-2020</t>
        </is>
      </c>
      <c r="B765" s="1" t="n">
        <v>43963</v>
      </c>
      <c r="C765" s="1" t="n">
        <v>45822</v>
      </c>
      <c r="D765" t="inlineStr">
        <is>
          <t>VÄSTERNORRLANDS LÄN</t>
        </is>
      </c>
      <c r="E765" t="inlineStr">
        <is>
          <t>SOLLEFTEÅ</t>
        </is>
      </c>
      <c r="G765" t="n">
        <v>8.6</v>
      </c>
      <c r="H765" t="n">
        <v>0</v>
      </c>
      <c r="I765" t="n">
        <v>0</v>
      </c>
      <c r="J765" t="n">
        <v>0</v>
      </c>
      <c r="K765" t="n">
        <v>0</v>
      </c>
      <c r="L765" t="n">
        <v>0</v>
      </c>
      <c r="M765" t="n">
        <v>0</v>
      </c>
      <c r="N765" t="n">
        <v>0</v>
      </c>
      <c r="O765" t="n">
        <v>0</v>
      </c>
      <c r="P765" t="n">
        <v>0</v>
      </c>
      <c r="Q765" t="n">
        <v>0</v>
      </c>
      <c r="R765" s="2" t="inlineStr"/>
    </row>
    <row r="766" ht="15" customHeight="1">
      <c r="A766" t="inlineStr">
        <is>
          <t>A 23231-2020</t>
        </is>
      </c>
      <c r="B766" s="1" t="n">
        <v>43966</v>
      </c>
      <c r="C766" s="1" t="n">
        <v>45822</v>
      </c>
      <c r="D766" t="inlineStr">
        <is>
          <t>VÄSTERNORRLANDS LÄN</t>
        </is>
      </c>
      <c r="E766" t="inlineStr">
        <is>
          <t>SOLLEFTEÅ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23638-2020</t>
        </is>
      </c>
      <c r="B767" s="1" t="n">
        <v>43969</v>
      </c>
      <c r="C767" s="1" t="n">
        <v>45822</v>
      </c>
      <c r="D767" t="inlineStr">
        <is>
          <t>VÄSTERNORRLANDS LÄN</t>
        </is>
      </c>
      <c r="E767" t="inlineStr">
        <is>
          <t>SOLLEFTEÅ</t>
        </is>
      </c>
      <c r="G767" t="n">
        <v>8.9</v>
      </c>
      <c r="H767" t="n">
        <v>0</v>
      </c>
      <c r="I767" t="n">
        <v>0</v>
      </c>
      <c r="J767" t="n">
        <v>0</v>
      </c>
      <c r="K767" t="n">
        <v>0</v>
      </c>
      <c r="L767" t="n">
        <v>0</v>
      </c>
      <c r="M767" t="n">
        <v>0</v>
      </c>
      <c r="N767" t="n">
        <v>0</v>
      </c>
      <c r="O767" t="n">
        <v>0</v>
      </c>
      <c r="P767" t="n">
        <v>0</v>
      </c>
      <c r="Q767" t="n">
        <v>0</v>
      </c>
      <c r="R767" s="2" t="inlineStr"/>
    </row>
    <row r="768" ht="15" customHeight="1">
      <c r="A768" t="inlineStr">
        <is>
          <t>A 24060-2020</t>
        </is>
      </c>
      <c r="B768" s="1" t="n">
        <v>43971</v>
      </c>
      <c r="C768" s="1" t="n">
        <v>45822</v>
      </c>
      <c r="D768" t="inlineStr">
        <is>
          <t>VÄSTERNORRLANDS LÄN</t>
        </is>
      </c>
      <c r="E768" t="inlineStr">
        <is>
          <t>SOLLEFTEÅ</t>
        </is>
      </c>
      <c r="G768" t="n">
        <v>16.3</v>
      </c>
      <c r="H768" t="n">
        <v>0</v>
      </c>
      <c r="I768" t="n">
        <v>0</v>
      </c>
      <c r="J768" t="n">
        <v>0</v>
      </c>
      <c r="K768" t="n">
        <v>0</v>
      </c>
      <c r="L768" t="n">
        <v>0</v>
      </c>
      <c r="M768" t="n">
        <v>0</v>
      </c>
      <c r="N768" t="n">
        <v>0</v>
      </c>
      <c r="O768" t="n">
        <v>0</v>
      </c>
      <c r="P768" t="n">
        <v>0</v>
      </c>
      <c r="Q768" t="n">
        <v>0</v>
      </c>
      <c r="R768" s="2" t="inlineStr"/>
    </row>
    <row r="769" ht="15" customHeight="1">
      <c r="A769" t="inlineStr">
        <is>
          <t>A 24062-2020</t>
        </is>
      </c>
      <c r="B769" s="1" t="n">
        <v>43971</v>
      </c>
      <c r="C769" s="1" t="n">
        <v>45822</v>
      </c>
      <c r="D769" t="inlineStr">
        <is>
          <t>VÄSTERNORRLANDS LÄN</t>
        </is>
      </c>
      <c r="E769" t="inlineStr">
        <is>
          <t>SOLLEFTEÅ</t>
        </is>
      </c>
      <c r="G769" t="n">
        <v>1.6</v>
      </c>
      <c r="H769" t="n">
        <v>0</v>
      </c>
      <c r="I769" t="n">
        <v>0</v>
      </c>
      <c r="J769" t="n">
        <v>0</v>
      </c>
      <c r="K769" t="n">
        <v>0</v>
      </c>
      <c r="L769" t="n">
        <v>0</v>
      </c>
      <c r="M769" t="n">
        <v>0</v>
      </c>
      <c r="N769" t="n">
        <v>0</v>
      </c>
      <c r="O769" t="n">
        <v>0</v>
      </c>
      <c r="P769" t="n">
        <v>0</v>
      </c>
      <c r="Q769" t="n">
        <v>0</v>
      </c>
      <c r="R769" s="2" t="inlineStr"/>
    </row>
    <row r="770" ht="15" customHeight="1">
      <c r="A770" t="inlineStr">
        <is>
          <t>A 24061-2020</t>
        </is>
      </c>
      <c r="B770" s="1" t="n">
        <v>43971</v>
      </c>
      <c r="C770" s="1" t="n">
        <v>45822</v>
      </c>
      <c r="D770" t="inlineStr">
        <is>
          <t>VÄSTERNORRLANDS LÄN</t>
        </is>
      </c>
      <c r="E770" t="inlineStr">
        <is>
          <t>SOLLEFTEÅ</t>
        </is>
      </c>
      <c r="G770" t="n">
        <v>5.7</v>
      </c>
      <c r="H770" t="n">
        <v>0</v>
      </c>
      <c r="I770" t="n">
        <v>0</v>
      </c>
      <c r="J770" t="n">
        <v>0</v>
      </c>
      <c r="K770" t="n">
        <v>0</v>
      </c>
      <c r="L770" t="n">
        <v>0</v>
      </c>
      <c r="M770" t="n">
        <v>0</v>
      </c>
      <c r="N770" t="n">
        <v>0</v>
      </c>
      <c r="O770" t="n">
        <v>0</v>
      </c>
      <c r="P770" t="n">
        <v>0</v>
      </c>
      <c r="Q770" t="n">
        <v>0</v>
      </c>
      <c r="R770" s="2" t="inlineStr"/>
    </row>
    <row r="771" ht="15" customHeight="1">
      <c r="A771" t="inlineStr">
        <is>
          <t>A 25100-2020</t>
        </is>
      </c>
      <c r="B771" s="1" t="n">
        <v>43979</v>
      </c>
      <c r="C771" s="1" t="n">
        <v>45822</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26189-2020</t>
        </is>
      </c>
      <c r="B772" s="1" t="n">
        <v>43985</v>
      </c>
      <c r="C772" s="1" t="n">
        <v>45822</v>
      </c>
      <c r="D772" t="inlineStr">
        <is>
          <t>VÄSTERNORRLANDS LÄN</t>
        </is>
      </c>
      <c r="E772" t="inlineStr">
        <is>
          <t>SOLLEFTEÅ</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26249-2020</t>
        </is>
      </c>
      <c r="B773" s="1" t="n">
        <v>43986</v>
      </c>
      <c r="C773" s="1" t="n">
        <v>45822</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27199-2020</t>
        </is>
      </c>
      <c r="B774" s="1" t="n">
        <v>43991</v>
      </c>
      <c r="C774" s="1" t="n">
        <v>45822</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27209-2020</t>
        </is>
      </c>
      <c r="B775" s="1" t="n">
        <v>43991</v>
      </c>
      <c r="C775" s="1" t="n">
        <v>45822</v>
      </c>
      <c r="D775" t="inlineStr">
        <is>
          <t>VÄSTERNORRLANDS LÄN</t>
        </is>
      </c>
      <c r="E775" t="inlineStr">
        <is>
          <t>SOLLEFTEÅ</t>
        </is>
      </c>
      <c r="F775" t="inlineStr">
        <is>
          <t>SCA</t>
        </is>
      </c>
      <c r="G775" t="n">
        <v>15.7</v>
      </c>
      <c r="H775" t="n">
        <v>0</v>
      </c>
      <c r="I775" t="n">
        <v>0</v>
      </c>
      <c r="J775" t="n">
        <v>0</v>
      </c>
      <c r="K775" t="n">
        <v>0</v>
      </c>
      <c r="L775" t="n">
        <v>0</v>
      </c>
      <c r="M775" t="n">
        <v>0</v>
      </c>
      <c r="N775" t="n">
        <v>0</v>
      </c>
      <c r="O775" t="n">
        <v>0</v>
      </c>
      <c r="P775" t="n">
        <v>0</v>
      </c>
      <c r="Q775" t="n">
        <v>0</v>
      </c>
      <c r="R775" s="2" t="inlineStr"/>
    </row>
    <row r="776" ht="15" customHeight="1">
      <c r="A776" t="inlineStr">
        <is>
          <t>A 28489-2020</t>
        </is>
      </c>
      <c r="B776" s="1" t="n">
        <v>43998</v>
      </c>
      <c r="C776" s="1" t="n">
        <v>45822</v>
      </c>
      <c r="D776" t="inlineStr">
        <is>
          <t>VÄSTERNORRLANDS LÄN</t>
        </is>
      </c>
      <c r="E776" t="inlineStr">
        <is>
          <t>SOLLEFTEÅ</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28486-2020</t>
        </is>
      </c>
      <c r="B777" s="1" t="n">
        <v>43999</v>
      </c>
      <c r="C777" s="1" t="n">
        <v>45822</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29648-2020</t>
        </is>
      </c>
      <c r="B778" s="1" t="n">
        <v>44004</v>
      </c>
      <c r="C778" s="1" t="n">
        <v>45822</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29503-2020</t>
        </is>
      </c>
      <c r="B779" s="1" t="n">
        <v>44005</v>
      </c>
      <c r="C779" s="1" t="n">
        <v>45822</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29825-2020</t>
        </is>
      </c>
      <c r="B780" s="1" t="n">
        <v>44005</v>
      </c>
      <c r="C780" s="1" t="n">
        <v>45822</v>
      </c>
      <c r="D780" t="inlineStr">
        <is>
          <t>VÄSTERNORRLANDS LÄN</t>
        </is>
      </c>
      <c r="E780" t="inlineStr">
        <is>
          <t>SOLLEFTEÅ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29801-2020</t>
        </is>
      </c>
      <c r="B781" s="1" t="n">
        <v>44005</v>
      </c>
      <c r="C781" s="1" t="n">
        <v>45822</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30492-2020</t>
        </is>
      </c>
      <c r="B782" s="1" t="n">
        <v>44007</v>
      </c>
      <c r="C782" s="1" t="n">
        <v>45822</v>
      </c>
      <c r="D782" t="inlineStr">
        <is>
          <t>VÄSTERNORRLANDS LÄN</t>
        </is>
      </c>
      <c r="E782" t="inlineStr">
        <is>
          <t>SOLLEFTEÅ</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30484-2020</t>
        </is>
      </c>
      <c r="B783" s="1" t="n">
        <v>44007</v>
      </c>
      <c r="C783" s="1" t="n">
        <v>45822</v>
      </c>
      <c r="D783" t="inlineStr">
        <is>
          <t>VÄSTERNORRLANDS LÄN</t>
        </is>
      </c>
      <c r="E783" t="inlineStr">
        <is>
          <t>SOLLEFTEÅ</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30753-2020</t>
        </is>
      </c>
      <c r="B784" s="1" t="n">
        <v>44008</v>
      </c>
      <c r="C784" s="1" t="n">
        <v>45822</v>
      </c>
      <c r="D784" t="inlineStr">
        <is>
          <t>VÄSTERNORRLANDS LÄN</t>
        </is>
      </c>
      <c r="E784" t="inlineStr">
        <is>
          <t>SOLLEFTEÅ</t>
        </is>
      </c>
      <c r="F784" t="inlineStr">
        <is>
          <t>SCA</t>
        </is>
      </c>
      <c r="G784" t="n">
        <v>10.7</v>
      </c>
      <c r="H784" t="n">
        <v>0</v>
      </c>
      <c r="I784" t="n">
        <v>0</v>
      </c>
      <c r="J784" t="n">
        <v>0</v>
      </c>
      <c r="K784" t="n">
        <v>0</v>
      </c>
      <c r="L784" t="n">
        <v>0</v>
      </c>
      <c r="M784" t="n">
        <v>0</v>
      </c>
      <c r="N784" t="n">
        <v>0</v>
      </c>
      <c r="O784" t="n">
        <v>0</v>
      </c>
      <c r="P784" t="n">
        <v>0</v>
      </c>
      <c r="Q784" t="n">
        <v>0</v>
      </c>
      <c r="R784" s="2" t="inlineStr"/>
    </row>
    <row r="785" ht="15" customHeight="1">
      <c r="A785" t="inlineStr">
        <is>
          <t>A 30747-2020</t>
        </is>
      </c>
      <c r="B785" s="1" t="n">
        <v>44008</v>
      </c>
      <c r="C785" s="1" t="n">
        <v>45822</v>
      </c>
      <c r="D785" t="inlineStr">
        <is>
          <t>VÄSTERNORRLANDS LÄN</t>
        </is>
      </c>
      <c r="E785" t="inlineStr">
        <is>
          <t>SOLLEFTEÅ</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30802-2020</t>
        </is>
      </c>
      <c r="B786" s="1" t="n">
        <v>44011</v>
      </c>
      <c r="C786" s="1" t="n">
        <v>45822</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31313-2020</t>
        </is>
      </c>
      <c r="B787" s="1" t="n">
        <v>44012</v>
      </c>
      <c r="C787" s="1" t="n">
        <v>45822</v>
      </c>
      <c r="D787" t="inlineStr">
        <is>
          <t>VÄSTERNORRLANDS LÄN</t>
        </is>
      </c>
      <c r="E787" t="inlineStr">
        <is>
          <t>SOLLEFTEÅ</t>
        </is>
      </c>
      <c r="F787" t="inlineStr">
        <is>
          <t>SCA</t>
        </is>
      </c>
      <c r="G787" t="n">
        <v>6.9</v>
      </c>
      <c r="H787" t="n">
        <v>0</v>
      </c>
      <c r="I787" t="n">
        <v>0</v>
      </c>
      <c r="J787" t="n">
        <v>0</v>
      </c>
      <c r="K787" t="n">
        <v>0</v>
      </c>
      <c r="L787" t="n">
        <v>0</v>
      </c>
      <c r="M787" t="n">
        <v>0</v>
      </c>
      <c r="N787" t="n">
        <v>0</v>
      </c>
      <c r="O787" t="n">
        <v>0</v>
      </c>
      <c r="P787" t="n">
        <v>0</v>
      </c>
      <c r="Q787" t="n">
        <v>0</v>
      </c>
      <c r="R787" s="2" t="inlineStr"/>
    </row>
    <row r="788" ht="15" customHeight="1">
      <c r="A788" t="inlineStr">
        <is>
          <t>A 32013-2020</t>
        </is>
      </c>
      <c r="B788" s="1" t="n">
        <v>44015</v>
      </c>
      <c r="C788" s="1" t="n">
        <v>45822</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32325-2020</t>
        </is>
      </c>
      <c r="B789" s="1" t="n">
        <v>44016</v>
      </c>
      <c r="C789" s="1" t="n">
        <v>45822</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32461-2020</t>
        </is>
      </c>
      <c r="B790" s="1" t="n">
        <v>44015</v>
      </c>
      <c r="C790" s="1" t="n">
        <v>45822</v>
      </c>
      <c r="D790" t="inlineStr">
        <is>
          <t>VÄSTERNORRLANDS LÄN</t>
        </is>
      </c>
      <c r="E790" t="inlineStr">
        <is>
          <t>SOLLEFTEÅ</t>
        </is>
      </c>
      <c r="G790" t="n">
        <v>3.7</v>
      </c>
      <c r="H790" t="n">
        <v>0</v>
      </c>
      <c r="I790" t="n">
        <v>0</v>
      </c>
      <c r="J790" t="n">
        <v>0</v>
      </c>
      <c r="K790" t="n">
        <v>0</v>
      </c>
      <c r="L790" t="n">
        <v>0</v>
      </c>
      <c r="M790" t="n">
        <v>0</v>
      </c>
      <c r="N790" t="n">
        <v>0</v>
      </c>
      <c r="O790" t="n">
        <v>0</v>
      </c>
      <c r="P790" t="n">
        <v>0</v>
      </c>
      <c r="Q790" t="n">
        <v>0</v>
      </c>
      <c r="R790" s="2" t="inlineStr"/>
    </row>
    <row r="791" ht="15" customHeight="1">
      <c r="A791" t="inlineStr">
        <is>
          <t>A 32318-2020</t>
        </is>
      </c>
      <c r="B791" s="1" t="n">
        <v>44015</v>
      </c>
      <c r="C791" s="1" t="n">
        <v>45822</v>
      </c>
      <c r="D791" t="inlineStr">
        <is>
          <t>VÄSTERNORRLANDS LÄN</t>
        </is>
      </c>
      <c r="E791" t="inlineStr">
        <is>
          <t>SOLLEFTEÅ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32919-2020</t>
        </is>
      </c>
      <c r="B792" s="1" t="n">
        <v>44018</v>
      </c>
      <c r="C792" s="1" t="n">
        <v>45822</v>
      </c>
      <c r="D792" t="inlineStr">
        <is>
          <t>VÄSTERNORRLANDS LÄN</t>
        </is>
      </c>
      <c r="E792" t="inlineStr">
        <is>
          <t>SOLLEFTEÅ</t>
        </is>
      </c>
      <c r="G792" t="n">
        <v>5.5</v>
      </c>
      <c r="H792" t="n">
        <v>0</v>
      </c>
      <c r="I792" t="n">
        <v>0</v>
      </c>
      <c r="J792" t="n">
        <v>0</v>
      </c>
      <c r="K792" t="n">
        <v>0</v>
      </c>
      <c r="L792" t="n">
        <v>0</v>
      </c>
      <c r="M792" t="n">
        <v>0</v>
      </c>
      <c r="N792" t="n">
        <v>0</v>
      </c>
      <c r="O792" t="n">
        <v>0</v>
      </c>
      <c r="P792" t="n">
        <v>0</v>
      </c>
      <c r="Q792" t="n">
        <v>0</v>
      </c>
      <c r="R792" s="2" t="inlineStr"/>
    </row>
    <row r="793" ht="15" customHeight="1">
      <c r="A793" t="inlineStr">
        <is>
          <t>A 32929-2020</t>
        </is>
      </c>
      <c r="B793" s="1" t="n">
        <v>44018</v>
      </c>
      <c r="C793" s="1" t="n">
        <v>45822</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32924-2020</t>
        </is>
      </c>
      <c r="B794" s="1" t="n">
        <v>44018</v>
      </c>
      <c r="C794" s="1" t="n">
        <v>45822</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32742-2020</t>
        </is>
      </c>
      <c r="B795" s="1" t="n">
        <v>44019</v>
      </c>
      <c r="C795" s="1" t="n">
        <v>45822</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33013-2020</t>
        </is>
      </c>
      <c r="B796" s="1" t="n">
        <v>44020</v>
      </c>
      <c r="C796" s="1" t="n">
        <v>45822</v>
      </c>
      <c r="D796" t="inlineStr">
        <is>
          <t>VÄSTERNORRLANDS LÄN</t>
        </is>
      </c>
      <c r="E796" t="inlineStr">
        <is>
          <t>SOLLEFTEÅ</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33009-2020</t>
        </is>
      </c>
      <c r="B797" s="1" t="n">
        <v>44020</v>
      </c>
      <c r="C797" s="1" t="n">
        <v>45822</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33014-2020</t>
        </is>
      </c>
      <c r="B798" s="1" t="n">
        <v>44021</v>
      </c>
      <c r="C798" s="1" t="n">
        <v>45822</v>
      </c>
      <c r="D798" t="inlineStr">
        <is>
          <t>VÄSTERNORRLANDS LÄN</t>
        </is>
      </c>
      <c r="E798" t="inlineStr">
        <is>
          <t>SOLLEFTEÅ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33010-2020</t>
        </is>
      </c>
      <c r="B799" s="1" t="n">
        <v>44020</v>
      </c>
      <c r="C799" s="1" t="n">
        <v>45822</v>
      </c>
      <c r="D799" t="inlineStr">
        <is>
          <t>VÄSTERNORRLANDS LÄN</t>
        </is>
      </c>
      <c r="E799" t="inlineStr">
        <is>
          <t>SOLLEFTEÅ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33200-2020</t>
        </is>
      </c>
      <c r="B800" s="1" t="n">
        <v>44021</v>
      </c>
      <c r="C800" s="1" t="n">
        <v>45822</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33211-2020</t>
        </is>
      </c>
      <c r="B801" s="1" t="n">
        <v>44021</v>
      </c>
      <c r="C801" s="1" t="n">
        <v>45822</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33212-2020</t>
        </is>
      </c>
      <c r="B802" s="1" t="n">
        <v>44021</v>
      </c>
      <c r="C802" s="1" t="n">
        <v>45822</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33440-2020</t>
        </is>
      </c>
      <c r="B803" s="1" t="n">
        <v>44022</v>
      </c>
      <c r="C803" s="1" t="n">
        <v>45822</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33458-2020</t>
        </is>
      </c>
      <c r="B804" s="1" t="n">
        <v>44022</v>
      </c>
      <c r="C804" s="1" t="n">
        <v>45822</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33445-2020</t>
        </is>
      </c>
      <c r="B805" s="1" t="n">
        <v>44022</v>
      </c>
      <c r="C805" s="1" t="n">
        <v>45822</v>
      </c>
      <c r="D805" t="inlineStr">
        <is>
          <t>VÄSTERNORRLANDS LÄN</t>
        </is>
      </c>
      <c r="E805" t="inlineStr">
        <is>
          <t>SOLLEFTEÅ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33492-2020</t>
        </is>
      </c>
      <c r="B806" s="1" t="n">
        <v>44024</v>
      </c>
      <c r="C806" s="1" t="n">
        <v>45822</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33640-2020</t>
        </is>
      </c>
      <c r="B807" s="1" t="n">
        <v>44025</v>
      </c>
      <c r="C807" s="1" t="n">
        <v>45822</v>
      </c>
      <c r="D807" t="inlineStr">
        <is>
          <t>VÄSTERNORRLANDS LÄN</t>
        </is>
      </c>
      <c r="E807" t="inlineStr">
        <is>
          <t>SOLLEFTEÅ</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33641-2020</t>
        </is>
      </c>
      <c r="B808" s="1" t="n">
        <v>44025</v>
      </c>
      <c r="C808" s="1" t="n">
        <v>45822</v>
      </c>
      <c r="D808" t="inlineStr">
        <is>
          <t>VÄSTERNORRLANDS LÄN</t>
        </is>
      </c>
      <c r="E808" t="inlineStr">
        <is>
          <t>SOLLEFTEÅ</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33628-2020</t>
        </is>
      </c>
      <c r="B809" s="1" t="n">
        <v>44025</v>
      </c>
      <c r="C809" s="1" t="n">
        <v>45822</v>
      </c>
      <c r="D809" t="inlineStr">
        <is>
          <t>VÄSTERNORRLANDS LÄN</t>
        </is>
      </c>
      <c r="E809" t="inlineStr">
        <is>
          <t>SOLLEFTEÅ</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33784-2020</t>
        </is>
      </c>
      <c r="B810" s="1" t="n">
        <v>44026</v>
      </c>
      <c r="C810" s="1" t="n">
        <v>45822</v>
      </c>
      <c r="D810" t="inlineStr">
        <is>
          <t>VÄSTERNORRLANDS LÄN</t>
        </is>
      </c>
      <c r="E810" t="inlineStr">
        <is>
          <t>SOLLEFTEÅ</t>
        </is>
      </c>
      <c r="F810" t="inlineStr">
        <is>
          <t>SCA</t>
        </is>
      </c>
      <c r="G810" t="n">
        <v>10.6</v>
      </c>
      <c r="H810" t="n">
        <v>0</v>
      </c>
      <c r="I810" t="n">
        <v>0</v>
      </c>
      <c r="J810" t="n">
        <v>0</v>
      </c>
      <c r="K810" t="n">
        <v>0</v>
      </c>
      <c r="L810" t="n">
        <v>0</v>
      </c>
      <c r="M810" t="n">
        <v>0</v>
      </c>
      <c r="N810" t="n">
        <v>0</v>
      </c>
      <c r="O810" t="n">
        <v>0</v>
      </c>
      <c r="P810" t="n">
        <v>0</v>
      </c>
      <c r="Q810" t="n">
        <v>0</v>
      </c>
      <c r="R810" s="2" t="inlineStr"/>
    </row>
    <row r="811" ht="15" customHeight="1">
      <c r="A811" t="inlineStr">
        <is>
          <t>A 33782-2020</t>
        </is>
      </c>
      <c r="B811" s="1" t="n">
        <v>44026</v>
      </c>
      <c r="C811" s="1" t="n">
        <v>45822</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33950-2020</t>
        </is>
      </c>
      <c r="B812" s="1" t="n">
        <v>44027</v>
      </c>
      <c r="C812" s="1" t="n">
        <v>45822</v>
      </c>
      <c r="D812" t="inlineStr">
        <is>
          <t>VÄSTERNORRLANDS LÄN</t>
        </is>
      </c>
      <c r="E812" t="inlineStr">
        <is>
          <t>SOLLEFTEÅ</t>
        </is>
      </c>
      <c r="F812" t="inlineStr">
        <is>
          <t>SCA</t>
        </is>
      </c>
      <c r="G812" t="n">
        <v>4.2</v>
      </c>
      <c r="H812" t="n">
        <v>0</v>
      </c>
      <c r="I812" t="n">
        <v>0</v>
      </c>
      <c r="J812" t="n">
        <v>0</v>
      </c>
      <c r="K812" t="n">
        <v>0</v>
      </c>
      <c r="L812" t="n">
        <v>0</v>
      </c>
      <c r="M812" t="n">
        <v>0</v>
      </c>
      <c r="N812" t="n">
        <v>0</v>
      </c>
      <c r="O812" t="n">
        <v>0</v>
      </c>
      <c r="P812" t="n">
        <v>0</v>
      </c>
      <c r="Q812" t="n">
        <v>0</v>
      </c>
      <c r="R812" s="2" t="inlineStr"/>
    </row>
    <row r="813" ht="15" customHeight="1">
      <c r="A813" t="inlineStr">
        <is>
          <t>A 34120-2020</t>
        </is>
      </c>
      <c r="B813" s="1" t="n">
        <v>44029</v>
      </c>
      <c r="C813" s="1" t="n">
        <v>45822</v>
      </c>
      <c r="D813" t="inlineStr">
        <is>
          <t>VÄSTERNORRLANDS LÄN</t>
        </is>
      </c>
      <c r="E813" t="inlineStr">
        <is>
          <t>SOLLEFTEÅ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34474-2020</t>
        </is>
      </c>
      <c r="B814" s="1" t="n">
        <v>44032</v>
      </c>
      <c r="C814" s="1" t="n">
        <v>45822</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34585-2020</t>
        </is>
      </c>
      <c r="B815" s="1" t="n">
        <v>44033</v>
      </c>
      <c r="C815" s="1" t="n">
        <v>45822</v>
      </c>
      <c r="D815" t="inlineStr">
        <is>
          <t>VÄSTERNORRLANDS LÄN</t>
        </is>
      </c>
      <c r="E815" t="inlineStr">
        <is>
          <t>SOLLEFTEÅ</t>
        </is>
      </c>
      <c r="F815" t="inlineStr">
        <is>
          <t>SCA</t>
        </is>
      </c>
      <c r="G815" t="n">
        <v>10</v>
      </c>
      <c r="H815" t="n">
        <v>0</v>
      </c>
      <c r="I815" t="n">
        <v>0</v>
      </c>
      <c r="J815" t="n">
        <v>0</v>
      </c>
      <c r="K815" t="n">
        <v>0</v>
      </c>
      <c r="L815" t="n">
        <v>0</v>
      </c>
      <c r="M815" t="n">
        <v>0</v>
      </c>
      <c r="N815" t="n">
        <v>0</v>
      </c>
      <c r="O815" t="n">
        <v>0</v>
      </c>
      <c r="P815" t="n">
        <v>0</v>
      </c>
      <c r="Q815" t="n">
        <v>0</v>
      </c>
      <c r="R815" s="2" t="inlineStr"/>
    </row>
    <row r="816" ht="15" customHeight="1">
      <c r="A816" t="inlineStr">
        <is>
          <t>A 34669-2020</t>
        </is>
      </c>
      <c r="B816" s="1" t="n">
        <v>44034</v>
      </c>
      <c r="C816" s="1" t="n">
        <v>45822</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34800-2020</t>
        </is>
      </c>
      <c r="B817" s="1" t="n">
        <v>44035</v>
      </c>
      <c r="C817" s="1" t="n">
        <v>45822</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34921-2020</t>
        </is>
      </c>
      <c r="B818" s="1" t="n">
        <v>44036</v>
      </c>
      <c r="C818" s="1" t="n">
        <v>45822</v>
      </c>
      <c r="D818" t="inlineStr">
        <is>
          <t>VÄSTERNORRLANDS LÄN</t>
        </is>
      </c>
      <c r="E818" t="inlineStr">
        <is>
          <t>SOLLEFTEÅ</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34923-2020</t>
        </is>
      </c>
      <c r="B819" s="1" t="n">
        <v>44037</v>
      </c>
      <c r="C819" s="1" t="n">
        <v>45822</v>
      </c>
      <c r="D819" t="inlineStr">
        <is>
          <t>VÄSTERNORRLANDS LÄN</t>
        </is>
      </c>
      <c r="E819" t="inlineStr">
        <is>
          <t>SOLLEFTEÅ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34922-2020</t>
        </is>
      </c>
      <c r="B820" s="1" t="n">
        <v>44036</v>
      </c>
      <c r="C820" s="1" t="n">
        <v>45822</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35372-2020</t>
        </is>
      </c>
      <c r="B821" s="1" t="n">
        <v>44041</v>
      </c>
      <c r="C821" s="1" t="n">
        <v>45822</v>
      </c>
      <c r="D821" t="inlineStr">
        <is>
          <t>VÄSTERNORRLANDS LÄN</t>
        </is>
      </c>
      <c r="E821" t="inlineStr">
        <is>
          <t>SOLLEFTEÅ</t>
        </is>
      </c>
      <c r="F821" t="inlineStr">
        <is>
          <t>SCA</t>
        </is>
      </c>
      <c r="G821" t="n">
        <v>12.3</v>
      </c>
      <c r="H821" t="n">
        <v>0</v>
      </c>
      <c r="I821" t="n">
        <v>0</v>
      </c>
      <c r="J821" t="n">
        <v>0</v>
      </c>
      <c r="K821" t="n">
        <v>0</v>
      </c>
      <c r="L821" t="n">
        <v>0</v>
      </c>
      <c r="M821" t="n">
        <v>0</v>
      </c>
      <c r="N821" t="n">
        <v>0</v>
      </c>
      <c r="O821" t="n">
        <v>0</v>
      </c>
      <c r="P821" t="n">
        <v>0</v>
      </c>
      <c r="Q821" t="n">
        <v>0</v>
      </c>
      <c r="R821" s="2" t="inlineStr"/>
    </row>
    <row r="822" ht="15" customHeight="1">
      <c r="A822" t="inlineStr">
        <is>
          <t>A 35361-2020</t>
        </is>
      </c>
      <c r="B822" s="1" t="n">
        <v>44041</v>
      </c>
      <c r="C822" s="1" t="n">
        <v>45822</v>
      </c>
      <c r="D822" t="inlineStr">
        <is>
          <t>VÄSTERNORRLANDS LÄN</t>
        </is>
      </c>
      <c r="E822" t="inlineStr">
        <is>
          <t>SOLLEFTEÅ</t>
        </is>
      </c>
      <c r="F822" t="inlineStr">
        <is>
          <t>SCA</t>
        </is>
      </c>
      <c r="G822" t="n">
        <v>13.6</v>
      </c>
      <c r="H822" t="n">
        <v>0</v>
      </c>
      <c r="I822" t="n">
        <v>0</v>
      </c>
      <c r="J822" t="n">
        <v>0</v>
      </c>
      <c r="K822" t="n">
        <v>0</v>
      </c>
      <c r="L822" t="n">
        <v>0</v>
      </c>
      <c r="M822" t="n">
        <v>0</v>
      </c>
      <c r="N822" t="n">
        <v>0</v>
      </c>
      <c r="O822" t="n">
        <v>0</v>
      </c>
      <c r="P822" t="n">
        <v>0</v>
      </c>
      <c r="Q822" t="n">
        <v>0</v>
      </c>
      <c r="R822" s="2" t="inlineStr"/>
    </row>
    <row r="823" ht="15" customHeight="1">
      <c r="A823" t="inlineStr">
        <is>
          <t>A 36789-2020</t>
        </is>
      </c>
      <c r="B823" s="1" t="n">
        <v>44048</v>
      </c>
      <c r="C823" s="1" t="n">
        <v>45822</v>
      </c>
      <c r="D823" t="inlineStr">
        <is>
          <t>VÄSTERNORRLANDS LÄN</t>
        </is>
      </c>
      <c r="E823" t="inlineStr">
        <is>
          <t>SOLLEFTEÅ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36660-2020</t>
        </is>
      </c>
      <c r="B824" s="1" t="n">
        <v>44050</v>
      </c>
      <c r="C824" s="1" t="n">
        <v>45822</v>
      </c>
      <c r="D824" t="inlineStr">
        <is>
          <t>VÄSTERNORRLANDS LÄN</t>
        </is>
      </c>
      <c r="E824" t="inlineStr">
        <is>
          <t>SOLLEFTEÅ</t>
        </is>
      </c>
      <c r="G824" t="n">
        <v>18.2</v>
      </c>
      <c r="H824" t="n">
        <v>0</v>
      </c>
      <c r="I824" t="n">
        <v>0</v>
      </c>
      <c r="J824" t="n">
        <v>0</v>
      </c>
      <c r="K824" t="n">
        <v>0</v>
      </c>
      <c r="L824" t="n">
        <v>0</v>
      </c>
      <c r="M824" t="n">
        <v>0</v>
      </c>
      <c r="N824" t="n">
        <v>0</v>
      </c>
      <c r="O824" t="n">
        <v>0</v>
      </c>
      <c r="P824" t="n">
        <v>0</v>
      </c>
      <c r="Q824" t="n">
        <v>0</v>
      </c>
      <c r="R824" s="2" t="inlineStr"/>
    </row>
    <row r="825" ht="15" customHeight="1">
      <c r="A825" t="inlineStr">
        <is>
          <t>A 36811-2020</t>
        </is>
      </c>
      <c r="B825" s="1" t="n">
        <v>44053</v>
      </c>
      <c r="C825" s="1" t="n">
        <v>45822</v>
      </c>
      <c r="D825" t="inlineStr">
        <is>
          <t>VÄSTERNORRLANDS LÄN</t>
        </is>
      </c>
      <c r="E825" t="inlineStr">
        <is>
          <t>SOLLEFTEÅ</t>
        </is>
      </c>
      <c r="G825" t="n">
        <v>4.7</v>
      </c>
      <c r="H825" t="n">
        <v>0</v>
      </c>
      <c r="I825" t="n">
        <v>0</v>
      </c>
      <c r="J825" t="n">
        <v>0</v>
      </c>
      <c r="K825" t="n">
        <v>0</v>
      </c>
      <c r="L825" t="n">
        <v>0</v>
      </c>
      <c r="M825" t="n">
        <v>0</v>
      </c>
      <c r="N825" t="n">
        <v>0</v>
      </c>
      <c r="O825" t="n">
        <v>0</v>
      </c>
      <c r="P825" t="n">
        <v>0</v>
      </c>
      <c r="Q825" t="n">
        <v>0</v>
      </c>
      <c r="R825" s="2" t="inlineStr"/>
    </row>
    <row r="826" ht="15" customHeight="1">
      <c r="A826" t="inlineStr">
        <is>
          <t>A 37710-2020</t>
        </is>
      </c>
      <c r="B826" s="1" t="n">
        <v>44056</v>
      </c>
      <c r="C826" s="1" t="n">
        <v>45822</v>
      </c>
      <c r="D826" t="inlineStr">
        <is>
          <t>VÄSTERNORRLANDS LÄN</t>
        </is>
      </c>
      <c r="E826" t="inlineStr">
        <is>
          <t>SOLLEFTEÅ</t>
        </is>
      </c>
      <c r="F826" t="inlineStr">
        <is>
          <t>Kommuner</t>
        </is>
      </c>
      <c r="G826" t="n">
        <v>1</v>
      </c>
      <c r="H826" t="n">
        <v>0</v>
      </c>
      <c r="I826" t="n">
        <v>0</v>
      </c>
      <c r="J826" t="n">
        <v>0</v>
      </c>
      <c r="K826" t="n">
        <v>0</v>
      </c>
      <c r="L826" t="n">
        <v>0</v>
      </c>
      <c r="M826" t="n">
        <v>0</v>
      </c>
      <c r="N826" t="n">
        <v>0</v>
      </c>
      <c r="O826" t="n">
        <v>0</v>
      </c>
      <c r="P826" t="n">
        <v>0</v>
      </c>
      <c r="Q826" t="n">
        <v>0</v>
      </c>
      <c r="R826" s="2" t="inlineStr"/>
    </row>
    <row r="827" ht="15" customHeight="1">
      <c r="A827" t="inlineStr">
        <is>
          <t>A 38482-2020</t>
        </is>
      </c>
      <c r="B827" s="1" t="n">
        <v>44060</v>
      </c>
      <c r="C827" s="1" t="n">
        <v>45822</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38517-2020</t>
        </is>
      </c>
      <c r="B828" s="1" t="n">
        <v>44060</v>
      </c>
      <c r="C828" s="1" t="n">
        <v>45822</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39007-2020</t>
        </is>
      </c>
      <c r="B829" s="1" t="n">
        <v>44062</v>
      </c>
      <c r="C829" s="1" t="n">
        <v>45822</v>
      </c>
      <c r="D829" t="inlineStr">
        <is>
          <t>VÄSTERNORRLANDS LÄN</t>
        </is>
      </c>
      <c r="E829" t="inlineStr">
        <is>
          <t>SOLLEFTEÅ</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39077-2020</t>
        </is>
      </c>
      <c r="B830" s="1" t="n">
        <v>44062</v>
      </c>
      <c r="C830" s="1" t="n">
        <v>45822</v>
      </c>
      <c r="D830" t="inlineStr">
        <is>
          <t>VÄSTERNORRLANDS LÄN</t>
        </is>
      </c>
      <c r="E830" t="inlineStr">
        <is>
          <t>SOLLEFTEÅ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39016-2020</t>
        </is>
      </c>
      <c r="B831" s="1" t="n">
        <v>44062</v>
      </c>
      <c r="C831" s="1" t="n">
        <v>45822</v>
      </c>
      <c r="D831" t="inlineStr">
        <is>
          <t>VÄSTERNORRLANDS LÄN</t>
        </is>
      </c>
      <c r="E831" t="inlineStr">
        <is>
          <t>SOLLEFTEÅ</t>
        </is>
      </c>
      <c r="F831" t="inlineStr">
        <is>
          <t>Kyrkan</t>
        </is>
      </c>
      <c r="G831" t="n">
        <v>2.4</v>
      </c>
      <c r="H831" t="n">
        <v>0</v>
      </c>
      <c r="I831" t="n">
        <v>0</v>
      </c>
      <c r="J831" t="n">
        <v>0</v>
      </c>
      <c r="K831" t="n">
        <v>0</v>
      </c>
      <c r="L831" t="n">
        <v>0</v>
      </c>
      <c r="M831" t="n">
        <v>0</v>
      </c>
      <c r="N831" t="n">
        <v>0</v>
      </c>
      <c r="O831" t="n">
        <v>0</v>
      </c>
      <c r="P831" t="n">
        <v>0</v>
      </c>
      <c r="Q831" t="n">
        <v>0</v>
      </c>
      <c r="R831" s="2" t="inlineStr"/>
    </row>
    <row r="832" ht="15" customHeight="1">
      <c r="A832" t="inlineStr">
        <is>
          <t>A 39148-2020</t>
        </is>
      </c>
      <c r="B832" s="1" t="n">
        <v>44063</v>
      </c>
      <c r="C832" s="1" t="n">
        <v>45822</v>
      </c>
      <c r="D832" t="inlineStr">
        <is>
          <t>VÄSTERNORRLANDS LÄN</t>
        </is>
      </c>
      <c r="E832" t="inlineStr">
        <is>
          <t>SOLLEFTEÅ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39409-2020</t>
        </is>
      </c>
      <c r="B833" s="1" t="n">
        <v>44064</v>
      </c>
      <c r="C833" s="1" t="n">
        <v>45822</v>
      </c>
      <c r="D833" t="inlineStr">
        <is>
          <t>VÄSTERNORRLANDS LÄN</t>
        </is>
      </c>
      <c r="E833" t="inlineStr">
        <is>
          <t>SOLLEFTEÅ</t>
        </is>
      </c>
      <c r="F833" t="inlineStr">
        <is>
          <t>Holmen skog AB</t>
        </is>
      </c>
      <c r="G833" t="n">
        <v>7.8</v>
      </c>
      <c r="H833" t="n">
        <v>0</v>
      </c>
      <c r="I833" t="n">
        <v>0</v>
      </c>
      <c r="J833" t="n">
        <v>0</v>
      </c>
      <c r="K833" t="n">
        <v>0</v>
      </c>
      <c r="L833" t="n">
        <v>0</v>
      </c>
      <c r="M833" t="n">
        <v>0</v>
      </c>
      <c r="N833" t="n">
        <v>0</v>
      </c>
      <c r="O833" t="n">
        <v>0</v>
      </c>
      <c r="P833" t="n">
        <v>0</v>
      </c>
      <c r="Q833" t="n">
        <v>0</v>
      </c>
      <c r="R833" s="2" t="inlineStr"/>
    </row>
    <row r="834" ht="15" customHeight="1">
      <c r="A834" t="inlineStr">
        <is>
          <t>A 39479-2020</t>
        </is>
      </c>
      <c r="B834" s="1" t="n">
        <v>44064</v>
      </c>
      <c r="C834" s="1" t="n">
        <v>45822</v>
      </c>
      <c r="D834" t="inlineStr">
        <is>
          <t>VÄSTERNORRLANDS LÄN</t>
        </is>
      </c>
      <c r="E834" t="inlineStr">
        <is>
          <t>SOLLEFTEÅ</t>
        </is>
      </c>
      <c r="G834" t="n">
        <v>17.8</v>
      </c>
      <c r="H834" t="n">
        <v>0</v>
      </c>
      <c r="I834" t="n">
        <v>0</v>
      </c>
      <c r="J834" t="n">
        <v>0</v>
      </c>
      <c r="K834" t="n">
        <v>0</v>
      </c>
      <c r="L834" t="n">
        <v>0</v>
      </c>
      <c r="M834" t="n">
        <v>0</v>
      </c>
      <c r="N834" t="n">
        <v>0</v>
      </c>
      <c r="O834" t="n">
        <v>0</v>
      </c>
      <c r="P834" t="n">
        <v>0</v>
      </c>
      <c r="Q834" t="n">
        <v>0</v>
      </c>
      <c r="R834" s="2" t="inlineStr"/>
    </row>
    <row r="835" ht="15" customHeight="1">
      <c r="A835" t="inlineStr">
        <is>
          <t>A 40180-2020</t>
        </is>
      </c>
      <c r="B835" s="1" t="n">
        <v>44064</v>
      </c>
      <c r="C835" s="1" t="n">
        <v>45822</v>
      </c>
      <c r="D835" t="inlineStr">
        <is>
          <t>VÄSTERNORRLANDS LÄN</t>
        </is>
      </c>
      <c r="E835" t="inlineStr">
        <is>
          <t>SOLLEFTEÅ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39681-2020</t>
        </is>
      </c>
      <c r="B836" s="1" t="n">
        <v>44065</v>
      </c>
      <c r="C836" s="1" t="n">
        <v>45822</v>
      </c>
      <c r="D836" t="inlineStr">
        <is>
          <t>VÄSTERNORRLANDS LÄN</t>
        </is>
      </c>
      <c r="E836" t="inlineStr">
        <is>
          <t>SOLLEFTEÅ</t>
        </is>
      </c>
      <c r="F836" t="inlineStr">
        <is>
          <t>SCA</t>
        </is>
      </c>
      <c r="G836" t="n">
        <v>19.7</v>
      </c>
      <c r="H836" t="n">
        <v>0</v>
      </c>
      <c r="I836" t="n">
        <v>0</v>
      </c>
      <c r="J836" t="n">
        <v>0</v>
      </c>
      <c r="K836" t="n">
        <v>0</v>
      </c>
      <c r="L836" t="n">
        <v>0</v>
      </c>
      <c r="M836" t="n">
        <v>0</v>
      </c>
      <c r="N836" t="n">
        <v>0</v>
      </c>
      <c r="O836" t="n">
        <v>0</v>
      </c>
      <c r="P836" t="n">
        <v>0</v>
      </c>
      <c r="Q836" t="n">
        <v>0</v>
      </c>
      <c r="R836" s="2" t="inlineStr"/>
    </row>
    <row r="837" ht="15" customHeight="1">
      <c r="A837" t="inlineStr">
        <is>
          <t>A 40476-2020</t>
        </is>
      </c>
      <c r="B837" s="1" t="n">
        <v>44067</v>
      </c>
      <c r="C837" s="1" t="n">
        <v>45822</v>
      </c>
      <c r="D837" t="inlineStr">
        <is>
          <t>VÄSTERNORRLANDS LÄN</t>
        </is>
      </c>
      <c r="E837" t="inlineStr">
        <is>
          <t>SOLLEFTEÅ</t>
        </is>
      </c>
      <c r="G837" t="n">
        <v>8</v>
      </c>
      <c r="H837" t="n">
        <v>0</v>
      </c>
      <c r="I837" t="n">
        <v>0</v>
      </c>
      <c r="J837" t="n">
        <v>0</v>
      </c>
      <c r="K837" t="n">
        <v>0</v>
      </c>
      <c r="L837" t="n">
        <v>0</v>
      </c>
      <c r="M837" t="n">
        <v>0</v>
      </c>
      <c r="N837" t="n">
        <v>0</v>
      </c>
      <c r="O837" t="n">
        <v>0</v>
      </c>
      <c r="P837" t="n">
        <v>0</v>
      </c>
      <c r="Q837" t="n">
        <v>0</v>
      </c>
      <c r="R837" s="2" t="inlineStr"/>
    </row>
    <row r="838" ht="15" customHeight="1">
      <c r="A838" t="inlineStr">
        <is>
          <t>A 40697-2020</t>
        </is>
      </c>
      <c r="B838" s="1" t="n">
        <v>44067</v>
      </c>
      <c r="C838" s="1" t="n">
        <v>45822</v>
      </c>
      <c r="D838" t="inlineStr">
        <is>
          <t>VÄSTERNORRLANDS LÄN</t>
        </is>
      </c>
      <c r="E838" t="inlineStr">
        <is>
          <t>SOLLEFTEÅ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40682-2020</t>
        </is>
      </c>
      <c r="B839" s="1" t="n">
        <v>44067</v>
      </c>
      <c r="C839" s="1" t="n">
        <v>45822</v>
      </c>
      <c r="D839" t="inlineStr">
        <is>
          <t>VÄSTERNORRLANDS LÄN</t>
        </is>
      </c>
      <c r="E839" t="inlineStr">
        <is>
          <t>SOLLEFTEÅ</t>
        </is>
      </c>
      <c r="G839" t="n">
        <v>3.5</v>
      </c>
      <c r="H839" t="n">
        <v>0</v>
      </c>
      <c r="I839" t="n">
        <v>0</v>
      </c>
      <c r="J839" t="n">
        <v>0</v>
      </c>
      <c r="K839" t="n">
        <v>0</v>
      </c>
      <c r="L839" t="n">
        <v>0</v>
      </c>
      <c r="M839" t="n">
        <v>0</v>
      </c>
      <c r="N839" t="n">
        <v>0</v>
      </c>
      <c r="O839" t="n">
        <v>0</v>
      </c>
      <c r="P839" t="n">
        <v>0</v>
      </c>
      <c r="Q839" t="n">
        <v>0</v>
      </c>
      <c r="R839" s="2" t="inlineStr"/>
    </row>
    <row r="840" ht="15" customHeight="1">
      <c r="A840" t="inlineStr">
        <is>
          <t>A 40735-2020</t>
        </is>
      </c>
      <c r="B840" s="1" t="n">
        <v>44069</v>
      </c>
      <c r="C840" s="1" t="n">
        <v>45822</v>
      </c>
      <c r="D840" t="inlineStr">
        <is>
          <t>VÄSTERNORRLANDS LÄN</t>
        </is>
      </c>
      <c r="E840" t="inlineStr">
        <is>
          <t>SOLLEFTEÅ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40747-2020</t>
        </is>
      </c>
      <c r="B841" s="1" t="n">
        <v>44069</v>
      </c>
      <c r="C841" s="1" t="n">
        <v>45822</v>
      </c>
      <c r="D841" t="inlineStr">
        <is>
          <t>VÄSTERNORRLANDS LÄN</t>
        </is>
      </c>
      <c r="E841" t="inlineStr">
        <is>
          <t>SOLLEFTEÅ</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42196-2020</t>
        </is>
      </c>
      <c r="B842" s="1" t="n">
        <v>44076</v>
      </c>
      <c r="C842" s="1" t="n">
        <v>45822</v>
      </c>
      <c r="D842" t="inlineStr">
        <is>
          <t>VÄSTERNORRLANDS LÄN</t>
        </is>
      </c>
      <c r="E842" t="inlineStr">
        <is>
          <t>SOLLEFTEÅ</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43300-2020</t>
        </is>
      </c>
      <c r="B843" s="1" t="n">
        <v>44076</v>
      </c>
      <c r="C843" s="1" t="n">
        <v>45822</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43160-2020</t>
        </is>
      </c>
      <c r="B844" s="1" t="n">
        <v>44076</v>
      </c>
      <c r="C844" s="1" t="n">
        <v>45822</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42846-2020</t>
        </is>
      </c>
      <c r="B845" s="1" t="n">
        <v>44078</v>
      </c>
      <c r="C845" s="1" t="n">
        <v>45822</v>
      </c>
      <c r="D845" t="inlineStr">
        <is>
          <t>VÄSTERNORRLANDS LÄN</t>
        </is>
      </c>
      <c r="E845" t="inlineStr">
        <is>
          <t>SOLLEFTEÅ</t>
        </is>
      </c>
      <c r="G845" t="n">
        <v>8.6</v>
      </c>
      <c r="H845" t="n">
        <v>0</v>
      </c>
      <c r="I845" t="n">
        <v>0</v>
      </c>
      <c r="J845" t="n">
        <v>0</v>
      </c>
      <c r="K845" t="n">
        <v>0</v>
      </c>
      <c r="L845" t="n">
        <v>0</v>
      </c>
      <c r="M845" t="n">
        <v>0</v>
      </c>
      <c r="N845" t="n">
        <v>0</v>
      </c>
      <c r="O845" t="n">
        <v>0</v>
      </c>
      <c r="P845" t="n">
        <v>0</v>
      </c>
      <c r="Q845" t="n">
        <v>0</v>
      </c>
      <c r="R845" s="2" t="inlineStr"/>
    </row>
    <row r="846" ht="15" customHeight="1">
      <c r="A846" t="inlineStr">
        <is>
          <t>A 43107-2020</t>
        </is>
      </c>
      <c r="B846" s="1" t="n">
        <v>44078</v>
      </c>
      <c r="C846" s="1" t="n">
        <v>45822</v>
      </c>
      <c r="D846" t="inlineStr">
        <is>
          <t>VÄSTERNORRLANDS LÄN</t>
        </is>
      </c>
      <c r="E846" t="inlineStr">
        <is>
          <t>SOLLEFTEÅ</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43820-2020</t>
        </is>
      </c>
      <c r="B847" s="1" t="n">
        <v>44082</v>
      </c>
      <c r="C847" s="1" t="n">
        <v>45822</v>
      </c>
      <c r="D847" t="inlineStr">
        <is>
          <t>VÄSTERNORRLANDS LÄN</t>
        </is>
      </c>
      <c r="E847" t="inlineStr">
        <is>
          <t>SOLLEFTEÅ</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45147-2020</t>
        </is>
      </c>
      <c r="B848" s="1" t="n">
        <v>44084</v>
      </c>
      <c r="C848" s="1" t="n">
        <v>45822</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44681-2020</t>
        </is>
      </c>
      <c r="B849" s="1" t="n">
        <v>44085</v>
      </c>
      <c r="C849" s="1" t="n">
        <v>45822</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45250-2020</t>
        </is>
      </c>
      <c r="B850" s="1" t="n">
        <v>44088</v>
      </c>
      <c r="C850" s="1" t="n">
        <v>45822</v>
      </c>
      <c r="D850" t="inlineStr">
        <is>
          <t>VÄSTERNORRLANDS LÄN</t>
        </is>
      </c>
      <c r="E850" t="inlineStr">
        <is>
          <t>SOLLEFTEÅ</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45251-2020</t>
        </is>
      </c>
      <c r="B851" s="1" t="n">
        <v>44088</v>
      </c>
      <c r="C851" s="1" t="n">
        <v>45822</v>
      </c>
      <c r="D851" t="inlineStr">
        <is>
          <t>VÄSTERNORRLANDS LÄN</t>
        </is>
      </c>
      <c r="E851" t="inlineStr">
        <is>
          <t>SOLLEFTEÅ</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45549-2020</t>
        </is>
      </c>
      <c r="B852" s="1" t="n">
        <v>44090</v>
      </c>
      <c r="C852" s="1" t="n">
        <v>45822</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45542-2020</t>
        </is>
      </c>
      <c r="B853" s="1" t="n">
        <v>44089</v>
      </c>
      <c r="C853" s="1" t="n">
        <v>45822</v>
      </c>
      <c r="D853" t="inlineStr">
        <is>
          <t>VÄSTERNORRLANDS LÄN</t>
        </is>
      </c>
      <c r="E853" t="inlineStr">
        <is>
          <t>SOLLEFTEÅ</t>
        </is>
      </c>
      <c r="G853" t="n">
        <v>0.3</v>
      </c>
      <c r="H853" t="n">
        <v>0</v>
      </c>
      <c r="I853" t="n">
        <v>0</v>
      </c>
      <c r="J853" t="n">
        <v>0</v>
      </c>
      <c r="K853" t="n">
        <v>0</v>
      </c>
      <c r="L853" t="n">
        <v>0</v>
      </c>
      <c r="M853" t="n">
        <v>0</v>
      </c>
      <c r="N853" t="n">
        <v>0</v>
      </c>
      <c r="O853" t="n">
        <v>0</v>
      </c>
      <c r="P853" t="n">
        <v>0</v>
      </c>
      <c r="Q853" t="n">
        <v>0</v>
      </c>
      <c r="R853" s="2" t="inlineStr"/>
    </row>
    <row r="854" ht="15" customHeight="1">
      <c r="A854" t="inlineStr">
        <is>
          <t>A 45551-2020</t>
        </is>
      </c>
      <c r="B854" s="1" t="n">
        <v>44089</v>
      </c>
      <c r="C854" s="1" t="n">
        <v>45822</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46715-2020</t>
        </is>
      </c>
      <c r="B855" s="1" t="n">
        <v>44095</v>
      </c>
      <c r="C855" s="1" t="n">
        <v>45822</v>
      </c>
      <c r="D855" t="inlineStr">
        <is>
          <t>VÄSTERNORRLANDS LÄN</t>
        </is>
      </c>
      <c r="E855" t="inlineStr">
        <is>
          <t>SOLLEFTEÅ</t>
        </is>
      </c>
      <c r="G855" t="n">
        <v>1</v>
      </c>
      <c r="H855" t="n">
        <v>0</v>
      </c>
      <c r="I855" t="n">
        <v>0</v>
      </c>
      <c r="J855" t="n">
        <v>0</v>
      </c>
      <c r="K855" t="n">
        <v>0</v>
      </c>
      <c r="L855" t="n">
        <v>0</v>
      </c>
      <c r="M855" t="n">
        <v>0</v>
      </c>
      <c r="N855" t="n">
        <v>0</v>
      </c>
      <c r="O855" t="n">
        <v>0</v>
      </c>
      <c r="P855" t="n">
        <v>0</v>
      </c>
      <c r="Q855" t="n">
        <v>0</v>
      </c>
      <c r="R855" s="2" t="inlineStr"/>
    </row>
    <row r="856" ht="15" customHeight="1">
      <c r="A856" t="inlineStr">
        <is>
          <t>A 47827-2020</t>
        </is>
      </c>
      <c r="B856" s="1" t="n">
        <v>44098</v>
      </c>
      <c r="C856" s="1" t="n">
        <v>45822</v>
      </c>
      <c r="D856" t="inlineStr">
        <is>
          <t>VÄSTERNORRLANDS LÄN</t>
        </is>
      </c>
      <c r="E856" t="inlineStr">
        <is>
          <t>SOLLEFTEÅ</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47859-2020</t>
        </is>
      </c>
      <c r="B857" s="1" t="n">
        <v>44099</v>
      </c>
      <c r="C857" s="1" t="n">
        <v>45822</v>
      </c>
      <c r="D857" t="inlineStr">
        <is>
          <t>VÄSTERNORRLANDS LÄN</t>
        </is>
      </c>
      <c r="E857" t="inlineStr">
        <is>
          <t>SOLLEFTEÅ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48052-2020</t>
        </is>
      </c>
      <c r="B858" s="1" t="n">
        <v>44100</v>
      </c>
      <c r="C858" s="1" t="n">
        <v>45822</v>
      </c>
      <c r="D858" t="inlineStr">
        <is>
          <t>VÄSTERNORRLANDS LÄN</t>
        </is>
      </c>
      <c r="E858" t="inlineStr">
        <is>
          <t>SOLLEFTEÅ</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48240-2020</t>
        </is>
      </c>
      <c r="B859" s="1" t="n">
        <v>44102</v>
      </c>
      <c r="C859" s="1" t="n">
        <v>45822</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48477-2020</t>
        </is>
      </c>
      <c r="B860" s="1" t="n">
        <v>44102</v>
      </c>
      <c r="C860" s="1" t="n">
        <v>45822</v>
      </c>
      <c r="D860" t="inlineStr">
        <is>
          <t>VÄSTERNORRLANDS LÄN</t>
        </is>
      </c>
      <c r="E860" t="inlineStr">
        <is>
          <t>SOLLEFTEÅ</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48468-2020</t>
        </is>
      </c>
      <c r="B861" s="1" t="n">
        <v>44102</v>
      </c>
      <c r="C861" s="1" t="n">
        <v>45822</v>
      </c>
      <c r="D861" t="inlineStr">
        <is>
          <t>VÄSTERNORRLANDS LÄN</t>
        </is>
      </c>
      <c r="E861" t="inlineStr">
        <is>
          <t>SOLLEFTEÅ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48470-2020</t>
        </is>
      </c>
      <c r="B862" s="1" t="n">
        <v>44102</v>
      </c>
      <c r="C862" s="1" t="n">
        <v>45822</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48475-2020</t>
        </is>
      </c>
      <c r="B863" s="1" t="n">
        <v>44103</v>
      </c>
      <c r="C863" s="1" t="n">
        <v>45822</v>
      </c>
      <c r="D863" t="inlineStr">
        <is>
          <t>VÄSTERNORRLANDS LÄN</t>
        </is>
      </c>
      <c r="E863" t="inlineStr">
        <is>
          <t>SOLLEFTEÅ</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48802-2020</t>
        </is>
      </c>
      <c r="B864" s="1" t="n">
        <v>44103</v>
      </c>
      <c r="C864" s="1" t="n">
        <v>45822</v>
      </c>
      <c r="D864" t="inlineStr">
        <is>
          <t>VÄSTERNORRLANDS LÄN</t>
        </is>
      </c>
      <c r="E864" t="inlineStr">
        <is>
          <t>SOLLEFTEÅ</t>
        </is>
      </c>
      <c r="F864" t="inlineStr">
        <is>
          <t>SCA</t>
        </is>
      </c>
      <c r="G864" t="n">
        <v>10.9</v>
      </c>
      <c r="H864" t="n">
        <v>0</v>
      </c>
      <c r="I864" t="n">
        <v>0</v>
      </c>
      <c r="J864" t="n">
        <v>0</v>
      </c>
      <c r="K864" t="n">
        <v>0</v>
      </c>
      <c r="L864" t="n">
        <v>0</v>
      </c>
      <c r="M864" t="n">
        <v>0</v>
      </c>
      <c r="N864" t="n">
        <v>0</v>
      </c>
      <c r="O864" t="n">
        <v>0</v>
      </c>
      <c r="P864" t="n">
        <v>0</v>
      </c>
      <c r="Q864" t="n">
        <v>0</v>
      </c>
      <c r="R864" s="2" t="inlineStr"/>
    </row>
    <row r="865" ht="15" customHeight="1">
      <c r="A865" t="inlineStr">
        <is>
          <t>A 49629-2020</t>
        </is>
      </c>
      <c r="B865" s="1" t="n">
        <v>44103</v>
      </c>
      <c r="C865" s="1" t="n">
        <v>45822</v>
      </c>
      <c r="D865" t="inlineStr">
        <is>
          <t>VÄSTERNORRLANDS LÄN</t>
        </is>
      </c>
      <c r="E865" t="inlineStr">
        <is>
          <t>SOLLEFTEÅ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49165-2020</t>
        </is>
      </c>
      <c r="B866" s="1" t="n">
        <v>44105</v>
      </c>
      <c r="C866" s="1" t="n">
        <v>45822</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49507-2020</t>
        </is>
      </c>
      <c r="B867" s="1" t="n">
        <v>44105</v>
      </c>
      <c r="C867" s="1" t="n">
        <v>45822</v>
      </c>
      <c r="D867" t="inlineStr">
        <is>
          <t>VÄSTERNORRLANDS LÄN</t>
        </is>
      </c>
      <c r="E867" t="inlineStr">
        <is>
          <t>SOLLEFTEÅ</t>
        </is>
      </c>
      <c r="F867" t="inlineStr">
        <is>
          <t>SCA</t>
        </is>
      </c>
      <c r="G867" t="n">
        <v>0.2</v>
      </c>
      <c r="H867" t="n">
        <v>0</v>
      </c>
      <c r="I867" t="n">
        <v>0</v>
      </c>
      <c r="J867" t="n">
        <v>0</v>
      </c>
      <c r="K867" t="n">
        <v>0</v>
      </c>
      <c r="L867" t="n">
        <v>0</v>
      </c>
      <c r="M867" t="n">
        <v>0</v>
      </c>
      <c r="N867" t="n">
        <v>0</v>
      </c>
      <c r="O867" t="n">
        <v>0</v>
      </c>
      <c r="P867" t="n">
        <v>0</v>
      </c>
      <c r="Q867" t="n">
        <v>0</v>
      </c>
      <c r="R867" s="2" t="inlineStr"/>
    </row>
    <row r="868" ht="15" customHeight="1">
      <c r="A868" t="inlineStr">
        <is>
          <t>A 49508-2020</t>
        </is>
      </c>
      <c r="B868" s="1" t="n">
        <v>44105</v>
      </c>
      <c r="C868" s="1" t="n">
        <v>45822</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49837-2020</t>
        </is>
      </c>
      <c r="B869" s="1" t="n">
        <v>44106</v>
      </c>
      <c r="C869" s="1" t="n">
        <v>45822</v>
      </c>
      <c r="D869" t="inlineStr">
        <is>
          <t>VÄSTERNORRLANDS LÄN</t>
        </is>
      </c>
      <c r="E869" t="inlineStr">
        <is>
          <t>SOLLEFTEÅ</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50647-2020</t>
        </is>
      </c>
      <c r="B870" s="1" t="n">
        <v>44111</v>
      </c>
      <c r="C870" s="1" t="n">
        <v>45822</v>
      </c>
      <c r="D870" t="inlineStr">
        <is>
          <t>VÄSTERNORRLANDS LÄN</t>
        </is>
      </c>
      <c r="E870" t="inlineStr">
        <is>
          <t>SOLLEFTEÅ</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51018-2020</t>
        </is>
      </c>
      <c r="B871" s="1" t="n">
        <v>44111</v>
      </c>
      <c r="C871" s="1" t="n">
        <v>45822</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51011-2020</t>
        </is>
      </c>
      <c r="B872" s="1" t="n">
        <v>44111</v>
      </c>
      <c r="C872" s="1" t="n">
        <v>45822</v>
      </c>
      <c r="D872" t="inlineStr">
        <is>
          <t>VÄSTERNORRLANDS LÄN</t>
        </is>
      </c>
      <c r="E872" t="inlineStr">
        <is>
          <t>SOLLEFTEÅ</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51534-2020</t>
        </is>
      </c>
      <c r="B873" s="1" t="n">
        <v>44113</v>
      </c>
      <c r="C873" s="1" t="n">
        <v>45822</v>
      </c>
      <c r="D873" t="inlineStr">
        <is>
          <t>VÄSTERNORRLANDS LÄN</t>
        </is>
      </c>
      <c r="E873" t="inlineStr">
        <is>
          <t>SOLLEFTEÅ</t>
        </is>
      </c>
      <c r="G873" t="n">
        <v>2.7</v>
      </c>
      <c r="H873" t="n">
        <v>0</v>
      </c>
      <c r="I873" t="n">
        <v>0</v>
      </c>
      <c r="J873" t="n">
        <v>0</v>
      </c>
      <c r="K873" t="n">
        <v>0</v>
      </c>
      <c r="L873" t="n">
        <v>0</v>
      </c>
      <c r="M873" t="n">
        <v>0</v>
      </c>
      <c r="N873" t="n">
        <v>0</v>
      </c>
      <c r="O873" t="n">
        <v>0</v>
      </c>
      <c r="P873" t="n">
        <v>0</v>
      </c>
      <c r="Q873" t="n">
        <v>0</v>
      </c>
      <c r="R873" s="2" t="inlineStr"/>
    </row>
    <row r="874" ht="15" customHeight="1">
      <c r="A874" t="inlineStr">
        <is>
          <t>A 52035-2020</t>
        </is>
      </c>
      <c r="B874" s="1" t="n">
        <v>44117</v>
      </c>
      <c r="C874" s="1" t="n">
        <v>45822</v>
      </c>
      <c r="D874" t="inlineStr">
        <is>
          <t>VÄSTERNORRLANDS LÄN</t>
        </is>
      </c>
      <c r="E874" t="inlineStr">
        <is>
          <t>SOLLEFTEÅ</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52189-2020</t>
        </is>
      </c>
      <c r="B875" s="1" t="n">
        <v>44117</v>
      </c>
      <c r="C875" s="1" t="n">
        <v>45822</v>
      </c>
      <c r="D875" t="inlineStr">
        <is>
          <t>VÄSTERNORRLANDS LÄN</t>
        </is>
      </c>
      <c r="E875" t="inlineStr">
        <is>
          <t>SOLLEFTEÅ</t>
        </is>
      </c>
      <c r="G875" t="n">
        <v>2.2</v>
      </c>
      <c r="H875" t="n">
        <v>0</v>
      </c>
      <c r="I875" t="n">
        <v>0</v>
      </c>
      <c r="J875" t="n">
        <v>0</v>
      </c>
      <c r="K875" t="n">
        <v>0</v>
      </c>
      <c r="L875" t="n">
        <v>0</v>
      </c>
      <c r="M875" t="n">
        <v>0</v>
      </c>
      <c r="N875" t="n">
        <v>0</v>
      </c>
      <c r="O875" t="n">
        <v>0</v>
      </c>
      <c r="P875" t="n">
        <v>0</v>
      </c>
      <c r="Q875" t="n">
        <v>0</v>
      </c>
      <c r="R875" s="2" t="inlineStr"/>
    </row>
    <row r="876" ht="15" customHeight="1">
      <c r="A876" t="inlineStr">
        <is>
          <t>A 52199-2020</t>
        </is>
      </c>
      <c r="B876" s="1" t="n">
        <v>44117</v>
      </c>
      <c r="C876" s="1" t="n">
        <v>45822</v>
      </c>
      <c r="D876" t="inlineStr">
        <is>
          <t>VÄSTERNORRLANDS LÄN</t>
        </is>
      </c>
      <c r="E876" t="inlineStr">
        <is>
          <t>SOLLEFTEÅ</t>
        </is>
      </c>
      <c r="G876" t="n">
        <v>4.9</v>
      </c>
      <c r="H876" t="n">
        <v>0</v>
      </c>
      <c r="I876" t="n">
        <v>0</v>
      </c>
      <c r="J876" t="n">
        <v>0</v>
      </c>
      <c r="K876" t="n">
        <v>0</v>
      </c>
      <c r="L876" t="n">
        <v>0</v>
      </c>
      <c r="M876" t="n">
        <v>0</v>
      </c>
      <c r="N876" t="n">
        <v>0</v>
      </c>
      <c r="O876" t="n">
        <v>0</v>
      </c>
      <c r="P876" t="n">
        <v>0</v>
      </c>
      <c r="Q876" t="n">
        <v>0</v>
      </c>
      <c r="R876" s="2" t="inlineStr"/>
    </row>
    <row r="877" ht="15" customHeight="1">
      <c r="A877" t="inlineStr">
        <is>
          <t>A 52406-2020</t>
        </is>
      </c>
      <c r="B877" s="1" t="n">
        <v>44118</v>
      </c>
      <c r="C877" s="1" t="n">
        <v>45822</v>
      </c>
      <c r="D877" t="inlineStr">
        <is>
          <t>VÄSTERNORRLANDS LÄN</t>
        </is>
      </c>
      <c r="E877" t="inlineStr">
        <is>
          <t>SOLLEFTEÅ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52983-2020</t>
        </is>
      </c>
      <c r="B878" s="1" t="n">
        <v>44119</v>
      </c>
      <c r="C878" s="1" t="n">
        <v>45822</v>
      </c>
      <c r="D878" t="inlineStr">
        <is>
          <t>VÄSTERNORRLANDS LÄN</t>
        </is>
      </c>
      <c r="E878" t="inlineStr">
        <is>
          <t>SOLLEFTEÅ</t>
        </is>
      </c>
      <c r="G878" t="n">
        <v>3.8</v>
      </c>
      <c r="H878" t="n">
        <v>0</v>
      </c>
      <c r="I878" t="n">
        <v>0</v>
      </c>
      <c r="J878" t="n">
        <v>0</v>
      </c>
      <c r="K878" t="n">
        <v>0</v>
      </c>
      <c r="L878" t="n">
        <v>0</v>
      </c>
      <c r="M878" t="n">
        <v>0</v>
      </c>
      <c r="N878" t="n">
        <v>0</v>
      </c>
      <c r="O878" t="n">
        <v>0</v>
      </c>
      <c r="P878" t="n">
        <v>0</v>
      </c>
      <c r="Q878" t="n">
        <v>0</v>
      </c>
      <c r="R878" s="2" t="inlineStr"/>
    </row>
    <row r="879" ht="15" customHeight="1">
      <c r="A879" t="inlineStr">
        <is>
          <t>A 52936-2020</t>
        </is>
      </c>
      <c r="B879" s="1" t="n">
        <v>44120</v>
      </c>
      <c r="C879" s="1" t="n">
        <v>45822</v>
      </c>
      <c r="D879" t="inlineStr">
        <is>
          <t>VÄSTERNORRLANDS LÄN</t>
        </is>
      </c>
      <c r="E879" t="inlineStr">
        <is>
          <t>SOLLEFTEÅ</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53828-2020</t>
        </is>
      </c>
      <c r="B880" s="1" t="n">
        <v>44124</v>
      </c>
      <c r="C880" s="1" t="n">
        <v>45822</v>
      </c>
      <c r="D880" t="inlineStr">
        <is>
          <t>VÄSTERNORRLANDS LÄN</t>
        </is>
      </c>
      <c r="E880" t="inlineStr">
        <is>
          <t>SOLLEFTEÅ</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54463-2020</t>
        </is>
      </c>
      <c r="B881" s="1" t="n">
        <v>44125</v>
      </c>
      <c r="C881" s="1" t="n">
        <v>45822</v>
      </c>
      <c r="D881" t="inlineStr">
        <is>
          <t>VÄSTERNORRLANDS LÄN</t>
        </is>
      </c>
      <c r="E881" t="inlineStr">
        <is>
          <t>SOLLEFTEÅ</t>
        </is>
      </c>
      <c r="G881" t="n">
        <v>2</v>
      </c>
      <c r="H881" t="n">
        <v>0</v>
      </c>
      <c r="I881" t="n">
        <v>0</v>
      </c>
      <c r="J881" t="n">
        <v>0</v>
      </c>
      <c r="K881" t="n">
        <v>0</v>
      </c>
      <c r="L881" t="n">
        <v>0</v>
      </c>
      <c r="M881" t="n">
        <v>0</v>
      </c>
      <c r="N881" t="n">
        <v>0</v>
      </c>
      <c r="O881" t="n">
        <v>0</v>
      </c>
      <c r="P881" t="n">
        <v>0</v>
      </c>
      <c r="Q881" t="n">
        <v>0</v>
      </c>
      <c r="R881" s="2" t="inlineStr"/>
    </row>
    <row r="882" ht="15" customHeight="1">
      <c r="A882" t="inlineStr">
        <is>
          <t>A 53866-2020</t>
        </is>
      </c>
      <c r="B882" s="1" t="n">
        <v>44125</v>
      </c>
      <c r="C882" s="1" t="n">
        <v>45822</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54567-2020</t>
        </is>
      </c>
      <c r="B883" s="1" t="n">
        <v>44126</v>
      </c>
      <c r="C883" s="1" t="n">
        <v>45822</v>
      </c>
      <c r="D883" t="inlineStr">
        <is>
          <t>VÄSTERNORRLANDS LÄN</t>
        </is>
      </c>
      <c r="E883" t="inlineStr">
        <is>
          <t>SOLLEFTEÅ</t>
        </is>
      </c>
      <c r="G883" t="n">
        <v>0.4</v>
      </c>
      <c r="H883" t="n">
        <v>0</v>
      </c>
      <c r="I883" t="n">
        <v>0</v>
      </c>
      <c r="J883" t="n">
        <v>0</v>
      </c>
      <c r="K883" t="n">
        <v>0</v>
      </c>
      <c r="L883" t="n">
        <v>0</v>
      </c>
      <c r="M883" t="n">
        <v>0</v>
      </c>
      <c r="N883" t="n">
        <v>0</v>
      </c>
      <c r="O883" t="n">
        <v>0</v>
      </c>
      <c r="P883" t="n">
        <v>0</v>
      </c>
      <c r="Q883" t="n">
        <v>0</v>
      </c>
      <c r="R883" s="2" t="inlineStr"/>
    </row>
    <row r="884" ht="15" customHeight="1">
      <c r="A884" t="inlineStr">
        <is>
          <t>A 54568-2020</t>
        </is>
      </c>
      <c r="B884" s="1" t="n">
        <v>44126</v>
      </c>
      <c r="C884" s="1" t="n">
        <v>45822</v>
      </c>
      <c r="D884" t="inlineStr">
        <is>
          <t>VÄSTERNORRLANDS LÄN</t>
        </is>
      </c>
      <c r="E884" t="inlineStr">
        <is>
          <t>SOLLEFTEÅ</t>
        </is>
      </c>
      <c r="G884" t="n">
        <v>0.2</v>
      </c>
      <c r="H884" t="n">
        <v>0</v>
      </c>
      <c r="I884" t="n">
        <v>0</v>
      </c>
      <c r="J884" t="n">
        <v>0</v>
      </c>
      <c r="K884" t="n">
        <v>0</v>
      </c>
      <c r="L884" t="n">
        <v>0</v>
      </c>
      <c r="M884" t="n">
        <v>0</v>
      </c>
      <c r="N884" t="n">
        <v>0</v>
      </c>
      <c r="O884" t="n">
        <v>0</v>
      </c>
      <c r="P884" t="n">
        <v>0</v>
      </c>
      <c r="Q884" t="n">
        <v>0</v>
      </c>
      <c r="R884" s="2" t="inlineStr"/>
    </row>
    <row r="885" ht="15" customHeight="1">
      <c r="A885" t="inlineStr">
        <is>
          <t>A 54572-2020</t>
        </is>
      </c>
      <c r="B885" s="1" t="n">
        <v>44126</v>
      </c>
      <c r="C885" s="1" t="n">
        <v>45822</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54576-2020</t>
        </is>
      </c>
      <c r="B886" s="1" t="n">
        <v>44126</v>
      </c>
      <c r="C886" s="1" t="n">
        <v>45822</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54571-2020</t>
        </is>
      </c>
      <c r="B887" s="1" t="n">
        <v>44126</v>
      </c>
      <c r="C887" s="1" t="n">
        <v>45822</v>
      </c>
      <c r="D887" t="inlineStr">
        <is>
          <t>VÄSTERNORRLANDS LÄN</t>
        </is>
      </c>
      <c r="E887" t="inlineStr">
        <is>
          <t>SOLLEFTEÅ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54569-2020</t>
        </is>
      </c>
      <c r="B888" s="1" t="n">
        <v>44126</v>
      </c>
      <c r="C888" s="1" t="n">
        <v>45822</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54566-2020</t>
        </is>
      </c>
      <c r="B889" s="1" t="n">
        <v>44126</v>
      </c>
      <c r="C889" s="1" t="n">
        <v>45822</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54570-2020</t>
        </is>
      </c>
      <c r="B890" s="1" t="n">
        <v>44126</v>
      </c>
      <c r="C890" s="1" t="n">
        <v>45822</v>
      </c>
      <c r="D890" t="inlineStr">
        <is>
          <t>VÄSTERNORRLANDS LÄN</t>
        </is>
      </c>
      <c r="E890" t="inlineStr">
        <is>
          <t>SOLLEFTEÅ</t>
        </is>
      </c>
      <c r="G890" t="n">
        <v>0.3</v>
      </c>
      <c r="H890" t="n">
        <v>0</v>
      </c>
      <c r="I890" t="n">
        <v>0</v>
      </c>
      <c r="J890" t="n">
        <v>0</v>
      </c>
      <c r="K890" t="n">
        <v>0</v>
      </c>
      <c r="L890" t="n">
        <v>0</v>
      </c>
      <c r="M890" t="n">
        <v>0</v>
      </c>
      <c r="N890" t="n">
        <v>0</v>
      </c>
      <c r="O890" t="n">
        <v>0</v>
      </c>
      <c r="P890" t="n">
        <v>0</v>
      </c>
      <c r="Q890" t="n">
        <v>0</v>
      </c>
      <c r="R890" s="2" t="inlineStr"/>
    </row>
    <row r="891" ht="15" customHeight="1">
      <c r="A891" t="inlineStr">
        <is>
          <t>A 54573-2020</t>
        </is>
      </c>
      <c r="B891" s="1" t="n">
        <v>44126</v>
      </c>
      <c r="C891" s="1" t="n">
        <v>45822</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55337-2020</t>
        </is>
      </c>
      <c r="B892" s="1" t="n">
        <v>44130</v>
      </c>
      <c r="C892" s="1" t="n">
        <v>45822</v>
      </c>
      <c r="D892" t="inlineStr">
        <is>
          <t>VÄSTERNORRLANDS LÄN</t>
        </is>
      </c>
      <c r="E892" t="inlineStr">
        <is>
          <t>SOLLEFTEÅ</t>
        </is>
      </c>
      <c r="G892" t="n">
        <v>21.1</v>
      </c>
      <c r="H892" t="n">
        <v>0</v>
      </c>
      <c r="I892" t="n">
        <v>0</v>
      </c>
      <c r="J892" t="n">
        <v>0</v>
      </c>
      <c r="K892" t="n">
        <v>0</v>
      </c>
      <c r="L892" t="n">
        <v>0</v>
      </c>
      <c r="M892" t="n">
        <v>0</v>
      </c>
      <c r="N892" t="n">
        <v>0</v>
      </c>
      <c r="O892" t="n">
        <v>0</v>
      </c>
      <c r="P892" t="n">
        <v>0</v>
      </c>
      <c r="Q892" t="n">
        <v>0</v>
      </c>
      <c r="R892" s="2" t="inlineStr"/>
    </row>
    <row r="893" ht="15" customHeight="1">
      <c r="A893" t="inlineStr">
        <is>
          <t>A 55489-2020</t>
        </is>
      </c>
      <c r="B893" s="1" t="n">
        <v>44131</v>
      </c>
      <c r="C893" s="1" t="n">
        <v>45822</v>
      </c>
      <c r="D893" t="inlineStr">
        <is>
          <t>VÄSTERNORRLANDS LÄN</t>
        </is>
      </c>
      <c r="E893" t="inlineStr">
        <is>
          <t>SOLLEFTEÅ</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58380-2020</t>
        </is>
      </c>
      <c r="B894" s="1" t="n">
        <v>44145</v>
      </c>
      <c r="C894" s="1" t="n">
        <v>45822</v>
      </c>
      <c r="D894" t="inlineStr">
        <is>
          <t>VÄSTERNORRLANDS LÄN</t>
        </is>
      </c>
      <c r="E894" t="inlineStr">
        <is>
          <t>SOLLEFTEÅ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58381-2020</t>
        </is>
      </c>
      <c r="B895" s="1" t="n">
        <v>44145</v>
      </c>
      <c r="C895" s="1" t="n">
        <v>45822</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59334-2020</t>
        </is>
      </c>
      <c r="B896" s="1" t="n">
        <v>44147</v>
      </c>
      <c r="C896" s="1" t="n">
        <v>45822</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59950-2020</t>
        </is>
      </c>
      <c r="B897" s="1" t="n">
        <v>44151</v>
      </c>
      <c r="C897" s="1" t="n">
        <v>45822</v>
      </c>
      <c r="D897" t="inlineStr">
        <is>
          <t>VÄSTERNORRLANDS LÄN</t>
        </is>
      </c>
      <c r="E897" t="inlineStr">
        <is>
          <t>SOLLEFTEÅ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59953-2020</t>
        </is>
      </c>
      <c r="B898" s="1" t="n">
        <v>44151</v>
      </c>
      <c r="C898" s="1" t="n">
        <v>45822</v>
      </c>
      <c r="D898" t="inlineStr">
        <is>
          <t>VÄSTERNORRLANDS LÄN</t>
        </is>
      </c>
      <c r="E898" t="inlineStr">
        <is>
          <t>SOLLEFTEÅ</t>
        </is>
      </c>
      <c r="G898" t="n">
        <v>3.6</v>
      </c>
      <c r="H898" t="n">
        <v>0</v>
      </c>
      <c r="I898" t="n">
        <v>0</v>
      </c>
      <c r="J898" t="n">
        <v>0</v>
      </c>
      <c r="K898" t="n">
        <v>0</v>
      </c>
      <c r="L898" t="n">
        <v>0</v>
      </c>
      <c r="M898" t="n">
        <v>0</v>
      </c>
      <c r="N898" t="n">
        <v>0</v>
      </c>
      <c r="O898" t="n">
        <v>0</v>
      </c>
      <c r="P898" t="n">
        <v>0</v>
      </c>
      <c r="Q898" t="n">
        <v>0</v>
      </c>
      <c r="R898" s="2" t="inlineStr"/>
    </row>
    <row r="899" ht="15" customHeight="1">
      <c r="A899" t="inlineStr">
        <is>
          <t>A 60091-2020</t>
        </is>
      </c>
      <c r="B899" s="1" t="n">
        <v>44151</v>
      </c>
      <c r="C899" s="1" t="n">
        <v>45822</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61127-2020</t>
        </is>
      </c>
      <c r="B900" s="1" t="n">
        <v>44154</v>
      </c>
      <c r="C900" s="1" t="n">
        <v>45822</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61130-2020</t>
        </is>
      </c>
      <c r="B901" s="1" t="n">
        <v>44154</v>
      </c>
      <c r="C901" s="1" t="n">
        <v>45822</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61894-2020</t>
        </is>
      </c>
      <c r="B902" s="1" t="n">
        <v>44155</v>
      </c>
      <c r="C902" s="1" t="n">
        <v>45822</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61943-2020</t>
        </is>
      </c>
      <c r="B903" s="1" t="n">
        <v>44155</v>
      </c>
      <c r="C903" s="1" t="n">
        <v>45822</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62666-2020</t>
        </is>
      </c>
      <c r="B904" s="1" t="n">
        <v>44161</v>
      </c>
      <c r="C904" s="1" t="n">
        <v>45822</v>
      </c>
      <c r="D904" t="inlineStr">
        <is>
          <t>VÄSTERNORRLANDS LÄN</t>
        </is>
      </c>
      <c r="E904" t="inlineStr">
        <is>
          <t>SOLLEFTEÅ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62881-2020</t>
        </is>
      </c>
      <c r="B905" s="1" t="n">
        <v>44161</v>
      </c>
      <c r="C905" s="1" t="n">
        <v>45822</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62883-2020</t>
        </is>
      </c>
      <c r="B906" s="1" t="n">
        <v>44161</v>
      </c>
      <c r="C906" s="1" t="n">
        <v>45822</v>
      </c>
      <c r="D906" t="inlineStr">
        <is>
          <t>VÄSTERNORRLANDS LÄN</t>
        </is>
      </c>
      <c r="E906" t="inlineStr">
        <is>
          <t>SOLLEFTEÅ</t>
        </is>
      </c>
      <c r="F906" t="inlineStr">
        <is>
          <t>SCA</t>
        </is>
      </c>
      <c r="G906" t="n">
        <v>8.5</v>
      </c>
      <c r="H906" t="n">
        <v>0</v>
      </c>
      <c r="I906" t="n">
        <v>0</v>
      </c>
      <c r="J906" t="n">
        <v>0</v>
      </c>
      <c r="K906" t="n">
        <v>0</v>
      </c>
      <c r="L906" t="n">
        <v>0</v>
      </c>
      <c r="M906" t="n">
        <v>0</v>
      </c>
      <c r="N906" t="n">
        <v>0</v>
      </c>
      <c r="O906" t="n">
        <v>0</v>
      </c>
      <c r="P906" t="n">
        <v>0</v>
      </c>
      <c r="Q906" t="n">
        <v>0</v>
      </c>
      <c r="R906" s="2" t="inlineStr"/>
    </row>
    <row r="907" ht="15" customHeight="1">
      <c r="A907" t="inlineStr">
        <is>
          <t>A 63190-2020</t>
        </is>
      </c>
      <c r="B907" s="1" t="n">
        <v>44162</v>
      </c>
      <c r="C907" s="1" t="n">
        <v>45822</v>
      </c>
      <c r="D907" t="inlineStr">
        <is>
          <t>VÄSTERNORRLANDS LÄN</t>
        </is>
      </c>
      <c r="E907" t="inlineStr">
        <is>
          <t>SOLLEFTEÅ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63210-2020</t>
        </is>
      </c>
      <c r="B908" s="1" t="n">
        <v>44163</v>
      </c>
      <c r="C908" s="1" t="n">
        <v>45822</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65401-2020</t>
        </is>
      </c>
      <c r="B909" s="1" t="n">
        <v>44169</v>
      </c>
      <c r="C909" s="1" t="n">
        <v>45822</v>
      </c>
      <c r="D909" t="inlineStr">
        <is>
          <t>VÄSTERNORRLANDS LÄN</t>
        </is>
      </c>
      <c r="E909" t="inlineStr">
        <is>
          <t>SOLLEFTEÅ</t>
        </is>
      </c>
      <c r="G909" t="n">
        <v>2.3</v>
      </c>
      <c r="H909" t="n">
        <v>0</v>
      </c>
      <c r="I909" t="n">
        <v>0</v>
      </c>
      <c r="J909" t="n">
        <v>0</v>
      </c>
      <c r="K909" t="n">
        <v>0</v>
      </c>
      <c r="L909" t="n">
        <v>0</v>
      </c>
      <c r="M909" t="n">
        <v>0</v>
      </c>
      <c r="N909" t="n">
        <v>0</v>
      </c>
      <c r="O909" t="n">
        <v>0</v>
      </c>
      <c r="P909" t="n">
        <v>0</v>
      </c>
      <c r="Q909" t="n">
        <v>0</v>
      </c>
      <c r="R909" s="2" t="inlineStr"/>
    </row>
    <row r="910" ht="15" customHeight="1">
      <c r="A910" t="inlineStr">
        <is>
          <t>A 65407-2020</t>
        </is>
      </c>
      <c r="B910" s="1" t="n">
        <v>44169</v>
      </c>
      <c r="C910" s="1" t="n">
        <v>45822</v>
      </c>
      <c r="D910" t="inlineStr">
        <is>
          <t>VÄSTERNORRLANDS LÄN</t>
        </is>
      </c>
      <c r="E910" t="inlineStr">
        <is>
          <t>SOLLEFTEÅ</t>
        </is>
      </c>
      <c r="G910" t="n">
        <v>2.8</v>
      </c>
      <c r="H910" t="n">
        <v>0</v>
      </c>
      <c r="I910" t="n">
        <v>0</v>
      </c>
      <c r="J910" t="n">
        <v>0</v>
      </c>
      <c r="K910" t="n">
        <v>0</v>
      </c>
      <c r="L910" t="n">
        <v>0</v>
      </c>
      <c r="M910" t="n">
        <v>0</v>
      </c>
      <c r="N910" t="n">
        <v>0</v>
      </c>
      <c r="O910" t="n">
        <v>0</v>
      </c>
      <c r="P910" t="n">
        <v>0</v>
      </c>
      <c r="Q910" t="n">
        <v>0</v>
      </c>
      <c r="R910" s="2" t="inlineStr"/>
    </row>
    <row r="911" ht="15" customHeight="1">
      <c r="A911" t="inlineStr">
        <is>
          <t>A 65403-2020</t>
        </is>
      </c>
      <c r="B911" s="1" t="n">
        <v>44169</v>
      </c>
      <c r="C911" s="1" t="n">
        <v>45822</v>
      </c>
      <c r="D911" t="inlineStr">
        <is>
          <t>VÄSTERNORRLANDS LÄN</t>
        </is>
      </c>
      <c r="E911" t="inlineStr">
        <is>
          <t>SOLLEFTEÅ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67063-2020</t>
        </is>
      </c>
      <c r="B912" s="1" t="n">
        <v>44176</v>
      </c>
      <c r="C912" s="1" t="n">
        <v>45822</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66845-2020</t>
        </is>
      </c>
      <c r="B913" s="1" t="n">
        <v>44179</v>
      </c>
      <c r="C913" s="1" t="n">
        <v>45822</v>
      </c>
      <c r="D913" t="inlineStr">
        <is>
          <t>VÄSTERNORRLANDS LÄN</t>
        </is>
      </c>
      <c r="E913" t="inlineStr">
        <is>
          <t>SOLLEFTEÅ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66844-2020</t>
        </is>
      </c>
      <c r="B914" s="1" t="n">
        <v>44179</v>
      </c>
      <c r="C914" s="1" t="n">
        <v>45822</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66850-2020</t>
        </is>
      </c>
      <c r="B915" s="1" t="n">
        <v>44179</v>
      </c>
      <c r="C915" s="1" t="n">
        <v>45822</v>
      </c>
      <c r="D915" t="inlineStr">
        <is>
          <t>VÄSTERNORRLANDS LÄN</t>
        </is>
      </c>
      <c r="E915" t="inlineStr">
        <is>
          <t>SOLLEFTEÅ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66851-2020</t>
        </is>
      </c>
      <c r="B916" s="1" t="n">
        <v>44179</v>
      </c>
      <c r="C916" s="1" t="n">
        <v>45822</v>
      </c>
      <c r="D916" t="inlineStr">
        <is>
          <t>VÄSTERNORRLANDS LÄN</t>
        </is>
      </c>
      <c r="E916" t="inlineStr">
        <is>
          <t>SOLLEFTEÅ</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66853-2020</t>
        </is>
      </c>
      <c r="B917" s="1" t="n">
        <v>44179</v>
      </c>
      <c r="C917" s="1" t="n">
        <v>45822</v>
      </c>
      <c r="D917" t="inlineStr">
        <is>
          <t>VÄSTERNORRLANDS LÄN</t>
        </is>
      </c>
      <c r="E917" t="inlineStr">
        <is>
          <t>SOLLEFTEÅ</t>
        </is>
      </c>
      <c r="F917" t="inlineStr">
        <is>
          <t>SCA</t>
        </is>
      </c>
      <c r="G917" t="n">
        <v>6</v>
      </c>
      <c r="H917" t="n">
        <v>0</v>
      </c>
      <c r="I917" t="n">
        <v>0</v>
      </c>
      <c r="J917" t="n">
        <v>0</v>
      </c>
      <c r="K917" t="n">
        <v>0</v>
      </c>
      <c r="L917" t="n">
        <v>0</v>
      </c>
      <c r="M917" t="n">
        <v>0</v>
      </c>
      <c r="N917" t="n">
        <v>0</v>
      </c>
      <c r="O917" t="n">
        <v>0</v>
      </c>
      <c r="P917" t="n">
        <v>0</v>
      </c>
      <c r="Q917" t="n">
        <v>0</v>
      </c>
      <c r="R917" s="2" t="inlineStr"/>
    </row>
    <row r="918" ht="15" customHeight="1">
      <c r="A918" t="inlineStr">
        <is>
          <t>A 67602-2020</t>
        </is>
      </c>
      <c r="B918" s="1" t="n">
        <v>44181</v>
      </c>
      <c r="C918" s="1" t="n">
        <v>45822</v>
      </c>
      <c r="D918" t="inlineStr">
        <is>
          <t>VÄSTERNORRLANDS LÄN</t>
        </is>
      </c>
      <c r="E918" t="inlineStr">
        <is>
          <t>SOLLEFTEÅ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68016-2020</t>
        </is>
      </c>
      <c r="B919" s="1" t="n">
        <v>44182</v>
      </c>
      <c r="C919" s="1" t="n">
        <v>45822</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68026-2020</t>
        </is>
      </c>
      <c r="B920" s="1" t="n">
        <v>44182</v>
      </c>
      <c r="C920" s="1" t="n">
        <v>45822</v>
      </c>
      <c r="D920" t="inlineStr">
        <is>
          <t>VÄSTERNORRLANDS LÄN</t>
        </is>
      </c>
      <c r="E920" t="inlineStr">
        <is>
          <t>SOLLEFTEÅ</t>
        </is>
      </c>
      <c r="F920" t="inlineStr">
        <is>
          <t>SCA</t>
        </is>
      </c>
      <c r="G920" t="n">
        <v>4.8</v>
      </c>
      <c r="H920" t="n">
        <v>0</v>
      </c>
      <c r="I920" t="n">
        <v>0</v>
      </c>
      <c r="J920" t="n">
        <v>0</v>
      </c>
      <c r="K920" t="n">
        <v>0</v>
      </c>
      <c r="L920" t="n">
        <v>0</v>
      </c>
      <c r="M920" t="n">
        <v>0</v>
      </c>
      <c r="N920" t="n">
        <v>0</v>
      </c>
      <c r="O920" t="n">
        <v>0</v>
      </c>
      <c r="P920" t="n">
        <v>0</v>
      </c>
      <c r="Q920" t="n">
        <v>0</v>
      </c>
      <c r="R920" s="2" t="inlineStr"/>
    </row>
    <row r="921" ht="15" customHeight="1">
      <c r="A921" t="inlineStr">
        <is>
          <t>A 68022-2020</t>
        </is>
      </c>
      <c r="B921" s="1" t="n">
        <v>44182</v>
      </c>
      <c r="C921" s="1" t="n">
        <v>45822</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68031-2020</t>
        </is>
      </c>
      <c r="B922" s="1" t="n">
        <v>44182</v>
      </c>
      <c r="C922" s="1" t="n">
        <v>45822</v>
      </c>
      <c r="D922" t="inlineStr">
        <is>
          <t>VÄSTERNORRLANDS LÄN</t>
        </is>
      </c>
      <c r="E922" t="inlineStr">
        <is>
          <t>SOLLEFTEÅ</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68036-2020</t>
        </is>
      </c>
      <c r="B923" s="1" t="n">
        <v>44182</v>
      </c>
      <c r="C923" s="1" t="n">
        <v>45822</v>
      </c>
      <c r="D923" t="inlineStr">
        <is>
          <t>VÄSTERNORRLANDS LÄN</t>
        </is>
      </c>
      <c r="E923" t="inlineStr">
        <is>
          <t>SOLLEFTEÅ</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68020-2020</t>
        </is>
      </c>
      <c r="B924" s="1" t="n">
        <v>44182</v>
      </c>
      <c r="C924" s="1" t="n">
        <v>45822</v>
      </c>
      <c r="D924" t="inlineStr">
        <is>
          <t>VÄSTERNORRLANDS LÄN</t>
        </is>
      </c>
      <c r="E924" t="inlineStr">
        <is>
          <t>SOLLEFTEÅ</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68030-2020</t>
        </is>
      </c>
      <c r="B925" s="1" t="n">
        <v>44182</v>
      </c>
      <c r="C925" s="1" t="n">
        <v>45822</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68034-2020</t>
        </is>
      </c>
      <c r="B926" s="1" t="n">
        <v>44182</v>
      </c>
      <c r="C926" s="1" t="n">
        <v>45822</v>
      </c>
      <c r="D926" t="inlineStr">
        <is>
          <t>VÄSTERNORRLANDS LÄN</t>
        </is>
      </c>
      <c r="E926" t="inlineStr">
        <is>
          <t>SOLLEFTEÅ</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68033-2020</t>
        </is>
      </c>
      <c r="B927" s="1" t="n">
        <v>44182</v>
      </c>
      <c r="C927" s="1" t="n">
        <v>45822</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68015-2020</t>
        </is>
      </c>
      <c r="B928" s="1" t="n">
        <v>44182</v>
      </c>
      <c r="C928" s="1" t="n">
        <v>45822</v>
      </c>
      <c r="D928" t="inlineStr">
        <is>
          <t>VÄSTERNORRLANDS LÄN</t>
        </is>
      </c>
      <c r="E928" t="inlineStr">
        <is>
          <t>SOLLEFTEÅ</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68025-2020</t>
        </is>
      </c>
      <c r="B929" s="1" t="n">
        <v>44182</v>
      </c>
      <c r="C929" s="1" t="n">
        <v>45822</v>
      </c>
      <c r="D929" t="inlineStr">
        <is>
          <t>VÄSTERNORRLANDS LÄN</t>
        </is>
      </c>
      <c r="E929" t="inlineStr">
        <is>
          <t>SOLLEFTEÅ</t>
        </is>
      </c>
      <c r="F929" t="inlineStr">
        <is>
          <t>SCA</t>
        </is>
      </c>
      <c r="G929" t="n">
        <v>7.6</v>
      </c>
      <c r="H929" t="n">
        <v>0</v>
      </c>
      <c r="I929" t="n">
        <v>0</v>
      </c>
      <c r="J929" t="n">
        <v>0</v>
      </c>
      <c r="K929" t="n">
        <v>0</v>
      </c>
      <c r="L929" t="n">
        <v>0</v>
      </c>
      <c r="M929" t="n">
        <v>0</v>
      </c>
      <c r="N929" t="n">
        <v>0</v>
      </c>
      <c r="O929" t="n">
        <v>0</v>
      </c>
      <c r="P929" t="n">
        <v>0</v>
      </c>
      <c r="Q929" t="n">
        <v>0</v>
      </c>
      <c r="R929" s="2" t="inlineStr"/>
    </row>
    <row r="930" ht="15" customHeight="1">
      <c r="A930" t="inlineStr">
        <is>
          <t>A 68032-2020</t>
        </is>
      </c>
      <c r="B930" s="1" t="n">
        <v>44182</v>
      </c>
      <c r="C930" s="1" t="n">
        <v>45822</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68037-2020</t>
        </is>
      </c>
      <c r="B931" s="1" t="n">
        <v>44182</v>
      </c>
      <c r="C931" s="1" t="n">
        <v>45822</v>
      </c>
      <c r="D931" t="inlineStr">
        <is>
          <t>VÄSTERNORRLANDS LÄN</t>
        </is>
      </c>
      <c r="E931" t="inlineStr">
        <is>
          <t>SOLLEFTEÅ</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68292-2020</t>
        </is>
      </c>
      <c r="B932" s="1" t="n">
        <v>44183</v>
      </c>
      <c r="C932" s="1" t="n">
        <v>45822</v>
      </c>
      <c r="D932" t="inlineStr">
        <is>
          <t>VÄSTERNORRLANDS LÄN</t>
        </is>
      </c>
      <c r="E932" t="inlineStr">
        <is>
          <t>SOLLEFTEÅ</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68570-2020</t>
        </is>
      </c>
      <c r="B933" s="1" t="n">
        <v>44186</v>
      </c>
      <c r="C933" s="1" t="n">
        <v>45822</v>
      </c>
      <c r="D933" t="inlineStr">
        <is>
          <t>VÄSTERNORRLANDS LÄN</t>
        </is>
      </c>
      <c r="E933" t="inlineStr">
        <is>
          <t>SOLLEFTEÅ</t>
        </is>
      </c>
      <c r="G933" t="n">
        <v>5.5</v>
      </c>
      <c r="H933" t="n">
        <v>0</v>
      </c>
      <c r="I933" t="n">
        <v>0</v>
      </c>
      <c r="J933" t="n">
        <v>0</v>
      </c>
      <c r="K933" t="n">
        <v>0</v>
      </c>
      <c r="L933" t="n">
        <v>0</v>
      </c>
      <c r="M933" t="n">
        <v>0</v>
      </c>
      <c r="N933" t="n">
        <v>0</v>
      </c>
      <c r="O933" t="n">
        <v>0</v>
      </c>
      <c r="P933" t="n">
        <v>0</v>
      </c>
      <c r="Q933" t="n">
        <v>0</v>
      </c>
      <c r="R933" s="2" t="inlineStr"/>
    </row>
    <row r="934" ht="15" customHeight="1">
      <c r="A934" t="inlineStr">
        <is>
          <t>A 68652-2020</t>
        </is>
      </c>
      <c r="B934" s="1" t="n">
        <v>44186</v>
      </c>
      <c r="C934" s="1" t="n">
        <v>45822</v>
      </c>
      <c r="D934" t="inlineStr">
        <is>
          <t>VÄSTERNORRLANDS LÄN</t>
        </is>
      </c>
      <c r="E934" t="inlineStr">
        <is>
          <t>SOLLEFTEÅ</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68647-2020</t>
        </is>
      </c>
      <c r="B935" s="1" t="n">
        <v>44186</v>
      </c>
      <c r="C935" s="1" t="n">
        <v>45822</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68648-2020</t>
        </is>
      </c>
      <c r="B936" s="1" t="n">
        <v>44186</v>
      </c>
      <c r="C936" s="1" t="n">
        <v>45822</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68656-2020</t>
        </is>
      </c>
      <c r="B937" s="1" t="n">
        <v>44186</v>
      </c>
      <c r="C937" s="1" t="n">
        <v>45822</v>
      </c>
      <c r="D937" t="inlineStr">
        <is>
          <t>VÄSTERNORRLANDS LÄN</t>
        </is>
      </c>
      <c r="E937" t="inlineStr">
        <is>
          <t>SOLLEFTEÅ</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69436-2020</t>
        </is>
      </c>
      <c r="B938" s="1" t="n">
        <v>44193</v>
      </c>
      <c r="C938" s="1" t="n">
        <v>45822</v>
      </c>
      <c r="D938" t="inlineStr">
        <is>
          <t>VÄSTERNORRLANDS LÄN</t>
        </is>
      </c>
      <c r="E938" t="inlineStr">
        <is>
          <t>SOLLEFTEÅ</t>
        </is>
      </c>
      <c r="G938" t="n">
        <v>4.9</v>
      </c>
      <c r="H938" t="n">
        <v>0</v>
      </c>
      <c r="I938" t="n">
        <v>0</v>
      </c>
      <c r="J938" t="n">
        <v>0</v>
      </c>
      <c r="K938" t="n">
        <v>0</v>
      </c>
      <c r="L938" t="n">
        <v>0</v>
      </c>
      <c r="M938" t="n">
        <v>0</v>
      </c>
      <c r="N938" t="n">
        <v>0</v>
      </c>
      <c r="O938" t="n">
        <v>0</v>
      </c>
      <c r="P938" t="n">
        <v>0</v>
      </c>
      <c r="Q938" t="n">
        <v>0</v>
      </c>
      <c r="R938" s="2" t="inlineStr"/>
    </row>
    <row r="939" ht="15" customHeight="1">
      <c r="A939" t="inlineStr">
        <is>
          <t>A 272-2021</t>
        </is>
      </c>
      <c r="B939" s="1" t="n">
        <v>44200</v>
      </c>
      <c r="C939" s="1" t="n">
        <v>45822</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691-2021</t>
        </is>
      </c>
      <c r="B940" s="1" t="n">
        <v>44203</v>
      </c>
      <c r="C940" s="1" t="n">
        <v>45822</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1858-2021</t>
        </is>
      </c>
      <c r="B941" s="1" t="n">
        <v>44210</v>
      </c>
      <c r="C941" s="1" t="n">
        <v>45822</v>
      </c>
      <c r="D941" t="inlineStr">
        <is>
          <t>VÄSTERNORRLANDS LÄN</t>
        </is>
      </c>
      <c r="E941" t="inlineStr">
        <is>
          <t>SOLLEFTEÅ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2077-2021</t>
        </is>
      </c>
      <c r="B942" s="1" t="n">
        <v>44210</v>
      </c>
      <c r="C942" s="1" t="n">
        <v>45822</v>
      </c>
      <c r="D942" t="inlineStr">
        <is>
          <t>VÄSTERNORRLANDS LÄN</t>
        </is>
      </c>
      <c r="E942" t="inlineStr">
        <is>
          <t>SOLLEFTEÅ</t>
        </is>
      </c>
      <c r="G942" t="n">
        <v>6.1</v>
      </c>
      <c r="H942" t="n">
        <v>0</v>
      </c>
      <c r="I942" t="n">
        <v>0</v>
      </c>
      <c r="J942" t="n">
        <v>0</v>
      </c>
      <c r="K942" t="n">
        <v>0</v>
      </c>
      <c r="L942" t="n">
        <v>0</v>
      </c>
      <c r="M942" t="n">
        <v>0</v>
      </c>
      <c r="N942" t="n">
        <v>0</v>
      </c>
      <c r="O942" t="n">
        <v>0</v>
      </c>
      <c r="P942" t="n">
        <v>0</v>
      </c>
      <c r="Q942" t="n">
        <v>0</v>
      </c>
      <c r="R942" s="2" t="inlineStr"/>
    </row>
    <row r="943" ht="15" customHeight="1">
      <c r="A943" t="inlineStr">
        <is>
          <t>A 2487-2021</t>
        </is>
      </c>
      <c r="B943" s="1" t="n">
        <v>44211</v>
      </c>
      <c r="C943" s="1" t="n">
        <v>45822</v>
      </c>
      <c r="D943" t="inlineStr">
        <is>
          <t>VÄSTERNORRLANDS LÄN</t>
        </is>
      </c>
      <c r="E943" t="inlineStr">
        <is>
          <t>SOLLEFTEÅ</t>
        </is>
      </c>
      <c r="G943" t="n">
        <v>2.7</v>
      </c>
      <c r="H943" t="n">
        <v>0</v>
      </c>
      <c r="I943" t="n">
        <v>0</v>
      </c>
      <c r="J943" t="n">
        <v>0</v>
      </c>
      <c r="K943" t="n">
        <v>0</v>
      </c>
      <c r="L943" t="n">
        <v>0</v>
      </c>
      <c r="M943" t="n">
        <v>0</v>
      </c>
      <c r="N943" t="n">
        <v>0</v>
      </c>
      <c r="O943" t="n">
        <v>0</v>
      </c>
      <c r="P943" t="n">
        <v>0</v>
      </c>
      <c r="Q943" t="n">
        <v>0</v>
      </c>
      <c r="R943" s="2" t="inlineStr"/>
    </row>
    <row r="944" ht="15" customHeight="1">
      <c r="A944" t="inlineStr">
        <is>
          <t>A 3441-2021</t>
        </is>
      </c>
      <c r="B944" s="1" t="n">
        <v>44218</v>
      </c>
      <c r="C944" s="1" t="n">
        <v>45822</v>
      </c>
      <c r="D944" t="inlineStr">
        <is>
          <t>VÄSTERNORRLANDS LÄN</t>
        </is>
      </c>
      <c r="E944" t="inlineStr">
        <is>
          <t>SOLLEFTEÅ</t>
        </is>
      </c>
      <c r="G944" t="n">
        <v>2.3</v>
      </c>
      <c r="H944" t="n">
        <v>0</v>
      </c>
      <c r="I944" t="n">
        <v>0</v>
      </c>
      <c r="J944" t="n">
        <v>0</v>
      </c>
      <c r="K944" t="n">
        <v>0</v>
      </c>
      <c r="L944" t="n">
        <v>0</v>
      </c>
      <c r="M944" t="n">
        <v>0</v>
      </c>
      <c r="N944" t="n">
        <v>0</v>
      </c>
      <c r="O944" t="n">
        <v>0</v>
      </c>
      <c r="P944" t="n">
        <v>0</v>
      </c>
      <c r="Q944" t="n">
        <v>0</v>
      </c>
      <c r="R944" s="2" t="inlineStr"/>
    </row>
    <row r="945" ht="15" customHeight="1">
      <c r="A945" t="inlineStr">
        <is>
          <t>A 4127-2021</t>
        </is>
      </c>
      <c r="B945" s="1" t="n">
        <v>44222</v>
      </c>
      <c r="C945" s="1" t="n">
        <v>45822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5989-2021</t>
        </is>
      </c>
      <c r="B946" s="1" t="n">
        <v>44231</v>
      </c>
      <c r="C946" s="1" t="n">
        <v>45822</v>
      </c>
      <c r="D946" t="inlineStr">
        <is>
          <t>VÄSTERNORRLANDS LÄN</t>
        </is>
      </c>
      <c r="E946" t="inlineStr">
        <is>
          <t>SOLLEFTEÅ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7658-2021</t>
        </is>
      </c>
      <c r="B947" s="1" t="n">
        <v>44242</v>
      </c>
      <c r="C947" s="1" t="n">
        <v>45822</v>
      </c>
      <c r="D947" t="inlineStr">
        <is>
          <t>VÄSTERNORRLANDS LÄN</t>
        </is>
      </c>
      <c r="E947" t="inlineStr">
        <is>
          <t>SOLLEFTEÅ</t>
        </is>
      </c>
      <c r="G947" t="n">
        <v>4.9</v>
      </c>
      <c r="H947" t="n">
        <v>0</v>
      </c>
      <c r="I947" t="n">
        <v>0</v>
      </c>
      <c r="J947" t="n">
        <v>0</v>
      </c>
      <c r="K947" t="n">
        <v>0</v>
      </c>
      <c r="L947" t="n">
        <v>0</v>
      </c>
      <c r="M947" t="n">
        <v>0</v>
      </c>
      <c r="N947" t="n">
        <v>0</v>
      </c>
      <c r="O947" t="n">
        <v>0</v>
      </c>
      <c r="P947" t="n">
        <v>0</v>
      </c>
      <c r="Q947" t="n">
        <v>0</v>
      </c>
      <c r="R947" s="2" t="inlineStr"/>
    </row>
    <row r="948" ht="15" customHeight="1">
      <c r="A948" t="inlineStr">
        <is>
          <t>A 7659-2021</t>
        </is>
      </c>
      <c r="B948" s="1" t="n">
        <v>44242</v>
      </c>
      <c r="C948" s="1" t="n">
        <v>45822</v>
      </c>
      <c r="D948" t="inlineStr">
        <is>
          <t>VÄSTERNORRLANDS LÄN</t>
        </is>
      </c>
      <c r="E948" t="inlineStr">
        <is>
          <t>SOLLEFTEÅ</t>
        </is>
      </c>
      <c r="G948" t="n">
        <v>8.1</v>
      </c>
      <c r="H948" t="n">
        <v>0</v>
      </c>
      <c r="I948" t="n">
        <v>0</v>
      </c>
      <c r="J948" t="n">
        <v>0</v>
      </c>
      <c r="K948" t="n">
        <v>0</v>
      </c>
      <c r="L948" t="n">
        <v>0</v>
      </c>
      <c r="M948" t="n">
        <v>0</v>
      </c>
      <c r="N948" t="n">
        <v>0</v>
      </c>
      <c r="O948" t="n">
        <v>0</v>
      </c>
      <c r="P948" t="n">
        <v>0</v>
      </c>
      <c r="Q948" t="n">
        <v>0</v>
      </c>
      <c r="R948" s="2" t="inlineStr"/>
    </row>
    <row r="949" ht="15" customHeight="1">
      <c r="A949" t="inlineStr">
        <is>
          <t>A 7889-2021</t>
        </is>
      </c>
      <c r="B949" s="1" t="n">
        <v>44242</v>
      </c>
      <c r="C949" s="1" t="n">
        <v>45822</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8631-2021</t>
        </is>
      </c>
      <c r="B950" s="1" t="n">
        <v>44245</v>
      </c>
      <c r="C950" s="1" t="n">
        <v>45822</v>
      </c>
      <c r="D950" t="inlineStr">
        <is>
          <t>VÄSTERNORRLANDS LÄN</t>
        </is>
      </c>
      <c r="E950" t="inlineStr">
        <is>
          <t>SOLLEFTEÅ</t>
        </is>
      </c>
      <c r="G950" t="n">
        <v>0.8</v>
      </c>
      <c r="H950" t="n">
        <v>0</v>
      </c>
      <c r="I950" t="n">
        <v>0</v>
      </c>
      <c r="J950" t="n">
        <v>0</v>
      </c>
      <c r="K950" t="n">
        <v>0</v>
      </c>
      <c r="L950" t="n">
        <v>0</v>
      </c>
      <c r="M950" t="n">
        <v>0</v>
      </c>
      <c r="N950" t="n">
        <v>0</v>
      </c>
      <c r="O950" t="n">
        <v>0</v>
      </c>
      <c r="P950" t="n">
        <v>0</v>
      </c>
      <c r="Q950" t="n">
        <v>0</v>
      </c>
      <c r="R950" s="2" t="inlineStr"/>
    </row>
    <row r="951" ht="15" customHeight="1">
      <c r="A951" t="inlineStr">
        <is>
          <t>A 8692-2021</t>
        </is>
      </c>
      <c r="B951" s="1" t="n">
        <v>44246</v>
      </c>
      <c r="C951" s="1" t="n">
        <v>45822</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9461-2021</t>
        </is>
      </c>
      <c r="B952" s="1" t="n">
        <v>44251</v>
      </c>
      <c r="C952" s="1" t="n">
        <v>45822</v>
      </c>
      <c r="D952" t="inlineStr">
        <is>
          <t>VÄSTERNORRLANDS LÄN</t>
        </is>
      </c>
      <c r="E952" t="inlineStr">
        <is>
          <t>SOLLEFTEÅ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11270-2021</t>
        </is>
      </c>
      <c r="B953" s="1" t="n">
        <v>44263</v>
      </c>
      <c r="C953" s="1" t="n">
        <v>45822</v>
      </c>
      <c r="D953" t="inlineStr">
        <is>
          <t>VÄSTERNORRLANDS LÄN</t>
        </is>
      </c>
      <c r="E953" t="inlineStr">
        <is>
          <t>SOLLEFTEÅ</t>
        </is>
      </c>
      <c r="F953" t="inlineStr">
        <is>
          <t>Kommuner</t>
        </is>
      </c>
      <c r="G953" t="n">
        <v>10.9</v>
      </c>
      <c r="H953" t="n">
        <v>0</v>
      </c>
      <c r="I953" t="n">
        <v>0</v>
      </c>
      <c r="J953" t="n">
        <v>0</v>
      </c>
      <c r="K953" t="n">
        <v>0</v>
      </c>
      <c r="L953" t="n">
        <v>0</v>
      </c>
      <c r="M953" t="n">
        <v>0</v>
      </c>
      <c r="N953" t="n">
        <v>0</v>
      </c>
      <c r="O953" t="n">
        <v>0</v>
      </c>
      <c r="P953" t="n">
        <v>0</v>
      </c>
      <c r="Q953" t="n">
        <v>0</v>
      </c>
      <c r="R953" s="2" t="inlineStr"/>
    </row>
    <row r="954" ht="15" customHeight="1">
      <c r="A954" t="inlineStr">
        <is>
          <t>A 11710-2021</t>
        </is>
      </c>
      <c r="B954" s="1" t="n">
        <v>44264</v>
      </c>
      <c r="C954" s="1" t="n">
        <v>45822</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12278-2021</t>
        </is>
      </c>
      <c r="B955" s="1" t="n">
        <v>44266</v>
      </c>
      <c r="C955" s="1" t="n">
        <v>45822</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12277-2021</t>
        </is>
      </c>
      <c r="B956" s="1" t="n">
        <v>44266</v>
      </c>
      <c r="C956" s="1" t="n">
        <v>45822</v>
      </c>
      <c r="D956" t="inlineStr">
        <is>
          <t>VÄSTERNORRLANDS LÄN</t>
        </is>
      </c>
      <c r="E956" t="inlineStr">
        <is>
          <t>SOLLEFTEÅ</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12279-2021</t>
        </is>
      </c>
      <c r="B957" s="1" t="n">
        <v>44266</v>
      </c>
      <c r="C957" s="1" t="n">
        <v>45822</v>
      </c>
      <c r="D957" t="inlineStr">
        <is>
          <t>VÄSTERNORRLANDS LÄN</t>
        </is>
      </c>
      <c r="E957" t="inlineStr">
        <is>
          <t>SOLLEFTEÅ</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14733-2021</t>
        </is>
      </c>
      <c r="B958" s="1" t="n">
        <v>44280</v>
      </c>
      <c r="C958" s="1" t="n">
        <v>45822</v>
      </c>
      <c r="D958" t="inlineStr">
        <is>
          <t>VÄSTERNORRLANDS LÄN</t>
        </is>
      </c>
      <c r="E958" t="inlineStr">
        <is>
          <t>SOLLEFTEÅ</t>
        </is>
      </c>
      <c r="G958" t="n">
        <v>5.3</v>
      </c>
      <c r="H958" t="n">
        <v>0</v>
      </c>
      <c r="I958" t="n">
        <v>0</v>
      </c>
      <c r="J958" t="n">
        <v>0</v>
      </c>
      <c r="K958" t="n">
        <v>0</v>
      </c>
      <c r="L958" t="n">
        <v>0</v>
      </c>
      <c r="M958" t="n">
        <v>0</v>
      </c>
      <c r="N958" t="n">
        <v>0</v>
      </c>
      <c r="O958" t="n">
        <v>0</v>
      </c>
      <c r="P958" t="n">
        <v>0</v>
      </c>
      <c r="Q958" t="n">
        <v>0</v>
      </c>
      <c r="R958" s="2" t="inlineStr"/>
    </row>
    <row r="959" ht="15" customHeight="1">
      <c r="A959" t="inlineStr">
        <is>
          <t>A 15461-2021</t>
        </is>
      </c>
      <c r="B959" s="1" t="n">
        <v>44285</v>
      </c>
      <c r="C959" s="1" t="n">
        <v>45822</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15894-2021</t>
        </is>
      </c>
      <c r="B960" s="1" t="n">
        <v>44286</v>
      </c>
      <c r="C960" s="1" t="n">
        <v>45822</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16700-2021</t>
        </is>
      </c>
      <c r="B961" s="1" t="n">
        <v>44293</v>
      </c>
      <c r="C961" s="1" t="n">
        <v>45822</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16799-2021</t>
        </is>
      </c>
      <c r="B962" s="1" t="n">
        <v>44293</v>
      </c>
      <c r="C962" s="1" t="n">
        <v>45822</v>
      </c>
      <c r="D962" t="inlineStr">
        <is>
          <t>VÄSTERNORRLANDS LÄN</t>
        </is>
      </c>
      <c r="E962" t="inlineStr">
        <is>
          <t>SOLLEFTEÅ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16905-2021</t>
        </is>
      </c>
      <c r="B963" s="1" t="n">
        <v>44294</v>
      </c>
      <c r="C963" s="1" t="n">
        <v>45822</v>
      </c>
      <c r="D963" t="inlineStr">
        <is>
          <t>VÄSTERNORRLANDS LÄN</t>
        </is>
      </c>
      <c r="E963" t="inlineStr">
        <is>
          <t>SOLLEFTEÅ</t>
        </is>
      </c>
      <c r="G963" t="n">
        <v>5</v>
      </c>
      <c r="H963" t="n">
        <v>0</v>
      </c>
      <c r="I963" t="n">
        <v>0</v>
      </c>
      <c r="J963" t="n">
        <v>0</v>
      </c>
      <c r="K963" t="n">
        <v>0</v>
      </c>
      <c r="L963" t="n">
        <v>0</v>
      </c>
      <c r="M963" t="n">
        <v>0</v>
      </c>
      <c r="N963" t="n">
        <v>0</v>
      </c>
      <c r="O963" t="n">
        <v>0</v>
      </c>
      <c r="P963" t="n">
        <v>0</v>
      </c>
      <c r="Q963" t="n">
        <v>0</v>
      </c>
      <c r="R963" s="2" t="inlineStr"/>
    </row>
    <row r="964" ht="15" customHeight="1">
      <c r="A964" t="inlineStr">
        <is>
          <t>A 17604-2021</t>
        </is>
      </c>
      <c r="B964" s="1" t="n">
        <v>44299</v>
      </c>
      <c r="C964" s="1" t="n">
        <v>45822</v>
      </c>
      <c r="D964" t="inlineStr">
        <is>
          <t>VÄSTERNORRLANDS LÄN</t>
        </is>
      </c>
      <c r="E964" t="inlineStr">
        <is>
          <t>SOLLEFTEÅ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18459-2021</t>
        </is>
      </c>
      <c r="B965" s="1" t="n">
        <v>44306</v>
      </c>
      <c r="C965" s="1" t="n">
        <v>45822</v>
      </c>
      <c r="D965" t="inlineStr">
        <is>
          <t>VÄSTERNORRLANDS LÄN</t>
        </is>
      </c>
      <c r="E965" t="inlineStr">
        <is>
          <t>SOLLEFTEÅ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18668-2021</t>
        </is>
      </c>
      <c r="B966" s="1" t="n">
        <v>44306</v>
      </c>
      <c r="C966" s="1" t="n">
        <v>45822</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18741-2021</t>
        </is>
      </c>
      <c r="B967" s="1" t="n">
        <v>44306</v>
      </c>
      <c r="C967" s="1" t="n">
        <v>45822</v>
      </c>
      <c r="D967" t="inlineStr">
        <is>
          <t>VÄSTERNORRLANDS LÄN</t>
        </is>
      </c>
      <c r="E967" t="inlineStr">
        <is>
          <t>SOLLEFTEÅ</t>
        </is>
      </c>
      <c r="F967" t="inlineStr">
        <is>
          <t>Kyrkan</t>
        </is>
      </c>
      <c r="G967" t="n">
        <v>4.8</v>
      </c>
      <c r="H967" t="n">
        <v>0</v>
      </c>
      <c r="I967" t="n">
        <v>0</v>
      </c>
      <c r="J967" t="n">
        <v>0</v>
      </c>
      <c r="K967" t="n">
        <v>0</v>
      </c>
      <c r="L967" t="n">
        <v>0</v>
      </c>
      <c r="M967" t="n">
        <v>0</v>
      </c>
      <c r="N967" t="n">
        <v>0</v>
      </c>
      <c r="O967" t="n">
        <v>0</v>
      </c>
      <c r="P967" t="n">
        <v>0</v>
      </c>
      <c r="Q967" t="n">
        <v>0</v>
      </c>
      <c r="R967" s="2" t="inlineStr"/>
    </row>
    <row r="968" ht="15" customHeight="1">
      <c r="A968" t="inlineStr">
        <is>
          <t>A 18662-2021</t>
        </is>
      </c>
      <c r="B968" s="1" t="n">
        <v>44306</v>
      </c>
      <c r="C968" s="1" t="n">
        <v>45822</v>
      </c>
      <c r="D968" t="inlineStr">
        <is>
          <t>VÄSTERNORRLANDS LÄN</t>
        </is>
      </c>
      <c r="E968" t="inlineStr">
        <is>
          <t>SOLLEFTEÅ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18766-2021</t>
        </is>
      </c>
      <c r="B969" s="1" t="n">
        <v>44307</v>
      </c>
      <c r="C969" s="1" t="n">
        <v>45822</v>
      </c>
      <c r="D969" t="inlineStr">
        <is>
          <t>VÄSTERNORRLANDS LÄN</t>
        </is>
      </c>
      <c r="E969" t="inlineStr">
        <is>
          <t>SOLLEFTEÅ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18761-2021</t>
        </is>
      </c>
      <c r="B970" s="1" t="n">
        <v>44307</v>
      </c>
      <c r="C970" s="1" t="n">
        <v>45822</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18873-2021</t>
        </is>
      </c>
      <c r="B971" s="1" t="n">
        <v>44308</v>
      </c>
      <c r="C971" s="1" t="n">
        <v>45822</v>
      </c>
      <c r="D971" t="inlineStr">
        <is>
          <t>VÄSTERNORRLANDS LÄN</t>
        </is>
      </c>
      <c r="E971" t="inlineStr">
        <is>
          <t>SOLLEFTEÅ</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18878-2021</t>
        </is>
      </c>
      <c r="B972" s="1" t="n">
        <v>44307</v>
      </c>
      <c r="C972" s="1" t="n">
        <v>45822</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18867-2021</t>
        </is>
      </c>
      <c r="B973" s="1" t="n">
        <v>44307</v>
      </c>
      <c r="C973" s="1" t="n">
        <v>45822</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18882-2021</t>
        </is>
      </c>
      <c r="B974" s="1" t="n">
        <v>44308</v>
      </c>
      <c r="C974" s="1" t="n">
        <v>45822</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18875-2021</t>
        </is>
      </c>
      <c r="B975" s="1" t="n">
        <v>44307</v>
      </c>
      <c r="C975" s="1" t="n">
        <v>45822</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18866-2021</t>
        </is>
      </c>
      <c r="B976" s="1" t="n">
        <v>44308</v>
      </c>
      <c r="C976" s="1" t="n">
        <v>45822</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18874-2021</t>
        </is>
      </c>
      <c r="B977" s="1" t="n">
        <v>44308</v>
      </c>
      <c r="C977" s="1" t="n">
        <v>45822</v>
      </c>
      <c r="D977" t="inlineStr">
        <is>
          <t>VÄSTERNORRLANDS LÄN</t>
        </is>
      </c>
      <c r="E977" t="inlineStr">
        <is>
          <t>SOLLEFTEÅ</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18879-2021</t>
        </is>
      </c>
      <c r="B978" s="1" t="n">
        <v>44307</v>
      </c>
      <c r="C978" s="1" t="n">
        <v>45822</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18868-2021</t>
        </is>
      </c>
      <c r="B979" s="1" t="n">
        <v>44307</v>
      </c>
      <c r="C979" s="1" t="n">
        <v>45822</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18877-2021</t>
        </is>
      </c>
      <c r="B980" s="1" t="n">
        <v>44308</v>
      </c>
      <c r="C980" s="1" t="n">
        <v>45822</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18889-2021</t>
        </is>
      </c>
      <c r="B981" s="1" t="n">
        <v>44308</v>
      </c>
      <c r="C981" s="1" t="n">
        <v>45822</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19200-2021</t>
        </is>
      </c>
      <c r="B982" s="1" t="n">
        <v>44309</v>
      </c>
      <c r="C982" s="1" t="n">
        <v>45822</v>
      </c>
      <c r="D982" t="inlineStr">
        <is>
          <t>VÄSTERNORRLANDS LÄN</t>
        </is>
      </c>
      <c r="E982" t="inlineStr">
        <is>
          <t>SOLLEFTEÅ</t>
        </is>
      </c>
      <c r="G982" t="n">
        <v>12.7</v>
      </c>
      <c r="H982" t="n">
        <v>0</v>
      </c>
      <c r="I982" t="n">
        <v>0</v>
      </c>
      <c r="J982" t="n">
        <v>0</v>
      </c>
      <c r="K982" t="n">
        <v>0</v>
      </c>
      <c r="L982" t="n">
        <v>0</v>
      </c>
      <c r="M982" t="n">
        <v>0</v>
      </c>
      <c r="N982" t="n">
        <v>0</v>
      </c>
      <c r="O982" t="n">
        <v>0</v>
      </c>
      <c r="P982" t="n">
        <v>0</v>
      </c>
      <c r="Q982" t="n">
        <v>0</v>
      </c>
      <c r="R982" s="2" t="inlineStr"/>
    </row>
    <row r="983" ht="15" customHeight="1">
      <c r="A983" t="inlineStr">
        <is>
          <t>A 19510-2021</t>
        </is>
      </c>
      <c r="B983" s="1" t="n">
        <v>44308</v>
      </c>
      <c r="C983" s="1" t="n">
        <v>45822</v>
      </c>
      <c r="D983" t="inlineStr">
        <is>
          <t>VÄSTERNORRLANDS LÄN</t>
        </is>
      </c>
      <c r="E983" t="inlineStr">
        <is>
          <t>SOLLEFTEÅ</t>
        </is>
      </c>
      <c r="F983" t="inlineStr">
        <is>
          <t>Kyrkan</t>
        </is>
      </c>
      <c r="G983" t="n">
        <v>19.6</v>
      </c>
      <c r="H983" t="n">
        <v>0</v>
      </c>
      <c r="I983" t="n">
        <v>0</v>
      </c>
      <c r="J983" t="n">
        <v>0</v>
      </c>
      <c r="K983" t="n">
        <v>0</v>
      </c>
      <c r="L983" t="n">
        <v>0</v>
      </c>
      <c r="M983" t="n">
        <v>0</v>
      </c>
      <c r="N983" t="n">
        <v>0</v>
      </c>
      <c r="O983" t="n">
        <v>0</v>
      </c>
      <c r="P983" t="n">
        <v>0</v>
      </c>
      <c r="Q983" t="n">
        <v>0</v>
      </c>
      <c r="R983" s="2" t="inlineStr"/>
    </row>
    <row r="984" ht="15" customHeight="1">
      <c r="A984" t="inlineStr">
        <is>
          <t>A 19220-2021</t>
        </is>
      </c>
      <c r="B984" s="1" t="n">
        <v>44309</v>
      </c>
      <c r="C984" s="1" t="n">
        <v>45822</v>
      </c>
      <c r="D984" t="inlineStr">
        <is>
          <t>VÄSTERNORRLANDS LÄN</t>
        </is>
      </c>
      <c r="E984" t="inlineStr">
        <is>
          <t>SOLLEFTEÅ</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19433-2021</t>
        </is>
      </c>
      <c r="B985" s="1" t="n">
        <v>44310</v>
      </c>
      <c r="C985" s="1" t="n">
        <v>45822</v>
      </c>
      <c r="D985" t="inlineStr">
        <is>
          <t>VÄSTERNORRLANDS LÄN</t>
        </is>
      </c>
      <c r="E985" t="inlineStr">
        <is>
          <t>SOLLEFTEÅ</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19412-2021</t>
        </is>
      </c>
      <c r="B986" s="1" t="n">
        <v>44310</v>
      </c>
      <c r="C986" s="1" t="n">
        <v>45822</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19435-2021</t>
        </is>
      </c>
      <c r="B987" s="1" t="n">
        <v>44310</v>
      </c>
      <c r="C987" s="1" t="n">
        <v>45822</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19516-2021</t>
        </is>
      </c>
      <c r="B988" s="1" t="n">
        <v>44309</v>
      </c>
      <c r="C988" s="1" t="n">
        <v>45822</v>
      </c>
      <c r="D988" t="inlineStr">
        <is>
          <t>VÄSTERNORRLANDS LÄN</t>
        </is>
      </c>
      <c r="E988" t="inlineStr">
        <is>
          <t>SOLLEFTEÅ</t>
        </is>
      </c>
      <c r="G988" t="n">
        <v>15.6</v>
      </c>
      <c r="H988" t="n">
        <v>0</v>
      </c>
      <c r="I988" t="n">
        <v>0</v>
      </c>
      <c r="J988" t="n">
        <v>0</v>
      </c>
      <c r="K988" t="n">
        <v>0</v>
      </c>
      <c r="L988" t="n">
        <v>0</v>
      </c>
      <c r="M988" t="n">
        <v>0</v>
      </c>
      <c r="N988" t="n">
        <v>0</v>
      </c>
      <c r="O988" t="n">
        <v>0</v>
      </c>
      <c r="P988" t="n">
        <v>0</v>
      </c>
      <c r="Q988" t="n">
        <v>0</v>
      </c>
      <c r="R988" s="2" t="inlineStr"/>
    </row>
    <row r="989" ht="15" customHeight="1">
      <c r="A989" t="inlineStr">
        <is>
          <t>A 19830-2021</t>
        </is>
      </c>
      <c r="B989" s="1" t="n">
        <v>44312</v>
      </c>
      <c r="C989" s="1" t="n">
        <v>45822</v>
      </c>
      <c r="D989" t="inlineStr">
        <is>
          <t>VÄSTERNORRLANDS LÄN</t>
        </is>
      </c>
      <c r="E989" t="inlineStr">
        <is>
          <t>SOLLEFTEÅ</t>
        </is>
      </c>
      <c r="G989" t="n">
        <v>1.9</v>
      </c>
      <c r="H989" t="n">
        <v>0</v>
      </c>
      <c r="I989" t="n">
        <v>0</v>
      </c>
      <c r="J989" t="n">
        <v>0</v>
      </c>
      <c r="K989" t="n">
        <v>0</v>
      </c>
      <c r="L989" t="n">
        <v>0</v>
      </c>
      <c r="M989" t="n">
        <v>0</v>
      </c>
      <c r="N989" t="n">
        <v>0</v>
      </c>
      <c r="O989" t="n">
        <v>0</v>
      </c>
      <c r="P989" t="n">
        <v>0</v>
      </c>
      <c r="Q989" t="n">
        <v>0</v>
      </c>
      <c r="R989" s="2" t="inlineStr"/>
    </row>
    <row r="990" ht="15" customHeight="1">
      <c r="A990" t="inlineStr">
        <is>
          <t>A 19637-2021</t>
        </is>
      </c>
      <c r="B990" s="1" t="n">
        <v>44312</v>
      </c>
      <c r="C990" s="1" t="n">
        <v>45822</v>
      </c>
      <c r="D990" t="inlineStr">
        <is>
          <t>VÄSTERNORRLANDS LÄN</t>
        </is>
      </c>
      <c r="E990" t="inlineStr">
        <is>
          <t>SOLLEFTEÅ</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21341-2021</t>
        </is>
      </c>
      <c r="B991" s="1" t="n">
        <v>44321</v>
      </c>
      <c r="C991" s="1" t="n">
        <v>45822</v>
      </c>
      <c r="D991" t="inlineStr">
        <is>
          <t>VÄSTERNORRLANDS LÄN</t>
        </is>
      </c>
      <c r="E991" t="inlineStr">
        <is>
          <t>SOLLEFTEÅ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21350-2021</t>
        </is>
      </c>
      <c r="B992" s="1" t="n">
        <v>44321</v>
      </c>
      <c r="C992" s="1" t="n">
        <v>45822</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21358-2021</t>
        </is>
      </c>
      <c r="B993" s="1" t="n">
        <v>44320</v>
      </c>
      <c r="C993" s="1" t="n">
        <v>45822</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21362-2021</t>
        </is>
      </c>
      <c r="B994" s="1" t="n">
        <v>44321</v>
      </c>
      <c r="C994" s="1" t="n">
        <v>45822</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21532-2021</t>
        </is>
      </c>
      <c r="B995" s="1" t="n">
        <v>44321</v>
      </c>
      <c r="C995" s="1" t="n">
        <v>45822</v>
      </c>
      <c r="D995" t="inlineStr">
        <is>
          <t>VÄSTERNORRLANDS LÄN</t>
        </is>
      </c>
      <c r="E995" t="inlineStr">
        <is>
          <t>SOLLEFTEÅ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21589-2021</t>
        </is>
      </c>
      <c r="B996" s="1" t="n">
        <v>44321</v>
      </c>
      <c r="C996" s="1" t="n">
        <v>45822</v>
      </c>
      <c r="D996" t="inlineStr">
        <is>
          <t>VÄSTERNORRLANDS LÄN</t>
        </is>
      </c>
      <c r="E996" t="inlineStr">
        <is>
          <t>SOLLEFTEÅ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21711-2021</t>
        </is>
      </c>
      <c r="B997" s="1" t="n">
        <v>44322</v>
      </c>
      <c r="C997" s="1" t="n">
        <v>45822</v>
      </c>
      <c r="D997" t="inlineStr">
        <is>
          <t>VÄSTERNORRLANDS LÄN</t>
        </is>
      </c>
      <c r="E997" t="inlineStr">
        <is>
          <t>SOLLEFTEÅ</t>
        </is>
      </c>
      <c r="F997" t="inlineStr">
        <is>
          <t>Kyrkan</t>
        </is>
      </c>
      <c r="G997" t="n">
        <v>22.2</v>
      </c>
      <c r="H997" t="n">
        <v>0</v>
      </c>
      <c r="I997" t="n">
        <v>0</v>
      </c>
      <c r="J997" t="n">
        <v>0</v>
      </c>
      <c r="K997" t="n">
        <v>0</v>
      </c>
      <c r="L997" t="n">
        <v>0</v>
      </c>
      <c r="M997" t="n">
        <v>0</v>
      </c>
      <c r="N997" t="n">
        <v>0</v>
      </c>
      <c r="O997" t="n">
        <v>0</v>
      </c>
      <c r="P997" t="n">
        <v>0</v>
      </c>
      <c r="Q997" t="n">
        <v>0</v>
      </c>
      <c r="R997" s="2" t="inlineStr"/>
    </row>
    <row r="998" ht="15" customHeight="1">
      <c r="A998" t="inlineStr">
        <is>
          <t>A 21924-2021</t>
        </is>
      </c>
      <c r="B998" s="1" t="n">
        <v>44323</v>
      </c>
      <c r="C998" s="1" t="n">
        <v>45822</v>
      </c>
      <c r="D998" t="inlineStr">
        <is>
          <t>VÄSTERNORRLANDS LÄN</t>
        </is>
      </c>
      <c r="E998" t="inlineStr">
        <is>
          <t>SOLLEFTEÅ</t>
        </is>
      </c>
      <c r="G998" t="n">
        <v>3.6</v>
      </c>
      <c r="H998" t="n">
        <v>0</v>
      </c>
      <c r="I998" t="n">
        <v>0</v>
      </c>
      <c r="J998" t="n">
        <v>0</v>
      </c>
      <c r="K998" t="n">
        <v>0</v>
      </c>
      <c r="L998" t="n">
        <v>0</v>
      </c>
      <c r="M998" t="n">
        <v>0</v>
      </c>
      <c r="N998" t="n">
        <v>0</v>
      </c>
      <c r="O998" t="n">
        <v>0</v>
      </c>
      <c r="P998" t="n">
        <v>0</v>
      </c>
      <c r="Q998" t="n">
        <v>0</v>
      </c>
      <c r="R998" s="2" t="inlineStr"/>
    </row>
    <row r="999" ht="15" customHeight="1">
      <c r="A999" t="inlineStr">
        <is>
          <t>A 22447-2021</t>
        </is>
      </c>
      <c r="B999" s="1" t="n">
        <v>44323</v>
      </c>
      <c r="C999" s="1" t="n">
        <v>45822</v>
      </c>
      <c r="D999" t="inlineStr">
        <is>
          <t>VÄSTERNORRLANDS LÄN</t>
        </is>
      </c>
      <c r="E999" t="inlineStr">
        <is>
          <t>SOLLEFTEÅ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22441-2021</t>
        </is>
      </c>
      <c r="B1000" s="1" t="n">
        <v>44323</v>
      </c>
      <c r="C1000" s="1" t="n">
        <v>45822</v>
      </c>
      <c r="D1000" t="inlineStr">
        <is>
          <t>VÄSTERNORRLANDS LÄN</t>
        </is>
      </c>
      <c r="E1000" t="inlineStr">
        <is>
          <t>SOLLEFTEÅ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22224-2021</t>
        </is>
      </c>
      <c r="B1001" s="1" t="n">
        <v>44326</v>
      </c>
      <c r="C1001" s="1" t="n">
        <v>45822</v>
      </c>
      <c r="D1001" t="inlineStr">
        <is>
          <t>VÄSTERNORRLANDS LÄN</t>
        </is>
      </c>
      <c r="E1001" t="inlineStr">
        <is>
          <t>SOLLEFTEÅ</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22934-2021</t>
        </is>
      </c>
      <c r="B1002" s="1" t="n">
        <v>44328</v>
      </c>
      <c r="C1002" s="1" t="n">
        <v>45822</v>
      </c>
      <c r="D1002" t="inlineStr">
        <is>
          <t>VÄSTERNORRLANDS LÄN</t>
        </is>
      </c>
      <c r="E1002" t="inlineStr">
        <is>
          <t>SOLLEFTEÅ</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23033-2021</t>
        </is>
      </c>
      <c r="B1003" s="1" t="n">
        <v>44329</v>
      </c>
      <c r="C1003" s="1" t="n">
        <v>45822</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23032-2021</t>
        </is>
      </c>
      <c r="B1004" s="1" t="n">
        <v>44329</v>
      </c>
      <c r="C1004" s="1" t="n">
        <v>45822</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23034-2021</t>
        </is>
      </c>
      <c r="B1005" s="1" t="n">
        <v>44329</v>
      </c>
      <c r="C1005" s="1" t="n">
        <v>45822</v>
      </c>
      <c r="D1005" t="inlineStr">
        <is>
          <t>VÄSTERNORRLANDS LÄN</t>
        </is>
      </c>
      <c r="E1005" t="inlineStr">
        <is>
          <t>SOLLEFTEÅ</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23030-2021</t>
        </is>
      </c>
      <c r="B1006" s="1" t="n">
        <v>44329</v>
      </c>
      <c r="C1006" s="1" t="n">
        <v>45822</v>
      </c>
      <c r="D1006" t="inlineStr">
        <is>
          <t>VÄSTERNORRLANDS LÄN</t>
        </is>
      </c>
      <c r="E1006" t="inlineStr">
        <is>
          <t>SOLLEFTEÅ</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23069-2021</t>
        </is>
      </c>
      <c r="B1007" s="1" t="n">
        <v>44330</v>
      </c>
      <c r="C1007" s="1" t="n">
        <v>45822</v>
      </c>
      <c r="D1007" t="inlineStr">
        <is>
          <t>VÄSTERNORRLANDS LÄN</t>
        </is>
      </c>
      <c r="E1007" t="inlineStr">
        <is>
          <t>SOLLEFTEÅ</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23394-2021</t>
        </is>
      </c>
      <c r="B1008" s="1" t="n">
        <v>44333</v>
      </c>
      <c r="C1008" s="1" t="n">
        <v>45822</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23639-2021</t>
        </is>
      </c>
      <c r="B1009" s="1" t="n">
        <v>44334</v>
      </c>
      <c r="C1009" s="1" t="n">
        <v>45822</v>
      </c>
      <c r="D1009" t="inlineStr">
        <is>
          <t>VÄSTERNORRLANDS LÄN</t>
        </is>
      </c>
      <c r="E1009" t="inlineStr">
        <is>
          <t>SOLLEFTEÅ</t>
        </is>
      </c>
      <c r="F1009" t="inlineStr">
        <is>
          <t>Kyrkan</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23689-2021</t>
        </is>
      </c>
      <c r="B1010" s="1" t="n">
        <v>44334</v>
      </c>
      <c r="C1010" s="1" t="n">
        <v>45822</v>
      </c>
      <c r="D1010" t="inlineStr">
        <is>
          <t>VÄSTERNORRLANDS LÄN</t>
        </is>
      </c>
      <c r="E1010" t="inlineStr">
        <is>
          <t>SOLLEFTEÅ</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23770-2021</t>
        </is>
      </c>
      <c r="B1011" s="1" t="n">
        <v>44335</v>
      </c>
      <c r="C1011" s="1" t="n">
        <v>45822</v>
      </c>
      <c r="D1011" t="inlineStr">
        <is>
          <t>VÄSTERNORRLANDS LÄN</t>
        </is>
      </c>
      <c r="E1011" t="inlineStr">
        <is>
          <t>SOLLEFTEÅ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23753-2021</t>
        </is>
      </c>
      <c r="B1012" s="1" t="n">
        <v>44334</v>
      </c>
      <c r="C1012" s="1" t="n">
        <v>45822</v>
      </c>
      <c r="D1012" t="inlineStr">
        <is>
          <t>VÄSTERNORRLANDS LÄN</t>
        </is>
      </c>
      <c r="E1012" t="inlineStr">
        <is>
          <t>SOLLEFTEÅ</t>
        </is>
      </c>
      <c r="G1012" t="n">
        <v>14.8</v>
      </c>
      <c r="H1012" t="n">
        <v>0</v>
      </c>
      <c r="I1012" t="n">
        <v>0</v>
      </c>
      <c r="J1012" t="n">
        <v>0</v>
      </c>
      <c r="K1012" t="n">
        <v>0</v>
      </c>
      <c r="L1012" t="n">
        <v>0</v>
      </c>
      <c r="M1012" t="n">
        <v>0</v>
      </c>
      <c r="N1012" t="n">
        <v>0</v>
      </c>
      <c r="O1012" t="n">
        <v>0</v>
      </c>
      <c r="P1012" t="n">
        <v>0</v>
      </c>
      <c r="Q1012" t="n">
        <v>0</v>
      </c>
      <c r="R1012" s="2" t="inlineStr"/>
    </row>
    <row r="1013" ht="15" customHeight="1">
      <c r="A1013" t="inlineStr">
        <is>
          <t>A 23814-2021</t>
        </is>
      </c>
      <c r="B1013" s="1" t="n">
        <v>44335</v>
      </c>
      <c r="C1013" s="1" t="n">
        <v>45822</v>
      </c>
      <c r="D1013" t="inlineStr">
        <is>
          <t>VÄSTERNORRLANDS LÄN</t>
        </is>
      </c>
      <c r="E1013" t="inlineStr">
        <is>
          <t>SOLLEFTEÅ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24243-2021</t>
        </is>
      </c>
      <c r="B1014" s="1" t="n">
        <v>44336</v>
      </c>
      <c r="C1014" s="1" t="n">
        <v>45822</v>
      </c>
      <c r="D1014" t="inlineStr">
        <is>
          <t>VÄSTERNORRLANDS LÄN</t>
        </is>
      </c>
      <c r="E1014" t="inlineStr">
        <is>
          <t>SOLLEFTEÅ</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24244-2021</t>
        </is>
      </c>
      <c r="B1015" s="1" t="n">
        <v>44337</v>
      </c>
      <c r="C1015" s="1" t="n">
        <v>45822</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24720-2021</t>
        </is>
      </c>
      <c r="B1016" s="1" t="n">
        <v>44340</v>
      </c>
      <c r="C1016" s="1" t="n">
        <v>45822</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24731-2021</t>
        </is>
      </c>
      <c r="B1017" s="1" t="n">
        <v>44340</v>
      </c>
      <c r="C1017" s="1" t="n">
        <v>45822</v>
      </c>
      <c r="D1017" t="inlineStr">
        <is>
          <t>VÄSTERNORRLANDS LÄN</t>
        </is>
      </c>
      <c r="E1017" t="inlineStr">
        <is>
          <t>SOLLEFTEÅ</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25183-2021</t>
        </is>
      </c>
      <c r="B1018" s="1" t="n">
        <v>44341</v>
      </c>
      <c r="C1018" s="1" t="n">
        <v>45822</v>
      </c>
      <c r="D1018" t="inlineStr">
        <is>
          <t>VÄSTERNORRLANDS LÄN</t>
        </is>
      </c>
      <c r="E1018" t="inlineStr">
        <is>
          <t>SOLLEFTEÅ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25156-2021</t>
        </is>
      </c>
      <c r="B1019" s="1" t="n">
        <v>44341</v>
      </c>
      <c r="C1019" s="1" t="n">
        <v>45822</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25152-2021</t>
        </is>
      </c>
      <c r="B1020" s="1" t="n">
        <v>44341</v>
      </c>
      <c r="C1020" s="1" t="n">
        <v>45822</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25329-2021</t>
        </is>
      </c>
      <c r="B1021" s="1" t="n">
        <v>44342</v>
      </c>
      <c r="C1021" s="1" t="n">
        <v>45822</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25345-2021</t>
        </is>
      </c>
      <c r="B1022" s="1" t="n">
        <v>44342</v>
      </c>
      <c r="C1022" s="1" t="n">
        <v>45822</v>
      </c>
      <c r="D1022" t="inlineStr">
        <is>
          <t>VÄSTERNORRLANDS LÄN</t>
        </is>
      </c>
      <c r="E1022" t="inlineStr">
        <is>
          <t>SOLLEFTEÅ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25522-2021</t>
        </is>
      </c>
      <c r="B1023" s="1" t="n">
        <v>44342</v>
      </c>
      <c r="C1023" s="1" t="n">
        <v>45822</v>
      </c>
      <c r="D1023" t="inlineStr">
        <is>
          <t>VÄSTERNORRLANDS LÄN</t>
        </is>
      </c>
      <c r="E1023" t="inlineStr">
        <is>
          <t>SOLLEFTEÅ</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25999-2021</t>
        </is>
      </c>
      <c r="B1024" s="1" t="n">
        <v>44344</v>
      </c>
      <c r="C1024" s="1" t="n">
        <v>45822</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25877-2021</t>
        </is>
      </c>
      <c r="B1025" s="1" t="n">
        <v>44344</v>
      </c>
      <c r="C1025" s="1" t="n">
        <v>45822</v>
      </c>
      <c r="D1025" t="inlineStr">
        <is>
          <t>VÄSTERNORRLANDS LÄN</t>
        </is>
      </c>
      <c r="E1025" t="inlineStr">
        <is>
          <t>SOLLEFTEÅ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25989-2021</t>
        </is>
      </c>
      <c r="B1026" s="1" t="n">
        <v>44344</v>
      </c>
      <c r="C1026" s="1" t="n">
        <v>45822</v>
      </c>
      <c r="D1026" t="inlineStr">
        <is>
          <t>VÄSTERNORRLANDS LÄN</t>
        </is>
      </c>
      <c r="E1026" t="inlineStr">
        <is>
          <t>SOLLEFTEÅ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26406-2021</t>
        </is>
      </c>
      <c r="B1027" s="1" t="n">
        <v>44347</v>
      </c>
      <c r="C1027" s="1" t="n">
        <v>45822</v>
      </c>
      <c r="D1027" t="inlineStr">
        <is>
          <t>VÄSTERNORRLANDS LÄN</t>
        </is>
      </c>
      <c r="E1027" t="inlineStr">
        <is>
          <t>SOLLEFTEÅ</t>
        </is>
      </c>
      <c r="F1027" t="inlineStr">
        <is>
          <t>SCA</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26401-2021</t>
        </is>
      </c>
      <c r="B1028" s="1" t="n">
        <v>44348</v>
      </c>
      <c r="C1028" s="1" t="n">
        <v>45822</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26498-2021</t>
        </is>
      </c>
      <c r="B1029" s="1" t="n">
        <v>44348</v>
      </c>
      <c r="C1029" s="1" t="n">
        <v>45822</v>
      </c>
      <c r="D1029" t="inlineStr">
        <is>
          <t>VÄSTERNORRLANDS LÄN</t>
        </is>
      </c>
      <c r="E1029" t="inlineStr">
        <is>
          <t>SOLLEFTEÅ</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26559-2021</t>
        </is>
      </c>
      <c r="B1030" s="1" t="n">
        <v>44348</v>
      </c>
      <c r="C1030" s="1" t="n">
        <v>45822</v>
      </c>
      <c r="D1030" t="inlineStr">
        <is>
          <t>VÄSTERNORRLANDS LÄN</t>
        </is>
      </c>
      <c r="E1030" t="inlineStr">
        <is>
          <t>SOLLEFTEÅ</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26669-2021</t>
        </is>
      </c>
      <c r="B1031" s="1" t="n">
        <v>44349</v>
      </c>
      <c r="C1031" s="1" t="n">
        <v>45822</v>
      </c>
      <c r="D1031" t="inlineStr">
        <is>
          <t>VÄSTERNORRLANDS LÄN</t>
        </is>
      </c>
      <c r="E1031" t="inlineStr">
        <is>
          <t>SOLLEFTEÅ</t>
        </is>
      </c>
      <c r="F1031" t="inlineStr">
        <is>
          <t>SCA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27809-2021</t>
        </is>
      </c>
      <c r="B1032" s="1" t="n">
        <v>44354</v>
      </c>
      <c r="C1032" s="1" t="n">
        <v>45822</v>
      </c>
      <c r="D1032" t="inlineStr">
        <is>
          <t>VÄSTERNORRLANDS LÄN</t>
        </is>
      </c>
      <c r="E1032" t="inlineStr">
        <is>
          <t>SOLLEFTEÅ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27972-2021</t>
        </is>
      </c>
      <c r="B1033" s="1" t="n">
        <v>44355</v>
      </c>
      <c r="C1033" s="1" t="n">
        <v>45822</v>
      </c>
      <c r="D1033" t="inlineStr">
        <is>
          <t>VÄSTERNORRLANDS LÄN</t>
        </is>
      </c>
      <c r="E1033" t="inlineStr">
        <is>
          <t>SOLLEFTEÅ</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28288-2021</t>
        </is>
      </c>
      <c r="B1034" s="1" t="n">
        <v>44355</v>
      </c>
      <c r="C1034" s="1" t="n">
        <v>45822</v>
      </c>
      <c r="D1034" t="inlineStr">
        <is>
          <t>VÄSTERNORRLANDS LÄN</t>
        </is>
      </c>
      <c r="E1034" t="inlineStr">
        <is>
          <t>SOLLEFTEÅ</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28615-2021</t>
        </is>
      </c>
      <c r="B1035" s="1" t="n">
        <v>44357</v>
      </c>
      <c r="C1035" s="1" t="n">
        <v>45822</v>
      </c>
      <c r="D1035" t="inlineStr">
        <is>
          <t>VÄSTERNORRLANDS LÄN</t>
        </is>
      </c>
      <c r="E1035" t="inlineStr">
        <is>
          <t>SOLLEFTEÅ</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28939-2021</t>
        </is>
      </c>
      <c r="B1036" s="1" t="n">
        <v>44358</v>
      </c>
      <c r="C1036" s="1" t="n">
        <v>45822</v>
      </c>
      <c r="D1036" t="inlineStr">
        <is>
          <t>VÄSTERNORRLANDS LÄN</t>
        </is>
      </c>
      <c r="E1036" t="inlineStr">
        <is>
          <t>SOLLEFTEÅ</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29623-2021</t>
        </is>
      </c>
      <c r="B1037" s="1" t="n">
        <v>44361</v>
      </c>
      <c r="C1037" s="1" t="n">
        <v>45822</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29602-2021</t>
        </is>
      </c>
      <c r="B1038" s="1" t="n">
        <v>44362</v>
      </c>
      <c r="C1038" s="1" t="n">
        <v>45822</v>
      </c>
      <c r="D1038" t="inlineStr">
        <is>
          <t>VÄSTERNORRLANDS LÄN</t>
        </is>
      </c>
      <c r="E1038" t="inlineStr">
        <is>
          <t>SOLLEFTEÅ</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29829-2021</t>
        </is>
      </c>
      <c r="B1039" s="1" t="n">
        <v>44362</v>
      </c>
      <c r="C1039" s="1" t="n">
        <v>45822</v>
      </c>
      <c r="D1039" t="inlineStr">
        <is>
          <t>VÄSTERNORRLANDS LÄN</t>
        </is>
      </c>
      <c r="E1039" t="inlineStr">
        <is>
          <t>SOLLEFTEÅ</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30692-2021</t>
        </is>
      </c>
      <c r="B1040" s="1" t="n">
        <v>44365</v>
      </c>
      <c r="C1040" s="1" t="n">
        <v>45822</v>
      </c>
      <c r="D1040" t="inlineStr">
        <is>
          <t>VÄSTERNORRLANDS LÄN</t>
        </is>
      </c>
      <c r="E1040" t="inlineStr">
        <is>
          <t>SOLLEFTEÅ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31600-2021</t>
        </is>
      </c>
      <c r="B1041" s="1" t="n">
        <v>44369</v>
      </c>
      <c r="C1041" s="1" t="n">
        <v>45822</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31737-2021</t>
        </is>
      </c>
      <c r="B1042" s="1" t="n">
        <v>44370</v>
      </c>
      <c r="C1042" s="1" t="n">
        <v>45822</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32091-2021</t>
        </is>
      </c>
      <c r="B1043" s="1" t="n">
        <v>44370</v>
      </c>
      <c r="C1043" s="1" t="n">
        <v>45822</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33207-2021</t>
        </is>
      </c>
      <c r="B1044" s="1" t="n">
        <v>44376</v>
      </c>
      <c r="C1044" s="1" t="n">
        <v>45822</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33214-2021</t>
        </is>
      </c>
      <c r="B1045" s="1" t="n">
        <v>44377</v>
      </c>
      <c r="C1045" s="1" t="n">
        <v>45822</v>
      </c>
      <c r="D1045" t="inlineStr">
        <is>
          <t>VÄSTERNORRLANDS LÄN</t>
        </is>
      </c>
      <c r="E1045" t="inlineStr">
        <is>
          <t>SOLLEFTEÅ</t>
        </is>
      </c>
      <c r="F1045" t="inlineStr">
        <is>
          <t>SCA</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33895-2021</t>
        </is>
      </c>
      <c r="B1046" s="1" t="n">
        <v>44378</v>
      </c>
      <c r="C1046" s="1" t="n">
        <v>45822</v>
      </c>
      <c r="D1046" t="inlineStr">
        <is>
          <t>VÄSTERNORRLANDS LÄN</t>
        </is>
      </c>
      <c r="E1046" t="inlineStr">
        <is>
          <t>SOLLEFTEÅ</t>
        </is>
      </c>
      <c r="F1046" t="inlineStr">
        <is>
          <t>Kyrkan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34396-2021</t>
        </is>
      </c>
      <c r="B1047" s="1" t="n">
        <v>44379</v>
      </c>
      <c r="C1047" s="1" t="n">
        <v>45822</v>
      </c>
      <c r="D1047" t="inlineStr">
        <is>
          <t>VÄSTERNORRLANDS LÄN</t>
        </is>
      </c>
      <c r="E1047" t="inlineStr">
        <is>
          <t>SOLLEFTEÅ</t>
        </is>
      </c>
      <c r="F1047" t="inlineStr">
        <is>
          <t>SCA</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34395-2021</t>
        </is>
      </c>
      <c r="B1048" s="1" t="n">
        <v>44379</v>
      </c>
      <c r="C1048" s="1" t="n">
        <v>45822</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34397-2021</t>
        </is>
      </c>
      <c r="B1049" s="1" t="n">
        <v>44379</v>
      </c>
      <c r="C1049" s="1" t="n">
        <v>45822</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34475-2021</t>
        </is>
      </c>
      <c r="B1050" s="1" t="n">
        <v>44381</v>
      </c>
      <c r="C1050" s="1" t="n">
        <v>45822</v>
      </c>
      <c r="D1050" t="inlineStr">
        <is>
          <t>VÄSTERNORRLANDS LÄN</t>
        </is>
      </c>
      <c r="E1050" t="inlineStr">
        <is>
          <t>SOLLEFTEÅ</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34473-2021</t>
        </is>
      </c>
      <c r="B1051" s="1" t="n">
        <v>44382</v>
      </c>
      <c r="C1051" s="1" t="n">
        <v>45822</v>
      </c>
      <c r="D1051" t="inlineStr">
        <is>
          <t>VÄSTERNORRLANDS LÄN</t>
        </is>
      </c>
      <c r="E1051" t="inlineStr">
        <is>
          <t>SOLLEFTEÅ</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35333-2021</t>
        </is>
      </c>
      <c r="B1052" s="1" t="n">
        <v>44384</v>
      </c>
      <c r="C1052" s="1" t="n">
        <v>45822</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35358-2021</t>
        </is>
      </c>
      <c r="B1053" s="1" t="n">
        <v>44385</v>
      </c>
      <c r="C1053" s="1" t="n">
        <v>45822</v>
      </c>
      <c r="D1053" t="inlineStr">
        <is>
          <t>VÄSTERNORRLANDS LÄN</t>
        </is>
      </c>
      <c r="E1053" t="inlineStr">
        <is>
          <t>SOLLEFTEÅ</t>
        </is>
      </c>
      <c r="F1053" t="inlineStr">
        <is>
          <t>SCA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35574-2021</t>
        </is>
      </c>
      <c r="B1054" s="1" t="n">
        <v>44386</v>
      </c>
      <c r="C1054" s="1" t="n">
        <v>45822</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35862-2021</t>
        </is>
      </c>
      <c r="B1055" s="1" t="n">
        <v>44386</v>
      </c>
      <c r="C1055" s="1" t="n">
        <v>45822</v>
      </c>
      <c r="D1055" t="inlineStr">
        <is>
          <t>VÄSTERNORRLANDS LÄN</t>
        </is>
      </c>
      <c r="E1055" t="inlineStr">
        <is>
          <t>SOLLEFTEÅ</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36447-2021</t>
        </is>
      </c>
      <c r="B1056" s="1" t="n">
        <v>44390</v>
      </c>
      <c r="C1056" s="1" t="n">
        <v>45822</v>
      </c>
      <c r="D1056" t="inlineStr">
        <is>
          <t>VÄSTERNORRLANDS LÄN</t>
        </is>
      </c>
      <c r="E1056" t="inlineStr">
        <is>
          <t>SOLLEFTEÅ</t>
        </is>
      </c>
      <c r="F1056" t="inlineStr">
        <is>
          <t>SCA</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36448-2021</t>
        </is>
      </c>
      <c r="B1057" s="1" t="n">
        <v>44390</v>
      </c>
      <c r="C1057" s="1" t="n">
        <v>45822</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36579-2021</t>
        </is>
      </c>
      <c r="B1058" s="1" t="n">
        <v>44391</v>
      </c>
      <c r="C1058" s="1" t="n">
        <v>45822</v>
      </c>
      <c r="D1058" t="inlineStr">
        <is>
          <t>VÄSTERNORRLANDS LÄN</t>
        </is>
      </c>
      <c r="E1058" t="inlineStr">
        <is>
          <t>SOLLEFTEÅ</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36816-2021</t>
        </is>
      </c>
      <c r="B1059" s="1" t="n">
        <v>44393</v>
      </c>
      <c r="C1059" s="1" t="n">
        <v>45822</v>
      </c>
      <c r="D1059" t="inlineStr">
        <is>
          <t>VÄSTERNORRLANDS LÄN</t>
        </is>
      </c>
      <c r="E1059" t="inlineStr">
        <is>
          <t>SOLLEFTEÅ</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36815-2021</t>
        </is>
      </c>
      <c r="B1060" s="1" t="n">
        <v>44393</v>
      </c>
      <c r="C1060" s="1" t="n">
        <v>45822</v>
      </c>
      <c r="D1060" t="inlineStr">
        <is>
          <t>VÄSTERNORRLANDS LÄN</t>
        </is>
      </c>
      <c r="E1060" t="inlineStr">
        <is>
          <t>SOLLEFTEÅ</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37041-2021</t>
        </is>
      </c>
      <c r="B1061" s="1" t="n">
        <v>44394</v>
      </c>
      <c r="C1061" s="1" t="n">
        <v>45822</v>
      </c>
      <c r="D1061" t="inlineStr">
        <is>
          <t>VÄSTERNORRLANDS LÄN</t>
        </is>
      </c>
      <c r="E1061" t="inlineStr">
        <is>
          <t>SOLLEFTEÅ</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37042-2021</t>
        </is>
      </c>
      <c r="B1062" s="1" t="n">
        <v>44394</v>
      </c>
      <c r="C1062" s="1" t="n">
        <v>45822</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37369-2021</t>
        </is>
      </c>
      <c r="B1063" s="1" t="n">
        <v>44397</v>
      </c>
      <c r="C1063" s="1" t="n">
        <v>45822</v>
      </c>
      <c r="D1063" t="inlineStr">
        <is>
          <t>VÄSTERNORRLANDS LÄN</t>
        </is>
      </c>
      <c r="E1063" t="inlineStr">
        <is>
          <t>SOLLEFTEÅ</t>
        </is>
      </c>
      <c r="F1063" t="inlineStr">
        <is>
          <t>SCA</t>
        </is>
      </c>
      <c r="G1063" t="n">
        <v>20.3</v>
      </c>
      <c r="H1063" t="n">
        <v>0</v>
      </c>
      <c r="I1063" t="n">
        <v>0</v>
      </c>
      <c r="J1063" t="n">
        <v>0</v>
      </c>
      <c r="K1063" t="n">
        <v>0</v>
      </c>
      <c r="L1063" t="n">
        <v>0</v>
      </c>
      <c r="M1063" t="n">
        <v>0</v>
      </c>
      <c r="N1063" t="n">
        <v>0</v>
      </c>
      <c r="O1063" t="n">
        <v>0</v>
      </c>
      <c r="P1063" t="n">
        <v>0</v>
      </c>
      <c r="Q1063" t="n">
        <v>0</v>
      </c>
      <c r="R1063" s="2" t="inlineStr"/>
    </row>
    <row r="1064" ht="15" customHeight="1">
      <c r="A1064" t="inlineStr">
        <is>
          <t>A 37639-2021</t>
        </is>
      </c>
      <c r="B1064" s="1" t="n">
        <v>44400</v>
      </c>
      <c r="C1064" s="1" t="n">
        <v>45822</v>
      </c>
      <c r="D1064" t="inlineStr">
        <is>
          <t>VÄSTERNORRLANDS LÄN</t>
        </is>
      </c>
      <c r="E1064" t="inlineStr">
        <is>
          <t>SOLLEFTEÅ</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37648-2021</t>
        </is>
      </c>
      <c r="B1065" s="1" t="n">
        <v>44400</v>
      </c>
      <c r="C1065" s="1" t="n">
        <v>45822</v>
      </c>
      <c r="D1065" t="inlineStr">
        <is>
          <t>VÄSTERNORRLANDS LÄN</t>
        </is>
      </c>
      <c r="E1065" t="inlineStr">
        <is>
          <t>SOLLEFTEÅ</t>
        </is>
      </c>
      <c r="G1065" t="n">
        <v>33.6</v>
      </c>
      <c r="H1065" t="n">
        <v>0</v>
      </c>
      <c r="I1065" t="n">
        <v>0</v>
      </c>
      <c r="J1065" t="n">
        <v>0</v>
      </c>
      <c r="K1065" t="n">
        <v>0</v>
      </c>
      <c r="L1065" t="n">
        <v>0</v>
      </c>
      <c r="M1065" t="n">
        <v>0</v>
      </c>
      <c r="N1065" t="n">
        <v>0</v>
      </c>
      <c r="O1065" t="n">
        <v>0</v>
      </c>
      <c r="P1065" t="n">
        <v>0</v>
      </c>
      <c r="Q1065" t="n">
        <v>0</v>
      </c>
      <c r="R1065" s="2" t="inlineStr"/>
    </row>
    <row r="1066" ht="15" customHeight="1">
      <c r="A1066" t="inlineStr">
        <is>
          <t>A 37634-2021</t>
        </is>
      </c>
      <c r="B1066" s="1" t="n">
        <v>44400</v>
      </c>
      <c r="C1066" s="1" t="n">
        <v>45822</v>
      </c>
      <c r="D1066" t="inlineStr">
        <is>
          <t>VÄSTERNORRLANDS LÄN</t>
        </is>
      </c>
      <c r="E1066" t="inlineStr">
        <is>
          <t>SOLLEFTEÅ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38283-2021</t>
        </is>
      </c>
      <c r="B1067" s="1" t="n">
        <v>44405</v>
      </c>
      <c r="C1067" s="1" t="n">
        <v>45822</v>
      </c>
      <c r="D1067" t="inlineStr">
        <is>
          <t>VÄSTERNORRLANDS LÄN</t>
        </is>
      </c>
      <c r="E1067" t="inlineStr">
        <is>
          <t>SOLLEFTEÅ</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39334-2021</t>
        </is>
      </c>
      <c r="B1068" s="1" t="n">
        <v>44414</v>
      </c>
      <c r="C1068" s="1" t="n">
        <v>45822</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39594-2021</t>
        </is>
      </c>
      <c r="B1069" s="1" t="n">
        <v>44413</v>
      </c>
      <c r="C1069" s="1" t="n">
        <v>45822</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39230-2021</t>
        </is>
      </c>
      <c r="B1070" s="1" t="n">
        <v>44413</v>
      </c>
      <c r="C1070" s="1" t="n">
        <v>45822</v>
      </c>
      <c r="D1070" t="inlineStr">
        <is>
          <t>VÄSTERNORRLANDS LÄN</t>
        </is>
      </c>
      <c r="E1070" t="inlineStr">
        <is>
          <t>SOLLEFTEÅ</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39504-2021</t>
        </is>
      </c>
      <c r="B1071" s="1" t="n">
        <v>44415</v>
      </c>
      <c r="C1071" s="1" t="n">
        <v>45822</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40539-2021</t>
        </is>
      </c>
      <c r="B1072" s="1" t="n">
        <v>44420</v>
      </c>
      <c r="C1072" s="1" t="n">
        <v>45822</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41334-2021</t>
        </is>
      </c>
      <c r="B1073" s="1" t="n">
        <v>44424</v>
      </c>
      <c r="C1073" s="1" t="n">
        <v>45822</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42219-2021</t>
        </is>
      </c>
      <c r="B1074" s="1" t="n">
        <v>44426</v>
      </c>
      <c r="C1074" s="1" t="n">
        <v>45822</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42231-2021</t>
        </is>
      </c>
      <c r="B1075" s="1" t="n">
        <v>44426</v>
      </c>
      <c r="C1075" s="1" t="n">
        <v>45822</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42228-2021</t>
        </is>
      </c>
      <c r="B1076" s="1" t="n">
        <v>44426</v>
      </c>
      <c r="C1076" s="1" t="n">
        <v>45822</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42229-2021</t>
        </is>
      </c>
      <c r="B1077" s="1" t="n">
        <v>44427</v>
      </c>
      <c r="C1077" s="1" t="n">
        <v>45822</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42531-2021</t>
        </is>
      </c>
      <c r="B1078" s="1" t="n">
        <v>44428</v>
      </c>
      <c r="C1078" s="1" t="n">
        <v>45822</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43220-2021</t>
        </is>
      </c>
      <c r="B1079" s="1" t="n">
        <v>44432</v>
      </c>
      <c r="C1079" s="1" t="n">
        <v>45822</v>
      </c>
      <c r="D1079" t="inlineStr">
        <is>
          <t>VÄSTERNORRLANDS LÄN</t>
        </is>
      </c>
      <c r="E1079" t="inlineStr">
        <is>
          <t>SOLLEFTEÅ</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43525-2021</t>
        </is>
      </c>
      <c r="B1080" s="1" t="n">
        <v>44433</v>
      </c>
      <c r="C1080" s="1" t="n">
        <v>45822</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44592-2021</t>
        </is>
      </c>
      <c r="B1081" s="1" t="n">
        <v>44435</v>
      </c>
      <c r="C1081" s="1" t="n">
        <v>45822</v>
      </c>
      <c r="D1081" t="inlineStr">
        <is>
          <t>VÄSTERNORRLANDS LÄN</t>
        </is>
      </c>
      <c r="E1081" t="inlineStr">
        <is>
          <t>SOLLEFTEÅ</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44587-2021</t>
        </is>
      </c>
      <c r="B1082" s="1" t="n">
        <v>44435</v>
      </c>
      <c r="C1082" s="1" t="n">
        <v>45822</v>
      </c>
      <c r="D1082" t="inlineStr">
        <is>
          <t>VÄSTERNORRLANDS LÄN</t>
        </is>
      </c>
      <c r="E1082" t="inlineStr">
        <is>
          <t>SOLLEFTEÅ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45187-2021</t>
        </is>
      </c>
      <c r="B1083" s="1" t="n">
        <v>44439</v>
      </c>
      <c r="C1083" s="1" t="n">
        <v>45822</v>
      </c>
      <c r="D1083" t="inlineStr">
        <is>
          <t>VÄSTERNORRLANDS LÄN</t>
        </is>
      </c>
      <c r="E1083" t="inlineStr">
        <is>
          <t>SOLLEFTEÅ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45105-2021</t>
        </is>
      </c>
      <c r="B1084" s="1" t="n">
        <v>44439</v>
      </c>
      <c r="C1084" s="1" t="n">
        <v>45822</v>
      </c>
      <c r="D1084" t="inlineStr">
        <is>
          <t>VÄSTERNORRLANDS LÄN</t>
        </is>
      </c>
      <c r="E1084" t="inlineStr">
        <is>
          <t>SOLLEFTEÅ</t>
        </is>
      </c>
      <c r="F1084" t="inlineStr">
        <is>
          <t>Kommuner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46049-2021</t>
        </is>
      </c>
      <c r="B1085" s="1" t="n">
        <v>44442</v>
      </c>
      <c r="C1085" s="1" t="n">
        <v>45822</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46058-2021</t>
        </is>
      </c>
      <c r="B1086" s="1" t="n">
        <v>44442</v>
      </c>
      <c r="C1086" s="1" t="n">
        <v>45822</v>
      </c>
      <c r="D1086" t="inlineStr">
        <is>
          <t>VÄSTERNORRLANDS LÄN</t>
        </is>
      </c>
      <c r="E1086" t="inlineStr">
        <is>
          <t>SOLLEFTEÅ</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47643-2021</t>
        </is>
      </c>
      <c r="B1087" s="1" t="n">
        <v>44448</v>
      </c>
      <c r="C1087" s="1" t="n">
        <v>45822</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47675-2021</t>
        </is>
      </c>
      <c r="B1088" s="1" t="n">
        <v>44448</v>
      </c>
      <c r="C1088" s="1" t="n">
        <v>45822</v>
      </c>
      <c r="D1088" t="inlineStr">
        <is>
          <t>VÄSTERNORRLANDS LÄN</t>
        </is>
      </c>
      <c r="E1088" t="inlineStr">
        <is>
          <t>SOLLEFTEÅ</t>
        </is>
      </c>
      <c r="F1088" t="inlineStr">
        <is>
          <t>Holmen skog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47626-2021</t>
        </is>
      </c>
      <c r="B1089" s="1" t="n">
        <v>44448</v>
      </c>
      <c r="C1089" s="1" t="n">
        <v>45822</v>
      </c>
      <c r="D1089" t="inlineStr">
        <is>
          <t>VÄSTERNORRLANDS LÄN</t>
        </is>
      </c>
      <c r="E1089" t="inlineStr">
        <is>
          <t>SOLLEFTEÅ</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47696-2021</t>
        </is>
      </c>
      <c r="B1090" s="1" t="n">
        <v>44448</v>
      </c>
      <c r="C1090" s="1" t="n">
        <v>45822</v>
      </c>
      <c r="D1090" t="inlineStr">
        <is>
          <t>VÄSTERNORRLANDS LÄN</t>
        </is>
      </c>
      <c r="E1090" t="inlineStr">
        <is>
          <t>SOLLEFTEÅ</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47681-2021</t>
        </is>
      </c>
      <c r="B1091" s="1" t="n">
        <v>44448</v>
      </c>
      <c r="C1091" s="1" t="n">
        <v>45822</v>
      </c>
      <c r="D1091" t="inlineStr">
        <is>
          <t>VÄSTERNORRLANDS LÄN</t>
        </is>
      </c>
      <c r="E1091" t="inlineStr">
        <is>
          <t>SOLLEFTEÅ</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48555-2021</t>
        </is>
      </c>
      <c r="B1092" s="1" t="n">
        <v>44452</v>
      </c>
      <c r="C1092" s="1" t="n">
        <v>45822</v>
      </c>
      <c r="D1092" t="inlineStr">
        <is>
          <t>VÄSTERNORRLANDS LÄN</t>
        </is>
      </c>
      <c r="E1092" t="inlineStr">
        <is>
          <t>SOLLEFTEÅ</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48578-2021</t>
        </is>
      </c>
      <c r="B1093" s="1" t="n">
        <v>44452</v>
      </c>
      <c r="C1093" s="1" t="n">
        <v>45822</v>
      </c>
      <c r="D1093" t="inlineStr">
        <is>
          <t>VÄSTERNORRLANDS LÄN</t>
        </is>
      </c>
      <c r="E1093" t="inlineStr">
        <is>
          <t>SOLLEFTEÅ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49160-2021</t>
        </is>
      </c>
      <c r="B1094" s="1" t="n">
        <v>44454</v>
      </c>
      <c r="C1094" s="1" t="n">
        <v>45822</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49492-2021</t>
        </is>
      </c>
      <c r="B1095" s="1" t="n">
        <v>44455</v>
      </c>
      <c r="C1095" s="1" t="n">
        <v>45822</v>
      </c>
      <c r="D1095" t="inlineStr">
        <is>
          <t>VÄSTERNORRLANDS LÄN</t>
        </is>
      </c>
      <c r="E1095" t="inlineStr">
        <is>
          <t>SOLLEFTEÅ</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49518-2021</t>
        </is>
      </c>
      <c r="B1096" s="1" t="n">
        <v>44455</v>
      </c>
      <c r="C1096" s="1" t="n">
        <v>45822</v>
      </c>
      <c r="D1096" t="inlineStr">
        <is>
          <t>VÄSTERNORRLANDS LÄN</t>
        </is>
      </c>
      <c r="E1096" t="inlineStr">
        <is>
          <t>SOLLEFTEÅ</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49711-2021</t>
        </is>
      </c>
      <c r="B1097" s="1" t="n">
        <v>44455</v>
      </c>
      <c r="C1097" s="1" t="n">
        <v>45822</v>
      </c>
      <c r="D1097" t="inlineStr">
        <is>
          <t>VÄSTERNORRLANDS LÄN</t>
        </is>
      </c>
      <c r="E1097" t="inlineStr">
        <is>
          <t>SOLLEFTEÅ</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50360-2021</t>
        </is>
      </c>
      <c r="B1098" s="1" t="n">
        <v>44459</v>
      </c>
      <c r="C1098" s="1" t="n">
        <v>45822</v>
      </c>
      <c r="D1098" t="inlineStr">
        <is>
          <t>VÄSTERNORRLANDS LÄN</t>
        </is>
      </c>
      <c r="E1098" t="inlineStr">
        <is>
          <t>SOLLEFTEÅ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51104-2021</t>
        </is>
      </c>
      <c r="B1099" s="1" t="n">
        <v>44459</v>
      </c>
      <c r="C1099" s="1" t="n">
        <v>45822</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51020-2021</t>
        </is>
      </c>
      <c r="B1100" s="1" t="n">
        <v>44460</v>
      </c>
      <c r="C1100" s="1" t="n">
        <v>45822</v>
      </c>
      <c r="D1100" t="inlineStr">
        <is>
          <t>VÄSTERNORRLANDS LÄN</t>
        </is>
      </c>
      <c r="E1100" t="inlineStr">
        <is>
          <t>SOLLEFTEÅ</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51029-2021</t>
        </is>
      </c>
      <c r="B1101" s="1" t="n">
        <v>44461</v>
      </c>
      <c r="C1101" s="1" t="n">
        <v>45822</v>
      </c>
      <c r="D1101" t="inlineStr">
        <is>
          <t>VÄSTERNORRLANDS LÄN</t>
        </is>
      </c>
      <c r="E1101" t="inlineStr">
        <is>
          <t>SOLLEFTEÅ</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51440-2021</t>
        </is>
      </c>
      <c r="B1102" s="1" t="n">
        <v>44461</v>
      </c>
      <c r="C1102" s="1" t="n">
        <v>45822</v>
      </c>
      <c r="D1102" t="inlineStr">
        <is>
          <t>VÄSTERNORRLANDS LÄN</t>
        </is>
      </c>
      <c r="E1102" t="inlineStr">
        <is>
          <t>SOLLEFTEÅ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51443-2021</t>
        </is>
      </c>
      <c r="B1103" s="1" t="n">
        <v>44461</v>
      </c>
      <c r="C1103" s="1" t="n">
        <v>45822</v>
      </c>
      <c r="D1103" t="inlineStr">
        <is>
          <t>VÄSTERNORRLANDS LÄN</t>
        </is>
      </c>
      <c r="E1103" t="inlineStr">
        <is>
          <t>SOLLEFTEÅ</t>
        </is>
      </c>
      <c r="F1103" t="inlineStr">
        <is>
          <t>SCA</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51442-2021</t>
        </is>
      </c>
      <c r="B1104" s="1" t="n">
        <v>44462</v>
      </c>
      <c r="C1104" s="1" t="n">
        <v>45822</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51491-2021</t>
        </is>
      </c>
      <c r="B1105" s="1" t="n">
        <v>44462</v>
      </c>
      <c r="C1105" s="1" t="n">
        <v>45822</v>
      </c>
      <c r="D1105" t="inlineStr">
        <is>
          <t>VÄSTERNORRLANDS LÄN</t>
        </is>
      </c>
      <c r="E1105" t="inlineStr">
        <is>
          <t>SOLLEFTEÅ</t>
        </is>
      </c>
      <c r="F1105" t="inlineStr">
        <is>
          <t>Kyrkan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51847-2021</t>
        </is>
      </c>
      <c r="B1106" s="1" t="n">
        <v>44462</v>
      </c>
      <c r="C1106" s="1" t="n">
        <v>45822</v>
      </c>
      <c r="D1106" t="inlineStr">
        <is>
          <t>VÄSTERNORRLANDS LÄN</t>
        </is>
      </c>
      <c r="E1106" t="inlineStr">
        <is>
          <t>SOLLEFTEÅ</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51952-2021</t>
        </is>
      </c>
      <c r="B1107" s="1" t="n">
        <v>44463</v>
      </c>
      <c r="C1107" s="1" t="n">
        <v>45822</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52447-2021</t>
        </is>
      </c>
      <c r="B1108" s="1" t="n">
        <v>44466</v>
      </c>
      <c r="C1108" s="1" t="n">
        <v>45822</v>
      </c>
      <c r="D1108" t="inlineStr">
        <is>
          <t>VÄSTERNORRLANDS LÄN</t>
        </is>
      </c>
      <c r="E1108" t="inlineStr">
        <is>
          <t>SOLLEFTEÅ</t>
        </is>
      </c>
      <c r="F1108" t="inlineStr">
        <is>
          <t>Holmen skog AB</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53289-2021</t>
        </is>
      </c>
      <c r="B1109" s="1" t="n">
        <v>44467</v>
      </c>
      <c r="C1109" s="1" t="n">
        <v>45822</v>
      </c>
      <c r="D1109" t="inlineStr">
        <is>
          <t>VÄSTERNORRLANDS LÄN</t>
        </is>
      </c>
      <c r="E1109" t="inlineStr">
        <is>
          <t>SOLLEFTEÅ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53278-2021</t>
        </is>
      </c>
      <c r="B1110" s="1" t="n">
        <v>44467</v>
      </c>
      <c r="C1110" s="1" t="n">
        <v>45822</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53524-2021</t>
        </is>
      </c>
      <c r="B1111" s="1" t="n">
        <v>44468</v>
      </c>
      <c r="C1111" s="1" t="n">
        <v>45822</v>
      </c>
      <c r="D1111" t="inlineStr">
        <is>
          <t>VÄSTERNORRLANDS LÄN</t>
        </is>
      </c>
      <c r="E1111" t="inlineStr">
        <is>
          <t>SOLLEFTEÅ</t>
        </is>
      </c>
      <c r="F1111" t="inlineStr">
        <is>
          <t>SCA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53955-2021</t>
        </is>
      </c>
      <c r="B1112" s="1" t="n">
        <v>44469</v>
      </c>
      <c r="C1112" s="1" t="n">
        <v>45822</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54146-2021</t>
        </is>
      </c>
      <c r="B1113" s="1" t="n">
        <v>44469</v>
      </c>
      <c r="C1113" s="1" t="n">
        <v>45822</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54728-2021</t>
        </is>
      </c>
      <c r="B1114" s="1" t="n">
        <v>44473</v>
      </c>
      <c r="C1114" s="1" t="n">
        <v>45822</v>
      </c>
      <c r="D1114" t="inlineStr">
        <is>
          <t>VÄSTERNORRLANDS LÄN</t>
        </is>
      </c>
      <c r="E1114" t="inlineStr">
        <is>
          <t>SOLLEFTEÅ</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55016-2021</t>
        </is>
      </c>
      <c r="B1115" s="1" t="n">
        <v>44474</v>
      </c>
      <c r="C1115" s="1" t="n">
        <v>45822</v>
      </c>
      <c r="D1115" t="inlineStr">
        <is>
          <t>VÄSTERNORRLANDS LÄN</t>
        </is>
      </c>
      <c r="E1115" t="inlineStr">
        <is>
          <t>SOLLEFTEÅ</t>
        </is>
      </c>
      <c r="F1115" t="inlineStr">
        <is>
          <t>Övriga Aktiebolag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55018-2021</t>
        </is>
      </c>
      <c r="B1116" s="1" t="n">
        <v>44474</v>
      </c>
      <c r="C1116" s="1" t="n">
        <v>45822</v>
      </c>
      <c r="D1116" t="inlineStr">
        <is>
          <t>VÄSTERNORRLANDS LÄN</t>
        </is>
      </c>
      <c r="E1116" t="inlineStr">
        <is>
          <t>SOLLEFTEÅ</t>
        </is>
      </c>
      <c r="F1116" t="inlineStr">
        <is>
          <t>Övriga Aktiebolag</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55610-2021</t>
        </is>
      </c>
      <c r="B1117" s="1" t="n">
        <v>44476</v>
      </c>
      <c r="C1117" s="1" t="n">
        <v>45822</v>
      </c>
      <c r="D1117" t="inlineStr">
        <is>
          <t>VÄSTERNORRLANDS LÄN</t>
        </is>
      </c>
      <c r="E1117" t="inlineStr">
        <is>
          <t>SOLLEFTEÅ</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55643-2021</t>
        </is>
      </c>
      <c r="B1118" s="1" t="n">
        <v>44475</v>
      </c>
      <c r="C1118" s="1" t="n">
        <v>45822</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55904-2021</t>
        </is>
      </c>
      <c r="B1119" s="1" t="n">
        <v>44476</v>
      </c>
      <c r="C1119" s="1" t="n">
        <v>45822</v>
      </c>
      <c r="D1119" t="inlineStr">
        <is>
          <t>VÄSTERNORRLANDS LÄN</t>
        </is>
      </c>
      <c r="E1119" t="inlineStr">
        <is>
          <t>SOLLEFTEÅ</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56211-2021</t>
        </is>
      </c>
      <c r="B1120" s="1" t="n">
        <v>44478</v>
      </c>
      <c r="C1120" s="1" t="n">
        <v>45822</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56918-2021</t>
        </is>
      </c>
      <c r="B1121" s="1" t="n">
        <v>44482</v>
      </c>
      <c r="C1121" s="1" t="n">
        <v>45822</v>
      </c>
      <c r="D1121" t="inlineStr">
        <is>
          <t>VÄSTERNORRLANDS LÄN</t>
        </is>
      </c>
      <c r="E1121" t="inlineStr">
        <is>
          <t>SOLLEFTEÅ</t>
        </is>
      </c>
      <c r="F1121" t="inlineStr">
        <is>
          <t>SCA</t>
        </is>
      </c>
      <c r="G1121" t="n">
        <v>13.9</v>
      </c>
      <c r="H1121" t="n">
        <v>0</v>
      </c>
      <c r="I1121" t="n">
        <v>0</v>
      </c>
      <c r="J1121" t="n">
        <v>0</v>
      </c>
      <c r="K1121" t="n">
        <v>0</v>
      </c>
      <c r="L1121" t="n">
        <v>0</v>
      </c>
      <c r="M1121" t="n">
        <v>0</v>
      </c>
      <c r="N1121" t="n">
        <v>0</v>
      </c>
      <c r="O1121" t="n">
        <v>0</v>
      </c>
      <c r="P1121" t="n">
        <v>0</v>
      </c>
      <c r="Q1121" t="n">
        <v>0</v>
      </c>
      <c r="R1121" s="2" t="inlineStr"/>
    </row>
    <row r="1122" ht="15" customHeight="1">
      <c r="A1122" t="inlineStr">
        <is>
          <t>A 57007-2021</t>
        </is>
      </c>
      <c r="B1122" s="1" t="n">
        <v>44482</v>
      </c>
      <c r="C1122" s="1" t="n">
        <v>45822</v>
      </c>
      <c r="D1122" t="inlineStr">
        <is>
          <t>VÄSTERNORRLANDS LÄN</t>
        </is>
      </c>
      <c r="E1122" t="inlineStr">
        <is>
          <t>SOLLEFTEÅ</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57550-2021</t>
        </is>
      </c>
      <c r="B1123" s="1" t="n">
        <v>44484</v>
      </c>
      <c r="C1123" s="1" t="n">
        <v>45822</v>
      </c>
      <c r="D1123" t="inlineStr">
        <is>
          <t>VÄSTERNORRLANDS LÄN</t>
        </is>
      </c>
      <c r="E1123" t="inlineStr">
        <is>
          <t>SOLLEFTEÅ</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57552-2021</t>
        </is>
      </c>
      <c r="B1124" s="1" t="n">
        <v>44483</v>
      </c>
      <c r="C1124" s="1" t="n">
        <v>45822</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57856-2021</t>
        </is>
      </c>
      <c r="B1125" s="1" t="n">
        <v>44485</v>
      </c>
      <c r="C1125" s="1" t="n">
        <v>45822</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57911-2021</t>
        </is>
      </c>
      <c r="B1126" s="1" t="n">
        <v>44486</v>
      </c>
      <c r="C1126" s="1" t="n">
        <v>45822</v>
      </c>
      <c r="D1126" t="inlineStr">
        <is>
          <t>VÄSTERNORRLANDS LÄN</t>
        </is>
      </c>
      <c r="E1126" t="inlineStr">
        <is>
          <t>SOLLEFTEÅ</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58268-2021</t>
        </is>
      </c>
      <c r="B1127" s="1" t="n">
        <v>44487</v>
      </c>
      <c r="C1127" s="1" t="n">
        <v>45822</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58276-2021</t>
        </is>
      </c>
      <c r="B1128" s="1" t="n">
        <v>44488</v>
      </c>
      <c r="C1128" s="1" t="n">
        <v>45822</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58179-2021</t>
        </is>
      </c>
      <c r="B1129" s="1" t="n">
        <v>44487</v>
      </c>
      <c r="C1129" s="1" t="n">
        <v>45822</v>
      </c>
      <c r="D1129" t="inlineStr">
        <is>
          <t>VÄSTERNORRLANDS LÄN</t>
        </is>
      </c>
      <c r="E1129" t="inlineStr">
        <is>
          <t>SOLLEFTEÅ</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58478-2021</t>
        </is>
      </c>
      <c r="B1130" s="1" t="n">
        <v>44488</v>
      </c>
      <c r="C1130" s="1" t="n">
        <v>45822</v>
      </c>
      <c r="D1130" t="inlineStr">
        <is>
          <t>VÄSTERNORRLANDS LÄN</t>
        </is>
      </c>
      <c r="E1130" t="inlineStr">
        <is>
          <t>SOLLEFTEÅ</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58486-2021</t>
        </is>
      </c>
      <c r="B1131" s="1" t="n">
        <v>44488</v>
      </c>
      <c r="C1131" s="1" t="n">
        <v>45822</v>
      </c>
      <c r="D1131" t="inlineStr">
        <is>
          <t>VÄSTERNORRLANDS LÄN</t>
        </is>
      </c>
      <c r="E1131" t="inlineStr">
        <is>
          <t>SOLLEFTEÅ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58571-2021</t>
        </is>
      </c>
      <c r="B1132" s="1" t="n">
        <v>44488</v>
      </c>
      <c r="C1132" s="1" t="n">
        <v>45822</v>
      </c>
      <c r="D1132" t="inlineStr">
        <is>
          <t>VÄSTERNORRLANDS LÄN</t>
        </is>
      </c>
      <c r="E1132" t="inlineStr">
        <is>
          <t>SOLLEFTEÅ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58573-2021</t>
        </is>
      </c>
      <c r="B1133" s="1" t="n">
        <v>44488</v>
      </c>
      <c r="C1133" s="1" t="n">
        <v>45822</v>
      </c>
      <c r="D1133" t="inlineStr">
        <is>
          <t>VÄSTERNORRLANDS LÄN</t>
        </is>
      </c>
      <c r="E1133" t="inlineStr">
        <is>
          <t>SOLLEFTEÅ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58726-2021</t>
        </is>
      </c>
      <c r="B1134" s="1" t="n">
        <v>44489</v>
      </c>
      <c r="C1134" s="1" t="n">
        <v>45822</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58742-2021</t>
        </is>
      </c>
      <c r="B1135" s="1" t="n">
        <v>44489</v>
      </c>
      <c r="C1135" s="1" t="n">
        <v>45822</v>
      </c>
      <c r="D1135" t="inlineStr">
        <is>
          <t>VÄSTERNORRLANDS LÄN</t>
        </is>
      </c>
      <c r="E1135" t="inlineStr">
        <is>
          <t>SOLLEFTEÅ</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58755-2021</t>
        </is>
      </c>
      <c r="B1136" s="1" t="n">
        <v>44489</v>
      </c>
      <c r="C1136" s="1" t="n">
        <v>45822</v>
      </c>
      <c r="D1136" t="inlineStr">
        <is>
          <t>VÄSTERNORRLANDS LÄN</t>
        </is>
      </c>
      <c r="E1136" t="inlineStr">
        <is>
          <t>SOLLEFTEÅ</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58688-2021</t>
        </is>
      </c>
      <c r="B1137" s="1" t="n">
        <v>44489</v>
      </c>
      <c r="C1137" s="1" t="n">
        <v>45822</v>
      </c>
      <c r="D1137" t="inlineStr">
        <is>
          <t>VÄSTERNORRLANDS LÄN</t>
        </is>
      </c>
      <c r="E1137" t="inlineStr">
        <is>
          <t>SOLLEFTEÅ</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58715-2021</t>
        </is>
      </c>
      <c r="B1138" s="1" t="n">
        <v>44489</v>
      </c>
      <c r="C1138" s="1" t="n">
        <v>45822</v>
      </c>
      <c r="D1138" t="inlineStr">
        <is>
          <t>VÄSTERNORRLANDS LÄN</t>
        </is>
      </c>
      <c r="E1138" t="inlineStr">
        <is>
          <t>SOLLEFTEÅ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59344-2021</t>
        </is>
      </c>
      <c r="B1139" s="1" t="n">
        <v>44490</v>
      </c>
      <c r="C1139" s="1" t="n">
        <v>45822</v>
      </c>
      <c r="D1139" t="inlineStr">
        <is>
          <t>VÄSTERNORRLANDS LÄN</t>
        </is>
      </c>
      <c r="E1139" t="inlineStr">
        <is>
          <t>SOLLEFTEÅ</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59309-2021</t>
        </is>
      </c>
      <c r="B1140" s="1" t="n">
        <v>44491</v>
      </c>
      <c r="C1140" s="1" t="n">
        <v>45822</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59343-2021</t>
        </is>
      </c>
      <c r="B1141" s="1" t="n">
        <v>44490</v>
      </c>
      <c r="C1141" s="1" t="n">
        <v>45822</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60324-2021</t>
        </is>
      </c>
      <c r="B1142" s="1" t="n">
        <v>44496</v>
      </c>
      <c r="C1142" s="1" t="n">
        <v>45822</v>
      </c>
      <c r="D1142" t="inlineStr">
        <is>
          <t>VÄSTERNORRLANDS LÄN</t>
        </is>
      </c>
      <c r="E1142" t="inlineStr">
        <is>
          <t>SOLLEFTEÅ</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60757-2021</t>
        </is>
      </c>
      <c r="B1143" s="1" t="n">
        <v>44497</v>
      </c>
      <c r="C1143" s="1" t="n">
        <v>45822</v>
      </c>
      <c r="D1143" t="inlineStr">
        <is>
          <t>VÄSTERNORRLANDS LÄN</t>
        </is>
      </c>
      <c r="E1143" t="inlineStr">
        <is>
          <t>SOLLEFTEÅ</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60756-2021</t>
        </is>
      </c>
      <c r="B1144" s="1" t="n">
        <v>44496</v>
      </c>
      <c r="C1144" s="1" t="n">
        <v>45822</v>
      </c>
      <c r="D1144" t="inlineStr">
        <is>
          <t>VÄSTERNORRLANDS LÄN</t>
        </is>
      </c>
      <c r="E1144" t="inlineStr">
        <is>
          <t>SOLLEFTEÅ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61739-2021</t>
        </is>
      </c>
      <c r="B1145" s="1" t="n">
        <v>44498</v>
      </c>
      <c r="C1145" s="1" t="n">
        <v>45822</v>
      </c>
      <c r="D1145" t="inlineStr">
        <is>
          <t>VÄSTERNORRLANDS LÄN</t>
        </is>
      </c>
      <c r="E1145" t="inlineStr">
        <is>
          <t>SOLLEFTEÅ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61424-2021</t>
        </is>
      </c>
      <c r="B1146" s="1" t="n">
        <v>44500</v>
      </c>
      <c r="C1146" s="1" t="n">
        <v>45822</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61470-2021</t>
        </is>
      </c>
      <c r="B1147" s="1" t="n">
        <v>44500</v>
      </c>
      <c r="C1147" s="1" t="n">
        <v>45822</v>
      </c>
      <c r="D1147" t="inlineStr">
        <is>
          <t>VÄSTERNORRLANDS LÄN</t>
        </is>
      </c>
      <c r="E1147" t="inlineStr">
        <is>
          <t>SOLLEFTEÅ</t>
        </is>
      </c>
      <c r="F1147" t="inlineStr">
        <is>
          <t>SCA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61480-2021</t>
        </is>
      </c>
      <c r="B1148" s="1" t="n">
        <v>44500</v>
      </c>
      <c r="C1148" s="1" t="n">
        <v>45822</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61426-2021</t>
        </is>
      </c>
      <c r="B1149" s="1" t="n">
        <v>44500</v>
      </c>
      <c r="C1149" s="1" t="n">
        <v>45822</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61469-2021</t>
        </is>
      </c>
      <c r="B1150" s="1" t="n">
        <v>44500</v>
      </c>
      <c r="C1150" s="1" t="n">
        <v>45822</v>
      </c>
      <c r="D1150" t="inlineStr">
        <is>
          <t>VÄSTERNORRLANDS LÄN</t>
        </is>
      </c>
      <c r="E1150" t="inlineStr">
        <is>
          <t>SOLLEFTEÅ</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61496-2021</t>
        </is>
      </c>
      <c r="B1151" s="1" t="n">
        <v>44501</v>
      </c>
      <c r="C1151" s="1" t="n">
        <v>45822</v>
      </c>
      <c r="D1151" t="inlineStr">
        <is>
          <t>VÄSTERNORRLANDS LÄN</t>
        </is>
      </c>
      <c r="E1151" t="inlineStr">
        <is>
          <t>SOLLEFTEÅ</t>
        </is>
      </c>
      <c r="F1151" t="inlineStr">
        <is>
          <t>Holmen skog AB</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62214-2021</t>
        </is>
      </c>
      <c r="B1152" s="1" t="n">
        <v>44502</v>
      </c>
      <c r="C1152" s="1" t="n">
        <v>45822</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62210-2021</t>
        </is>
      </c>
      <c r="B1153" s="1" t="n">
        <v>44502</v>
      </c>
      <c r="C1153" s="1" t="n">
        <v>45822</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62418-2021</t>
        </is>
      </c>
      <c r="B1154" s="1" t="n">
        <v>44503</v>
      </c>
      <c r="C1154" s="1" t="n">
        <v>45822</v>
      </c>
      <c r="D1154" t="inlineStr">
        <is>
          <t>VÄSTERNORRLANDS LÄN</t>
        </is>
      </c>
      <c r="E1154" t="inlineStr">
        <is>
          <t>SOLLEFTEÅ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62790-2021</t>
        </is>
      </c>
      <c r="B1155" s="1" t="n">
        <v>44503</v>
      </c>
      <c r="C1155" s="1" t="n">
        <v>45822</v>
      </c>
      <c r="D1155" t="inlineStr">
        <is>
          <t>VÄSTERNORRLANDS LÄN</t>
        </is>
      </c>
      <c r="E1155" t="inlineStr">
        <is>
          <t>SOLLEFTEÅ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62697-2021</t>
        </is>
      </c>
      <c r="B1156" s="1" t="n">
        <v>44504</v>
      </c>
      <c r="C1156" s="1" t="n">
        <v>45822</v>
      </c>
      <c r="D1156" t="inlineStr">
        <is>
          <t>VÄSTERNORRLANDS LÄN</t>
        </is>
      </c>
      <c r="E1156" t="inlineStr">
        <is>
          <t>SOLLEFTEÅ</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62692-2021</t>
        </is>
      </c>
      <c r="B1157" s="1" t="n">
        <v>44504</v>
      </c>
      <c r="C1157" s="1" t="n">
        <v>45822</v>
      </c>
      <c r="D1157" t="inlineStr">
        <is>
          <t>VÄSTERNORRLANDS LÄN</t>
        </is>
      </c>
      <c r="E1157" t="inlineStr">
        <is>
          <t>SOLLEFTEÅ</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63710-2021</t>
        </is>
      </c>
      <c r="B1158" s="1" t="n">
        <v>44504</v>
      </c>
      <c r="C1158" s="1" t="n">
        <v>45822</v>
      </c>
      <c r="D1158" t="inlineStr">
        <is>
          <t>VÄSTERNORRLANDS LÄN</t>
        </is>
      </c>
      <c r="E1158" t="inlineStr">
        <is>
          <t>SOLLEFTEÅ</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64638-2021</t>
        </is>
      </c>
      <c r="B1159" s="1" t="n">
        <v>44511</v>
      </c>
      <c r="C1159" s="1" t="n">
        <v>45822</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64651-2021</t>
        </is>
      </c>
      <c r="B1160" s="1" t="n">
        <v>44511</v>
      </c>
      <c r="C1160" s="1" t="n">
        <v>45822</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64653-2021</t>
        </is>
      </c>
      <c r="B1161" s="1" t="n">
        <v>44511</v>
      </c>
      <c r="C1161" s="1" t="n">
        <v>45822</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64939-2021</t>
        </is>
      </c>
      <c r="B1162" s="1" t="n">
        <v>44512</v>
      </c>
      <c r="C1162" s="1" t="n">
        <v>45822</v>
      </c>
      <c r="D1162" t="inlineStr">
        <is>
          <t>VÄSTERNORRLANDS LÄN</t>
        </is>
      </c>
      <c r="E1162" t="inlineStr">
        <is>
          <t>SOLLEFTEÅ</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64947-2021</t>
        </is>
      </c>
      <c r="B1163" s="1" t="n">
        <v>44512</v>
      </c>
      <c r="C1163" s="1" t="n">
        <v>45822</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64944-2021</t>
        </is>
      </c>
      <c r="B1164" s="1" t="n">
        <v>44512</v>
      </c>
      <c r="C1164" s="1" t="n">
        <v>45822</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65009-2021</t>
        </is>
      </c>
      <c r="B1165" s="1" t="n">
        <v>44514</v>
      </c>
      <c r="C1165" s="1" t="n">
        <v>45822</v>
      </c>
      <c r="D1165" t="inlineStr">
        <is>
          <t>VÄSTERNORRLANDS LÄN</t>
        </is>
      </c>
      <c r="E1165" t="inlineStr">
        <is>
          <t>SOLLEFTEÅ</t>
        </is>
      </c>
      <c r="G1165" t="n">
        <v>17.3</v>
      </c>
      <c r="H1165" t="n">
        <v>0</v>
      </c>
      <c r="I1165" t="n">
        <v>0</v>
      </c>
      <c r="J1165" t="n">
        <v>0</v>
      </c>
      <c r="K1165" t="n">
        <v>0</v>
      </c>
      <c r="L1165" t="n">
        <v>0</v>
      </c>
      <c r="M1165" t="n">
        <v>0</v>
      </c>
      <c r="N1165" t="n">
        <v>0</v>
      </c>
      <c r="O1165" t="n">
        <v>0</v>
      </c>
      <c r="P1165" t="n">
        <v>0</v>
      </c>
      <c r="Q1165" t="n">
        <v>0</v>
      </c>
      <c r="R1165" s="2" t="inlineStr"/>
    </row>
    <row r="1166" ht="15" customHeight="1">
      <c r="A1166" t="inlineStr">
        <is>
          <t>A 66178-2021</t>
        </is>
      </c>
      <c r="B1166" s="1" t="n">
        <v>44517</v>
      </c>
      <c r="C1166" s="1" t="n">
        <v>45822</v>
      </c>
      <c r="D1166" t="inlineStr">
        <is>
          <t>VÄSTERNORRLANDS LÄN</t>
        </is>
      </c>
      <c r="E1166" t="inlineStr">
        <is>
          <t>SOLLEFTEÅ</t>
        </is>
      </c>
      <c r="F1166" t="inlineStr">
        <is>
          <t>SCA</t>
        </is>
      </c>
      <c r="G1166" t="n">
        <v>31.7</v>
      </c>
      <c r="H1166" t="n">
        <v>0</v>
      </c>
      <c r="I1166" t="n">
        <v>0</v>
      </c>
      <c r="J1166" t="n">
        <v>0</v>
      </c>
      <c r="K1166" t="n">
        <v>0</v>
      </c>
      <c r="L1166" t="n">
        <v>0</v>
      </c>
      <c r="M1166" t="n">
        <v>0</v>
      </c>
      <c r="N1166" t="n">
        <v>0</v>
      </c>
      <c r="O1166" t="n">
        <v>0</v>
      </c>
      <c r="P1166" t="n">
        <v>0</v>
      </c>
      <c r="Q1166" t="n">
        <v>0</v>
      </c>
      <c r="R1166" s="2" t="inlineStr"/>
    </row>
    <row r="1167" ht="15" customHeight="1">
      <c r="A1167" t="inlineStr">
        <is>
          <t>A 66856-2021</t>
        </is>
      </c>
      <c r="B1167" s="1" t="n">
        <v>44522</v>
      </c>
      <c r="C1167" s="1" t="n">
        <v>45822</v>
      </c>
      <c r="D1167" t="inlineStr">
        <is>
          <t>VÄSTERNORRLANDS LÄN</t>
        </is>
      </c>
      <c r="E1167" t="inlineStr">
        <is>
          <t>SOLLEFTEÅ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67085-2021</t>
        </is>
      </c>
      <c r="B1168" s="1" t="n">
        <v>44522</v>
      </c>
      <c r="C1168" s="1" t="n">
        <v>45822</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67143-2021</t>
        </is>
      </c>
      <c r="B1169" s="1" t="n">
        <v>44523</v>
      </c>
      <c r="C1169" s="1" t="n">
        <v>45822</v>
      </c>
      <c r="D1169" t="inlineStr">
        <is>
          <t>VÄSTERNORRLANDS LÄN</t>
        </is>
      </c>
      <c r="E1169" t="inlineStr">
        <is>
          <t>SOLLEFTEÅ</t>
        </is>
      </c>
      <c r="G1169" t="n">
        <v>19.7</v>
      </c>
      <c r="H1169" t="n">
        <v>0</v>
      </c>
      <c r="I1169" t="n">
        <v>0</v>
      </c>
      <c r="J1169" t="n">
        <v>0</v>
      </c>
      <c r="K1169" t="n">
        <v>0</v>
      </c>
      <c r="L1169" t="n">
        <v>0</v>
      </c>
      <c r="M1169" t="n">
        <v>0</v>
      </c>
      <c r="N1169" t="n">
        <v>0</v>
      </c>
      <c r="O1169" t="n">
        <v>0</v>
      </c>
      <c r="P1169" t="n">
        <v>0</v>
      </c>
      <c r="Q1169" t="n">
        <v>0</v>
      </c>
      <c r="R1169" s="2" t="inlineStr"/>
    </row>
    <row r="1170" ht="15" customHeight="1">
      <c r="A1170" t="inlineStr">
        <is>
          <t>A 67136-2021</t>
        </is>
      </c>
      <c r="B1170" s="1" t="n">
        <v>44523</v>
      </c>
      <c r="C1170" s="1" t="n">
        <v>45822</v>
      </c>
      <c r="D1170" t="inlineStr">
        <is>
          <t>VÄSTERNORRLANDS LÄN</t>
        </is>
      </c>
      <c r="E1170" t="inlineStr">
        <is>
          <t>SOLLEFTEÅ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67390-2021</t>
        </is>
      </c>
      <c r="B1171" s="1" t="n">
        <v>44523</v>
      </c>
      <c r="C1171" s="1" t="n">
        <v>45822</v>
      </c>
      <c r="D1171" t="inlineStr">
        <is>
          <t>VÄSTERNORRLANDS LÄN</t>
        </is>
      </c>
      <c r="E1171" t="inlineStr">
        <is>
          <t>SOLLEFTEÅ</t>
        </is>
      </c>
      <c r="F1171" t="inlineStr">
        <is>
          <t>SCA</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67401-2021</t>
        </is>
      </c>
      <c r="B1172" s="1" t="n">
        <v>44523</v>
      </c>
      <c r="C1172" s="1" t="n">
        <v>45822</v>
      </c>
      <c r="D1172" t="inlineStr">
        <is>
          <t>VÄSTERNORRLANDS LÄN</t>
        </is>
      </c>
      <c r="E1172" t="inlineStr">
        <is>
          <t>SOLLEFTEÅ</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67689-2021</t>
        </is>
      </c>
      <c r="B1173" s="1" t="n">
        <v>44524</v>
      </c>
      <c r="C1173" s="1" t="n">
        <v>45822</v>
      </c>
      <c r="D1173" t="inlineStr">
        <is>
          <t>VÄSTERNORRLANDS LÄN</t>
        </is>
      </c>
      <c r="E1173" t="inlineStr">
        <is>
          <t>SOLLEFTEÅ</t>
        </is>
      </c>
      <c r="F1173" t="inlineStr">
        <is>
          <t>SCA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67702-2021</t>
        </is>
      </c>
      <c r="B1174" s="1" t="n">
        <v>44524</v>
      </c>
      <c r="C1174" s="1" t="n">
        <v>45822</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67822-2021</t>
        </is>
      </c>
      <c r="B1175" s="1" t="n">
        <v>44525</v>
      </c>
      <c r="C1175" s="1" t="n">
        <v>45822</v>
      </c>
      <c r="D1175" t="inlineStr">
        <is>
          <t>VÄSTERNORRLANDS LÄN</t>
        </is>
      </c>
      <c r="E1175" t="inlineStr">
        <is>
          <t>SOLLEFTEÅ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68317-2021</t>
        </is>
      </c>
      <c r="B1176" s="1" t="n">
        <v>44526</v>
      </c>
      <c r="C1176" s="1" t="n">
        <v>45822</v>
      </c>
      <c r="D1176" t="inlineStr">
        <is>
          <t>VÄSTERNORRLANDS LÄN</t>
        </is>
      </c>
      <c r="E1176" t="inlineStr">
        <is>
          <t>SOLLEFTEÅ</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68792-2021</t>
        </is>
      </c>
      <c r="B1177" s="1" t="n">
        <v>44529</v>
      </c>
      <c r="C1177" s="1" t="n">
        <v>45822</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68843-2021</t>
        </is>
      </c>
      <c r="B1178" s="1" t="n">
        <v>44530</v>
      </c>
      <c r="C1178" s="1" t="n">
        <v>45822</v>
      </c>
      <c r="D1178" t="inlineStr">
        <is>
          <t>VÄSTERNORRLANDS LÄN</t>
        </is>
      </c>
      <c r="E1178" t="inlineStr">
        <is>
          <t>SOLLEFTEÅ</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68863-2021</t>
        </is>
      </c>
      <c r="B1179" s="1" t="n">
        <v>44530</v>
      </c>
      <c r="C1179" s="1" t="n">
        <v>45822</v>
      </c>
      <c r="D1179" t="inlineStr">
        <is>
          <t>VÄSTERNORRLANDS LÄN</t>
        </is>
      </c>
      <c r="E1179" t="inlineStr">
        <is>
          <t>SOLLEFTEÅ</t>
        </is>
      </c>
      <c r="F1179" t="inlineStr">
        <is>
          <t>Holmen skog AB</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69121-2021</t>
        </is>
      </c>
      <c r="B1180" s="1" t="n">
        <v>44530</v>
      </c>
      <c r="C1180" s="1" t="n">
        <v>45822</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69543-2021</t>
        </is>
      </c>
      <c r="B1181" s="1" t="n">
        <v>44531</v>
      </c>
      <c r="C1181" s="1" t="n">
        <v>45822</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69542-2021</t>
        </is>
      </c>
      <c r="B1182" s="1" t="n">
        <v>44531</v>
      </c>
      <c r="C1182" s="1" t="n">
        <v>45822</v>
      </c>
      <c r="D1182" t="inlineStr">
        <is>
          <t>VÄSTERNORRLANDS LÄN</t>
        </is>
      </c>
      <c r="E1182" t="inlineStr">
        <is>
          <t>SOLLEFTEÅ</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69919-2021</t>
        </is>
      </c>
      <c r="B1183" s="1" t="n">
        <v>44532</v>
      </c>
      <c r="C1183" s="1" t="n">
        <v>45822</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69916-2021</t>
        </is>
      </c>
      <c r="B1184" s="1" t="n">
        <v>44532</v>
      </c>
      <c r="C1184" s="1" t="n">
        <v>45822</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70180-2021</t>
        </is>
      </c>
      <c r="B1185" s="1" t="n">
        <v>44533</v>
      </c>
      <c r="C1185" s="1" t="n">
        <v>45822</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70821-2021</t>
        </is>
      </c>
      <c r="B1186" s="1" t="n">
        <v>44537</v>
      </c>
      <c r="C1186" s="1" t="n">
        <v>45822</v>
      </c>
      <c r="D1186" t="inlineStr">
        <is>
          <t>VÄSTERNORRLANDS LÄN</t>
        </is>
      </c>
      <c r="E1186" t="inlineStr">
        <is>
          <t>SOLLEFTEÅ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71080-2021</t>
        </is>
      </c>
      <c r="B1187" s="1" t="n">
        <v>44538</v>
      </c>
      <c r="C1187" s="1" t="n">
        <v>45822</v>
      </c>
      <c r="D1187" t="inlineStr">
        <is>
          <t>VÄSTERNORRLANDS LÄN</t>
        </is>
      </c>
      <c r="E1187" t="inlineStr">
        <is>
          <t>SOLLEFTEÅ</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71079-2021</t>
        </is>
      </c>
      <c r="B1188" s="1" t="n">
        <v>44538</v>
      </c>
      <c r="C1188" s="1" t="n">
        <v>45822</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71348-2021</t>
        </is>
      </c>
      <c r="B1189" s="1" t="n">
        <v>44539</v>
      </c>
      <c r="C1189" s="1" t="n">
        <v>45822</v>
      </c>
      <c r="D1189" t="inlineStr">
        <is>
          <t>VÄSTERNORRLANDS LÄN</t>
        </is>
      </c>
      <c r="E1189" t="inlineStr">
        <is>
          <t>SOLLEFTEÅ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71351-2021</t>
        </is>
      </c>
      <c r="B1190" s="1" t="n">
        <v>44539</v>
      </c>
      <c r="C1190" s="1" t="n">
        <v>45822</v>
      </c>
      <c r="D1190" t="inlineStr">
        <is>
          <t>VÄSTERNORRLANDS LÄN</t>
        </is>
      </c>
      <c r="E1190" t="inlineStr">
        <is>
          <t>SOLLEFTEÅ</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71350-2021</t>
        </is>
      </c>
      <c r="B1191" s="1" t="n">
        <v>44539</v>
      </c>
      <c r="C1191" s="1" t="n">
        <v>45822</v>
      </c>
      <c r="D1191" t="inlineStr">
        <is>
          <t>VÄSTERNORRLANDS LÄN</t>
        </is>
      </c>
      <c r="E1191" t="inlineStr">
        <is>
          <t>SOLLEFTEÅ</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71580-2021</t>
        </is>
      </c>
      <c r="B1192" s="1" t="n">
        <v>44540</v>
      </c>
      <c r="C1192" s="1" t="n">
        <v>45822</v>
      </c>
      <c r="D1192" t="inlineStr">
        <is>
          <t>VÄSTERNORRLANDS LÄN</t>
        </is>
      </c>
      <c r="E1192" t="inlineStr">
        <is>
          <t>SOLLEFTEÅ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72244-2021</t>
        </is>
      </c>
      <c r="B1193" s="1" t="n">
        <v>44544</v>
      </c>
      <c r="C1193" s="1" t="n">
        <v>45822</v>
      </c>
      <c r="D1193" t="inlineStr">
        <is>
          <t>VÄSTERNORRLANDS LÄN</t>
        </is>
      </c>
      <c r="E1193" t="inlineStr">
        <is>
          <t>SOLLEFTEÅ</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72249-2021</t>
        </is>
      </c>
      <c r="B1194" s="1" t="n">
        <v>44544</v>
      </c>
      <c r="C1194" s="1" t="n">
        <v>45822</v>
      </c>
      <c r="D1194" t="inlineStr">
        <is>
          <t>VÄSTERNORRLANDS LÄN</t>
        </is>
      </c>
      <c r="E1194" t="inlineStr">
        <is>
          <t>SOLLEFTEÅ</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72315-2021</t>
        </is>
      </c>
      <c r="B1195" s="1" t="n">
        <v>44545</v>
      </c>
      <c r="C1195" s="1" t="n">
        <v>45822</v>
      </c>
      <c r="D1195" t="inlineStr">
        <is>
          <t>VÄSTERNORRLANDS LÄN</t>
        </is>
      </c>
      <c r="E1195" t="inlineStr">
        <is>
          <t>SOLLEFTEÅ</t>
        </is>
      </c>
      <c r="F1195" t="inlineStr">
        <is>
          <t>SCA</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72485-2021</t>
        </is>
      </c>
      <c r="B1196" s="1" t="n">
        <v>44545</v>
      </c>
      <c r="C1196" s="1" t="n">
        <v>45822</v>
      </c>
      <c r="D1196" t="inlineStr">
        <is>
          <t>VÄSTERNORRLANDS LÄN</t>
        </is>
      </c>
      <c r="E1196" t="inlineStr">
        <is>
          <t>SOLLEFTEÅ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72496-2021</t>
        </is>
      </c>
      <c r="B1197" s="1" t="n">
        <v>44545</v>
      </c>
      <c r="C1197" s="1" t="n">
        <v>45822</v>
      </c>
      <c r="D1197" t="inlineStr">
        <is>
          <t>VÄSTERNORRLANDS LÄN</t>
        </is>
      </c>
      <c r="E1197" t="inlineStr">
        <is>
          <t>SOLLEFTEÅ</t>
        </is>
      </c>
      <c r="G1197" t="n">
        <v>20</v>
      </c>
      <c r="H1197" t="n">
        <v>0</v>
      </c>
      <c r="I1197" t="n">
        <v>0</v>
      </c>
      <c r="J1197" t="n">
        <v>0</v>
      </c>
      <c r="K1197" t="n">
        <v>0</v>
      </c>
      <c r="L1197" t="n">
        <v>0</v>
      </c>
      <c r="M1197" t="n">
        <v>0</v>
      </c>
      <c r="N1197" t="n">
        <v>0</v>
      </c>
      <c r="O1197" t="n">
        <v>0</v>
      </c>
      <c r="P1197" t="n">
        <v>0</v>
      </c>
      <c r="Q1197" t="n">
        <v>0</v>
      </c>
      <c r="R1197" s="2" t="inlineStr"/>
    </row>
    <row r="1198" ht="15" customHeight="1">
      <c r="A1198" t="inlineStr">
        <is>
          <t>A 72949-2021</t>
        </is>
      </c>
      <c r="B1198" s="1" t="n">
        <v>44547</v>
      </c>
      <c r="C1198" s="1" t="n">
        <v>45822</v>
      </c>
      <c r="D1198" t="inlineStr">
        <is>
          <t>VÄSTERNORRLANDS LÄN</t>
        </is>
      </c>
      <c r="E1198" t="inlineStr">
        <is>
          <t>SOLLEFTEÅ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72958-2021</t>
        </is>
      </c>
      <c r="B1199" s="1" t="n">
        <v>44547</v>
      </c>
      <c r="C1199" s="1" t="n">
        <v>45822</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72977-2021</t>
        </is>
      </c>
      <c r="B1200" s="1" t="n">
        <v>44548</v>
      </c>
      <c r="C1200" s="1" t="n">
        <v>45822</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73285-2021</t>
        </is>
      </c>
      <c r="B1201" s="1" t="n">
        <v>44550</v>
      </c>
      <c r="C1201" s="1" t="n">
        <v>45822</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73367-2021</t>
        </is>
      </c>
      <c r="B1202" s="1" t="n">
        <v>44550</v>
      </c>
      <c r="C1202" s="1" t="n">
        <v>45822</v>
      </c>
      <c r="D1202" t="inlineStr">
        <is>
          <t>VÄSTERNORRLANDS LÄN</t>
        </is>
      </c>
      <c r="E1202" t="inlineStr">
        <is>
          <t>SOLLEFTEÅ</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73566-2021</t>
        </is>
      </c>
      <c r="B1203" s="1" t="n">
        <v>44551</v>
      </c>
      <c r="C1203" s="1" t="n">
        <v>45822</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73564-2021</t>
        </is>
      </c>
      <c r="B1204" s="1" t="n">
        <v>44551</v>
      </c>
      <c r="C1204" s="1" t="n">
        <v>45822</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73567-2021</t>
        </is>
      </c>
      <c r="B1205" s="1" t="n">
        <v>44551</v>
      </c>
      <c r="C1205" s="1" t="n">
        <v>45822</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73886-2021</t>
        </is>
      </c>
      <c r="B1206" s="1" t="n">
        <v>44553</v>
      </c>
      <c r="C1206" s="1" t="n">
        <v>45822</v>
      </c>
      <c r="D1206" t="inlineStr">
        <is>
          <t>VÄSTERNORRLANDS LÄN</t>
        </is>
      </c>
      <c r="E1206" t="inlineStr">
        <is>
          <t>SOLLEFTEÅ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73847-2021</t>
        </is>
      </c>
      <c r="B1207" s="1" t="n">
        <v>44553</v>
      </c>
      <c r="C1207" s="1" t="n">
        <v>45822</v>
      </c>
      <c r="D1207" t="inlineStr">
        <is>
          <t>VÄSTERNORRLANDS LÄN</t>
        </is>
      </c>
      <c r="E1207" t="inlineStr">
        <is>
          <t>SOLLEFTEÅ</t>
        </is>
      </c>
      <c r="F1207" t="inlineStr">
        <is>
          <t>Övriga Aktiebolag</t>
        </is>
      </c>
      <c r="G1207" t="n">
        <v>20.1</v>
      </c>
      <c r="H1207" t="n">
        <v>0</v>
      </c>
      <c r="I1207" t="n">
        <v>0</v>
      </c>
      <c r="J1207" t="n">
        <v>0</v>
      </c>
      <c r="K1207" t="n">
        <v>0</v>
      </c>
      <c r="L1207" t="n">
        <v>0</v>
      </c>
      <c r="M1207" t="n">
        <v>0</v>
      </c>
      <c r="N1207" t="n">
        <v>0</v>
      </c>
      <c r="O1207" t="n">
        <v>0</v>
      </c>
      <c r="P1207" t="n">
        <v>0</v>
      </c>
      <c r="Q1207" t="n">
        <v>0</v>
      </c>
      <c r="R1207" s="2" t="inlineStr"/>
    </row>
    <row r="1208" ht="15" customHeight="1">
      <c r="A1208" t="inlineStr">
        <is>
          <t>A 2-2022</t>
        </is>
      </c>
      <c r="B1208" s="1" t="n">
        <v>44562</v>
      </c>
      <c r="C1208" s="1" t="n">
        <v>45822</v>
      </c>
      <c r="D1208" t="inlineStr">
        <is>
          <t>VÄSTERNORRLANDS LÄN</t>
        </is>
      </c>
      <c r="E1208" t="inlineStr">
        <is>
          <t>SOLLEFTEÅ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19-2022</t>
        </is>
      </c>
      <c r="B1209" s="1" t="n">
        <v>44564</v>
      </c>
      <c r="C1209" s="1" t="n">
        <v>45822</v>
      </c>
      <c r="D1209" t="inlineStr">
        <is>
          <t>VÄSTERNORRLANDS LÄN</t>
        </is>
      </c>
      <c r="E1209" t="inlineStr">
        <is>
          <t>SOLLEFTEÅ</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576-2022</t>
        </is>
      </c>
      <c r="B1210" s="1" t="n">
        <v>44566</v>
      </c>
      <c r="C1210" s="1" t="n">
        <v>45822</v>
      </c>
      <c r="D1210" t="inlineStr">
        <is>
          <t>VÄSTERNORRLANDS LÄN</t>
        </is>
      </c>
      <c r="E1210" t="inlineStr">
        <is>
          <t>SOLLEFTEÅ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1095-2022</t>
        </is>
      </c>
      <c r="B1211" s="1" t="n">
        <v>44571</v>
      </c>
      <c r="C1211" s="1" t="n">
        <v>45822</v>
      </c>
      <c r="D1211" t="inlineStr">
        <is>
          <t>VÄSTERNORRLANDS LÄN</t>
        </is>
      </c>
      <c r="E1211" t="inlineStr">
        <is>
          <t>SOLLEFTEÅ</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1094-2022</t>
        </is>
      </c>
      <c r="B1212" s="1" t="n">
        <v>44571</v>
      </c>
      <c r="C1212" s="1" t="n">
        <v>45822</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1402-2022</t>
        </is>
      </c>
      <c r="B1213" s="1" t="n">
        <v>44573</v>
      </c>
      <c r="C1213" s="1" t="n">
        <v>45822</v>
      </c>
      <c r="D1213" t="inlineStr">
        <is>
          <t>VÄSTERNORRLANDS LÄN</t>
        </is>
      </c>
      <c r="E1213" t="inlineStr">
        <is>
          <t>SOLLEFTEÅ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1987-2022</t>
        </is>
      </c>
      <c r="B1214" s="1" t="n">
        <v>44575</v>
      </c>
      <c r="C1214" s="1" t="n">
        <v>45822</v>
      </c>
      <c r="D1214" t="inlineStr">
        <is>
          <t>VÄSTERNORRLANDS LÄN</t>
        </is>
      </c>
      <c r="E1214" t="inlineStr">
        <is>
          <t>SOLLEFTEÅ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1997-2022</t>
        </is>
      </c>
      <c r="B1215" s="1" t="n">
        <v>44575</v>
      </c>
      <c r="C1215" s="1" t="n">
        <v>45822</v>
      </c>
      <c r="D1215" t="inlineStr">
        <is>
          <t>VÄSTERNORRLANDS LÄN</t>
        </is>
      </c>
      <c r="E1215" t="inlineStr">
        <is>
          <t>SOLLEFTEÅ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2536-2022</t>
        </is>
      </c>
      <c r="B1216" s="1" t="n">
        <v>44579</v>
      </c>
      <c r="C1216" s="1" t="n">
        <v>45822</v>
      </c>
      <c r="D1216" t="inlineStr">
        <is>
          <t>VÄSTERNORRLANDS LÄN</t>
        </is>
      </c>
      <c r="E1216" t="inlineStr">
        <is>
          <t>SOLLEFTEÅ</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2543-2022</t>
        </is>
      </c>
      <c r="B1217" s="1" t="n">
        <v>44580</v>
      </c>
      <c r="C1217" s="1" t="n">
        <v>45822</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2542-2022</t>
        </is>
      </c>
      <c r="B1218" s="1" t="n">
        <v>44580</v>
      </c>
      <c r="C1218" s="1" t="n">
        <v>45822</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2541-2022</t>
        </is>
      </c>
      <c r="B1219" s="1" t="n">
        <v>44580</v>
      </c>
      <c r="C1219" s="1" t="n">
        <v>45822</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2747-2022</t>
        </is>
      </c>
      <c r="B1220" s="1" t="n">
        <v>44580</v>
      </c>
      <c r="C1220" s="1" t="n">
        <v>45822</v>
      </c>
      <c r="D1220" t="inlineStr">
        <is>
          <t>VÄSTERNORRLANDS LÄN</t>
        </is>
      </c>
      <c r="E1220" t="inlineStr">
        <is>
          <t>SOLLEFTEÅ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3001-2022</t>
        </is>
      </c>
      <c r="B1221" s="1" t="n">
        <v>44581</v>
      </c>
      <c r="C1221" s="1" t="n">
        <v>45822</v>
      </c>
      <c r="D1221" t="inlineStr">
        <is>
          <t>VÄSTERNORRLANDS LÄN</t>
        </is>
      </c>
      <c r="E1221" t="inlineStr">
        <is>
          <t>SOLLEFTEÅ</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3541-2022</t>
        </is>
      </c>
      <c r="B1222" s="1" t="n">
        <v>44585</v>
      </c>
      <c r="C1222" s="1" t="n">
        <v>45822</v>
      </c>
      <c r="D1222" t="inlineStr">
        <is>
          <t>VÄSTERNORRLANDS LÄN</t>
        </is>
      </c>
      <c r="E1222" t="inlineStr">
        <is>
          <t>SOLLEFTEÅ</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3548-2022</t>
        </is>
      </c>
      <c r="B1223" s="1" t="n">
        <v>44585</v>
      </c>
      <c r="C1223" s="1" t="n">
        <v>45822</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3554-2022</t>
        </is>
      </c>
      <c r="B1224" s="1" t="n">
        <v>44585</v>
      </c>
      <c r="C1224" s="1" t="n">
        <v>45822</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3560-2022</t>
        </is>
      </c>
      <c r="B1225" s="1" t="n">
        <v>44585</v>
      </c>
      <c r="C1225" s="1" t="n">
        <v>45822</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3549-2022</t>
        </is>
      </c>
      <c r="B1226" s="1" t="n">
        <v>44585</v>
      </c>
      <c r="C1226" s="1" t="n">
        <v>45822</v>
      </c>
      <c r="D1226" t="inlineStr">
        <is>
          <t>VÄSTERNORRLANDS LÄN</t>
        </is>
      </c>
      <c r="E1226" t="inlineStr">
        <is>
          <t>SOLLEFTEÅ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3551-2022</t>
        </is>
      </c>
      <c r="B1227" s="1" t="n">
        <v>44585</v>
      </c>
      <c r="C1227" s="1" t="n">
        <v>45822</v>
      </c>
      <c r="D1227" t="inlineStr">
        <is>
          <t>VÄSTERNORRLANDS LÄN</t>
        </is>
      </c>
      <c r="E1227" t="inlineStr">
        <is>
          <t>SOLLEFTEÅ</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3556-2022</t>
        </is>
      </c>
      <c r="B1228" s="1" t="n">
        <v>44585</v>
      </c>
      <c r="C1228" s="1" t="n">
        <v>45822</v>
      </c>
      <c r="D1228" t="inlineStr">
        <is>
          <t>VÄSTERNORRLANDS LÄN</t>
        </is>
      </c>
      <c r="E1228" t="inlineStr">
        <is>
          <t>SOLLEFTEÅ</t>
        </is>
      </c>
      <c r="F1228" t="inlineStr">
        <is>
          <t>SCA</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3555-2022</t>
        </is>
      </c>
      <c r="B1229" s="1" t="n">
        <v>44585</v>
      </c>
      <c r="C1229" s="1" t="n">
        <v>45822</v>
      </c>
      <c r="D1229" t="inlineStr">
        <is>
          <t>VÄSTERNORRLANDS LÄN</t>
        </is>
      </c>
      <c r="E1229" t="inlineStr">
        <is>
          <t>SOLLEFTEÅ</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3552-2022</t>
        </is>
      </c>
      <c r="B1230" s="1" t="n">
        <v>44585</v>
      </c>
      <c r="C1230" s="1" t="n">
        <v>45822</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3557-2022</t>
        </is>
      </c>
      <c r="B1231" s="1" t="n">
        <v>44585</v>
      </c>
      <c r="C1231" s="1" t="n">
        <v>45822</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3699-2022</t>
        </is>
      </c>
      <c r="B1232" s="1" t="n">
        <v>44586</v>
      </c>
      <c r="C1232" s="1" t="n">
        <v>45822</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3793-2022</t>
        </is>
      </c>
      <c r="B1233" s="1" t="n">
        <v>44586</v>
      </c>
      <c r="C1233" s="1" t="n">
        <v>45822</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4018-2022</t>
        </is>
      </c>
      <c r="B1234" s="1" t="n">
        <v>44587</v>
      </c>
      <c r="C1234" s="1" t="n">
        <v>45822</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4343-2022</t>
        </is>
      </c>
      <c r="B1235" s="1" t="n">
        <v>44588</v>
      </c>
      <c r="C1235" s="1" t="n">
        <v>45822</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4555-2022</t>
        </is>
      </c>
      <c r="B1236" s="1" t="n">
        <v>44590</v>
      </c>
      <c r="C1236" s="1" t="n">
        <v>45822</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5108-2022</t>
        </is>
      </c>
      <c r="B1237" s="1" t="n">
        <v>44593</v>
      </c>
      <c r="C1237" s="1" t="n">
        <v>45822</v>
      </c>
      <c r="D1237" t="inlineStr">
        <is>
          <t>VÄSTERNORRLANDS LÄN</t>
        </is>
      </c>
      <c r="E1237" t="inlineStr">
        <is>
          <t>SOLLEFTEÅ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5110-2022</t>
        </is>
      </c>
      <c r="B1238" s="1" t="n">
        <v>44593</v>
      </c>
      <c r="C1238" s="1" t="n">
        <v>45822</v>
      </c>
      <c r="D1238" t="inlineStr">
        <is>
          <t>VÄSTERNORRLANDS LÄN</t>
        </is>
      </c>
      <c r="E1238" t="inlineStr">
        <is>
          <t>SOLLEFTEÅ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5111-2022</t>
        </is>
      </c>
      <c r="B1239" s="1" t="n">
        <v>44593</v>
      </c>
      <c r="C1239" s="1" t="n">
        <v>45822</v>
      </c>
      <c r="D1239" t="inlineStr">
        <is>
          <t>VÄSTERNORRLANDS LÄN</t>
        </is>
      </c>
      <c r="E1239" t="inlineStr">
        <is>
          <t>SOLLEFTEÅ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5134-2022</t>
        </is>
      </c>
      <c r="B1240" s="1" t="n">
        <v>44594</v>
      </c>
      <c r="C1240" s="1" t="n">
        <v>45822</v>
      </c>
      <c r="D1240" t="inlineStr">
        <is>
          <t>VÄSTERNORRLANDS LÄN</t>
        </is>
      </c>
      <c r="E1240" t="inlineStr">
        <is>
          <t>SOLLEFTEÅ</t>
        </is>
      </c>
      <c r="G1240" t="n">
        <v>20.4</v>
      </c>
      <c r="H1240" t="n">
        <v>0</v>
      </c>
      <c r="I1240" t="n">
        <v>0</v>
      </c>
      <c r="J1240" t="n">
        <v>0</v>
      </c>
      <c r="K1240" t="n">
        <v>0</v>
      </c>
      <c r="L1240" t="n">
        <v>0</v>
      </c>
      <c r="M1240" t="n">
        <v>0</v>
      </c>
      <c r="N1240" t="n">
        <v>0</v>
      </c>
      <c r="O1240" t="n">
        <v>0</v>
      </c>
      <c r="P1240" t="n">
        <v>0</v>
      </c>
      <c r="Q1240" t="n">
        <v>0</v>
      </c>
      <c r="R1240" s="2" t="inlineStr"/>
    </row>
    <row r="1241" ht="15" customHeight="1">
      <c r="A1241" t="inlineStr">
        <is>
          <t>A 5657-2022</t>
        </is>
      </c>
      <c r="B1241" s="1" t="n">
        <v>44595</v>
      </c>
      <c r="C1241" s="1" t="n">
        <v>45822</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5909-2022</t>
        </is>
      </c>
      <c r="B1242" s="1" t="n">
        <v>44596</v>
      </c>
      <c r="C1242" s="1" t="n">
        <v>45822</v>
      </c>
      <c r="D1242" t="inlineStr">
        <is>
          <t>VÄSTERNORRLANDS LÄN</t>
        </is>
      </c>
      <c r="E1242" t="inlineStr">
        <is>
          <t>SOLLEFTEÅ</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6121-2022</t>
        </is>
      </c>
      <c r="B1243" s="1" t="n">
        <v>44599</v>
      </c>
      <c r="C1243" s="1" t="n">
        <v>45822</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6172-2022</t>
        </is>
      </c>
      <c r="B1244" s="1" t="n">
        <v>44599</v>
      </c>
      <c r="C1244" s="1" t="n">
        <v>45822</v>
      </c>
      <c r="D1244" t="inlineStr">
        <is>
          <t>VÄSTERNORRLANDS LÄN</t>
        </is>
      </c>
      <c r="E1244" t="inlineStr">
        <is>
          <t>SOLLEFTEÅ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6170-2022</t>
        </is>
      </c>
      <c r="B1245" s="1" t="n">
        <v>44599</v>
      </c>
      <c r="C1245" s="1" t="n">
        <v>45822</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7667-2022</t>
        </is>
      </c>
      <c r="B1246" s="1" t="n">
        <v>44607</v>
      </c>
      <c r="C1246" s="1" t="n">
        <v>45822</v>
      </c>
      <c r="D1246" t="inlineStr">
        <is>
          <t>VÄSTERNORRLANDS LÄN</t>
        </is>
      </c>
      <c r="E1246" t="inlineStr">
        <is>
          <t>SOLLEFTEÅ</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7965-2022</t>
        </is>
      </c>
      <c r="B1247" s="1" t="n">
        <v>44608</v>
      </c>
      <c r="C1247" s="1" t="n">
        <v>45822</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7963-2022</t>
        </is>
      </c>
      <c r="B1248" s="1" t="n">
        <v>44608</v>
      </c>
      <c r="C1248" s="1" t="n">
        <v>45822</v>
      </c>
      <c r="D1248" t="inlineStr">
        <is>
          <t>VÄSTERNORRLANDS LÄN</t>
        </is>
      </c>
      <c r="E1248" t="inlineStr">
        <is>
          <t>SOLLEFTEÅ</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7935-2022</t>
        </is>
      </c>
      <c r="B1249" s="1" t="n">
        <v>44608</v>
      </c>
      <c r="C1249" s="1" t="n">
        <v>45822</v>
      </c>
      <c r="D1249" t="inlineStr">
        <is>
          <t>VÄSTERNORRLANDS LÄN</t>
        </is>
      </c>
      <c r="E1249" t="inlineStr">
        <is>
          <t>SOLLEFTEÅ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7964-2022</t>
        </is>
      </c>
      <c r="B1250" s="1" t="n">
        <v>44608</v>
      </c>
      <c r="C1250" s="1" t="n">
        <v>45822</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8221-2022</t>
        </is>
      </c>
      <c r="B1251" s="1" t="n">
        <v>44609</v>
      </c>
      <c r="C1251" s="1" t="n">
        <v>45822</v>
      </c>
      <c r="D1251" t="inlineStr">
        <is>
          <t>VÄSTERNORRLANDS LÄN</t>
        </is>
      </c>
      <c r="E1251" t="inlineStr">
        <is>
          <t>SOLLEFTEÅ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8222-2022</t>
        </is>
      </c>
      <c r="B1252" s="1" t="n">
        <v>44609</v>
      </c>
      <c r="C1252" s="1" t="n">
        <v>45822</v>
      </c>
      <c r="D1252" t="inlineStr">
        <is>
          <t>VÄSTERNORRLANDS LÄN</t>
        </is>
      </c>
      <c r="E1252" t="inlineStr">
        <is>
          <t>SOLLEFTEÅ</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8728-2022</t>
        </is>
      </c>
      <c r="B1253" s="1" t="n">
        <v>44613</v>
      </c>
      <c r="C1253" s="1" t="n">
        <v>45822</v>
      </c>
      <c r="D1253" t="inlineStr">
        <is>
          <t>VÄSTERNORRLANDS LÄN</t>
        </is>
      </c>
      <c r="E1253" t="inlineStr">
        <is>
          <t>SOLLEFTEÅ</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8729-2022</t>
        </is>
      </c>
      <c r="B1254" s="1" t="n">
        <v>44613</v>
      </c>
      <c r="C1254" s="1" t="n">
        <v>45822</v>
      </c>
      <c r="D1254" t="inlineStr">
        <is>
          <t>VÄSTERNORRLANDS LÄN</t>
        </is>
      </c>
      <c r="E1254" t="inlineStr">
        <is>
          <t>SOLLEFTEÅ</t>
        </is>
      </c>
      <c r="F1254" t="inlineStr">
        <is>
          <t>SCA</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8734-2022</t>
        </is>
      </c>
      <c r="B1255" s="1" t="n">
        <v>44613</v>
      </c>
      <c r="C1255" s="1" t="n">
        <v>45822</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9124-2022</t>
        </is>
      </c>
      <c r="B1256" s="1" t="n">
        <v>44615</v>
      </c>
      <c r="C1256" s="1" t="n">
        <v>45822</v>
      </c>
      <c r="D1256" t="inlineStr">
        <is>
          <t>VÄSTERNORRLANDS LÄN</t>
        </is>
      </c>
      <c r="E1256" t="inlineStr">
        <is>
          <t>SOLLEFTEÅ</t>
        </is>
      </c>
      <c r="G1256" t="n">
        <v>20.2</v>
      </c>
      <c r="H1256" t="n">
        <v>0</v>
      </c>
      <c r="I1256" t="n">
        <v>0</v>
      </c>
      <c r="J1256" t="n">
        <v>0</v>
      </c>
      <c r="K1256" t="n">
        <v>0</v>
      </c>
      <c r="L1256" t="n">
        <v>0</v>
      </c>
      <c r="M1256" t="n">
        <v>0</v>
      </c>
      <c r="N1256" t="n">
        <v>0</v>
      </c>
      <c r="O1256" t="n">
        <v>0</v>
      </c>
      <c r="P1256" t="n">
        <v>0</v>
      </c>
      <c r="Q1256" t="n">
        <v>0</v>
      </c>
      <c r="R1256" s="2" t="inlineStr"/>
    </row>
    <row r="1257" ht="15" customHeight="1">
      <c r="A1257" t="inlineStr">
        <is>
          <t>A 9487-2022</t>
        </is>
      </c>
      <c r="B1257" s="1" t="n">
        <v>44616</v>
      </c>
      <c r="C1257" s="1" t="n">
        <v>45822</v>
      </c>
      <c r="D1257" t="inlineStr">
        <is>
          <t>VÄSTERNORRLANDS LÄN</t>
        </is>
      </c>
      <c r="E1257" t="inlineStr">
        <is>
          <t>SOLLEFTEÅ</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9586-2022</t>
        </is>
      </c>
      <c r="B1258" s="1" t="n">
        <v>44617</v>
      </c>
      <c r="C1258" s="1" t="n">
        <v>45822</v>
      </c>
      <c r="D1258" t="inlineStr">
        <is>
          <t>VÄSTERNORRLANDS LÄN</t>
        </is>
      </c>
      <c r="E1258" t="inlineStr">
        <is>
          <t>SOLLEFTEÅ</t>
        </is>
      </c>
      <c r="F1258" t="inlineStr">
        <is>
          <t>Övriga Aktiebolag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10138-2022</t>
        </is>
      </c>
      <c r="B1259" s="1" t="n">
        <v>44621</v>
      </c>
      <c r="C1259" s="1" t="n">
        <v>45822</v>
      </c>
      <c r="D1259" t="inlineStr">
        <is>
          <t>VÄSTERNORRLANDS LÄN</t>
        </is>
      </c>
      <c r="E1259" t="inlineStr">
        <is>
          <t>SOLLEFTEÅ</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10139-2022</t>
        </is>
      </c>
      <c r="B1260" s="1" t="n">
        <v>44621</v>
      </c>
      <c r="C1260" s="1" t="n">
        <v>45822</v>
      </c>
      <c r="D1260" t="inlineStr">
        <is>
          <t>VÄSTERNORRLANDS LÄN</t>
        </is>
      </c>
      <c r="E1260" t="inlineStr">
        <is>
          <t>SOLLEFTEÅ</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10140-2022</t>
        </is>
      </c>
      <c r="B1261" s="1" t="n">
        <v>44621</v>
      </c>
      <c r="C1261" s="1" t="n">
        <v>45822</v>
      </c>
      <c r="D1261" t="inlineStr">
        <is>
          <t>VÄSTERNORRLANDS LÄN</t>
        </is>
      </c>
      <c r="E1261" t="inlineStr">
        <is>
          <t>SOLLEFTEÅ</t>
        </is>
      </c>
      <c r="F1261" t="inlineStr">
        <is>
          <t>SCA</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10141-2022</t>
        </is>
      </c>
      <c r="B1262" s="1" t="n">
        <v>44621</v>
      </c>
      <c r="C1262" s="1" t="n">
        <v>45822</v>
      </c>
      <c r="D1262" t="inlineStr">
        <is>
          <t>VÄSTERNORRLANDS LÄN</t>
        </is>
      </c>
      <c r="E1262" t="inlineStr">
        <is>
          <t>SOLLEFTEÅ</t>
        </is>
      </c>
      <c r="F1262" t="inlineStr">
        <is>
          <t>SCA</t>
        </is>
      </c>
      <c r="G1262" t="n">
        <v>15.5</v>
      </c>
      <c r="H1262" t="n">
        <v>0</v>
      </c>
      <c r="I1262" t="n">
        <v>0</v>
      </c>
      <c r="J1262" t="n">
        <v>0</v>
      </c>
      <c r="K1262" t="n">
        <v>0</v>
      </c>
      <c r="L1262" t="n">
        <v>0</v>
      </c>
      <c r="M1262" t="n">
        <v>0</v>
      </c>
      <c r="N1262" t="n">
        <v>0</v>
      </c>
      <c r="O1262" t="n">
        <v>0</v>
      </c>
      <c r="P1262" t="n">
        <v>0</v>
      </c>
      <c r="Q1262" t="n">
        <v>0</v>
      </c>
      <c r="R1262" s="2" t="inlineStr"/>
    </row>
    <row r="1263" ht="15" customHeight="1">
      <c r="A1263" t="inlineStr">
        <is>
          <t>A 10198-2022</t>
        </is>
      </c>
      <c r="B1263" s="1" t="n">
        <v>44622</v>
      </c>
      <c r="C1263" s="1" t="n">
        <v>45822</v>
      </c>
      <c r="D1263" t="inlineStr">
        <is>
          <t>VÄSTERNORRLANDS LÄN</t>
        </is>
      </c>
      <c r="E1263" t="inlineStr">
        <is>
          <t>SOLLEFTEÅ</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10242-2022</t>
        </is>
      </c>
      <c r="B1264" s="1" t="n">
        <v>44622</v>
      </c>
      <c r="C1264" s="1" t="n">
        <v>45822</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10308-2022</t>
        </is>
      </c>
      <c r="B1265" s="1" t="n">
        <v>44622</v>
      </c>
      <c r="C1265" s="1" t="n">
        <v>45822</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10250-2022</t>
        </is>
      </c>
      <c r="B1266" s="1" t="n">
        <v>44622</v>
      </c>
      <c r="C1266" s="1" t="n">
        <v>45822</v>
      </c>
      <c r="D1266" t="inlineStr">
        <is>
          <t>VÄSTERNORRLANDS LÄN</t>
        </is>
      </c>
      <c r="E1266" t="inlineStr">
        <is>
          <t>SOLLEFTEÅ</t>
        </is>
      </c>
      <c r="G1266" t="n">
        <v>17.6</v>
      </c>
      <c r="H1266" t="n">
        <v>0</v>
      </c>
      <c r="I1266" t="n">
        <v>0</v>
      </c>
      <c r="J1266" t="n">
        <v>0</v>
      </c>
      <c r="K1266" t="n">
        <v>0</v>
      </c>
      <c r="L1266" t="n">
        <v>0</v>
      </c>
      <c r="M1266" t="n">
        <v>0</v>
      </c>
      <c r="N1266" t="n">
        <v>0</v>
      </c>
      <c r="O1266" t="n">
        <v>0</v>
      </c>
      <c r="P1266" t="n">
        <v>0</v>
      </c>
      <c r="Q1266" t="n">
        <v>0</v>
      </c>
      <c r="R1266" s="2" t="inlineStr"/>
    </row>
    <row r="1267" ht="15" customHeight="1">
      <c r="A1267" t="inlineStr">
        <is>
          <t>A 10310-2022</t>
        </is>
      </c>
      <c r="B1267" s="1" t="n">
        <v>44622</v>
      </c>
      <c r="C1267" s="1" t="n">
        <v>45822</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10307-2022</t>
        </is>
      </c>
      <c r="B1268" s="1" t="n">
        <v>44622</v>
      </c>
      <c r="C1268" s="1" t="n">
        <v>45822</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10311-2022</t>
        </is>
      </c>
      <c r="B1269" s="1" t="n">
        <v>44622</v>
      </c>
      <c r="C1269" s="1" t="n">
        <v>45822</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10309-2022</t>
        </is>
      </c>
      <c r="B1270" s="1" t="n">
        <v>44622</v>
      </c>
      <c r="C1270" s="1" t="n">
        <v>45822</v>
      </c>
      <c r="D1270" t="inlineStr">
        <is>
          <t>VÄSTERNORRLANDS LÄN</t>
        </is>
      </c>
      <c r="E1270" t="inlineStr">
        <is>
          <t>SOLLEFTEÅ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10314-2022</t>
        </is>
      </c>
      <c r="B1271" s="1" t="n">
        <v>44622</v>
      </c>
      <c r="C1271" s="1" t="n">
        <v>45822</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10417-2022</t>
        </is>
      </c>
      <c r="B1272" s="1" t="n">
        <v>44623</v>
      </c>
      <c r="C1272" s="1" t="n">
        <v>45822</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10924-2022</t>
        </is>
      </c>
      <c r="B1273" s="1" t="n">
        <v>44627</v>
      </c>
      <c r="C1273" s="1" t="n">
        <v>45822</v>
      </c>
      <c r="D1273" t="inlineStr">
        <is>
          <t>VÄSTERNORRLANDS LÄN</t>
        </is>
      </c>
      <c r="E1273" t="inlineStr">
        <is>
          <t>SOLLEFTEÅ</t>
        </is>
      </c>
      <c r="F1273" t="inlineStr">
        <is>
          <t>SCA</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10926-2022</t>
        </is>
      </c>
      <c r="B1274" s="1" t="n">
        <v>44627</v>
      </c>
      <c r="C1274" s="1" t="n">
        <v>45822</v>
      </c>
      <c r="D1274" t="inlineStr">
        <is>
          <t>VÄSTERNORRLANDS LÄN</t>
        </is>
      </c>
      <c r="E1274" t="inlineStr">
        <is>
          <t>SOLLEFTEÅ</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10925-2022</t>
        </is>
      </c>
      <c r="B1275" s="1" t="n">
        <v>44627</v>
      </c>
      <c r="C1275" s="1" t="n">
        <v>45822</v>
      </c>
      <c r="D1275" t="inlineStr">
        <is>
          <t>VÄSTERNORRLANDS LÄN</t>
        </is>
      </c>
      <c r="E1275" t="inlineStr">
        <is>
          <t>SOLLEFTEÅ</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10927-2022</t>
        </is>
      </c>
      <c r="B1276" s="1" t="n">
        <v>44627</v>
      </c>
      <c r="C1276" s="1" t="n">
        <v>45822</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11117-2022</t>
        </is>
      </c>
      <c r="B1277" s="1" t="n">
        <v>44628</v>
      </c>
      <c r="C1277" s="1" t="n">
        <v>45822</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11131-2022</t>
        </is>
      </c>
      <c r="B1278" s="1" t="n">
        <v>44628</v>
      </c>
      <c r="C1278" s="1" t="n">
        <v>45822</v>
      </c>
      <c r="D1278" t="inlineStr">
        <is>
          <t>VÄSTERNORRLANDS LÄN</t>
        </is>
      </c>
      <c r="E1278" t="inlineStr">
        <is>
          <t>SOLLEFTEÅ</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11133-2022</t>
        </is>
      </c>
      <c r="B1279" s="1" t="n">
        <v>44628</v>
      </c>
      <c r="C1279" s="1" t="n">
        <v>45822</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11125-2022</t>
        </is>
      </c>
      <c r="B1280" s="1" t="n">
        <v>44628</v>
      </c>
      <c r="C1280" s="1" t="n">
        <v>45822</v>
      </c>
      <c r="D1280" t="inlineStr">
        <is>
          <t>VÄSTERNORRLANDS LÄN</t>
        </is>
      </c>
      <c r="E1280" t="inlineStr">
        <is>
          <t>SOLLEFTEÅ</t>
        </is>
      </c>
      <c r="F1280" t="inlineStr">
        <is>
          <t>SCA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11241-2022</t>
        </is>
      </c>
      <c r="B1281" s="1" t="n">
        <v>44629</v>
      </c>
      <c r="C1281" s="1" t="n">
        <v>45822</v>
      </c>
      <c r="D1281" t="inlineStr">
        <is>
          <t>VÄSTERNORRLANDS LÄN</t>
        </is>
      </c>
      <c r="E1281" t="inlineStr">
        <is>
          <t>SOLLEFTEÅ</t>
        </is>
      </c>
      <c r="F1281" t="inlineStr">
        <is>
          <t>Kommuner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11318-2022</t>
        </is>
      </c>
      <c r="B1282" s="1" t="n">
        <v>44629</v>
      </c>
      <c r="C1282" s="1" t="n">
        <v>45822</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11475-2022</t>
        </is>
      </c>
      <c r="B1283" s="1" t="n">
        <v>44630</v>
      </c>
      <c r="C1283" s="1" t="n">
        <v>45822</v>
      </c>
      <c r="D1283" t="inlineStr">
        <is>
          <t>VÄSTERNORRLANDS LÄN</t>
        </is>
      </c>
      <c r="E1283" t="inlineStr">
        <is>
          <t>SOLLEFTEÅ</t>
        </is>
      </c>
      <c r="G1283" t="n">
        <v>18.7</v>
      </c>
      <c r="H1283" t="n">
        <v>0</v>
      </c>
      <c r="I1283" t="n">
        <v>0</v>
      </c>
      <c r="J1283" t="n">
        <v>0</v>
      </c>
      <c r="K1283" t="n">
        <v>0</v>
      </c>
      <c r="L1283" t="n">
        <v>0</v>
      </c>
      <c r="M1283" t="n">
        <v>0</v>
      </c>
      <c r="N1283" t="n">
        <v>0</v>
      </c>
      <c r="O1283" t="n">
        <v>0</v>
      </c>
      <c r="P1283" t="n">
        <v>0</v>
      </c>
      <c r="Q1283" t="n">
        <v>0</v>
      </c>
      <c r="R1283" s="2" t="inlineStr"/>
    </row>
    <row r="1284" ht="15" customHeight="1">
      <c r="A1284" t="inlineStr">
        <is>
          <t>A 11484-2022</t>
        </is>
      </c>
      <c r="B1284" s="1" t="n">
        <v>44630</v>
      </c>
      <c r="C1284" s="1" t="n">
        <v>45822</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11474-2022</t>
        </is>
      </c>
      <c r="B1285" s="1" t="n">
        <v>44630</v>
      </c>
      <c r="C1285" s="1" t="n">
        <v>45822</v>
      </c>
      <c r="D1285" t="inlineStr">
        <is>
          <t>VÄSTERNORRLANDS LÄN</t>
        </is>
      </c>
      <c r="E1285" t="inlineStr">
        <is>
          <t>SOLLEFTEÅ</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11483-2022</t>
        </is>
      </c>
      <c r="B1286" s="1" t="n">
        <v>44630</v>
      </c>
      <c r="C1286" s="1" t="n">
        <v>45822</v>
      </c>
      <c r="D1286" t="inlineStr">
        <is>
          <t>VÄSTERNORRLANDS LÄN</t>
        </is>
      </c>
      <c r="E1286" t="inlineStr">
        <is>
          <t>SOLLEFTEÅ</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11652-2022</t>
        </is>
      </c>
      <c r="B1287" s="1" t="n">
        <v>44631</v>
      </c>
      <c r="C1287" s="1" t="n">
        <v>45822</v>
      </c>
      <c r="D1287" t="inlineStr">
        <is>
          <t>VÄSTERNORRLANDS LÄN</t>
        </is>
      </c>
      <c r="E1287" t="inlineStr">
        <is>
          <t>SOLLEFTEÅ</t>
        </is>
      </c>
      <c r="F1287" t="inlineStr">
        <is>
          <t>SCA</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11656-2022</t>
        </is>
      </c>
      <c r="B1288" s="1" t="n">
        <v>44631</v>
      </c>
      <c r="C1288" s="1" t="n">
        <v>45822</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11653-2022</t>
        </is>
      </c>
      <c r="B1289" s="1" t="n">
        <v>44631</v>
      </c>
      <c r="C1289" s="1" t="n">
        <v>45822</v>
      </c>
      <c r="D1289" t="inlineStr">
        <is>
          <t>VÄSTERNORRLANDS LÄN</t>
        </is>
      </c>
      <c r="E1289" t="inlineStr">
        <is>
          <t>SOLLEFTEÅ</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11677-2022</t>
        </is>
      </c>
      <c r="B1290" s="1" t="n">
        <v>44633</v>
      </c>
      <c r="C1290" s="1" t="n">
        <v>45822</v>
      </c>
      <c r="D1290" t="inlineStr">
        <is>
          <t>VÄSTERNORRLANDS LÄN</t>
        </is>
      </c>
      <c r="E1290" t="inlineStr">
        <is>
          <t>SOLLEFTEÅ</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11842-2022</t>
        </is>
      </c>
      <c r="B1291" s="1" t="n">
        <v>44634</v>
      </c>
      <c r="C1291" s="1" t="n">
        <v>45822</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11845-2022</t>
        </is>
      </c>
      <c r="B1292" s="1" t="n">
        <v>44634</v>
      </c>
      <c r="C1292" s="1" t="n">
        <v>45822</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11846-2022</t>
        </is>
      </c>
      <c r="B1293" s="1" t="n">
        <v>44634</v>
      </c>
      <c r="C1293" s="1" t="n">
        <v>45822</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11870-2022</t>
        </is>
      </c>
      <c r="B1294" s="1" t="n">
        <v>44635</v>
      </c>
      <c r="C1294" s="1" t="n">
        <v>45822</v>
      </c>
      <c r="D1294" t="inlineStr">
        <is>
          <t>VÄSTERNORRLANDS LÄN</t>
        </is>
      </c>
      <c r="E1294" t="inlineStr">
        <is>
          <t>SOLLEFTEÅ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11874-2022</t>
        </is>
      </c>
      <c r="B1295" s="1" t="n">
        <v>44635</v>
      </c>
      <c r="C1295" s="1" t="n">
        <v>45822</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12007-2022</t>
        </is>
      </c>
      <c r="B1296" s="1" t="n">
        <v>44635</v>
      </c>
      <c r="C1296" s="1" t="n">
        <v>45822</v>
      </c>
      <c r="D1296" t="inlineStr">
        <is>
          <t>VÄSTERNORRLANDS LÄN</t>
        </is>
      </c>
      <c r="E1296" t="inlineStr">
        <is>
          <t>SOLLEFTEÅ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12001-2022</t>
        </is>
      </c>
      <c r="B1297" s="1" t="n">
        <v>44635</v>
      </c>
      <c r="C1297" s="1" t="n">
        <v>45822</v>
      </c>
      <c r="D1297" t="inlineStr">
        <is>
          <t>VÄSTERNORRLANDS LÄN</t>
        </is>
      </c>
      <c r="E1297" t="inlineStr">
        <is>
          <t>SOLLEFTEÅ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12006-2022</t>
        </is>
      </c>
      <c r="B1298" s="1" t="n">
        <v>44635</v>
      </c>
      <c r="C1298" s="1" t="n">
        <v>45822</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12022-2022</t>
        </is>
      </c>
      <c r="B1299" s="1" t="n">
        <v>44635</v>
      </c>
      <c r="C1299" s="1" t="n">
        <v>45822</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12191-2022</t>
        </is>
      </c>
      <c r="B1300" s="1" t="n">
        <v>44636</v>
      </c>
      <c r="C1300" s="1" t="n">
        <v>45822</v>
      </c>
      <c r="D1300" t="inlineStr">
        <is>
          <t>VÄSTERNORRLANDS LÄN</t>
        </is>
      </c>
      <c r="E1300" t="inlineStr">
        <is>
          <t>SOLLEFTEÅ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12201-2022</t>
        </is>
      </c>
      <c r="B1301" s="1" t="n">
        <v>44636</v>
      </c>
      <c r="C1301" s="1" t="n">
        <v>45822</v>
      </c>
      <c r="D1301" t="inlineStr">
        <is>
          <t>VÄSTERNORRLANDS LÄN</t>
        </is>
      </c>
      <c r="E1301" t="inlineStr">
        <is>
          <t>SOLLEFTEÅ</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12395-2022</t>
        </is>
      </c>
      <c r="B1302" s="1" t="n">
        <v>44637</v>
      </c>
      <c r="C1302" s="1" t="n">
        <v>45822</v>
      </c>
      <c r="D1302" t="inlineStr">
        <is>
          <t>VÄSTERNORRLANDS LÄN</t>
        </is>
      </c>
      <c r="E1302" t="inlineStr">
        <is>
          <t>SOLLEFTEÅ</t>
        </is>
      </c>
      <c r="F1302" t="inlineStr">
        <is>
          <t>SCA</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12561-2022</t>
        </is>
      </c>
      <c r="B1303" s="1" t="n">
        <v>44638</v>
      </c>
      <c r="C1303" s="1" t="n">
        <v>45822</v>
      </c>
      <c r="D1303" t="inlineStr">
        <is>
          <t>VÄSTERNORRLANDS LÄN</t>
        </is>
      </c>
      <c r="E1303" t="inlineStr">
        <is>
          <t>SOLLEFTEÅ</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12565-2022</t>
        </is>
      </c>
      <c r="B1304" s="1" t="n">
        <v>44638</v>
      </c>
      <c r="C1304" s="1" t="n">
        <v>45822</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12572-2022</t>
        </is>
      </c>
      <c r="B1305" s="1" t="n">
        <v>44638</v>
      </c>
      <c r="C1305" s="1" t="n">
        <v>45822</v>
      </c>
      <c r="D1305" t="inlineStr">
        <is>
          <t>VÄSTERNORRLANDS LÄN</t>
        </is>
      </c>
      <c r="E1305" t="inlineStr">
        <is>
          <t>SOLLEFTEÅ</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12564-2022</t>
        </is>
      </c>
      <c r="B1306" s="1" t="n">
        <v>44638</v>
      </c>
      <c r="C1306" s="1" t="n">
        <v>45822</v>
      </c>
      <c r="D1306" t="inlineStr">
        <is>
          <t>VÄSTERNORRLANDS LÄN</t>
        </is>
      </c>
      <c r="E1306" t="inlineStr">
        <is>
          <t>SOLLEFTEÅ</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12568-2022</t>
        </is>
      </c>
      <c r="B1307" s="1" t="n">
        <v>44638</v>
      </c>
      <c r="C1307" s="1" t="n">
        <v>45822</v>
      </c>
      <c r="D1307" t="inlineStr">
        <is>
          <t>VÄSTERNORRLANDS LÄN</t>
        </is>
      </c>
      <c r="E1307" t="inlineStr">
        <is>
          <t>SOLLEFTEÅ</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12557-2022</t>
        </is>
      </c>
      <c r="B1308" s="1" t="n">
        <v>44638</v>
      </c>
      <c r="C1308" s="1" t="n">
        <v>45822</v>
      </c>
      <c r="D1308" t="inlineStr">
        <is>
          <t>VÄSTERNORRLANDS LÄN</t>
        </is>
      </c>
      <c r="E1308" t="inlineStr">
        <is>
          <t>SOLLEFTEÅ</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12563-2022</t>
        </is>
      </c>
      <c r="B1309" s="1" t="n">
        <v>44638</v>
      </c>
      <c r="C1309" s="1" t="n">
        <v>45822</v>
      </c>
      <c r="D1309" t="inlineStr">
        <is>
          <t>VÄSTERNORRLANDS LÄN</t>
        </is>
      </c>
      <c r="E1309" t="inlineStr">
        <is>
          <t>SOLLEFTEÅ</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12567-2022</t>
        </is>
      </c>
      <c r="B1310" s="1" t="n">
        <v>44638</v>
      </c>
      <c r="C1310" s="1" t="n">
        <v>45822</v>
      </c>
      <c r="D1310" t="inlineStr">
        <is>
          <t>VÄSTERNORRLANDS LÄN</t>
        </is>
      </c>
      <c r="E1310" t="inlineStr">
        <is>
          <t>SOLLEFTEÅ</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12562-2022</t>
        </is>
      </c>
      <c r="B1311" s="1" t="n">
        <v>44638</v>
      </c>
      <c r="C1311" s="1" t="n">
        <v>45822</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12566-2022</t>
        </is>
      </c>
      <c r="B1312" s="1" t="n">
        <v>44638</v>
      </c>
      <c r="C1312" s="1" t="n">
        <v>45822</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12758-2022</t>
        </is>
      </c>
      <c r="B1313" s="1" t="n">
        <v>44641</v>
      </c>
      <c r="C1313" s="1" t="n">
        <v>45822</v>
      </c>
      <c r="D1313" t="inlineStr">
        <is>
          <t>VÄSTERNORRLANDS LÄN</t>
        </is>
      </c>
      <c r="E1313" t="inlineStr">
        <is>
          <t>SOLLEFTEÅ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12764-2022</t>
        </is>
      </c>
      <c r="B1314" s="1" t="n">
        <v>44641</v>
      </c>
      <c r="C1314" s="1" t="n">
        <v>45822</v>
      </c>
      <c r="D1314" t="inlineStr">
        <is>
          <t>VÄSTERNORRLANDS LÄN</t>
        </is>
      </c>
      <c r="E1314" t="inlineStr">
        <is>
          <t>SOLLEFTEÅ</t>
        </is>
      </c>
      <c r="F1314" t="inlineStr">
        <is>
          <t>SCA</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12774-2022</t>
        </is>
      </c>
      <c r="B1315" s="1" t="n">
        <v>44641</v>
      </c>
      <c r="C1315" s="1" t="n">
        <v>45822</v>
      </c>
      <c r="D1315" t="inlineStr">
        <is>
          <t>VÄSTERNORRLANDS LÄN</t>
        </is>
      </c>
      <c r="E1315" t="inlineStr">
        <is>
          <t>SOLLEFTEÅ</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13300-2022</t>
        </is>
      </c>
      <c r="B1316" s="1" t="n">
        <v>44644</v>
      </c>
      <c r="C1316" s="1" t="n">
        <v>45822</v>
      </c>
      <c r="D1316" t="inlineStr">
        <is>
          <t>VÄSTERNORRLANDS LÄN</t>
        </is>
      </c>
      <c r="E1316" t="inlineStr">
        <is>
          <t>SOLLEFTEÅ</t>
        </is>
      </c>
      <c r="F1316" t="inlineStr">
        <is>
          <t>SCA</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13311-2022</t>
        </is>
      </c>
      <c r="B1317" s="1" t="n">
        <v>44644</v>
      </c>
      <c r="C1317" s="1" t="n">
        <v>45822</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13309-2022</t>
        </is>
      </c>
      <c r="B1318" s="1" t="n">
        <v>44644</v>
      </c>
      <c r="C1318" s="1" t="n">
        <v>45822</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13492-2022</t>
        </is>
      </c>
      <c r="B1319" s="1" t="n">
        <v>44646</v>
      </c>
      <c r="C1319" s="1" t="n">
        <v>45822</v>
      </c>
      <c r="D1319" t="inlineStr">
        <is>
          <t>VÄSTERNORRLANDS LÄN</t>
        </is>
      </c>
      <c r="E1319" t="inlineStr">
        <is>
          <t>SOLLEFTEÅ</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13598-2022</t>
        </is>
      </c>
      <c r="B1320" s="1" t="n">
        <v>44648</v>
      </c>
      <c r="C1320" s="1" t="n">
        <v>45822</v>
      </c>
      <c r="D1320" t="inlineStr">
        <is>
          <t>VÄSTERNORRLANDS LÄN</t>
        </is>
      </c>
      <c r="E1320" t="inlineStr">
        <is>
          <t>SOLLEFTEÅ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13710-2022</t>
        </is>
      </c>
      <c r="B1321" s="1" t="n">
        <v>44649</v>
      </c>
      <c r="C1321" s="1" t="n">
        <v>45822</v>
      </c>
      <c r="D1321" t="inlineStr">
        <is>
          <t>VÄSTERNORRLANDS LÄN</t>
        </is>
      </c>
      <c r="E1321" t="inlineStr">
        <is>
          <t>SOLLEFTEÅ</t>
        </is>
      </c>
      <c r="F1321" t="inlineStr">
        <is>
          <t>SCA</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14061-2022</t>
        </is>
      </c>
      <c r="B1322" s="1" t="n">
        <v>44651</v>
      </c>
      <c r="C1322" s="1" t="n">
        <v>45822</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14066-2022</t>
        </is>
      </c>
      <c r="B1323" s="1" t="n">
        <v>44650</v>
      </c>
      <c r="C1323" s="1" t="n">
        <v>45822</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14058-2022</t>
        </is>
      </c>
      <c r="B1324" s="1" t="n">
        <v>44651</v>
      </c>
      <c r="C1324" s="1" t="n">
        <v>45822</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14063-2022</t>
        </is>
      </c>
      <c r="B1325" s="1" t="n">
        <v>44651</v>
      </c>
      <c r="C1325" s="1" t="n">
        <v>45822</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14055-2022</t>
        </is>
      </c>
      <c r="B1326" s="1" t="n">
        <v>44651</v>
      </c>
      <c r="C1326" s="1" t="n">
        <v>45822</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14060-2022</t>
        </is>
      </c>
      <c r="B1327" s="1" t="n">
        <v>44651</v>
      </c>
      <c r="C1327" s="1" t="n">
        <v>45822</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14065-2022</t>
        </is>
      </c>
      <c r="B1328" s="1" t="n">
        <v>44650</v>
      </c>
      <c r="C1328" s="1" t="n">
        <v>45822</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14059-2022</t>
        </is>
      </c>
      <c r="B1329" s="1" t="n">
        <v>44651</v>
      </c>
      <c r="C1329" s="1" t="n">
        <v>45822</v>
      </c>
      <c r="D1329" t="inlineStr">
        <is>
          <t>VÄSTERNORRLANDS LÄN</t>
        </is>
      </c>
      <c r="E1329" t="inlineStr">
        <is>
          <t>SOLLEFTEÅ</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14064-2022</t>
        </is>
      </c>
      <c r="B1330" s="1" t="n">
        <v>44651</v>
      </c>
      <c r="C1330" s="1" t="n">
        <v>45822</v>
      </c>
      <c r="D1330" t="inlineStr">
        <is>
          <t>VÄSTERNORRLANDS LÄN</t>
        </is>
      </c>
      <c r="E1330" t="inlineStr">
        <is>
          <t>SOLLEFTEÅ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14276-2022</t>
        </is>
      </c>
      <c r="B1331" s="1" t="n">
        <v>44652</v>
      </c>
      <c r="C1331" s="1" t="n">
        <v>45822</v>
      </c>
      <c r="D1331" t="inlineStr">
        <is>
          <t>VÄSTERNORRLANDS LÄN</t>
        </is>
      </c>
      <c r="E1331" t="inlineStr">
        <is>
          <t>SOLLEFTEÅ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14297-2022</t>
        </is>
      </c>
      <c r="B1332" s="1" t="n">
        <v>44651</v>
      </c>
      <c r="C1332" s="1" t="n">
        <v>45822</v>
      </c>
      <c r="D1332" t="inlineStr">
        <is>
          <t>VÄSTERNORRLANDS LÄN</t>
        </is>
      </c>
      <c r="E1332" t="inlineStr">
        <is>
          <t>SOLLEFTEÅ</t>
        </is>
      </c>
      <c r="F1332" t="inlineStr">
        <is>
          <t>SCA</t>
        </is>
      </c>
      <c r="G1332" t="n">
        <v>15.2</v>
      </c>
      <c r="H1332" t="n">
        <v>0</v>
      </c>
      <c r="I1332" t="n">
        <v>0</v>
      </c>
      <c r="J1332" t="n">
        <v>0</v>
      </c>
      <c r="K1332" t="n">
        <v>0</v>
      </c>
      <c r="L1332" t="n">
        <v>0</v>
      </c>
      <c r="M1332" t="n">
        <v>0</v>
      </c>
      <c r="N1332" t="n">
        <v>0</v>
      </c>
      <c r="O1332" t="n">
        <v>0</v>
      </c>
      <c r="P1332" t="n">
        <v>0</v>
      </c>
      <c r="Q1332" t="n">
        <v>0</v>
      </c>
      <c r="R1332" s="2" t="inlineStr"/>
    </row>
    <row r="1333" ht="15" customHeight="1">
      <c r="A1333" t="inlineStr">
        <is>
          <t>A 14300-2022</t>
        </is>
      </c>
      <c r="B1333" s="1" t="n">
        <v>44652</v>
      </c>
      <c r="C1333" s="1" t="n">
        <v>45822</v>
      </c>
      <c r="D1333" t="inlineStr">
        <is>
          <t>VÄSTERNORRLANDS LÄN</t>
        </is>
      </c>
      <c r="E1333" t="inlineStr">
        <is>
          <t>SOLLEFTEÅ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14308-2022</t>
        </is>
      </c>
      <c r="B1334" s="1" t="n">
        <v>44652</v>
      </c>
      <c r="C1334" s="1" t="n">
        <v>45822</v>
      </c>
      <c r="D1334" t="inlineStr">
        <is>
          <t>VÄSTERNORRLANDS LÄN</t>
        </is>
      </c>
      <c r="E1334" t="inlineStr">
        <is>
          <t>SOLLEFTEÅ</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14275-2022</t>
        </is>
      </c>
      <c r="B1335" s="1" t="n">
        <v>44651</v>
      </c>
      <c r="C1335" s="1" t="n">
        <v>45822</v>
      </c>
      <c r="D1335" t="inlineStr">
        <is>
          <t>VÄSTERNORRLANDS LÄN</t>
        </is>
      </c>
      <c r="E1335" t="inlineStr">
        <is>
          <t>SOLLEFTEÅ</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14299-2022</t>
        </is>
      </c>
      <c r="B1336" s="1" t="n">
        <v>44652</v>
      </c>
      <c r="C1336" s="1" t="n">
        <v>45822</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14296-2022</t>
        </is>
      </c>
      <c r="B1337" s="1" t="n">
        <v>44652</v>
      </c>
      <c r="C1337" s="1" t="n">
        <v>45822</v>
      </c>
      <c r="D1337" t="inlineStr">
        <is>
          <t>VÄSTERNORRLANDS LÄN</t>
        </is>
      </c>
      <c r="E1337" t="inlineStr">
        <is>
          <t>SOLLEFTEÅ</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14302-2022</t>
        </is>
      </c>
      <c r="B1338" s="1" t="n">
        <v>44651</v>
      </c>
      <c r="C1338" s="1" t="n">
        <v>45822</v>
      </c>
      <c r="D1338" t="inlineStr">
        <is>
          <t>VÄSTERNORRLANDS LÄN</t>
        </is>
      </c>
      <c r="E1338" t="inlineStr">
        <is>
          <t>SOLLEFTEÅ</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14448-2022</t>
        </is>
      </c>
      <c r="B1339" s="1" t="n">
        <v>44652</v>
      </c>
      <c r="C1339" s="1" t="n">
        <v>45822</v>
      </c>
      <c r="D1339" t="inlineStr">
        <is>
          <t>VÄSTERNORRLANDS LÄN</t>
        </is>
      </c>
      <c r="E1339" t="inlineStr">
        <is>
          <t>SOLLEFTEÅ</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14449-2022</t>
        </is>
      </c>
      <c r="B1340" s="1" t="n">
        <v>44652</v>
      </c>
      <c r="C1340" s="1" t="n">
        <v>45822</v>
      </c>
      <c r="D1340" t="inlineStr">
        <is>
          <t>VÄSTERNORRLANDS LÄN</t>
        </is>
      </c>
      <c r="E1340" t="inlineStr">
        <is>
          <t>SOLLEFTEÅ</t>
        </is>
      </c>
      <c r="F1340" t="inlineStr">
        <is>
          <t>SCA</t>
        </is>
      </c>
      <c r="G1340" t="n">
        <v>31.8</v>
      </c>
      <c r="H1340" t="n">
        <v>0</v>
      </c>
      <c r="I1340" t="n">
        <v>0</v>
      </c>
      <c r="J1340" t="n">
        <v>0</v>
      </c>
      <c r="K1340" t="n">
        <v>0</v>
      </c>
      <c r="L1340" t="n">
        <v>0</v>
      </c>
      <c r="M1340" t="n">
        <v>0</v>
      </c>
      <c r="N1340" t="n">
        <v>0</v>
      </c>
      <c r="O1340" t="n">
        <v>0</v>
      </c>
      <c r="P1340" t="n">
        <v>0</v>
      </c>
      <c r="Q1340" t="n">
        <v>0</v>
      </c>
      <c r="R1340" s="2" t="inlineStr"/>
    </row>
    <row r="1341" ht="15" customHeight="1">
      <c r="A1341" t="inlineStr">
        <is>
          <t>A 14450-2022</t>
        </is>
      </c>
      <c r="B1341" s="1" t="n">
        <v>44653</v>
      </c>
      <c r="C1341" s="1" t="n">
        <v>45822</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14447-2022</t>
        </is>
      </c>
      <c r="B1342" s="1" t="n">
        <v>44653</v>
      </c>
      <c r="C1342" s="1" t="n">
        <v>45822</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14477-2022</t>
        </is>
      </c>
      <c r="B1343" s="1" t="n">
        <v>44655</v>
      </c>
      <c r="C1343" s="1" t="n">
        <v>45822</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14910-2022</t>
        </is>
      </c>
      <c r="B1344" s="1" t="n">
        <v>44657</v>
      </c>
      <c r="C1344" s="1" t="n">
        <v>45822</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15090-2022</t>
        </is>
      </c>
      <c r="B1345" s="1" t="n">
        <v>44658</v>
      </c>
      <c r="C1345" s="1" t="n">
        <v>45822</v>
      </c>
      <c r="D1345" t="inlineStr">
        <is>
          <t>VÄSTERNORRLANDS LÄN</t>
        </is>
      </c>
      <c r="E1345" t="inlineStr">
        <is>
          <t>SOLLEFTEÅ</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15241-2022</t>
        </is>
      </c>
      <c r="B1346" s="1" t="n">
        <v>44659</v>
      </c>
      <c r="C1346" s="1" t="n">
        <v>45822</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15234-2022</t>
        </is>
      </c>
      <c r="B1347" s="1" t="n">
        <v>44659</v>
      </c>
      <c r="C1347" s="1" t="n">
        <v>45822</v>
      </c>
      <c r="D1347" t="inlineStr">
        <is>
          <t>VÄSTERNORRLANDS LÄN</t>
        </is>
      </c>
      <c r="E1347" t="inlineStr">
        <is>
          <t>SOLLEFTEÅ</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15658-2022</t>
        </is>
      </c>
      <c r="B1348" s="1" t="n">
        <v>44663</v>
      </c>
      <c r="C1348" s="1" t="n">
        <v>45822</v>
      </c>
      <c r="D1348" t="inlineStr">
        <is>
          <t>VÄSTERNORRLANDS LÄN</t>
        </is>
      </c>
      <c r="E1348" t="inlineStr">
        <is>
          <t>SOLLEFTEÅ</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15809-2022</t>
        </is>
      </c>
      <c r="B1349" s="1" t="n">
        <v>44663</v>
      </c>
      <c r="C1349" s="1" t="n">
        <v>45822</v>
      </c>
      <c r="D1349" t="inlineStr">
        <is>
          <t>VÄSTERNORRLANDS LÄN</t>
        </is>
      </c>
      <c r="E1349" t="inlineStr">
        <is>
          <t>SOLLEFTEÅ</t>
        </is>
      </c>
      <c r="F1349" t="inlineStr">
        <is>
          <t>SCA</t>
        </is>
      </c>
      <c r="G1349" t="n">
        <v>16.3</v>
      </c>
      <c r="H1349" t="n">
        <v>0</v>
      </c>
      <c r="I1349" t="n">
        <v>0</v>
      </c>
      <c r="J1349" t="n">
        <v>0</v>
      </c>
      <c r="K1349" t="n">
        <v>0</v>
      </c>
      <c r="L1349" t="n">
        <v>0</v>
      </c>
      <c r="M1349" t="n">
        <v>0</v>
      </c>
      <c r="N1349" t="n">
        <v>0</v>
      </c>
      <c r="O1349" t="n">
        <v>0</v>
      </c>
      <c r="P1349" t="n">
        <v>0</v>
      </c>
      <c r="Q1349" t="n">
        <v>0</v>
      </c>
      <c r="R1349" s="2" t="inlineStr"/>
    </row>
    <row r="1350" ht="15" customHeight="1">
      <c r="A1350" t="inlineStr">
        <is>
          <t>A 15964-2022</t>
        </is>
      </c>
      <c r="B1350" s="1" t="n">
        <v>44665</v>
      </c>
      <c r="C1350" s="1" t="n">
        <v>45822</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15974-2022</t>
        </is>
      </c>
      <c r="B1351" s="1" t="n">
        <v>44665</v>
      </c>
      <c r="C1351" s="1" t="n">
        <v>45822</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16088-2022</t>
        </is>
      </c>
      <c r="B1352" s="1" t="n">
        <v>44665</v>
      </c>
      <c r="C1352" s="1" t="n">
        <v>45822</v>
      </c>
      <c r="D1352" t="inlineStr">
        <is>
          <t>VÄSTERNORRLANDS LÄN</t>
        </is>
      </c>
      <c r="E1352" t="inlineStr">
        <is>
          <t>SOLLEFTEÅ</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16000-2022</t>
        </is>
      </c>
      <c r="B1353" s="1" t="n">
        <v>44665</v>
      </c>
      <c r="C1353" s="1" t="n">
        <v>45822</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16083-2022</t>
        </is>
      </c>
      <c r="B1354" s="1" t="n">
        <v>44665</v>
      </c>
      <c r="C1354" s="1" t="n">
        <v>45822</v>
      </c>
      <c r="D1354" t="inlineStr">
        <is>
          <t>VÄSTERNORRLANDS LÄN</t>
        </is>
      </c>
      <c r="E1354" t="inlineStr">
        <is>
          <t>SOLLEFTEÅ</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16093-2022</t>
        </is>
      </c>
      <c r="B1355" s="1" t="n">
        <v>44665</v>
      </c>
      <c r="C1355" s="1" t="n">
        <v>45822</v>
      </c>
      <c r="D1355" t="inlineStr">
        <is>
          <t>VÄSTERNORRLANDS LÄN</t>
        </is>
      </c>
      <c r="E1355" t="inlineStr">
        <is>
          <t>SOLLEFTEÅ</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16365-2022</t>
        </is>
      </c>
      <c r="B1356" s="1" t="n">
        <v>44671</v>
      </c>
      <c r="C1356" s="1" t="n">
        <v>45822</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16419-2022</t>
        </is>
      </c>
      <c r="B1357" s="1" t="n">
        <v>44671</v>
      </c>
      <c r="C1357" s="1" t="n">
        <v>45822</v>
      </c>
      <c r="D1357" t="inlineStr">
        <is>
          <t>VÄSTERNORRLANDS LÄN</t>
        </is>
      </c>
      <c r="E1357" t="inlineStr">
        <is>
          <t>SOLLEFTEÅ</t>
        </is>
      </c>
      <c r="F1357" t="inlineStr">
        <is>
          <t>Kommuner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16521-2022</t>
        </is>
      </c>
      <c r="B1358" s="1" t="n">
        <v>44671</v>
      </c>
      <c r="C1358" s="1" t="n">
        <v>45822</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16675-2022</t>
        </is>
      </c>
      <c r="B1359" s="1" t="n">
        <v>44672</v>
      </c>
      <c r="C1359" s="1" t="n">
        <v>45822</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16611-2022</t>
        </is>
      </c>
      <c r="B1360" s="1" t="n">
        <v>44672</v>
      </c>
      <c r="C1360" s="1" t="n">
        <v>45822</v>
      </c>
      <c r="D1360" t="inlineStr">
        <is>
          <t>VÄSTERNORRLANDS LÄN</t>
        </is>
      </c>
      <c r="E1360" t="inlineStr">
        <is>
          <t>SOLLEFTEÅ</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16670-2022</t>
        </is>
      </c>
      <c r="B1361" s="1" t="n">
        <v>44673</v>
      </c>
      <c r="C1361" s="1" t="n">
        <v>45822</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17045-2022</t>
        </is>
      </c>
      <c r="B1362" s="1" t="n">
        <v>44676</v>
      </c>
      <c r="C1362" s="1" t="n">
        <v>45822</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17049-2022</t>
        </is>
      </c>
      <c r="B1363" s="1" t="n">
        <v>44676</v>
      </c>
      <c r="C1363" s="1" t="n">
        <v>45822</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c r="U1363">
        <f>HYPERLINK("https://klasma.github.io/Logging_2283/knärot/A 17049-2022 karta knärot.png", "A 17049-2022")</f>
        <v/>
      </c>
      <c r="V1363">
        <f>HYPERLINK("https://klasma.github.io/Logging_2283/klagomål/A 17049-2022 FSC-klagomål.docx", "A 17049-2022")</f>
        <v/>
      </c>
      <c r="W1363">
        <f>HYPERLINK("https://klasma.github.io/Logging_2283/klagomålsmail/A 17049-2022 FSC-klagomål mail.docx", "A 17049-2022")</f>
        <v/>
      </c>
      <c r="X1363">
        <f>HYPERLINK("https://klasma.github.io/Logging_2283/tillsyn/A 17049-2022 tillsynsbegäran.docx", "A 17049-2022")</f>
        <v/>
      </c>
      <c r="Y1363">
        <f>HYPERLINK("https://klasma.github.io/Logging_2283/tillsynsmail/A 17049-2022 tillsynsbegäran mail.docx", "A 17049-2022")</f>
        <v/>
      </c>
    </row>
    <row r="1364" ht="15" customHeight="1">
      <c r="A1364" t="inlineStr">
        <is>
          <t>A 17344-2022</t>
        </is>
      </c>
      <c r="B1364" s="1" t="n">
        <v>44678</v>
      </c>
      <c r="C1364" s="1" t="n">
        <v>45822</v>
      </c>
      <c r="D1364" t="inlineStr">
        <is>
          <t>VÄSTERNORRLANDS LÄN</t>
        </is>
      </c>
      <c r="E1364" t="inlineStr">
        <is>
          <t>SOLLEFTEÅ</t>
        </is>
      </c>
      <c r="G1364" t="n">
        <v>34.2</v>
      </c>
      <c r="H1364" t="n">
        <v>0</v>
      </c>
      <c r="I1364" t="n">
        <v>0</v>
      </c>
      <c r="J1364" t="n">
        <v>0</v>
      </c>
      <c r="K1364" t="n">
        <v>0</v>
      </c>
      <c r="L1364" t="n">
        <v>0</v>
      </c>
      <c r="M1364" t="n">
        <v>0</v>
      </c>
      <c r="N1364" t="n">
        <v>0</v>
      </c>
      <c r="O1364" t="n">
        <v>0</v>
      </c>
      <c r="P1364" t="n">
        <v>0</v>
      </c>
      <c r="Q1364" t="n">
        <v>0</v>
      </c>
      <c r="R1364" s="2" t="inlineStr"/>
    </row>
    <row r="1365" ht="15" customHeight="1">
      <c r="A1365" t="inlineStr">
        <is>
          <t>A 17995-2022</t>
        </is>
      </c>
      <c r="B1365" s="1" t="n">
        <v>44684</v>
      </c>
      <c r="C1365" s="1" t="n">
        <v>45822</v>
      </c>
      <c r="D1365" t="inlineStr">
        <is>
          <t>VÄSTERNORRLANDS LÄN</t>
        </is>
      </c>
      <c r="E1365" t="inlineStr">
        <is>
          <t>SOLLEFTEÅ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18000-2022</t>
        </is>
      </c>
      <c r="B1366" s="1" t="n">
        <v>44684</v>
      </c>
      <c r="C1366" s="1" t="n">
        <v>45822</v>
      </c>
      <c r="D1366" t="inlineStr">
        <is>
          <t>VÄSTERNORRLANDS LÄN</t>
        </is>
      </c>
      <c r="E1366" t="inlineStr">
        <is>
          <t>SOLLEFTEÅ</t>
        </is>
      </c>
      <c r="F1366" t="inlineStr">
        <is>
          <t>SCA</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18011-2022</t>
        </is>
      </c>
      <c r="B1367" s="1" t="n">
        <v>44683</v>
      </c>
      <c r="C1367" s="1" t="n">
        <v>45822</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18015-2022</t>
        </is>
      </c>
      <c r="B1368" s="1" t="n">
        <v>44684</v>
      </c>
      <c r="C1368" s="1" t="n">
        <v>45822</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18016-2022</t>
        </is>
      </c>
      <c r="B1369" s="1" t="n">
        <v>44684</v>
      </c>
      <c r="C1369" s="1" t="n">
        <v>45822</v>
      </c>
      <c r="D1369" t="inlineStr">
        <is>
          <t>VÄSTERNORRLANDS LÄN</t>
        </is>
      </c>
      <c r="E1369" t="inlineStr">
        <is>
          <t>SOLLEFTEÅ</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17999-2022</t>
        </is>
      </c>
      <c r="B1370" s="1" t="n">
        <v>44683</v>
      </c>
      <c r="C1370" s="1" t="n">
        <v>45822</v>
      </c>
      <c r="D1370" t="inlineStr">
        <is>
          <t>VÄSTERNORRLANDS LÄN</t>
        </is>
      </c>
      <c r="E1370" t="inlineStr">
        <is>
          <t>SOLLEFTEÅ</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18013-2022</t>
        </is>
      </c>
      <c r="B1371" s="1" t="n">
        <v>44684</v>
      </c>
      <c r="C1371" s="1" t="n">
        <v>45822</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18017-2022</t>
        </is>
      </c>
      <c r="B1372" s="1" t="n">
        <v>44683</v>
      </c>
      <c r="C1372" s="1" t="n">
        <v>45822</v>
      </c>
      <c r="D1372" t="inlineStr">
        <is>
          <t>VÄSTERNORRLANDS LÄN</t>
        </is>
      </c>
      <c r="E1372" t="inlineStr">
        <is>
          <t>SOLLEFTEÅ</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18187-2022</t>
        </is>
      </c>
      <c r="B1373" s="1" t="n">
        <v>44684</v>
      </c>
      <c r="C1373" s="1" t="n">
        <v>45822</v>
      </c>
      <c r="D1373" t="inlineStr">
        <is>
          <t>VÄSTERNORRLANDS LÄN</t>
        </is>
      </c>
      <c r="E1373" t="inlineStr">
        <is>
          <t>SOLLEFTEÅ</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18190-2022</t>
        </is>
      </c>
      <c r="B1374" s="1" t="n">
        <v>44685</v>
      </c>
      <c r="C1374" s="1" t="n">
        <v>45822</v>
      </c>
      <c r="D1374" t="inlineStr">
        <is>
          <t>VÄSTERNORRLANDS LÄN</t>
        </is>
      </c>
      <c r="E1374" t="inlineStr">
        <is>
          <t>SOLLEFTEÅ</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18197-2022</t>
        </is>
      </c>
      <c r="B1375" s="1" t="n">
        <v>44684</v>
      </c>
      <c r="C1375" s="1" t="n">
        <v>45822</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18188-2022</t>
        </is>
      </c>
      <c r="B1376" s="1" t="n">
        <v>44685</v>
      </c>
      <c r="C1376" s="1" t="n">
        <v>45822</v>
      </c>
      <c r="D1376" t="inlineStr">
        <is>
          <t>VÄSTERNORRLANDS LÄN</t>
        </is>
      </c>
      <c r="E1376" t="inlineStr">
        <is>
          <t>SOLLEFTEÅ</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18196-2022</t>
        </is>
      </c>
      <c r="B1377" s="1" t="n">
        <v>44685</v>
      </c>
      <c r="C1377" s="1" t="n">
        <v>45822</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18202-2022</t>
        </is>
      </c>
      <c r="B1378" s="1" t="n">
        <v>44684</v>
      </c>
      <c r="C1378" s="1" t="n">
        <v>45822</v>
      </c>
      <c r="D1378" t="inlineStr">
        <is>
          <t>VÄSTERNORRLANDS LÄN</t>
        </is>
      </c>
      <c r="E1378" t="inlineStr">
        <is>
          <t>SOLLEFTEÅ</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18304-2022</t>
        </is>
      </c>
      <c r="B1379" s="1" t="n">
        <v>44685</v>
      </c>
      <c r="C1379" s="1" t="n">
        <v>45822</v>
      </c>
      <c r="D1379" t="inlineStr">
        <is>
          <t>VÄSTERNORRLANDS LÄN</t>
        </is>
      </c>
      <c r="E1379" t="inlineStr">
        <is>
          <t>SOLLEFTEÅ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18372-2022</t>
        </is>
      </c>
      <c r="B1380" s="1" t="n">
        <v>44685</v>
      </c>
      <c r="C1380" s="1" t="n">
        <v>45822</v>
      </c>
      <c r="D1380" t="inlineStr">
        <is>
          <t>VÄSTERNORRLANDS LÄN</t>
        </is>
      </c>
      <c r="E1380" t="inlineStr">
        <is>
          <t>SOLLEFTEÅ</t>
        </is>
      </c>
      <c r="F1380" t="inlineStr">
        <is>
          <t>SCA</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18570-2022</t>
        </is>
      </c>
      <c r="B1381" s="1" t="n">
        <v>44687</v>
      </c>
      <c r="C1381" s="1" t="n">
        <v>45822</v>
      </c>
      <c r="D1381" t="inlineStr">
        <is>
          <t>VÄSTERNORRLANDS LÄN</t>
        </is>
      </c>
      <c r="E1381" t="inlineStr">
        <is>
          <t>SOLLEFTEÅ</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18852-2022</t>
        </is>
      </c>
      <c r="B1382" s="1" t="n">
        <v>44690</v>
      </c>
      <c r="C1382" s="1" t="n">
        <v>45822</v>
      </c>
      <c r="D1382" t="inlineStr">
        <is>
          <t>VÄSTERNORRLANDS LÄN</t>
        </is>
      </c>
      <c r="E1382" t="inlineStr">
        <is>
          <t>SOLLEFTEÅ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19055-2022</t>
        </is>
      </c>
      <c r="B1383" s="1" t="n">
        <v>44691</v>
      </c>
      <c r="C1383" s="1" t="n">
        <v>45822</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19051-2022</t>
        </is>
      </c>
      <c r="B1384" s="1" t="n">
        <v>44691</v>
      </c>
      <c r="C1384" s="1" t="n">
        <v>45822</v>
      </c>
      <c r="D1384" t="inlineStr">
        <is>
          <t>VÄSTERNORRLANDS LÄN</t>
        </is>
      </c>
      <c r="E1384" t="inlineStr">
        <is>
          <t>SOLLEFTEÅ</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19053-2022</t>
        </is>
      </c>
      <c r="B1385" s="1" t="n">
        <v>44691</v>
      </c>
      <c r="C1385" s="1" t="n">
        <v>45822</v>
      </c>
      <c r="D1385" t="inlineStr">
        <is>
          <t>VÄSTERNORRLANDS LÄN</t>
        </is>
      </c>
      <c r="E1385" t="inlineStr">
        <is>
          <t>SOLLEFTEÅ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19203-2022</t>
        </is>
      </c>
      <c r="B1386" s="1" t="n">
        <v>44692</v>
      </c>
      <c r="C1386" s="1" t="n">
        <v>45822</v>
      </c>
      <c r="D1386" t="inlineStr">
        <is>
          <t>VÄSTERNORRLANDS LÄN</t>
        </is>
      </c>
      <c r="E1386" t="inlineStr">
        <is>
          <t>SOLLEFTEÅ</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19208-2022</t>
        </is>
      </c>
      <c r="B1387" s="1" t="n">
        <v>44691</v>
      </c>
      <c r="C1387" s="1" t="n">
        <v>45822</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19295-2022</t>
        </is>
      </c>
      <c r="B1388" s="1" t="n">
        <v>44692</v>
      </c>
      <c r="C1388" s="1" t="n">
        <v>45822</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19414-2022</t>
        </is>
      </c>
      <c r="B1389" s="1" t="n">
        <v>44693</v>
      </c>
      <c r="C1389" s="1" t="n">
        <v>45822</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19416-2022</t>
        </is>
      </c>
      <c r="B1390" s="1" t="n">
        <v>44693</v>
      </c>
      <c r="C1390" s="1" t="n">
        <v>45822</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19508-2022</t>
        </is>
      </c>
      <c r="B1391" s="1" t="n">
        <v>44693</v>
      </c>
      <c r="C1391" s="1" t="n">
        <v>45822</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19585-2022</t>
        </is>
      </c>
      <c r="B1392" s="1" t="n">
        <v>44693</v>
      </c>
      <c r="C1392" s="1" t="n">
        <v>45822</v>
      </c>
      <c r="D1392" t="inlineStr">
        <is>
          <t>VÄSTERNORRLANDS LÄN</t>
        </is>
      </c>
      <c r="E1392" t="inlineStr">
        <is>
          <t>SOLLEFTEÅ</t>
        </is>
      </c>
      <c r="F1392" t="inlineStr">
        <is>
          <t>SCA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19583-2022</t>
        </is>
      </c>
      <c r="B1393" s="1" t="n">
        <v>44693</v>
      </c>
      <c r="C1393" s="1" t="n">
        <v>45822</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19593-2022</t>
        </is>
      </c>
      <c r="B1394" s="1" t="n">
        <v>44694</v>
      </c>
      <c r="C1394" s="1" t="n">
        <v>45822</v>
      </c>
      <c r="D1394" t="inlineStr">
        <is>
          <t>VÄSTERNORRLANDS LÄN</t>
        </is>
      </c>
      <c r="E1394" t="inlineStr">
        <is>
          <t>SOLLEFTEÅ</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19588-2022</t>
        </is>
      </c>
      <c r="B1395" s="1" t="n">
        <v>44694</v>
      </c>
      <c r="C1395" s="1" t="n">
        <v>45822</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19595-2022</t>
        </is>
      </c>
      <c r="B1396" s="1" t="n">
        <v>44693</v>
      </c>
      <c r="C1396" s="1" t="n">
        <v>45822</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19594-2022</t>
        </is>
      </c>
      <c r="B1397" s="1" t="n">
        <v>44694</v>
      </c>
      <c r="C1397" s="1" t="n">
        <v>45822</v>
      </c>
      <c r="D1397" t="inlineStr">
        <is>
          <t>VÄSTERNORRLANDS LÄN</t>
        </is>
      </c>
      <c r="E1397" t="inlineStr">
        <is>
          <t>SOLLEFTEÅ</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19825-2022</t>
        </is>
      </c>
      <c r="B1398" s="1" t="n">
        <v>44695</v>
      </c>
      <c r="C1398" s="1" t="n">
        <v>45822</v>
      </c>
      <c r="D1398" t="inlineStr">
        <is>
          <t>VÄSTERNORRLANDS LÄN</t>
        </is>
      </c>
      <c r="E1398" t="inlineStr">
        <is>
          <t>SOLLEFTEÅ</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19813-2022</t>
        </is>
      </c>
      <c r="B1399" s="1" t="n">
        <v>44695</v>
      </c>
      <c r="C1399" s="1" t="n">
        <v>45822</v>
      </c>
      <c r="D1399" t="inlineStr">
        <is>
          <t>VÄSTERNORRLANDS LÄN</t>
        </is>
      </c>
      <c r="E1399" t="inlineStr">
        <is>
          <t>SOLLEFTEÅ</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19814-2022</t>
        </is>
      </c>
      <c r="B1400" s="1" t="n">
        <v>44695</v>
      </c>
      <c r="C1400" s="1" t="n">
        <v>45822</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20061-2022</t>
        </is>
      </c>
      <c r="B1401" s="1" t="n">
        <v>44698</v>
      </c>
      <c r="C1401" s="1" t="n">
        <v>45822</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20062-2022</t>
        </is>
      </c>
      <c r="B1402" s="1" t="n">
        <v>44697</v>
      </c>
      <c r="C1402" s="1" t="n">
        <v>45822</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20296-2022</t>
        </is>
      </c>
      <c r="B1403" s="1" t="n">
        <v>44698</v>
      </c>
      <c r="C1403" s="1" t="n">
        <v>45822</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20551-2022</t>
        </is>
      </c>
      <c r="B1404" s="1" t="n">
        <v>44699</v>
      </c>
      <c r="C1404" s="1" t="n">
        <v>45822</v>
      </c>
      <c r="D1404" t="inlineStr">
        <is>
          <t>VÄSTERNORRLANDS LÄN</t>
        </is>
      </c>
      <c r="E1404" t="inlineStr">
        <is>
          <t>SOLLEFTEÅ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20699-2022</t>
        </is>
      </c>
      <c r="B1405" s="1" t="n">
        <v>44701</v>
      </c>
      <c r="C1405" s="1" t="n">
        <v>45822</v>
      </c>
      <c r="D1405" t="inlineStr">
        <is>
          <t>VÄSTERNORRLANDS LÄN</t>
        </is>
      </c>
      <c r="E1405" t="inlineStr">
        <is>
          <t>SOLLEFTEÅ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20704-2022</t>
        </is>
      </c>
      <c r="B1406" s="1" t="n">
        <v>44700</v>
      </c>
      <c r="C1406" s="1" t="n">
        <v>45822</v>
      </c>
      <c r="D1406" t="inlineStr">
        <is>
          <t>VÄSTERNORRLANDS LÄN</t>
        </is>
      </c>
      <c r="E1406" t="inlineStr">
        <is>
          <t>SOLLEFTEÅ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20702-2022</t>
        </is>
      </c>
      <c r="B1407" s="1" t="n">
        <v>44701</v>
      </c>
      <c r="C1407" s="1" t="n">
        <v>45822</v>
      </c>
      <c r="D1407" t="inlineStr">
        <is>
          <t>VÄSTERNORRLANDS LÄN</t>
        </is>
      </c>
      <c r="E1407" t="inlineStr">
        <is>
          <t>SOLLEFTEÅ</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20703-2022</t>
        </is>
      </c>
      <c r="B1408" s="1" t="n">
        <v>44701</v>
      </c>
      <c r="C1408" s="1" t="n">
        <v>45822</v>
      </c>
      <c r="D1408" t="inlineStr">
        <is>
          <t>VÄSTERNORRLANDS LÄN</t>
        </is>
      </c>
      <c r="E1408" t="inlineStr">
        <is>
          <t>SOLLEFTEÅ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20724-2022</t>
        </is>
      </c>
      <c r="B1409" s="1" t="n">
        <v>44700</v>
      </c>
      <c r="C1409" s="1" t="n">
        <v>45822</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20738-2022</t>
        </is>
      </c>
      <c r="B1410" s="1" t="n">
        <v>44700</v>
      </c>
      <c r="C1410" s="1" t="n">
        <v>45822</v>
      </c>
      <c r="D1410" t="inlineStr">
        <is>
          <t>VÄSTERNORRLANDS LÄN</t>
        </is>
      </c>
      <c r="E1410" t="inlineStr">
        <is>
          <t>SOLLEFTEÅ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20955-2022</t>
        </is>
      </c>
      <c r="B1411" s="1" t="n">
        <v>44702</v>
      </c>
      <c r="C1411" s="1" t="n">
        <v>45822</v>
      </c>
      <c r="D1411" t="inlineStr">
        <is>
          <t>VÄSTERNORRLANDS LÄN</t>
        </is>
      </c>
      <c r="E1411" t="inlineStr">
        <is>
          <t>SOLLEFTEÅ</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20950-2022</t>
        </is>
      </c>
      <c r="B1412" s="1" t="n">
        <v>44701</v>
      </c>
      <c r="C1412" s="1" t="n">
        <v>45822</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20954-2022</t>
        </is>
      </c>
      <c r="B1413" s="1" t="n">
        <v>44702</v>
      </c>
      <c r="C1413" s="1" t="n">
        <v>45822</v>
      </c>
      <c r="D1413" t="inlineStr">
        <is>
          <t>VÄSTERNORRLANDS LÄN</t>
        </is>
      </c>
      <c r="E1413" t="inlineStr">
        <is>
          <t>SOLLEFTEÅ</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20951-2022</t>
        </is>
      </c>
      <c r="B1414" s="1" t="n">
        <v>44701</v>
      </c>
      <c r="C1414" s="1" t="n">
        <v>45822</v>
      </c>
      <c r="D1414" t="inlineStr">
        <is>
          <t>VÄSTERNORRLANDS LÄN</t>
        </is>
      </c>
      <c r="E1414" t="inlineStr">
        <is>
          <t>SOLLEFTEÅ</t>
        </is>
      </c>
      <c r="F1414" t="inlineStr">
        <is>
          <t>SCA</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20942-2022</t>
        </is>
      </c>
      <c r="B1415" s="1" t="n">
        <v>44701</v>
      </c>
      <c r="C1415" s="1" t="n">
        <v>45822</v>
      </c>
      <c r="D1415" t="inlineStr">
        <is>
          <t>VÄSTERNORRLANDS LÄN</t>
        </is>
      </c>
      <c r="E1415" t="inlineStr">
        <is>
          <t>SOLLEFTEÅ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20996-2022</t>
        </is>
      </c>
      <c r="B1416" s="1" t="n">
        <v>44703</v>
      </c>
      <c r="C1416" s="1" t="n">
        <v>45822</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20994-2022</t>
        </is>
      </c>
      <c r="B1417" s="1" t="n">
        <v>44703</v>
      </c>
      <c r="C1417" s="1" t="n">
        <v>45822</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21050-2022</t>
        </is>
      </c>
      <c r="B1418" s="1" t="n">
        <v>44704</v>
      </c>
      <c r="C1418" s="1" t="n">
        <v>45822</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21191-2022</t>
        </is>
      </c>
      <c r="B1419" s="1" t="n">
        <v>44705</v>
      </c>
      <c r="C1419" s="1" t="n">
        <v>45822</v>
      </c>
      <c r="D1419" t="inlineStr">
        <is>
          <t>VÄSTERNORRLANDS LÄN</t>
        </is>
      </c>
      <c r="E1419" t="inlineStr">
        <is>
          <t>SOLLEFTEÅ</t>
        </is>
      </c>
      <c r="F1419" t="inlineStr">
        <is>
          <t>SCA</t>
        </is>
      </c>
      <c r="G1419" t="n">
        <v>26.5</v>
      </c>
      <c r="H1419" t="n">
        <v>0</v>
      </c>
      <c r="I1419" t="n">
        <v>0</v>
      </c>
      <c r="J1419" t="n">
        <v>0</v>
      </c>
      <c r="K1419" t="n">
        <v>0</v>
      </c>
      <c r="L1419" t="n">
        <v>0</v>
      </c>
      <c r="M1419" t="n">
        <v>0</v>
      </c>
      <c r="N1419" t="n">
        <v>0</v>
      </c>
      <c r="O1419" t="n">
        <v>0</v>
      </c>
      <c r="P1419" t="n">
        <v>0</v>
      </c>
      <c r="Q1419" t="n">
        <v>0</v>
      </c>
      <c r="R1419" s="2" t="inlineStr"/>
    </row>
    <row r="1420" ht="15" customHeight="1">
      <c r="A1420" t="inlineStr">
        <is>
          <t>A 21210-2022</t>
        </is>
      </c>
      <c r="B1420" s="1" t="n">
        <v>44705</v>
      </c>
      <c r="C1420" s="1" t="n">
        <v>45822</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21404-2022</t>
        </is>
      </c>
      <c r="B1421" s="1" t="n">
        <v>44706</v>
      </c>
      <c r="C1421" s="1" t="n">
        <v>45822</v>
      </c>
      <c r="D1421" t="inlineStr">
        <is>
          <t>VÄSTERNORRLANDS LÄN</t>
        </is>
      </c>
      <c r="E1421" t="inlineStr">
        <is>
          <t>SOLLEFTEÅ</t>
        </is>
      </c>
      <c r="F1421" t="inlineStr">
        <is>
          <t>SCA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21582-2022</t>
        </is>
      </c>
      <c r="B1422" s="1" t="n">
        <v>44706</v>
      </c>
      <c r="C1422" s="1" t="n">
        <v>45822</v>
      </c>
      <c r="D1422" t="inlineStr">
        <is>
          <t>VÄSTERNORRLANDS LÄN</t>
        </is>
      </c>
      <c r="E1422" t="inlineStr">
        <is>
          <t>SOLLEFTEÅ</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21637-2022</t>
        </is>
      </c>
      <c r="B1423" s="1" t="n">
        <v>44707</v>
      </c>
      <c r="C1423" s="1" t="n">
        <v>45822</v>
      </c>
      <c r="D1423" t="inlineStr">
        <is>
          <t>VÄSTERNORRLANDS LÄN</t>
        </is>
      </c>
      <c r="E1423" t="inlineStr">
        <is>
          <t>SOLLEFTEÅ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21636-2022</t>
        </is>
      </c>
      <c r="B1424" s="1" t="n">
        <v>44707</v>
      </c>
      <c r="C1424" s="1" t="n">
        <v>45822</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21635-2022</t>
        </is>
      </c>
      <c r="B1425" s="1" t="n">
        <v>44707</v>
      </c>
      <c r="C1425" s="1" t="n">
        <v>45822</v>
      </c>
      <c r="D1425" t="inlineStr">
        <is>
          <t>VÄSTERNORRLANDS LÄN</t>
        </is>
      </c>
      <c r="E1425" t="inlineStr">
        <is>
          <t>SOLLEFTEÅ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21713-2022</t>
        </is>
      </c>
      <c r="B1426" s="1" t="n">
        <v>44708</v>
      </c>
      <c r="C1426" s="1" t="n">
        <v>45822</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21714-2022</t>
        </is>
      </c>
      <c r="B1427" s="1" t="n">
        <v>44708</v>
      </c>
      <c r="C1427" s="1" t="n">
        <v>45822</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21715-2022</t>
        </is>
      </c>
      <c r="B1428" s="1" t="n">
        <v>44708</v>
      </c>
      <c r="C1428" s="1" t="n">
        <v>45822</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21711-2022</t>
        </is>
      </c>
      <c r="B1429" s="1" t="n">
        <v>44707</v>
      </c>
      <c r="C1429" s="1" t="n">
        <v>45822</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21807-2022</t>
        </is>
      </c>
      <c r="B1430" s="1" t="n">
        <v>44708</v>
      </c>
      <c r="C1430" s="1" t="n">
        <v>45822</v>
      </c>
      <c r="D1430" t="inlineStr">
        <is>
          <t>VÄSTERNORRLANDS LÄN</t>
        </is>
      </c>
      <c r="E1430" t="inlineStr">
        <is>
          <t>SOLLEFTEÅ</t>
        </is>
      </c>
      <c r="F1430" t="inlineStr">
        <is>
          <t>SCA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22101-2022</t>
        </is>
      </c>
      <c r="B1431" s="1" t="n">
        <v>44712</v>
      </c>
      <c r="C1431" s="1" t="n">
        <v>45822</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22087-2022</t>
        </is>
      </c>
      <c r="B1432" s="1" t="n">
        <v>44712</v>
      </c>
      <c r="C1432" s="1" t="n">
        <v>45822</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22103-2022</t>
        </is>
      </c>
      <c r="B1433" s="1" t="n">
        <v>44712</v>
      </c>
      <c r="C1433" s="1" t="n">
        <v>45822</v>
      </c>
      <c r="D1433" t="inlineStr">
        <is>
          <t>VÄSTERNORRLANDS LÄN</t>
        </is>
      </c>
      <c r="E1433" t="inlineStr">
        <is>
          <t>SOLLEFTEÅ</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22330-2022</t>
        </is>
      </c>
      <c r="B1434" s="1" t="n">
        <v>44712</v>
      </c>
      <c r="C1434" s="1" t="n">
        <v>45822</v>
      </c>
      <c r="D1434" t="inlineStr">
        <is>
          <t>VÄSTERNORRLANDS LÄN</t>
        </is>
      </c>
      <c r="E1434" t="inlineStr">
        <is>
          <t>SOLLEFTEÅ</t>
        </is>
      </c>
      <c r="F1434" t="inlineStr">
        <is>
          <t>SCA</t>
        </is>
      </c>
      <c r="G1434" t="n">
        <v>21.9</v>
      </c>
      <c r="H1434" t="n">
        <v>0</v>
      </c>
      <c r="I1434" t="n">
        <v>0</v>
      </c>
      <c r="J1434" t="n">
        <v>0</v>
      </c>
      <c r="K1434" t="n">
        <v>0</v>
      </c>
      <c r="L1434" t="n">
        <v>0</v>
      </c>
      <c r="M1434" t="n">
        <v>0</v>
      </c>
      <c r="N1434" t="n">
        <v>0</v>
      </c>
      <c r="O1434" t="n">
        <v>0</v>
      </c>
      <c r="P1434" t="n">
        <v>0</v>
      </c>
      <c r="Q1434" t="n">
        <v>0</v>
      </c>
      <c r="R1434" s="2" t="inlineStr"/>
    </row>
    <row r="1435" ht="15" customHeight="1">
      <c r="A1435" t="inlineStr">
        <is>
          <t>A 22341-2022</t>
        </is>
      </c>
      <c r="B1435" s="1" t="n">
        <v>44713</v>
      </c>
      <c r="C1435" s="1" t="n">
        <v>45822</v>
      </c>
      <c r="D1435" t="inlineStr">
        <is>
          <t>VÄSTERNORRLANDS LÄN</t>
        </is>
      </c>
      <c r="E1435" t="inlineStr">
        <is>
          <t>SOLLEFTEÅ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22342-2022</t>
        </is>
      </c>
      <c r="B1436" s="1" t="n">
        <v>44713</v>
      </c>
      <c r="C1436" s="1" t="n">
        <v>45822</v>
      </c>
      <c r="D1436" t="inlineStr">
        <is>
          <t>VÄSTERNORRLANDS LÄN</t>
        </is>
      </c>
      <c r="E1436" t="inlineStr">
        <is>
          <t>SOLLEFTEÅ</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22343-2022</t>
        </is>
      </c>
      <c r="B1437" s="1" t="n">
        <v>44713</v>
      </c>
      <c r="C1437" s="1" t="n">
        <v>45822</v>
      </c>
      <c r="D1437" t="inlineStr">
        <is>
          <t>VÄSTERNORRLANDS LÄN</t>
        </is>
      </c>
      <c r="E1437" t="inlineStr">
        <is>
          <t>SOLLEFTEÅ</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22664-2022</t>
        </is>
      </c>
      <c r="B1438" s="1" t="n">
        <v>44714</v>
      </c>
      <c r="C1438" s="1" t="n">
        <v>45822</v>
      </c>
      <c r="D1438" t="inlineStr">
        <is>
          <t>VÄSTERNORRLANDS LÄN</t>
        </is>
      </c>
      <c r="E1438" t="inlineStr">
        <is>
          <t>SOLLEFTEÅ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22762-2022</t>
        </is>
      </c>
      <c r="B1439" s="1" t="n">
        <v>44715</v>
      </c>
      <c r="C1439" s="1" t="n">
        <v>45822</v>
      </c>
      <c r="D1439" t="inlineStr">
        <is>
          <t>VÄSTERNORRLANDS LÄN</t>
        </is>
      </c>
      <c r="E1439" t="inlineStr">
        <is>
          <t>SOLLEFTEÅ</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22956-2022</t>
        </is>
      </c>
      <c r="B1440" s="1" t="n">
        <v>44716</v>
      </c>
      <c r="C1440" s="1" t="n">
        <v>45822</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22952-2022</t>
        </is>
      </c>
      <c r="B1441" s="1" t="n">
        <v>44716</v>
      </c>
      <c r="C1441" s="1" t="n">
        <v>45822</v>
      </c>
      <c r="D1441" t="inlineStr">
        <is>
          <t>VÄSTERNORRLANDS LÄN</t>
        </is>
      </c>
      <c r="E1441" t="inlineStr">
        <is>
          <t>SOLLEFTEÅ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22962-2022</t>
        </is>
      </c>
      <c r="B1442" s="1" t="n">
        <v>44715</v>
      </c>
      <c r="C1442" s="1" t="n">
        <v>45822</v>
      </c>
      <c r="D1442" t="inlineStr">
        <is>
          <t>VÄSTERNORRLANDS LÄN</t>
        </is>
      </c>
      <c r="E1442" t="inlineStr">
        <is>
          <t>SOLLEFTEÅ</t>
        </is>
      </c>
      <c r="F1442" t="inlineStr">
        <is>
          <t>SCA</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23111-2022</t>
        </is>
      </c>
      <c r="B1443" s="1" t="n">
        <v>44720</v>
      </c>
      <c r="C1443" s="1" t="n">
        <v>45822</v>
      </c>
      <c r="D1443" t="inlineStr">
        <is>
          <t>VÄSTERNORRLANDS LÄN</t>
        </is>
      </c>
      <c r="E1443" t="inlineStr">
        <is>
          <t>SOLLEFTEÅ</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23230-2022</t>
        </is>
      </c>
      <c r="B1444" s="1" t="n">
        <v>44720</v>
      </c>
      <c r="C1444" s="1" t="n">
        <v>45822</v>
      </c>
      <c r="D1444" t="inlineStr">
        <is>
          <t>VÄSTERNORRLANDS LÄN</t>
        </is>
      </c>
      <c r="E1444" t="inlineStr">
        <is>
          <t>SOLLEFTEÅ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23282-2022</t>
        </is>
      </c>
      <c r="B1445" s="1" t="n">
        <v>44720</v>
      </c>
      <c r="C1445" s="1" t="n">
        <v>45822</v>
      </c>
      <c r="D1445" t="inlineStr">
        <is>
          <t>VÄSTERNORRLANDS LÄN</t>
        </is>
      </c>
      <c r="E1445" t="inlineStr">
        <is>
          <t>SOLLEFTEÅ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23436-2022</t>
        </is>
      </c>
      <c r="B1446" s="1" t="n">
        <v>44720</v>
      </c>
      <c r="C1446" s="1" t="n">
        <v>45822</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23445-2022</t>
        </is>
      </c>
      <c r="B1447" s="1" t="n">
        <v>44721</v>
      </c>
      <c r="C1447" s="1" t="n">
        <v>45822</v>
      </c>
      <c r="D1447" t="inlineStr">
        <is>
          <t>VÄSTERNORRLANDS LÄN</t>
        </is>
      </c>
      <c r="E1447" t="inlineStr">
        <is>
          <t>SOLLEFTEÅ</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23447-2022</t>
        </is>
      </c>
      <c r="B1448" s="1" t="n">
        <v>44721</v>
      </c>
      <c r="C1448" s="1" t="n">
        <v>45822</v>
      </c>
      <c r="D1448" t="inlineStr">
        <is>
          <t>VÄSTERNORRLANDS LÄN</t>
        </is>
      </c>
      <c r="E1448" t="inlineStr">
        <is>
          <t>SOLLEFTEÅ</t>
        </is>
      </c>
      <c r="F1448" t="inlineStr">
        <is>
          <t>SCA</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23450-2022</t>
        </is>
      </c>
      <c r="B1449" s="1" t="n">
        <v>44720</v>
      </c>
      <c r="C1449" s="1" t="n">
        <v>45822</v>
      </c>
      <c r="D1449" t="inlineStr">
        <is>
          <t>VÄSTERNORRLANDS LÄN</t>
        </is>
      </c>
      <c r="E1449" t="inlineStr">
        <is>
          <t>SOLLEFTEÅ</t>
        </is>
      </c>
      <c r="F1449" t="inlineStr">
        <is>
          <t>SCA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24008-2022</t>
        </is>
      </c>
      <c r="B1450" s="1" t="n">
        <v>44723</v>
      </c>
      <c r="C1450" s="1" t="n">
        <v>45822</v>
      </c>
      <c r="D1450" t="inlineStr">
        <is>
          <t>VÄSTERNORRLANDS LÄN</t>
        </is>
      </c>
      <c r="E1450" t="inlineStr">
        <is>
          <t>SOLLEFTEÅ</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24024-2022</t>
        </is>
      </c>
      <c r="B1451" s="1" t="n">
        <v>44723</v>
      </c>
      <c r="C1451" s="1" t="n">
        <v>45822</v>
      </c>
      <c r="D1451" t="inlineStr">
        <is>
          <t>VÄSTERNORRLANDS LÄN</t>
        </is>
      </c>
      <c r="E1451" t="inlineStr">
        <is>
          <t>SOLLEFTEÅ</t>
        </is>
      </c>
      <c r="F1451" t="inlineStr">
        <is>
          <t>SCA</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24322-2022</t>
        </is>
      </c>
      <c r="B1452" s="1" t="n">
        <v>44726</v>
      </c>
      <c r="C1452" s="1" t="n">
        <v>45822</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24723-2022</t>
        </is>
      </c>
      <c r="B1453" s="1" t="n">
        <v>44728</v>
      </c>
      <c r="C1453" s="1" t="n">
        <v>45822</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24739-2022</t>
        </is>
      </c>
      <c r="B1454" s="1" t="n">
        <v>44728</v>
      </c>
      <c r="C1454" s="1" t="n">
        <v>45822</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24734-2022</t>
        </is>
      </c>
      <c r="B1455" s="1" t="n">
        <v>44728</v>
      </c>
      <c r="C1455" s="1" t="n">
        <v>45822</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24735-2022</t>
        </is>
      </c>
      <c r="B1456" s="1" t="n">
        <v>44728</v>
      </c>
      <c r="C1456" s="1" t="n">
        <v>45822</v>
      </c>
      <c r="D1456" t="inlineStr">
        <is>
          <t>VÄSTERNORRLANDS LÄN</t>
        </is>
      </c>
      <c r="E1456" t="inlineStr">
        <is>
          <t>SOLLEFTEÅ</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24721-2022</t>
        </is>
      </c>
      <c r="B1457" s="1" t="n">
        <v>44728</v>
      </c>
      <c r="C1457" s="1" t="n">
        <v>45822</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24737-2022</t>
        </is>
      </c>
      <c r="B1458" s="1" t="n">
        <v>44728</v>
      </c>
      <c r="C1458" s="1" t="n">
        <v>45822</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25019-2022</t>
        </is>
      </c>
      <c r="B1459" s="1" t="n">
        <v>44728</v>
      </c>
      <c r="C1459" s="1" t="n">
        <v>45822</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25024-2022</t>
        </is>
      </c>
      <c r="B1460" s="1" t="n">
        <v>44729</v>
      </c>
      <c r="C1460" s="1" t="n">
        <v>45822</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25026-2022</t>
        </is>
      </c>
      <c r="B1461" s="1" t="n">
        <v>44729</v>
      </c>
      <c r="C1461" s="1" t="n">
        <v>45822</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25017-2022</t>
        </is>
      </c>
      <c r="B1462" s="1" t="n">
        <v>44729</v>
      </c>
      <c r="C1462" s="1" t="n">
        <v>45822</v>
      </c>
      <c r="D1462" t="inlineStr">
        <is>
          <t>VÄSTERNORRLANDS LÄN</t>
        </is>
      </c>
      <c r="E1462" t="inlineStr">
        <is>
          <t>SOLLEFTEÅ</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25295-2022</t>
        </is>
      </c>
      <c r="B1463" s="1" t="n">
        <v>44731</v>
      </c>
      <c r="C1463" s="1" t="n">
        <v>45822</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25339-2022</t>
        </is>
      </c>
      <c r="B1464" s="1" t="n">
        <v>44732</v>
      </c>
      <c r="C1464" s="1" t="n">
        <v>45822</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25338-2022</t>
        </is>
      </c>
      <c r="B1465" s="1" t="n">
        <v>44731</v>
      </c>
      <c r="C1465" s="1" t="n">
        <v>45822</v>
      </c>
      <c r="D1465" t="inlineStr">
        <is>
          <t>VÄSTERNORRLANDS LÄN</t>
        </is>
      </c>
      <c r="E1465" t="inlineStr">
        <is>
          <t>SOLLEFTEÅ</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25341-2022</t>
        </is>
      </c>
      <c r="B1466" s="1" t="n">
        <v>44731</v>
      </c>
      <c r="C1466" s="1" t="n">
        <v>45822</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26407-2022</t>
        </is>
      </c>
      <c r="B1467" s="1" t="n">
        <v>44735</v>
      </c>
      <c r="C1467" s="1" t="n">
        <v>45822</v>
      </c>
      <c r="D1467" t="inlineStr">
        <is>
          <t>VÄSTERNORRLANDS LÄN</t>
        </is>
      </c>
      <c r="E1467" t="inlineStr">
        <is>
          <t>SOLLEFTEÅ</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26416-2022</t>
        </is>
      </c>
      <c r="B1468" s="1" t="n">
        <v>44736</v>
      </c>
      <c r="C1468" s="1" t="n">
        <v>45822</v>
      </c>
      <c r="D1468" t="inlineStr">
        <is>
          <t>VÄSTERNORRLANDS LÄN</t>
        </is>
      </c>
      <c r="E1468" t="inlineStr">
        <is>
          <t>SOLLEFTEÅ</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26415-2022</t>
        </is>
      </c>
      <c r="B1469" s="1" t="n">
        <v>44735</v>
      </c>
      <c r="C1469" s="1" t="n">
        <v>45822</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26435-2022</t>
        </is>
      </c>
      <c r="B1470" s="1" t="n">
        <v>44737</v>
      </c>
      <c r="C1470" s="1" t="n">
        <v>45822</v>
      </c>
      <c r="D1470" t="inlineStr">
        <is>
          <t>VÄSTERNORRLANDS LÄN</t>
        </is>
      </c>
      <c r="E1470" t="inlineStr">
        <is>
          <t>SOLLEFTEÅ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26732-2022</t>
        </is>
      </c>
      <c r="B1471" s="1" t="n">
        <v>44740</v>
      </c>
      <c r="C1471" s="1" t="n">
        <v>45822</v>
      </c>
      <c r="D1471" t="inlineStr">
        <is>
          <t>VÄSTERNORRLANDS LÄN</t>
        </is>
      </c>
      <c r="E1471" t="inlineStr">
        <is>
          <t>SOLLEFTEÅ</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26744-2022</t>
        </is>
      </c>
      <c r="B1472" s="1" t="n">
        <v>44739</v>
      </c>
      <c r="C1472" s="1" t="n">
        <v>45822</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26736-2022</t>
        </is>
      </c>
      <c r="B1473" s="1" t="n">
        <v>44740</v>
      </c>
      <c r="C1473" s="1" t="n">
        <v>45822</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27016-2022</t>
        </is>
      </c>
      <c r="B1474" s="1" t="n">
        <v>44741</v>
      </c>
      <c r="C1474" s="1" t="n">
        <v>45822</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27019-2022</t>
        </is>
      </c>
      <c r="B1475" s="1" t="n">
        <v>44741</v>
      </c>
      <c r="C1475" s="1" t="n">
        <v>45822</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27012-2022</t>
        </is>
      </c>
      <c r="B1476" s="1" t="n">
        <v>44740</v>
      </c>
      <c r="C1476" s="1" t="n">
        <v>45822</v>
      </c>
      <c r="D1476" t="inlineStr">
        <is>
          <t>VÄSTERNORRLANDS LÄN</t>
        </is>
      </c>
      <c r="E1476" t="inlineStr">
        <is>
          <t>SOLLEFTEÅ</t>
        </is>
      </c>
      <c r="F1476" t="inlineStr">
        <is>
          <t>SCA</t>
        </is>
      </c>
      <c r="G1476" t="n">
        <v>19.8</v>
      </c>
      <c r="H1476" t="n">
        <v>0</v>
      </c>
      <c r="I1476" t="n">
        <v>0</v>
      </c>
      <c r="J1476" t="n">
        <v>0</v>
      </c>
      <c r="K1476" t="n">
        <v>0</v>
      </c>
      <c r="L1476" t="n">
        <v>0</v>
      </c>
      <c r="M1476" t="n">
        <v>0</v>
      </c>
      <c r="N1476" t="n">
        <v>0</v>
      </c>
      <c r="O1476" t="n">
        <v>0</v>
      </c>
      <c r="P1476" t="n">
        <v>0</v>
      </c>
      <c r="Q1476" t="n">
        <v>0</v>
      </c>
      <c r="R1476" s="2" t="inlineStr"/>
    </row>
    <row r="1477" ht="15" customHeight="1">
      <c r="A1477" t="inlineStr">
        <is>
          <t>A 27020-2022</t>
        </is>
      </c>
      <c r="B1477" s="1" t="n">
        <v>44741</v>
      </c>
      <c r="C1477" s="1" t="n">
        <v>45822</v>
      </c>
      <c r="D1477" t="inlineStr">
        <is>
          <t>VÄSTERNORRLANDS LÄN</t>
        </is>
      </c>
      <c r="E1477" t="inlineStr">
        <is>
          <t>SOLLEFTEÅ</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27024-2022</t>
        </is>
      </c>
      <c r="B1478" s="1" t="n">
        <v>44741</v>
      </c>
      <c r="C1478" s="1" t="n">
        <v>45822</v>
      </c>
      <c r="D1478" t="inlineStr">
        <is>
          <t>VÄSTERNORRLANDS LÄN</t>
        </is>
      </c>
      <c r="E1478" t="inlineStr">
        <is>
          <t>SOLLEFTEÅ</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27023-2022</t>
        </is>
      </c>
      <c r="B1479" s="1" t="n">
        <v>44741</v>
      </c>
      <c r="C1479" s="1" t="n">
        <v>45822</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27018-2022</t>
        </is>
      </c>
      <c r="B1480" s="1" t="n">
        <v>44740</v>
      </c>
      <c r="C1480" s="1" t="n">
        <v>45822</v>
      </c>
      <c r="D1480" t="inlineStr">
        <is>
          <t>VÄSTERNORRLANDS LÄN</t>
        </is>
      </c>
      <c r="E1480" t="inlineStr">
        <is>
          <t>SOLLEFTEÅ</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27022-2022</t>
        </is>
      </c>
      <c r="B1481" s="1" t="n">
        <v>44741</v>
      </c>
      <c r="C1481" s="1" t="n">
        <v>45822</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27082-2022</t>
        </is>
      </c>
      <c r="B1482" s="1" t="n">
        <v>44741</v>
      </c>
      <c r="C1482" s="1" t="n">
        <v>45822</v>
      </c>
      <c r="D1482" t="inlineStr">
        <is>
          <t>VÄSTERNORRLANDS LÄN</t>
        </is>
      </c>
      <c r="E1482" t="inlineStr">
        <is>
          <t>SOLLEFTEÅ</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27283-2022</t>
        </is>
      </c>
      <c r="B1483" s="1" t="n">
        <v>44742</v>
      </c>
      <c r="C1483" s="1" t="n">
        <v>45822</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27282-2022</t>
        </is>
      </c>
      <c r="B1484" s="1" t="n">
        <v>44741</v>
      </c>
      <c r="C1484" s="1" t="n">
        <v>45822</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27573-2022</t>
        </is>
      </c>
      <c r="B1485" s="1" t="n">
        <v>44743</v>
      </c>
      <c r="C1485" s="1" t="n">
        <v>45822</v>
      </c>
      <c r="D1485" t="inlineStr">
        <is>
          <t>VÄSTERNORRLANDS LÄN</t>
        </is>
      </c>
      <c r="E1485" t="inlineStr">
        <is>
          <t>SOLLEFTEÅ</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27572-2022</t>
        </is>
      </c>
      <c r="B1486" s="1" t="n">
        <v>44743</v>
      </c>
      <c r="C1486" s="1" t="n">
        <v>45822</v>
      </c>
      <c r="D1486" t="inlineStr">
        <is>
          <t>VÄSTERNORRLANDS LÄN</t>
        </is>
      </c>
      <c r="E1486" t="inlineStr">
        <is>
          <t>SOLLEFTEÅ</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27603-2022</t>
        </is>
      </c>
      <c r="B1487" s="1" t="n">
        <v>44743</v>
      </c>
      <c r="C1487" s="1" t="n">
        <v>45822</v>
      </c>
      <c r="D1487" t="inlineStr">
        <is>
          <t>VÄSTERNORRLANDS LÄN</t>
        </is>
      </c>
      <c r="E1487" t="inlineStr">
        <is>
          <t>SOLLEFTEÅ</t>
        </is>
      </c>
      <c r="F1487" t="inlineStr">
        <is>
          <t>SCA</t>
        </is>
      </c>
      <c r="G1487" t="n">
        <v>9.6</v>
      </c>
      <c r="H1487" t="n">
        <v>0</v>
      </c>
      <c r="I1487" t="n">
        <v>0</v>
      </c>
      <c r="J1487" t="n">
        <v>0</v>
      </c>
      <c r="K1487" t="n">
        <v>0</v>
      </c>
      <c r="L1487" t="n">
        <v>0</v>
      </c>
      <c r="M1487" t="n">
        <v>0</v>
      </c>
      <c r="N1487" t="n">
        <v>0</v>
      </c>
      <c r="O1487" t="n">
        <v>0</v>
      </c>
      <c r="P1487" t="n">
        <v>0</v>
      </c>
      <c r="Q1487" t="n">
        <v>0</v>
      </c>
      <c r="R1487" s="2" t="inlineStr"/>
    </row>
    <row r="1488" ht="15" customHeight="1">
      <c r="A1488" t="inlineStr">
        <is>
          <t>A 27593-2022</t>
        </is>
      </c>
      <c r="B1488" s="1" t="n">
        <v>44742</v>
      </c>
      <c r="C1488" s="1" t="n">
        <v>45822</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27926-2022</t>
        </is>
      </c>
      <c r="B1489" s="1" t="n">
        <v>44743</v>
      </c>
      <c r="C1489" s="1" t="n">
        <v>45822</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27943-2022</t>
        </is>
      </c>
      <c r="B1490" s="1" t="n">
        <v>44743</v>
      </c>
      <c r="C1490" s="1" t="n">
        <v>45822</v>
      </c>
      <c r="D1490" t="inlineStr">
        <is>
          <t>VÄSTERNORRLANDS LÄN</t>
        </is>
      </c>
      <c r="E1490" t="inlineStr">
        <is>
          <t>SOLLEFTEÅ</t>
        </is>
      </c>
      <c r="F1490" t="inlineStr">
        <is>
          <t>SCA</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28293-2022</t>
        </is>
      </c>
      <c r="B1491" s="1" t="n">
        <v>44747</v>
      </c>
      <c r="C1491" s="1" t="n">
        <v>45822</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28700-2022</t>
        </is>
      </c>
      <c r="B1492" s="1" t="n">
        <v>44748</v>
      </c>
      <c r="C1492" s="1" t="n">
        <v>45822</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28729-2022</t>
        </is>
      </c>
      <c r="B1493" s="1" t="n">
        <v>44748</v>
      </c>
      <c r="C1493" s="1" t="n">
        <v>45822</v>
      </c>
      <c r="D1493" t="inlineStr">
        <is>
          <t>VÄSTERNORRLANDS LÄN</t>
        </is>
      </c>
      <c r="E1493" t="inlineStr">
        <is>
          <t>SOLLEFTEÅ</t>
        </is>
      </c>
      <c r="F1493" t="inlineStr">
        <is>
          <t>SCA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28730-2022</t>
        </is>
      </c>
      <c r="B1494" s="1" t="n">
        <v>44748</v>
      </c>
      <c r="C1494" s="1" t="n">
        <v>45822</v>
      </c>
      <c r="D1494" t="inlineStr">
        <is>
          <t>VÄSTERNORRLANDS LÄN</t>
        </is>
      </c>
      <c r="E1494" t="inlineStr">
        <is>
          <t>SOLLEFTEÅ</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28828-2022</t>
        </is>
      </c>
      <c r="B1495" s="1" t="n">
        <v>44749</v>
      </c>
      <c r="C1495" s="1" t="n">
        <v>45822</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28893-2022</t>
        </is>
      </c>
      <c r="B1496" s="1" t="n">
        <v>44749</v>
      </c>
      <c r="C1496" s="1" t="n">
        <v>45822</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28909-2022</t>
        </is>
      </c>
      <c r="B1497" s="1" t="n">
        <v>44749</v>
      </c>
      <c r="C1497" s="1" t="n">
        <v>45822</v>
      </c>
      <c r="D1497" t="inlineStr">
        <is>
          <t>VÄSTERNORRLANDS LÄN</t>
        </is>
      </c>
      <c r="E1497" t="inlineStr">
        <is>
          <t>SOLLEFTEÅ</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28896-2022</t>
        </is>
      </c>
      <c r="B1498" s="1" t="n">
        <v>44749</v>
      </c>
      <c r="C1498" s="1" t="n">
        <v>45822</v>
      </c>
      <c r="D1498" t="inlineStr">
        <is>
          <t>VÄSTERNORRLANDS LÄN</t>
        </is>
      </c>
      <c r="E1498" t="inlineStr">
        <is>
          <t>SOLLEFTEÅ</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28903-2022</t>
        </is>
      </c>
      <c r="B1499" s="1" t="n">
        <v>44749</v>
      </c>
      <c r="C1499" s="1" t="n">
        <v>45822</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28973-2022</t>
        </is>
      </c>
      <c r="B1500" s="1" t="n">
        <v>44749</v>
      </c>
      <c r="C1500" s="1" t="n">
        <v>45822</v>
      </c>
      <c r="D1500" t="inlineStr">
        <is>
          <t>VÄSTERNORRLANDS LÄN</t>
        </is>
      </c>
      <c r="E1500" t="inlineStr">
        <is>
          <t>SOLLEFTEÅ</t>
        </is>
      </c>
      <c r="F1500" t="inlineStr">
        <is>
          <t>Holmen skog AB</t>
        </is>
      </c>
      <c r="G1500" t="n">
        <v>11.6</v>
      </c>
      <c r="H1500" t="n">
        <v>0</v>
      </c>
      <c r="I1500" t="n">
        <v>0</v>
      </c>
      <c r="J1500" t="n">
        <v>0</v>
      </c>
      <c r="K1500" t="n">
        <v>0</v>
      </c>
      <c r="L1500" t="n">
        <v>0</v>
      </c>
      <c r="M1500" t="n">
        <v>0</v>
      </c>
      <c r="N1500" t="n">
        <v>0</v>
      </c>
      <c r="O1500" t="n">
        <v>0</v>
      </c>
      <c r="P1500" t="n">
        <v>0</v>
      </c>
      <c r="Q1500" t="n">
        <v>0</v>
      </c>
      <c r="R1500" s="2" t="inlineStr"/>
    </row>
    <row r="1501" ht="15" customHeight="1">
      <c r="A1501" t="inlineStr">
        <is>
          <t>A 29290-2022</t>
        </is>
      </c>
      <c r="B1501" s="1" t="n">
        <v>44750</v>
      </c>
      <c r="C1501" s="1" t="n">
        <v>45822</v>
      </c>
      <c r="D1501" t="inlineStr">
        <is>
          <t>VÄSTERNORRLANDS LÄN</t>
        </is>
      </c>
      <c r="E1501" t="inlineStr">
        <is>
          <t>SOLLEFTEÅ</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29294-2022</t>
        </is>
      </c>
      <c r="B1502" s="1" t="n">
        <v>44751</v>
      </c>
      <c r="C1502" s="1" t="n">
        <v>45822</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29300-2022</t>
        </is>
      </c>
      <c r="B1503" s="1" t="n">
        <v>44750</v>
      </c>
      <c r="C1503" s="1" t="n">
        <v>45822</v>
      </c>
      <c r="D1503" t="inlineStr">
        <is>
          <t>VÄSTERNORRLANDS LÄN</t>
        </is>
      </c>
      <c r="E1503" t="inlineStr">
        <is>
          <t>SOLLEFTEÅ</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29292-2022</t>
        </is>
      </c>
      <c r="B1504" s="1" t="n">
        <v>44750</v>
      </c>
      <c r="C1504" s="1" t="n">
        <v>45822</v>
      </c>
      <c r="D1504" t="inlineStr">
        <is>
          <t>VÄSTERNORRLANDS LÄN</t>
        </is>
      </c>
      <c r="E1504" t="inlineStr">
        <is>
          <t>SOLLEFTEÅ</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29538-2022</t>
        </is>
      </c>
      <c r="B1505" s="1" t="n">
        <v>44754</v>
      </c>
      <c r="C1505" s="1" t="n">
        <v>45822</v>
      </c>
      <c r="D1505" t="inlineStr">
        <is>
          <t>VÄSTERNORRLANDS LÄN</t>
        </is>
      </c>
      <c r="E1505" t="inlineStr">
        <is>
          <t>SOLLEFTEÅ</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v>
      </c>
      <c r="C1506" s="1" t="n">
        <v>45822</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30032-2022</t>
        </is>
      </c>
      <c r="B1507" s="1" t="n">
        <v>44756</v>
      </c>
      <c r="C1507" s="1" t="n">
        <v>45822</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30041-2022</t>
        </is>
      </c>
      <c r="B1508" s="1" t="n">
        <v>44756</v>
      </c>
      <c r="C1508" s="1" t="n">
        <v>45822</v>
      </c>
      <c r="D1508" t="inlineStr">
        <is>
          <t>VÄSTERNORRLANDS LÄN</t>
        </is>
      </c>
      <c r="E1508" t="inlineStr">
        <is>
          <t>SOLLEFTEÅ</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30045-2022</t>
        </is>
      </c>
      <c r="B1509" s="1" t="n">
        <v>44756</v>
      </c>
      <c r="C1509" s="1" t="n">
        <v>45822</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30013-2022</t>
        </is>
      </c>
      <c r="B1510" s="1" t="n">
        <v>44756</v>
      </c>
      <c r="C1510" s="1" t="n">
        <v>45822</v>
      </c>
      <c r="D1510" t="inlineStr">
        <is>
          <t>VÄSTERNORRLANDS LÄN</t>
        </is>
      </c>
      <c r="E1510" t="inlineStr">
        <is>
          <t>SOLLEFTEÅ</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30033-2022</t>
        </is>
      </c>
      <c r="B1511" s="1" t="n">
        <v>44756</v>
      </c>
      <c r="C1511" s="1" t="n">
        <v>45822</v>
      </c>
      <c r="D1511" t="inlineStr">
        <is>
          <t>VÄSTERNORRLANDS LÄN</t>
        </is>
      </c>
      <c r="E1511" t="inlineStr">
        <is>
          <t>SOLLEFTEÅ</t>
        </is>
      </c>
      <c r="F1511" t="inlineStr">
        <is>
          <t>SCA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30040-2022</t>
        </is>
      </c>
      <c r="B1512" s="1" t="n">
        <v>44757</v>
      </c>
      <c r="C1512" s="1" t="n">
        <v>45822</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30034-2022</t>
        </is>
      </c>
      <c r="B1513" s="1" t="n">
        <v>44757</v>
      </c>
      <c r="C1513" s="1" t="n">
        <v>45822</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30039-2022</t>
        </is>
      </c>
      <c r="B1514" s="1" t="n">
        <v>44757</v>
      </c>
      <c r="C1514" s="1" t="n">
        <v>45822</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30043-2022</t>
        </is>
      </c>
      <c r="B1515" s="1" t="n">
        <v>44756</v>
      </c>
      <c r="C1515" s="1" t="n">
        <v>45822</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30238-2022</t>
        </is>
      </c>
      <c r="B1516" s="1" t="n">
        <v>44757</v>
      </c>
      <c r="C1516" s="1" t="n">
        <v>45822</v>
      </c>
      <c r="D1516" t="inlineStr">
        <is>
          <t>VÄSTERNORRLANDS LÄN</t>
        </is>
      </c>
      <c r="E1516" t="inlineStr">
        <is>
          <t>SOLLEFTEÅ</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30239-2022</t>
        </is>
      </c>
      <c r="B1517" s="1" t="n">
        <v>44758</v>
      </c>
      <c r="C1517" s="1" t="n">
        <v>45822</v>
      </c>
      <c r="D1517" t="inlineStr">
        <is>
          <t>VÄSTERNORRLANDS LÄN</t>
        </is>
      </c>
      <c r="E1517" t="inlineStr">
        <is>
          <t>SOLLEFTEÅ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30237-2022</t>
        </is>
      </c>
      <c r="B1518" s="1" t="n">
        <v>44758</v>
      </c>
      <c r="C1518" s="1" t="n">
        <v>45822</v>
      </c>
      <c r="D1518" t="inlineStr">
        <is>
          <t>VÄSTERNORRLANDS LÄN</t>
        </is>
      </c>
      <c r="E1518" t="inlineStr">
        <is>
          <t>SOLLEFTEÅ</t>
        </is>
      </c>
      <c r="F1518" t="inlineStr">
        <is>
          <t>SCA</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30236-2022</t>
        </is>
      </c>
      <c r="B1519" s="1" t="n">
        <v>44757</v>
      </c>
      <c r="C1519" s="1" t="n">
        <v>45822</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30240-2022</t>
        </is>
      </c>
      <c r="B1520" s="1" t="n">
        <v>44757</v>
      </c>
      <c r="C1520" s="1" t="n">
        <v>45822</v>
      </c>
      <c r="D1520" t="inlineStr">
        <is>
          <t>VÄSTERNORRLANDS LÄN</t>
        </is>
      </c>
      <c r="E1520" t="inlineStr">
        <is>
          <t>SOLLEFTEÅ</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30606-2022</t>
        </is>
      </c>
      <c r="B1521" s="1" t="n">
        <v>44763</v>
      </c>
      <c r="C1521" s="1" t="n">
        <v>45822</v>
      </c>
      <c r="D1521" t="inlineStr">
        <is>
          <t>VÄSTERNORRLANDS LÄN</t>
        </is>
      </c>
      <c r="E1521" t="inlineStr">
        <is>
          <t>SOLLEFTEÅ</t>
        </is>
      </c>
      <c r="F1521" t="inlineStr">
        <is>
          <t>SCA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30805-2022</t>
        </is>
      </c>
      <c r="B1522" s="1" t="n">
        <v>44765</v>
      </c>
      <c r="C1522" s="1" t="n">
        <v>45822</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30936-2022</t>
        </is>
      </c>
      <c r="B1523" s="1" t="n">
        <v>44768</v>
      </c>
      <c r="C1523" s="1" t="n">
        <v>45822</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30937-2022</t>
        </is>
      </c>
      <c r="B1524" s="1" t="n">
        <v>44768</v>
      </c>
      <c r="C1524" s="1" t="n">
        <v>45822</v>
      </c>
      <c r="D1524" t="inlineStr">
        <is>
          <t>VÄSTERNORRLANDS LÄN</t>
        </is>
      </c>
      <c r="E1524" t="inlineStr">
        <is>
          <t>SOLLEFTEÅ</t>
        </is>
      </c>
      <c r="F1524" t="inlineStr">
        <is>
          <t>SCA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31005-2022</t>
        </is>
      </c>
      <c r="B1525" s="1" t="n">
        <v>44768</v>
      </c>
      <c r="C1525" s="1" t="n">
        <v>45822</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31444-2022</t>
        </is>
      </c>
      <c r="B1526" s="1" t="n">
        <v>44774</v>
      </c>
      <c r="C1526" s="1" t="n">
        <v>45822</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31453-2022</t>
        </is>
      </c>
      <c r="B1527" s="1" t="n">
        <v>44775</v>
      </c>
      <c r="C1527" s="1" t="n">
        <v>45822</v>
      </c>
      <c r="D1527" t="inlineStr">
        <is>
          <t>VÄSTERNORRLANDS LÄN</t>
        </is>
      </c>
      <c r="E1527" t="inlineStr">
        <is>
          <t>SOLLEFTEÅ</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31474-2022</t>
        </is>
      </c>
      <c r="B1528" s="1" t="n">
        <v>44775</v>
      </c>
      <c r="C1528" s="1" t="n">
        <v>45822</v>
      </c>
      <c r="D1528" t="inlineStr">
        <is>
          <t>VÄSTERNORRLANDS LÄN</t>
        </is>
      </c>
      <c r="E1528" t="inlineStr">
        <is>
          <t>SOLLEFTEÅ</t>
        </is>
      </c>
      <c r="F1528" t="inlineStr">
        <is>
          <t>SCA</t>
        </is>
      </c>
      <c r="G1528" t="n">
        <v>28.3</v>
      </c>
      <c r="H1528" t="n">
        <v>0</v>
      </c>
      <c r="I1528" t="n">
        <v>0</v>
      </c>
      <c r="J1528" t="n">
        <v>0</v>
      </c>
      <c r="K1528" t="n">
        <v>0</v>
      </c>
      <c r="L1528" t="n">
        <v>0</v>
      </c>
      <c r="M1528" t="n">
        <v>0</v>
      </c>
      <c r="N1528" t="n">
        <v>0</v>
      </c>
      <c r="O1528" t="n">
        <v>0</v>
      </c>
      <c r="P1528" t="n">
        <v>0</v>
      </c>
      <c r="Q1528" t="n">
        <v>0</v>
      </c>
      <c r="R1528" s="2" t="inlineStr"/>
    </row>
    <row r="1529" ht="15" customHeight="1">
      <c r="A1529" t="inlineStr">
        <is>
          <t>A 31440-2022</t>
        </is>
      </c>
      <c r="B1529" s="1" t="n">
        <v>44775</v>
      </c>
      <c r="C1529" s="1" t="n">
        <v>45822</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31464-2022</t>
        </is>
      </c>
      <c r="B1530" s="1" t="n">
        <v>44774</v>
      </c>
      <c r="C1530" s="1" t="n">
        <v>45822</v>
      </c>
      <c r="D1530" t="inlineStr">
        <is>
          <t>VÄSTERNORRLANDS LÄN</t>
        </is>
      </c>
      <c r="E1530" t="inlineStr">
        <is>
          <t>SOLLEFTEÅ</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31452-2022</t>
        </is>
      </c>
      <c r="B1531" s="1" t="n">
        <v>44775</v>
      </c>
      <c r="C1531" s="1" t="n">
        <v>45822</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31490-2022</t>
        </is>
      </c>
      <c r="B1532" s="1" t="n">
        <v>44775</v>
      </c>
      <c r="C1532" s="1" t="n">
        <v>45822</v>
      </c>
      <c r="D1532" t="inlineStr">
        <is>
          <t>VÄSTERNORRLANDS LÄN</t>
        </is>
      </c>
      <c r="E1532" t="inlineStr">
        <is>
          <t>SOLLEFTEÅ</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31451-2022</t>
        </is>
      </c>
      <c r="B1533" s="1" t="n">
        <v>44775</v>
      </c>
      <c r="C1533" s="1" t="n">
        <v>45822</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31482-2022</t>
        </is>
      </c>
      <c r="B1534" s="1" t="n">
        <v>44775</v>
      </c>
      <c r="C1534" s="1" t="n">
        <v>45822</v>
      </c>
      <c r="D1534" t="inlineStr">
        <is>
          <t>VÄSTERNORRLANDS LÄN</t>
        </is>
      </c>
      <c r="E1534" t="inlineStr">
        <is>
          <t>SOLLEFTEÅ</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31588-2022</t>
        </is>
      </c>
      <c r="B1535" s="1" t="n">
        <v>44775</v>
      </c>
      <c r="C1535" s="1" t="n">
        <v>45822</v>
      </c>
      <c r="D1535" t="inlineStr">
        <is>
          <t>VÄSTERNORRLANDS LÄN</t>
        </is>
      </c>
      <c r="E1535" t="inlineStr">
        <is>
          <t>SOLLEFTEÅ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31646-2022</t>
        </is>
      </c>
      <c r="B1536" s="1" t="n">
        <v>44776</v>
      </c>
      <c r="C1536" s="1" t="n">
        <v>45822</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31672-2022</t>
        </is>
      </c>
      <c r="B1537" s="1" t="n">
        <v>44776</v>
      </c>
      <c r="C1537" s="1" t="n">
        <v>45822</v>
      </c>
      <c r="D1537" t="inlineStr">
        <is>
          <t>VÄSTERNORRLANDS LÄN</t>
        </is>
      </c>
      <c r="E1537" t="inlineStr">
        <is>
          <t>SOLLEFTEÅ</t>
        </is>
      </c>
      <c r="G1537" t="n">
        <v>16.3</v>
      </c>
      <c r="H1537" t="n">
        <v>0</v>
      </c>
      <c r="I1537" t="n">
        <v>0</v>
      </c>
      <c r="J1537" t="n">
        <v>0</v>
      </c>
      <c r="K1537" t="n">
        <v>0</v>
      </c>
      <c r="L1537" t="n">
        <v>0</v>
      </c>
      <c r="M1537" t="n">
        <v>0</v>
      </c>
      <c r="N1537" t="n">
        <v>0</v>
      </c>
      <c r="O1537" t="n">
        <v>0</v>
      </c>
      <c r="P1537" t="n">
        <v>0</v>
      </c>
      <c r="Q1537" t="n">
        <v>0</v>
      </c>
      <c r="R1537" s="2" t="inlineStr"/>
    </row>
    <row r="1538" ht="15" customHeight="1">
      <c r="A1538" t="inlineStr">
        <is>
          <t>A 31856-2022</t>
        </is>
      </c>
      <c r="B1538" s="1" t="n">
        <v>44776</v>
      </c>
      <c r="C1538" s="1" t="n">
        <v>45822</v>
      </c>
      <c r="D1538" t="inlineStr">
        <is>
          <t>VÄSTERNORRLANDS LÄN</t>
        </is>
      </c>
      <c r="E1538" t="inlineStr">
        <is>
          <t>SOLLEFTEÅ</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31968-2022</t>
        </is>
      </c>
      <c r="B1539" s="1" t="n">
        <v>44778</v>
      </c>
      <c r="C1539" s="1" t="n">
        <v>45822</v>
      </c>
      <c r="D1539" t="inlineStr">
        <is>
          <t>VÄSTERNORRLANDS LÄN</t>
        </is>
      </c>
      <c r="E1539" t="inlineStr">
        <is>
          <t>SOLLEFTEÅ</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31967-2022</t>
        </is>
      </c>
      <c r="B1540" s="1" t="n">
        <v>44778</v>
      </c>
      <c r="C1540" s="1" t="n">
        <v>45822</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31965-2022</t>
        </is>
      </c>
      <c r="B1541" s="1" t="n">
        <v>44778</v>
      </c>
      <c r="C1541" s="1" t="n">
        <v>45822</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31966-2022</t>
        </is>
      </c>
      <c r="B1542" s="1" t="n">
        <v>44778</v>
      </c>
      <c r="C1542" s="1" t="n">
        <v>45822</v>
      </c>
      <c r="D1542" t="inlineStr">
        <is>
          <t>VÄSTERNORRLANDS LÄN</t>
        </is>
      </c>
      <c r="E1542" t="inlineStr">
        <is>
          <t>SOLLEFTEÅ</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32127-2022</t>
        </is>
      </c>
      <c r="B1543" s="1" t="n">
        <v>44779</v>
      </c>
      <c r="C1543" s="1" t="n">
        <v>45822</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32129-2022</t>
        </is>
      </c>
      <c r="B1544" s="1" t="n">
        <v>44779</v>
      </c>
      <c r="C1544" s="1" t="n">
        <v>45822</v>
      </c>
      <c r="D1544" t="inlineStr">
        <is>
          <t>VÄSTERNORRLANDS LÄN</t>
        </is>
      </c>
      <c r="E1544" t="inlineStr">
        <is>
          <t>SOLLEFTEÅ</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32126-2022</t>
        </is>
      </c>
      <c r="B1545" s="1" t="n">
        <v>44778</v>
      </c>
      <c r="C1545" s="1" t="n">
        <v>45822</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32130-2022</t>
        </is>
      </c>
      <c r="B1546" s="1" t="n">
        <v>44779</v>
      </c>
      <c r="C1546" s="1" t="n">
        <v>45822</v>
      </c>
      <c r="D1546" t="inlineStr">
        <is>
          <t>VÄSTERNORRLANDS LÄN</t>
        </is>
      </c>
      <c r="E1546" t="inlineStr">
        <is>
          <t>SOLLEFTEÅ</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32453-2022</t>
        </is>
      </c>
      <c r="B1547" s="1" t="n">
        <v>44782</v>
      </c>
      <c r="C1547" s="1" t="n">
        <v>45822</v>
      </c>
      <c r="D1547" t="inlineStr">
        <is>
          <t>VÄSTERNORRLANDS LÄN</t>
        </is>
      </c>
      <c r="E1547" t="inlineStr">
        <is>
          <t>SOLLEFTEÅ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32531-2022</t>
        </is>
      </c>
      <c r="B1548" s="1" t="n">
        <v>44783</v>
      </c>
      <c r="C1548" s="1" t="n">
        <v>45822</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32779-2022</t>
        </is>
      </c>
      <c r="B1549" s="1" t="n">
        <v>44784</v>
      </c>
      <c r="C1549" s="1" t="n">
        <v>45822</v>
      </c>
      <c r="D1549" t="inlineStr">
        <is>
          <t>VÄSTERNORRLANDS LÄN</t>
        </is>
      </c>
      <c r="E1549" t="inlineStr">
        <is>
          <t>SOLLEFTEÅ</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32969-2022</t>
        </is>
      </c>
      <c r="B1550" s="1" t="n">
        <v>44785</v>
      </c>
      <c r="C1550" s="1" t="n">
        <v>45822</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33056-2022</t>
        </is>
      </c>
      <c r="B1551" s="1" t="n">
        <v>44785</v>
      </c>
      <c r="C1551" s="1" t="n">
        <v>45822</v>
      </c>
      <c r="D1551" t="inlineStr">
        <is>
          <t>VÄSTERNORRLANDS LÄN</t>
        </is>
      </c>
      <c r="E1551" t="inlineStr">
        <is>
          <t>SOLLEFTEÅ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33083-2022</t>
        </is>
      </c>
      <c r="B1552" s="1" t="n">
        <v>44785</v>
      </c>
      <c r="C1552" s="1" t="n">
        <v>45822</v>
      </c>
      <c r="D1552" t="inlineStr">
        <is>
          <t>VÄSTERNORRLANDS LÄN</t>
        </is>
      </c>
      <c r="E1552" t="inlineStr">
        <is>
          <t>SOLLEFTEÅ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33077-2022</t>
        </is>
      </c>
      <c r="B1553" s="1" t="n">
        <v>44785</v>
      </c>
      <c r="C1553" s="1" t="n">
        <v>45822</v>
      </c>
      <c r="D1553" t="inlineStr">
        <is>
          <t>VÄSTERNORRLANDS LÄN</t>
        </is>
      </c>
      <c r="E1553" t="inlineStr">
        <is>
          <t>SOLLEFTEÅ</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33226-2022</t>
        </is>
      </c>
      <c r="B1554" s="1" t="n">
        <v>44786</v>
      </c>
      <c r="C1554" s="1" t="n">
        <v>45822</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33505-2022</t>
        </is>
      </c>
      <c r="B1555" s="1" t="n">
        <v>44789</v>
      </c>
      <c r="C1555" s="1" t="n">
        <v>45822</v>
      </c>
      <c r="D1555" t="inlineStr">
        <is>
          <t>VÄSTERNORRLANDS LÄN</t>
        </is>
      </c>
      <c r="E1555" t="inlineStr">
        <is>
          <t>SOLLEFTEÅ</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33519-2022</t>
        </is>
      </c>
      <c r="B1556" s="1" t="n">
        <v>44789</v>
      </c>
      <c r="C1556" s="1" t="n">
        <v>45822</v>
      </c>
      <c r="D1556" t="inlineStr">
        <is>
          <t>VÄSTERNORRLANDS LÄN</t>
        </is>
      </c>
      <c r="E1556" t="inlineStr">
        <is>
          <t>SOLLEFTEÅ</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33528-2022</t>
        </is>
      </c>
      <c r="B1557" s="1" t="n">
        <v>44788</v>
      </c>
      <c r="C1557" s="1" t="n">
        <v>45822</v>
      </c>
      <c r="D1557" t="inlineStr">
        <is>
          <t>VÄSTERNORRLANDS LÄN</t>
        </is>
      </c>
      <c r="E1557" t="inlineStr">
        <is>
          <t>SOLLEFTEÅ</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33734-2022</t>
        </is>
      </c>
      <c r="B1558" s="1" t="n">
        <v>44790</v>
      </c>
      <c r="C1558" s="1" t="n">
        <v>45822</v>
      </c>
      <c r="D1558" t="inlineStr">
        <is>
          <t>VÄSTERNORRLANDS LÄN</t>
        </is>
      </c>
      <c r="E1558" t="inlineStr">
        <is>
          <t>SOLLEFTEÅ</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33990-2022</t>
        </is>
      </c>
      <c r="B1559" s="1" t="n">
        <v>44790</v>
      </c>
      <c r="C1559" s="1" t="n">
        <v>45822</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33995-2022</t>
        </is>
      </c>
      <c r="B1560" s="1" t="n">
        <v>44791</v>
      </c>
      <c r="C1560" s="1" t="n">
        <v>45822</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33994-2022</t>
        </is>
      </c>
      <c r="B1561" s="1" t="n">
        <v>44791</v>
      </c>
      <c r="C1561" s="1" t="n">
        <v>45822</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34242-2022</t>
        </is>
      </c>
      <c r="B1562" s="1" t="n">
        <v>44792</v>
      </c>
      <c r="C1562" s="1" t="n">
        <v>45822</v>
      </c>
      <c r="D1562" t="inlineStr">
        <is>
          <t>VÄSTERNORRLANDS LÄN</t>
        </is>
      </c>
      <c r="E1562" t="inlineStr">
        <is>
          <t>SOLLEFTEÅ</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34252-2022</t>
        </is>
      </c>
      <c r="B1563" s="1" t="n">
        <v>44792</v>
      </c>
      <c r="C1563" s="1" t="n">
        <v>45822</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34267-2022</t>
        </is>
      </c>
      <c r="B1564" s="1" t="n">
        <v>44792</v>
      </c>
      <c r="C1564" s="1" t="n">
        <v>45822</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34281-2022</t>
        </is>
      </c>
      <c r="B1565" s="1" t="n">
        <v>44791</v>
      </c>
      <c r="C1565" s="1" t="n">
        <v>45822</v>
      </c>
      <c r="D1565" t="inlineStr">
        <is>
          <t>VÄSTERNORRLANDS LÄN</t>
        </is>
      </c>
      <c r="E1565" t="inlineStr">
        <is>
          <t>SOLLEFTEÅ</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34518-2022</t>
        </is>
      </c>
      <c r="B1566" s="1" t="n">
        <v>44793</v>
      </c>
      <c r="C1566" s="1" t="n">
        <v>45822</v>
      </c>
      <c r="D1566" t="inlineStr">
        <is>
          <t>VÄSTERNORRLANDS LÄN</t>
        </is>
      </c>
      <c r="E1566" t="inlineStr">
        <is>
          <t>SOLLEFTEÅ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34517-2022</t>
        </is>
      </c>
      <c r="B1567" s="1" t="n">
        <v>44793</v>
      </c>
      <c r="C1567" s="1" t="n">
        <v>45822</v>
      </c>
      <c r="D1567" t="inlineStr">
        <is>
          <t>VÄSTERNORRLANDS LÄN</t>
        </is>
      </c>
      <c r="E1567" t="inlineStr">
        <is>
          <t>SOLLEFTEÅ</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34527-2022</t>
        </is>
      </c>
      <c r="B1568" s="1" t="n">
        <v>44793</v>
      </c>
      <c r="C1568" s="1" t="n">
        <v>45822</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34534-2022</t>
        </is>
      </c>
      <c r="B1569" s="1" t="n">
        <v>44793</v>
      </c>
      <c r="C1569" s="1" t="n">
        <v>45822</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34516-2022</t>
        </is>
      </c>
      <c r="B1570" s="1" t="n">
        <v>44792</v>
      </c>
      <c r="C1570" s="1" t="n">
        <v>45822</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34648-2022</t>
        </is>
      </c>
      <c r="B1571" s="1" t="n">
        <v>44792</v>
      </c>
      <c r="C1571" s="1" t="n">
        <v>45822</v>
      </c>
      <c r="D1571" t="inlineStr">
        <is>
          <t>VÄSTERNORRLANDS LÄN</t>
        </is>
      </c>
      <c r="E1571" t="inlineStr">
        <is>
          <t>SOLLEFTEÅ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34549-2022</t>
        </is>
      </c>
      <c r="B1572" s="1" t="n">
        <v>44793</v>
      </c>
      <c r="C1572" s="1" t="n">
        <v>45822</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34542-2022</t>
        </is>
      </c>
      <c r="B1573" s="1" t="n">
        <v>44793</v>
      </c>
      <c r="C1573" s="1" t="n">
        <v>45822</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34543-2022</t>
        </is>
      </c>
      <c r="B1574" s="1" t="n">
        <v>44793</v>
      </c>
      <c r="C1574" s="1" t="n">
        <v>45822</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34552-2022</t>
        </is>
      </c>
      <c r="B1575" s="1" t="n">
        <v>44794</v>
      </c>
      <c r="C1575" s="1" t="n">
        <v>45822</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34804-2022</t>
        </is>
      </c>
      <c r="B1576" s="1" t="n">
        <v>44796</v>
      </c>
      <c r="C1576" s="1" t="n">
        <v>45822</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35019-2022</t>
        </is>
      </c>
      <c r="B1577" s="1" t="n">
        <v>44797</v>
      </c>
      <c r="C1577" s="1" t="n">
        <v>45822</v>
      </c>
      <c r="D1577" t="inlineStr">
        <is>
          <t>VÄSTERNORRLANDS LÄN</t>
        </is>
      </c>
      <c r="E1577" t="inlineStr">
        <is>
          <t>SOLLEFTEÅ</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35229-2022</t>
        </is>
      </c>
      <c r="B1578" s="1" t="n">
        <v>44798</v>
      </c>
      <c r="C1578" s="1" t="n">
        <v>45822</v>
      </c>
      <c r="D1578" t="inlineStr">
        <is>
          <t>VÄSTERNORRLANDS LÄN</t>
        </is>
      </c>
      <c r="E1578" t="inlineStr">
        <is>
          <t>SOLLEFTEÅ</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35747-2022</t>
        </is>
      </c>
      <c r="B1579" s="1" t="n">
        <v>44799</v>
      </c>
      <c r="C1579" s="1" t="n">
        <v>45822</v>
      </c>
      <c r="D1579" t="inlineStr">
        <is>
          <t>VÄSTERNORRLANDS LÄN</t>
        </is>
      </c>
      <c r="E1579" t="inlineStr">
        <is>
          <t>SOLLEFTEÅ</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35797-2022</t>
        </is>
      </c>
      <c r="B1580" s="1" t="n">
        <v>44802</v>
      </c>
      <c r="C1580" s="1" t="n">
        <v>45822</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36080-2022</t>
        </is>
      </c>
      <c r="B1581" s="1" t="n">
        <v>44803</v>
      </c>
      <c r="C1581" s="1" t="n">
        <v>45822</v>
      </c>
      <c r="D1581" t="inlineStr">
        <is>
          <t>VÄSTERNORRLANDS LÄN</t>
        </is>
      </c>
      <c r="E1581" t="inlineStr">
        <is>
          <t>SOLLEFTEÅ</t>
        </is>
      </c>
      <c r="F1581" t="inlineStr">
        <is>
          <t>SCA</t>
        </is>
      </c>
      <c r="G1581" t="n">
        <v>78.2</v>
      </c>
      <c r="H1581" t="n">
        <v>0</v>
      </c>
      <c r="I1581" t="n">
        <v>0</v>
      </c>
      <c r="J1581" t="n">
        <v>0</v>
      </c>
      <c r="K1581" t="n">
        <v>0</v>
      </c>
      <c r="L1581" t="n">
        <v>0</v>
      </c>
      <c r="M1581" t="n">
        <v>0</v>
      </c>
      <c r="N1581" t="n">
        <v>0</v>
      </c>
      <c r="O1581" t="n">
        <v>0</v>
      </c>
      <c r="P1581" t="n">
        <v>0</v>
      </c>
      <c r="Q1581" t="n">
        <v>0</v>
      </c>
      <c r="R1581" s="2" t="inlineStr"/>
    </row>
    <row r="1582" ht="15" customHeight="1">
      <c r="A1582" t="inlineStr">
        <is>
          <t>A 36078-2022</t>
        </is>
      </c>
      <c r="B1582" s="1" t="n">
        <v>44803</v>
      </c>
      <c r="C1582" s="1" t="n">
        <v>45822</v>
      </c>
      <c r="D1582" t="inlineStr">
        <is>
          <t>VÄSTERNORRLANDS LÄN</t>
        </is>
      </c>
      <c r="E1582" t="inlineStr">
        <is>
          <t>SOLLEFTEÅ</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36368-2022</t>
        </is>
      </c>
      <c r="B1583" s="1" t="n">
        <v>44804</v>
      </c>
      <c r="C1583" s="1" t="n">
        <v>45822</v>
      </c>
      <c r="D1583" t="inlineStr">
        <is>
          <t>VÄSTERNORRLANDS LÄN</t>
        </is>
      </c>
      <c r="E1583" t="inlineStr">
        <is>
          <t>SOLLEFTEÅ</t>
        </is>
      </c>
      <c r="F1583" t="inlineStr">
        <is>
          <t>SCA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36367-2022</t>
        </is>
      </c>
      <c r="B1584" s="1" t="n">
        <v>44804</v>
      </c>
      <c r="C1584" s="1" t="n">
        <v>45822</v>
      </c>
      <c r="D1584" t="inlineStr">
        <is>
          <t>VÄSTERNORRLANDS LÄN</t>
        </is>
      </c>
      <c r="E1584" t="inlineStr">
        <is>
          <t>SOLLEFTEÅ</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36688-2022</t>
        </is>
      </c>
      <c r="B1585" s="1" t="n">
        <v>44804</v>
      </c>
      <c r="C1585" s="1" t="n">
        <v>45822</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36681-2022</t>
        </is>
      </c>
      <c r="B1586" s="1" t="n">
        <v>44804</v>
      </c>
      <c r="C1586" s="1" t="n">
        <v>45822</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36926-2022</t>
        </is>
      </c>
      <c r="B1587" s="1" t="n">
        <v>44806</v>
      </c>
      <c r="C1587" s="1" t="n">
        <v>45822</v>
      </c>
      <c r="D1587" t="inlineStr">
        <is>
          <t>VÄSTERNORRLANDS LÄN</t>
        </is>
      </c>
      <c r="E1587" t="inlineStr">
        <is>
          <t>SOLLEFTEÅ</t>
        </is>
      </c>
      <c r="F1587" t="inlineStr">
        <is>
          <t>SCA</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37242-2022</t>
        </is>
      </c>
      <c r="B1588" s="1" t="n">
        <v>44807</v>
      </c>
      <c r="C1588" s="1" t="n">
        <v>45822</v>
      </c>
      <c r="D1588" t="inlineStr">
        <is>
          <t>VÄSTERNORRLANDS LÄN</t>
        </is>
      </c>
      <c r="E1588" t="inlineStr">
        <is>
          <t>SOLLEFTEÅ</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37596-2022</t>
        </is>
      </c>
      <c r="B1589" s="1" t="n">
        <v>44810</v>
      </c>
      <c r="C1589" s="1" t="n">
        <v>45822</v>
      </c>
      <c r="D1589" t="inlineStr">
        <is>
          <t>VÄSTERNORRLANDS LÄN</t>
        </is>
      </c>
      <c r="E1589" t="inlineStr">
        <is>
          <t>SOLLEFTEÅ</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37597-2022</t>
        </is>
      </c>
      <c r="B1590" s="1" t="n">
        <v>44810</v>
      </c>
      <c r="C1590" s="1" t="n">
        <v>45822</v>
      </c>
      <c r="D1590" t="inlineStr">
        <is>
          <t>VÄSTERNORRLANDS LÄN</t>
        </is>
      </c>
      <c r="E1590" t="inlineStr">
        <is>
          <t>SOLLEFTEÅ</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37835-2022</t>
        </is>
      </c>
      <c r="B1591" s="1" t="n">
        <v>44810</v>
      </c>
      <c r="C1591" s="1" t="n">
        <v>45822</v>
      </c>
      <c r="D1591" t="inlineStr">
        <is>
          <t>VÄSTERNORRLANDS LÄN</t>
        </is>
      </c>
      <c r="E1591" t="inlineStr">
        <is>
          <t>SOLLEFTEÅ</t>
        </is>
      </c>
      <c r="F1591" t="inlineStr">
        <is>
          <t>SCA</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37826-2022</t>
        </is>
      </c>
      <c r="B1592" s="1" t="n">
        <v>44811</v>
      </c>
      <c r="C1592" s="1" t="n">
        <v>45822</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37840-2022</t>
        </is>
      </c>
      <c r="B1593" s="1" t="n">
        <v>44810</v>
      </c>
      <c r="C1593" s="1" t="n">
        <v>45822</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38096-2022</t>
        </is>
      </c>
      <c r="B1594" s="1" t="n">
        <v>44812</v>
      </c>
      <c r="C1594" s="1" t="n">
        <v>45822</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38095-2022</t>
        </is>
      </c>
      <c r="B1595" s="1" t="n">
        <v>44811</v>
      </c>
      <c r="C1595" s="1" t="n">
        <v>45822</v>
      </c>
      <c r="D1595" t="inlineStr">
        <is>
          <t>VÄSTERNORRLANDS LÄN</t>
        </is>
      </c>
      <c r="E1595" t="inlineStr">
        <is>
          <t>SOLLEFTEÅ</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37977-2022</t>
        </is>
      </c>
      <c r="B1596" s="1" t="n">
        <v>44811</v>
      </c>
      <c r="C1596" s="1" t="n">
        <v>45822</v>
      </c>
      <c r="D1596" t="inlineStr">
        <is>
          <t>VÄSTERNORRLANDS LÄN</t>
        </is>
      </c>
      <c r="E1596" t="inlineStr">
        <is>
          <t>SOLLEFTEÅ</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38102-2022</t>
        </is>
      </c>
      <c r="B1597" s="1" t="n">
        <v>44811</v>
      </c>
      <c r="C1597" s="1" t="n">
        <v>45822</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c r="U1597">
        <f>HYPERLINK("https://klasma.github.io/Logging_2283/knärot/A 38102-2022 karta knärot.png", "A 38102-2022")</f>
        <v/>
      </c>
      <c r="V1597">
        <f>HYPERLINK("https://klasma.github.io/Logging_2283/klagomål/A 38102-2022 FSC-klagomål.docx", "A 38102-2022")</f>
        <v/>
      </c>
      <c r="W1597">
        <f>HYPERLINK("https://klasma.github.io/Logging_2283/klagomålsmail/A 38102-2022 FSC-klagomål mail.docx", "A 38102-2022")</f>
        <v/>
      </c>
      <c r="X1597">
        <f>HYPERLINK("https://klasma.github.io/Logging_2283/tillsyn/A 38102-2022 tillsynsbegäran.docx", "A 38102-2022")</f>
        <v/>
      </c>
      <c r="Y1597">
        <f>HYPERLINK("https://klasma.github.io/Logging_2283/tillsynsmail/A 38102-2022 tillsynsbegäran mail.docx", "A 38102-2022")</f>
        <v/>
      </c>
    </row>
    <row r="1598" ht="15" customHeight="1">
      <c r="A1598" t="inlineStr">
        <is>
          <t>A 38230-2022</t>
        </is>
      </c>
      <c r="B1598" s="1" t="n">
        <v>44812</v>
      </c>
      <c r="C1598" s="1" t="n">
        <v>45822</v>
      </c>
      <c r="D1598" t="inlineStr">
        <is>
          <t>VÄSTERNORRLANDS LÄN</t>
        </is>
      </c>
      <c r="E1598" t="inlineStr">
        <is>
          <t>SOLLEFTEÅ</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38430-2022</t>
        </is>
      </c>
      <c r="B1599" s="1" t="n">
        <v>44812</v>
      </c>
      <c r="C1599" s="1" t="n">
        <v>45822</v>
      </c>
      <c r="D1599" t="inlineStr">
        <is>
          <t>VÄSTERNORRLANDS LÄN</t>
        </is>
      </c>
      <c r="E1599" t="inlineStr">
        <is>
          <t>SOLLEFTEÅ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38433-2022</t>
        </is>
      </c>
      <c r="B1600" s="1" t="n">
        <v>44812</v>
      </c>
      <c r="C1600" s="1" t="n">
        <v>45822</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38312-2022</t>
        </is>
      </c>
      <c r="B1601" s="1" t="n">
        <v>44812</v>
      </c>
      <c r="C1601" s="1" t="n">
        <v>45822</v>
      </c>
      <c r="D1601" t="inlineStr">
        <is>
          <t>VÄSTERNORRLANDS LÄN</t>
        </is>
      </c>
      <c r="E1601" t="inlineStr">
        <is>
          <t>SOLLEFTEÅ</t>
        </is>
      </c>
      <c r="F1601" t="inlineStr">
        <is>
          <t>Holmen skog AB</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38428-2022</t>
        </is>
      </c>
      <c r="B1602" s="1" t="n">
        <v>44812</v>
      </c>
      <c r="C1602" s="1" t="n">
        <v>45822</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38432-2022</t>
        </is>
      </c>
      <c r="B1603" s="1" t="n">
        <v>44812</v>
      </c>
      <c r="C1603" s="1" t="n">
        <v>45822</v>
      </c>
      <c r="D1603" t="inlineStr">
        <is>
          <t>VÄSTERNORRLANDS LÄN</t>
        </is>
      </c>
      <c r="E1603" t="inlineStr">
        <is>
          <t>SOLLEFTEÅ</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38663-2022</t>
        </is>
      </c>
      <c r="B1604" s="1" t="n">
        <v>44814</v>
      </c>
      <c r="C1604" s="1" t="n">
        <v>45822</v>
      </c>
      <c r="D1604" t="inlineStr">
        <is>
          <t>VÄSTERNORRLANDS LÄN</t>
        </is>
      </c>
      <c r="E1604" t="inlineStr">
        <is>
          <t>SOLLEFTEÅ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39006-2022</t>
        </is>
      </c>
      <c r="B1605" s="1" t="n">
        <v>44817</v>
      </c>
      <c r="C1605" s="1" t="n">
        <v>45822</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39012-2022</t>
        </is>
      </c>
      <c r="B1606" s="1" t="n">
        <v>44816</v>
      </c>
      <c r="C1606" s="1" t="n">
        <v>45822</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39384-2022</t>
        </is>
      </c>
      <c r="B1607" s="1" t="n">
        <v>44818</v>
      </c>
      <c r="C1607" s="1" t="n">
        <v>45822</v>
      </c>
      <c r="D1607" t="inlineStr">
        <is>
          <t>VÄSTERNORRLANDS LÄN</t>
        </is>
      </c>
      <c r="E1607" t="inlineStr">
        <is>
          <t>SOLLEFTEÅ</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39372-2022</t>
        </is>
      </c>
      <c r="B1608" s="1" t="n">
        <v>44818</v>
      </c>
      <c r="C1608" s="1" t="n">
        <v>45822</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39371-2022</t>
        </is>
      </c>
      <c r="B1609" s="1" t="n">
        <v>44818</v>
      </c>
      <c r="C1609" s="1" t="n">
        <v>45822</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39688-2022</t>
        </is>
      </c>
      <c r="B1610" s="1" t="n">
        <v>44818</v>
      </c>
      <c r="C1610" s="1" t="n">
        <v>45822</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39699-2022</t>
        </is>
      </c>
      <c r="B1611" s="1" t="n">
        <v>44819</v>
      </c>
      <c r="C1611" s="1" t="n">
        <v>45822</v>
      </c>
      <c r="D1611" t="inlineStr">
        <is>
          <t>VÄSTERNORRLANDS LÄN</t>
        </is>
      </c>
      <c r="E1611" t="inlineStr">
        <is>
          <t>SOLLEFTEÅ</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39944-2022</t>
        </is>
      </c>
      <c r="B1612" s="1" t="n">
        <v>44819</v>
      </c>
      <c r="C1612" s="1" t="n">
        <v>45822</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39942-2022</t>
        </is>
      </c>
      <c r="B1613" s="1" t="n">
        <v>44820</v>
      </c>
      <c r="C1613" s="1" t="n">
        <v>45822</v>
      </c>
      <c r="D1613" t="inlineStr">
        <is>
          <t>VÄSTERNORRLANDS LÄN</t>
        </is>
      </c>
      <c r="E1613" t="inlineStr">
        <is>
          <t>SOLLEFTEÅ</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39947-2022</t>
        </is>
      </c>
      <c r="B1614" s="1" t="n">
        <v>44819</v>
      </c>
      <c r="C1614" s="1" t="n">
        <v>45822</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39943-2022</t>
        </is>
      </c>
      <c r="B1615" s="1" t="n">
        <v>44820</v>
      </c>
      <c r="C1615" s="1" t="n">
        <v>45822</v>
      </c>
      <c r="D1615" t="inlineStr">
        <is>
          <t>VÄSTERNORRLANDS LÄN</t>
        </is>
      </c>
      <c r="E1615" t="inlineStr">
        <is>
          <t>SOLLEFTEÅ</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39951-2022</t>
        </is>
      </c>
      <c r="B1616" s="1" t="n">
        <v>44820</v>
      </c>
      <c r="C1616" s="1" t="n">
        <v>45822</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39934-2022</t>
        </is>
      </c>
      <c r="B1617" s="1" t="n">
        <v>44820</v>
      </c>
      <c r="C1617" s="1" t="n">
        <v>45822</v>
      </c>
      <c r="D1617" t="inlineStr">
        <is>
          <t>VÄSTERNORRLANDS LÄN</t>
        </is>
      </c>
      <c r="E1617" t="inlineStr">
        <is>
          <t>SOLLEFTEÅ</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39946-2022</t>
        </is>
      </c>
      <c r="B1618" s="1" t="n">
        <v>44819</v>
      </c>
      <c r="C1618" s="1" t="n">
        <v>45822</v>
      </c>
      <c r="D1618" t="inlineStr">
        <is>
          <t>VÄSTERNORRLANDS LÄN</t>
        </is>
      </c>
      <c r="E1618" t="inlineStr">
        <is>
          <t>SOLLEFTEÅ</t>
        </is>
      </c>
      <c r="F1618" t="inlineStr">
        <is>
          <t>SCA</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40608-2022</t>
        </is>
      </c>
      <c r="B1619" s="1" t="n">
        <v>44824</v>
      </c>
      <c r="C1619" s="1" t="n">
        <v>45822</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40609-2022</t>
        </is>
      </c>
      <c r="B1620" s="1" t="n">
        <v>44824</v>
      </c>
      <c r="C1620" s="1" t="n">
        <v>45822</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40610-2022</t>
        </is>
      </c>
      <c r="B1621" s="1" t="n">
        <v>44824</v>
      </c>
      <c r="C1621" s="1" t="n">
        <v>45822</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40599-2022</t>
        </is>
      </c>
      <c r="B1622" s="1" t="n">
        <v>44824</v>
      </c>
      <c r="C1622" s="1" t="n">
        <v>45822</v>
      </c>
      <c r="D1622" t="inlineStr">
        <is>
          <t>VÄSTERNORRLANDS LÄN</t>
        </is>
      </c>
      <c r="E1622" t="inlineStr">
        <is>
          <t>SOLLEFTEÅ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40611-2022</t>
        </is>
      </c>
      <c r="B1623" s="1" t="n">
        <v>44824</v>
      </c>
      <c r="C1623" s="1" t="n">
        <v>45822</v>
      </c>
      <c r="D1623" t="inlineStr">
        <is>
          <t>VÄSTERNORRLANDS LÄN</t>
        </is>
      </c>
      <c r="E1623" t="inlineStr">
        <is>
          <t>SOLLEFTEÅ</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40832-2022</t>
        </is>
      </c>
      <c r="B1624" s="1" t="n">
        <v>44825</v>
      </c>
      <c r="C1624" s="1" t="n">
        <v>45822</v>
      </c>
      <c r="D1624" t="inlineStr">
        <is>
          <t>VÄSTERNORRLANDS LÄN</t>
        </is>
      </c>
      <c r="E1624" t="inlineStr">
        <is>
          <t>SOLLEFTEÅ</t>
        </is>
      </c>
      <c r="F1624" t="inlineStr">
        <is>
          <t>SCA</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41187-2022</t>
        </is>
      </c>
      <c r="B1625" s="1" t="n">
        <v>44826</v>
      </c>
      <c r="C1625" s="1" t="n">
        <v>45822</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41192-2022</t>
        </is>
      </c>
      <c r="B1626" s="1" t="n">
        <v>44826</v>
      </c>
      <c r="C1626" s="1" t="n">
        <v>45822</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41168-2022</t>
        </is>
      </c>
      <c r="B1627" s="1" t="n">
        <v>44826</v>
      </c>
      <c r="C1627" s="1" t="n">
        <v>45822</v>
      </c>
      <c r="D1627" t="inlineStr">
        <is>
          <t>VÄSTERNORRLANDS LÄN</t>
        </is>
      </c>
      <c r="E1627" t="inlineStr">
        <is>
          <t>SOLLEFTEÅ</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41172-2022</t>
        </is>
      </c>
      <c r="B1628" s="1" t="n">
        <v>44826</v>
      </c>
      <c r="C1628" s="1" t="n">
        <v>45822</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41176-2022</t>
        </is>
      </c>
      <c r="B1629" s="1" t="n">
        <v>44826</v>
      </c>
      <c r="C1629" s="1" t="n">
        <v>45822</v>
      </c>
      <c r="D1629" t="inlineStr">
        <is>
          <t>VÄSTERNORRLANDS LÄN</t>
        </is>
      </c>
      <c r="E1629" t="inlineStr">
        <is>
          <t>SOLLEFTEÅ</t>
        </is>
      </c>
      <c r="F1629" t="inlineStr">
        <is>
          <t>SCA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41189-2022</t>
        </is>
      </c>
      <c r="B1630" s="1" t="n">
        <v>44826</v>
      </c>
      <c r="C1630" s="1" t="n">
        <v>45822</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41196-2022</t>
        </is>
      </c>
      <c r="B1631" s="1" t="n">
        <v>44826</v>
      </c>
      <c r="C1631" s="1" t="n">
        <v>45822</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41195-2022</t>
        </is>
      </c>
      <c r="B1632" s="1" t="n">
        <v>44826</v>
      </c>
      <c r="C1632" s="1" t="n">
        <v>45822</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41456-2022</t>
        </is>
      </c>
      <c r="B1633" s="1" t="n">
        <v>44826</v>
      </c>
      <c r="C1633" s="1" t="n">
        <v>45822</v>
      </c>
      <c r="D1633" t="inlineStr">
        <is>
          <t>VÄSTERNORRLANDS LÄN</t>
        </is>
      </c>
      <c r="E1633" t="inlineStr">
        <is>
          <t>SOLLEFTEÅ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41463-2022</t>
        </is>
      </c>
      <c r="B1634" s="1" t="n">
        <v>44827</v>
      </c>
      <c r="C1634" s="1" t="n">
        <v>45822</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41475-2022</t>
        </is>
      </c>
      <c r="B1635" s="1" t="n">
        <v>44826</v>
      </c>
      <c r="C1635" s="1" t="n">
        <v>45822</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41481-2022</t>
        </is>
      </c>
      <c r="B1636" s="1" t="n">
        <v>44827</v>
      </c>
      <c r="C1636" s="1" t="n">
        <v>45822</v>
      </c>
      <c r="D1636" t="inlineStr">
        <is>
          <t>VÄSTERNORRLANDS LÄN</t>
        </is>
      </c>
      <c r="E1636" t="inlineStr">
        <is>
          <t>SOLLEFTEÅ</t>
        </is>
      </c>
      <c r="F1636" t="inlineStr">
        <is>
          <t>SCA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41478-2022</t>
        </is>
      </c>
      <c r="B1637" s="1" t="n">
        <v>44827</v>
      </c>
      <c r="C1637" s="1" t="n">
        <v>45822</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41486-2022</t>
        </is>
      </c>
      <c r="B1638" s="1" t="n">
        <v>44827</v>
      </c>
      <c r="C1638" s="1" t="n">
        <v>45822</v>
      </c>
      <c r="D1638" t="inlineStr">
        <is>
          <t>VÄSTERNORRLANDS LÄN</t>
        </is>
      </c>
      <c r="E1638" t="inlineStr">
        <is>
          <t>SOLLEFTEÅ</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41455-2022</t>
        </is>
      </c>
      <c r="B1639" s="1" t="n">
        <v>44826</v>
      </c>
      <c r="C1639" s="1" t="n">
        <v>45822</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41474-2022</t>
        </is>
      </c>
      <c r="B1640" s="1" t="n">
        <v>44827</v>
      </c>
      <c r="C1640" s="1" t="n">
        <v>45822</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41480-2022</t>
        </is>
      </c>
      <c r="B1641" s="1" t="n">
        <v>44827</v>
      </c>
      <c r="C1641" s="1" t="n">
        <v>45822</v>
      </c>
      <c r="D1641" t="inlineStr">
        <is>
          <t>VÄSTERNORRLANDS LÄN</t>
        </is>
      </c>
      <c r="E1641" t="inlineStr">
        <is>
          <t>SOLLEFTEÅ</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41488-2022</t>
        </is>
      </c>
      <c r="B1642" s="1" t="n">
        <v>44826</v>
      </c>
      <c r="C1642" s="1" t="n">
        <v>45822</v>
      </c>
      <c r="D1642" t="inlineStr">
        <is>
          <t>VÄSTERNORRLANDS LÄN</t>
        </is>
      </c>
      <c r="E1642" t="inlineStr">
        <is>
          <t>SOLLEFTEÅ</t>
        </is>
      </c>
      <c r="F1642" t="inlineStr">
        <is>
          <t>SCA</t>
        </is>
      </c>
      <c r="G1642" t="n">
        <v>14.7</v>
      </c>
      <c r="H1642" t="n">
        <v>0</v>
      </c>
      <c r="I1642" t="n">
        <v>0</v>
      </c>
      <c r="J1642" t="n">
        <v>0</v>
      </c>
      <c r="K1642" t="n">
        <v>0</v>
      </c>
      <c r="L1642" t="n">
        <v>0</v>
      </c>
      <c r="M1642" t="n">
        <v>0</v>
      </c>
      <c r="N1642" t="n">
        <v>0</v>
      </c>
      <c r="O1642" t="n">
        <v>0</v>
      </c>
      <c r="P1642" t="n">
        <v>0</v>
      </c>
      <c r="Q1642" t="n">
        <v>0</v>
      </c>
      <c r="R1642" s="2" t="inlineStr"/>
    </row>
    <row r="1643" ht="15" customHeight="1">
      <c r="A1643" t="inlineStr">
        <is>
          <t>A 41487-2022</t>
        </is>
      </c>
      <c r="B1643" s="1" t="n">
        <v>44827</v>
      </c>
      <c r="C1643" s="1" t="n">
        <v>45822</v>
      </c>
      <c r="D1643" t="inlineStr">
        <is>
          <t>VÄSTERNORRLANDS LÄN</t>
        </is>
      </c>
      <c r="E1643" t="inlineStr">
        <is>
          <t>SOLLEFTEÅ</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41479-2022</t>
        </is>
      </c>
      <c r="B1644" s="1" t="n">
        <v>44827</v>
      </c>
      <c r="C1644" s="1" t="n">
        <v>45822</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41813-2022</t>
        </is>
      </c>
      <c r="B1645" s="1" t="n">
        <v>44828</v>
      </c>
      <c r="C1645" s="1" t="n">
        <v>45822</v>
      </c>
      <c r="D1645" t="inlineStr">
        <is>
          <t>VÄSTERNORRLANDS LÄN</t>
        </is>
      </c>
      <c r="E1645" t="inlineStr">
        <is>
          <t>SOLLEFTEÅ</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42272-2022</t>
        </is>
      </c>
      <c r="B1646" s="1" t="n">
        <v>44831</v>
      </c>
      <c r="C1646" s="1" t="n">
        <v>45822</v>
      </c>
      <c r="D1646" t="inlineStr">
        <is>
          <t>VÄSTERNORRLANDS LÄN</t>
        </is>
      </c>
      <c r="E1646" t="inlineStr">
        <is>
          <t>SOLLEFTEÅ</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42299-2022</t>
        </is>
      </c>
      <c r="B1647" s="1" t="n">
        <v>44830</v>
      </c>
      <c r="C1647" s="1" t="n">
        <v>45822</v>
      </c>
      <c r="D1647" t="inlineStr">
        <is>
          <t>VÄSTERNORRLANDS LÄN</t>
        </is>
      </c>
      <c r="E1647" t="inlineStr">
        <is>
          <t>SOLLEFTEÅ</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42303-2022</t>
        </is>
      </c>
      <c r="B1648" s="1" t="n">
        <v>44831</v>
      </c>
      <c r="C1648" s="1" t="n">
        <v>45822</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42275-2022</t>
        </is>
      </c>
      <c r="B1649" s="1" t="n">
        <v>44830</v>
      </c>
      <c r="C1649" s="1" t="n">
        <v>45822</v>
      </c>
      <c r="D1649" t="inlineStr">
        <is>
          <t>VÄSTERNORRLANDS LÄN</t>
        </is>
      </c>
      <c r="E1649" t="inlineStr">
        <is>
          <t>SOLLEFTEÅ</t>
        </is>
      </c>
      <c r="F1649" t="inlineStr">
        <is>
          <t>SCA</t>
        </is>
      </c>
      <c r="G1649" t="n">
        <v>26.9</v>
      </c>
      <c r="H1649" t="n">
        <v>0</v>
      </c>
      <c r="I1649" t="n">
        <v>0</v>
      </c>
      <c r="J1649" t="n">
        <v>0</v>
      </c>
      <c r="K1649" t="n">
        <v>0</v>
      </c>
      <c r="L1649" t="n">
        <v>0</v>
      </c>
      <c r="M1649" t="n">
        <v>0</v>
      </c>
      <c r="N1649" t="n">
        <v>0</v>
      </c>
      <c r="O1649" t="n">
        <v>0</v>
      </c>
      <c r="P1649" t="n">
        <v>0</v>
      </c>
      <c r="Q1649" t="n">
        <v>0</v>
      </c>
      <c r="R1649" s="2" t="inlineStr"/>
    </row>
    <row r="1650" ht="15" customHeight="1">
      <c r="A1650" t="inlineStr">
        <is>
          <t>A 42300-2022</t>
        </is>
      </c>
      <c r="B1650" s="1" t="n">
        <v>44831</v>
      </c>
      <c r="C1650" s="1" t="n">
        <v>45822</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42302-2022</t>
        </is>
      </c>
      <c r="B1651" s="1" t="n">
        <v>44830</v>
      </c>
      <c r="C1651" s="1" t="n">
        <v>45822</v>
      </c>
      <c r="D1651" t="inlineStr">
        <is>
          <t>VÄSTERNORRLANDS LÄN</t>
        </is>
      </c>
      <c r="E1651" t="inlineStr">
        <is>
          <t>SOLLEFTEÅ</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42482-2022</t>
        </is>
      </c>
      <c r="B1652" s="1" t="n">
        <v>44831</v>
      </c>
      <c r="C1652" s="1" t="n">
        <v>45822</v>
      </c>
      <c r="D1652" t="inlineStr">
        <is>
          <t>VÄSTERNORRLANDS LÄN</t>
        </is>
      </c>
      <c r="E1652" t="inlineStr">
        <is>
          <t>SOLLEFTEÅ</t>
        </is>
      </c>
      <c r="F1652" t="inlineStr">
        <is>
          <t>Holmen skog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42430-2022</t>
        </is>
      </c>
      <c r="B1653" s="1" t="n">
        <v>44831</v>
      </c>
      <c r="C1653" s="1" t="n">
        <v>45822</v>
      </c>
      <c r="D1653" t="inlineStr">
        <is>
          <t>VÄSTERNORRLANDS LÄN</t>
        </is>
      </c>
      <c r="E1653" t="inlineStr">
        <is>
          <t>SOLLEFTEÅ</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42634-2022</t>
        </is>
      </c>
      <c r="B1654" s="1" t="n">
        <v>44832</v>
      </c>
      <c r="C1654" s="1" t="n">
        <v>45822</v>
      </c>
      <c r="D1654" t="inlineStr">
        <is>
          <t>VÄSTERNORRLANDS LÄN</t>
        </is>
      </c>
      <c r="E1654" t="inlineStr">
        <is>
          <t>SOLLEFTEÅ</t>
        </is>
      </c>
      <c r="F1654" t="inlineStr">
        <is>
          <t>SCA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42663-2022</t>
        </is>
      </c>
      <c r="B1655" s="1" t="n">
        <v>44831</v>
      </c>
      <c r="C1655" s="1" t="n">
        <v>45822</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42664-2022</t>
        </is>
      </c>
      <c r="B1656" s="1" t="n">
        <v>44831</v>
      </c>
      <c r="C1656" s="1" t="n">
        <v>45822</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42654-2022</t>
        </is>
      </c>
      <c r="B1657" s="1" t="n">
        <v>44832</v>
      </c>
      <c r="C1657" s="1" t="n">
        <v>45822</v>
      </c>
      <c r="D1657" t="inlineStr">
        <is>
          <t>VÄSTERNORRLANDS LÄN</t>
        </is>
      </c>
      <c r="E1657" t="inlineStr">
        <is>
          <t>SOLLEFTEÅ</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42771-2022</t>
        </is>
      </c>
      <c r="B1658" s="1" t="n">
        <v>44832</v>
      </c>
      <c r="C1658" s="1" t="n">
        <v>45822</v>
      </c>
      <c r="D1658" t="inlineStr">
        <is>
          <t>VÄSTERNORRLANDS LÄN</t>
        </is>
      </c>
      <c r="E1658" t="inlineStr">
        <is>
          <t>SOLLEFTEÅ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42755-2022</t>
        </is>
      </c>
      <c r="B1659" s="1" t="n">
        <v>44832</v>
      </c>
      <c r="C1659" s="1" t="n">
        <v>45822</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42885-2022</t>
        </is>
      </c>
      <c r="B1660" s="1" t="n">
        <v>44833</v>
      </c>
      <c r="C1660" s="1" t="n">
        <v>45822</v>
      </c>
      <c r="D1660" t="inlineStr">
        <is>
          <t>VÄSTERNORRLANDS LÄN</t>
        </is>
      </c>
      <c r="E1660" t="inlineStr">
        <is>
          <t>SOLLEFTEÅ</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42891-2022</t>
        </is>
      </c>
      <c r="B1661" s="1" t="n">
        <v>44833</v>
      </c>
      <c r="C1661" s="1" t="n">
        <v>45822</v>
      </c>
      <c r="D1661" t="inlineStr">
        <is>
          <t>VÄSTERNORRLANDS LÄN</t>
        </is>
      </c>
      <c r="E1661" t="inlineStr">
        <is>
          <t>SOLLEFTEÅ</t>
        </is>
      </c>
      <c r="F1661" t="inlineStr">
        <is>
          <t>SCA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43035-2022</t>
        </is>
      </c>
      <c r="B1662" s="1" t="n">
        <v>44833</v>
      </c>
      <c r="C1662" s="1" t="n">
        <v>45822</v>
      </c>
      <c r="D1662" t="inlineStr">
        <is>
          <t>VÄSTERNORRLANDS LÄN</t>
        </is>
      </c>
      <c r="E1662" t="inlineStr">
        <is>
          <t>SOLLEFTEÅ</t>
        </is>
      </c>
      <c r="F1662" t="inlineStr">
        <is>
          <t>Kommuner</t>
        </is>
      </c>
      <c r="G1662" t="n">
        <v>19.8</v>
      </c>
      <c r="H1662" t="n">
        <v>0</v>
      </c>
      <c r="I1662" t="n">
        <v>0</v>
      </c>
      <c r="J1662" t="n">
        <v>0</v>
      </c>
      <c r="K1662" t="n">
        <v>0</v>
      </c>
      <c r="L1662" t="n">
        <v>0</v>
      </c>
      <c r="M1662" t="n">
        <v>0</v>
      </c>
      <c r="N1662" t="n">
        <v>0</v>
      </c>
      <c r="O1662" t="n">
        <v>0</v>
      </c>
      <c r="P1662" t="n">
        <v>0</v>
      </c>
      <c r="Q1662" t="n">
        <v>0</v>
      </c>
      <c r="R1662" s="2" t="inlineStr"/>
    </row>
    <row r="1663" ht="15" customHeight="1">
      <c r="A1663" t="inlineStr">
        <is>
          <t>A 43130-2022</t>
        </is>
      </c>
      <c r="B1663" s="1" t="n">
        <v>44833</v>
      </c>
      <c r="C1663" s="1" t="n">
        <v>45822</v>
      </c>
      <c r="D1663" t="inlineStr">
        <is>
          <t>VÄSTERNORRLANDS LÄN</t>
        </is>
      </c>
      <c r="E1663" t="inlineStr">
        <is>
          <t>SOLLEFTEÅ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43137-2022</t>
        </is>
      </c>
      <c r="B1664" s="1" t="n">
        <v>44834</v>
      </c>
      <c r="C1664" s="1" t="n">
        <v>45822</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43124-2022</t>
        </is>
      </c>
      <c r="B1665" s="1" t="n">
        <v>44834</v>
      </c>
      <c r="C1665" s="1" t="n">
        <v>45822</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43122-2022</t>
        </is>
      </c>
      <c r="B1666" s="1" t="n">
        <v>44834</v>
      </c>
      <c r="C1666" s="1" t="n">
        <v>45822</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43148-2022</t>
        </is>
      </c>
      <c r="B1667" s="1" t="n">
        <v>44834</v>
      </c>
      <c r="C1667" s="1" t="n">
        <v>45822</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43149-2022</t>
        </is>
      </c>
      <c r="B1668" s="1" t="n">
        <v>44834</v>
      </c>
      <c r="C1668" s="1" t="n">
        <v>45822</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43442-2022</t>
        </is>
      </c>
      <c r="B1669" s="1" t="n">
        <v>44834</v>
      </c>
      <c r="C1669" s="1" t="n">
        <v>45822</v>
      </c>
      <c r="D1669" t="inlineStr">
        <is>
          <t>VÄSTERNORRLANDS LÄN</t>
        </is>
      </c>
      <c r="E1669" t="inlineStr">
        <is>
          <t>SOLLEFTEÅ</t>
        </is>
      </c>
      <c r="F1669" t="inlineStr">
        <is>
          <t>Kyrkan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43469-2022</t>
        </is>
      </c>
      <c r="B1670" s="1" t="n">
        <v>44836</v>
      </c>
      <c r="C1670" s="1" t="n">
        <v>45822</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43774-2022</t>
        </is>
      </c>
      <c r="B1671" s="1" t="n">
        <v>44837</v>
      </c>
      <c r="C1671" s="1" t="n">
        <v>45822</v>
      </c>
      <c r="D1671" t="inlineStr">
        <is>
          <t>VÄSTERNORRLANDS LÄN</t>
        </is>
      </c>
      <c r="E1671" t="inlineStr">
        <is>
          <t>SOLLEFTEÅ</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43772-2022</t>
        </is>
      </c>
      <c r="B1672" s="1" t="n">
        <v>44837</v>
      </c>
      <c r="C1672" s="1" t="n">
        <v>45822</v>
      </c>
      <c r="D1672" t="inlineStr">
        <is>
          <t>VÄSTERNORRLANDS LÄN</t>
        </is>
      </c>
      <c r="E1672" t="inlineStr">
        <is>
          <t>SOLLEFTEÅ</t>
        </is>
      </c>
      <c r="F1672" t="inlineStr">
        <is>
          <t>Kyrkan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43762-2022</t>
        </is>
      </c>
      <c r="B1673" s="1" t="n">
        <v>44838</v>
      </c>
      <c r="C1673" s="1" t="n">
        <v>45822</v>
      </c>
      <c r="D1673" t="inlineStr">
        <is>
          <t>VÄSTERNORRLANDS LÄN</t>
        </is>
      </c>
      <c r="E1673" t="inlineStr">
        <is>
          <t>SOLLEFTEÅ</t>
        </is>
      </c>
      <c r="F1673" t="inlineStr">
        <is>
          <t>Kyrkan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43766-2022</t>
        </is>
      </c>
      <c r="B1674" s="1" t="n">
        <v>44838</v>
      </c>
      <c r="C1674" s="1" t="n">
        <v>45822</v>
      </c>
      <c r="D1674" t="inlineStr">
        <is>
          <t>VÄSTERNORRLANDS LÄN</t>
        </is>
      </c>
      <c r="E1674" t="inlineStr">
        <is>
          <t>SOLLEFTEÅ</t>
        </is>
      </c>
      <c r="F1674" t="inlineStr">
        <is>
          <t>Kyrkan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43782-2022</t>
        </is>
      </c>
      <c r="B1675" s="1" t="n">
        <v>44838</v>
      </c>
      <c r="C1675" s="1" t="n">
        <v>45822</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43786-2022</t>
        </is>
      </c>
      <c r="B1676" s="1" t="n">
        <v>44837</v>
      </c>
      <c r="C1676" s="1" t="n">
        <v>45822</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44042-2022</t>
        </is>
      </c>
      <c r="B1677" s="1" t="n">
        <v>44839</v>
      </c>
      <c r="C1677" s="1" t="n">
        <v>45822</v>
      </c>
      <c r="D1677" t="inlineStr">
        <is>
          <t>VÄSTERNORRLANDS LÄN</t>
        </is>
      </c>
      <c r="E1677" t="inlineStr">
        <is>
          <t>SOLLEFTEÅ</t>
        </is>
      </c>
      <c r="F1677" t="inlineStr">
        <is>
          <t>SCA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44285-2022</t>
        </is>
      </c>
      <c r="B1678" s="1" t="n">
        <v>44839</v>
      </c>
      <c r="C1678" s="1" t="n">
        <v>45822</v>
      </c>
      <c r="D1678" t="inlineStr">
        <is>
          <t>VÄSTERNORRLANDS LÄN</t>
        </is>
      </c>
      <c r="E1678" t="inlineStr">
        <is>
          <t>SOLLEFTEÅ</t>
        </is>
      </c>
      <c r="F1678" t="inlineStr">
        <is>
          <t>Holmen skog AB</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44438-2022</t>
        </is>
      </c>
      <c r="B1679" s="1" t="n">
        <v>44840</v>
      </c>
      <c r="C1679" s="1" t="n">
        <v>45822</v>
      </c>
      <c r="D1679" t="inlineStr">
        <is>
          <t>VÄSTERNORRLANDS LÄN</t>
        </is>
      </c>
      <c r="E1679" t="inlineStr">
        <is>
          <t>SOLLEFTEÅ</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44454-2022</t>
        </is>
      </c>
      <c r="B1680" s="1" t="n">
        <v>44840</v>
      </c>
      <c r="C1680" s="1" t="n">
        <v>45822</v>
      </c>
      <c r="D1680" t="inlineStr">
        <is>
          <t>VÄSTERNORRLANDS LÄN</t>
        </is>
      </c>
      <c r="E1680" t="inlineStr">
        <is>
          <t>SOLLEFTEÅ</t>
        </is>
      </c>
      <c r="F1680" t="inlineStr">
        <is>
          <t>SCA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44208-2022</t>
        </is>
      </c>
      <c r="B1681" s="1" t="n">
        <v>44839</v>
      </c>
      <c r="C1681" s="1" t="n">
        <v>45822</v>
      </c>
      <c r="D1681" t="inlineStr">
        <is>
          <t>VÄSTERNORRLANDS LÄN</t>
        </is>
      </c>
      <c r="E1681" t="inlineStr">
        <is>
          <t>SOLLEFTEÅ</t>
        </is>
      </c>
      <c r="F1681" t="inlineStr">
        <is>
          <t>Holmen skog AB</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44755-2022</t>
        </is>
      </c>
      <c r="B1682" s="1" t="n">
        <v>44841</v>
      </c>
      <c r="C1682" s="1" t="n">
        <v>45822</v>
      </c>
      <c r="D1682" t="inlineStr">
        <is>
          <t>VÄSTERNORRLANDS LÄN</t>
        </is>
      </c>
      <c r="E1682" t="inlineStr">
        <is>
          <t>SOLLEFTEÅ</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44762-2022</t>
        </is>
      </c>
      <c r="B1683" s="1" t="n">
        <v>44840</v>
      </c>
      <c r="C1683" s="1" t="n">
        <v>45822</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44761-2022</t>
        </is>
      </c>
      <c r="B1684" s="1" t="n">
        <v>44840</v>
      </c>
      <c r="C1684" s="1" t="n">
        <v>45822</v>
      </c>
      <c r="D1684" t="inlineStr">
        <is>
          <t>VÄSTERNORRLANDS LÄN</t>
        </is>
      </c>
      <c r="E1684" t="inlineStr">
        <is>
          <t>SOLLEFTEÅ</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44805-2022</t>
        </is>
      </c>
      <c r="B1685" s="1" t="n">
        <v>44841</v>
      </c>
      <c r="C1685" s="1" t="n">
        <v>45822</v>
      </c>
      <c r="D1685" t="inlineStr">
        <is>
          <t>VÄSTERNORRLANDS LÄN</t>
        </is>
      </c>
      <c r="E1685" t="inlineStr">
        <is>
          <t>SOLLEFTEÅ</t>
        </is>
      </c>
      <c r="F1685" t="inlineStr">
        <is>
          <t>Holmen skog AB</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45119-2022</t>
        </is>
      </c>
      <c r="B1686" s="1" t="n">
        <v>44843</v>
      </c>
      <c r="C1686" s="1" t="n">
        <v>45822</v>
      </c>
      <c r="D1686" t="inlineStr">
        <is>
          <t>VÄSTERNORRLANDS LÄN</t>
        </is>
      </c>
      <c r="E1686" t="inlineStr">
        <is>
          <t>SOLLEFTEÅ</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45117-2022</t>
        </is>
      </c>
      <c r="B1687" s="1" t="n">
        <v>44844</v>
      </c>
      <c r="C1687" s="1" t="n">
        <v>45822</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45121-2022</t>
        </is>
      </c>
      <c r="B1688" s="1" t="n">
        <v>44844</v>
      </c>
      <c r="C1688" s="1" t="n">
        <v>45822</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45120-2022</t>
        </is>
      </c>
      <c r="B1689" s="1" t="n">
        <v>44843</v>
      </c>
      <c r="C1689" s="1" t="n">
        <v>45822</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45118-2022</t>
        </is>
      </c>
      <c r="B1690" s="1" t="n">
        <v>44843</v>
      </c>
      <c r="C1690" s="1" t="n">
        <v>45822</v>
      </c>
      <c r="D1690" t="inlineStr">
        <is>
          <t>VÄSTERNORRLANDS LÄN</t>
        </is>
      </c>
      <c r="E1690" t="inlineStr">
        <is>
          <t>SOLLEFTEÅ</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45419-2022</t>
        </is>
      </c>
      <c r="B1691" s="1" t="n">
        <v>44844</v>
      </c>
      <c r="C1691" s="1" t="n">
        <v>45822</v>
      </c>
      <c r="D1691" t="inlineStr">
        <is>
          <t>VÄSTERNORRLANDS LÄN</t>
        </is>
      </c>
      <c r="E1691" t="inlineStr">
        <is>
          <t>SOLLEFTEÅ</t>
        </is>
      </c>
      <c r="G1691" t="n">
        <v>12.7</v>
      </c>
      <c r="H1691" t="n">
        <v>0</v>
      </c>
      <c r="I1691" t="n">
        <v>0</v>
      </c>
      <c r="J1691" t="n">
        <v>0</v>
      </c>
      <c r="K1691" t="n">
        <v>0</v>
      </c>
      <c r="L1691" t="n">
        <v>0</v>
      </c>
      <c r="M1691" t="n">
        <v>0</v>
      </c>
      <c r="N1691" t="n">
        <v>0</v>
      </c>
      <c r="O1691" t="n">
        <v>0</v>
      </c>
      <c r="P1691" t="n">
        <v>0</v>
      </c>
      <c r="Q1691" t="n">
        <v>0</v>
      </c>
      <c r="R1691" s="2" t="inlineStr"/>
    </row>
    <row r="1692" ht="15" customHeight="1">
      <c r="A1692" t="inlineStr">
        <is>
          <t>A 45423-2022</t>
        </is>
      </c>
      <c r="B1692" s="1" t="n">
        <v>44845</v>
      </c>
      <c r="C1692" s="1" t="n">
        <v>45822</v>
      </c>
      <c r="D1692" t="inlineStr">
        <is>
          <t>VÄSTERNORRLANDS LÄN</t>
        </is>
      </c>
      <c r="E1692" t="inlineStr">
        <is>
          <t>SOLLEFTEÅ</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46130-2022</t>
        </is>
      </c>
      <c r="B1693" s="1" t="n">
        <v>44844</v>
      </c>
      <c r="C1693" s="1" t="n">
        <v>45822</v>
      </c>
      <c r="D1693" t="inlineStr">
        <is>
          <t>VÄSTERNORRLANDS LÄN</t>
        </is>
      </c>
      <c r="E1693" t="inlineStr">
        <is>
          <t>SOLLEFTEÅ</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45719-2022</t>
        </is>
      </c>
      <c r="B1694" s="1" t="n">
        <v>44846</v>
      </c>
      <c r="C1694" s="1" t="n">
        <v>45822</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46039-2022</t>
        </is>
      </c>
      <c r="B1695" s="1" t="n">
        <v>44847</v>
      </c>
      <c r="C1695" s="1" t="n">
        <v>45822</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46032-2022</t>
        </is>
      </c>
      <c r="B1696" s="1" t="n">
        <v>44846</v>
      </c>
      <c r="C1696" s="1" t="n">
        <v>45822</v>
      </c>
      <c r="D1696" t="inlineStr">
        <is>
          <t>VÄSTERNORRLANDS LÄN</t>
        </is>
      </c>
      <c r="E1696" t="inlineStr">
        <is>
          <t>SOLLEFTEÅ</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46036-2022</t>
        </is>
      </c>
      <c r="B1697" s="1" t="n">
        <v>44846</v>
      </c>
      <c r="C1697" s="1" t="n">
        <v>45822</v>
      </c>
      <c r="D1697" t="inlineStr">
        <is>
          <t>VÄSTERNORRLANDS LÄN</t>
        </is>
      </c>
      <c r="E1697" t="inlineStr">
        <is>
          <t>SOLLEFTEÅ</t>
        </is>
      </c>
      <c r="F1697" t="inlineStr">
        <is>
          <t>SCA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46052-2022</t>
        </is>
      </c>
      <c r="B1698" s="1" t="n">
        <v>44846</v>
      </c>
      <c r="C1698" s="1" t="n">
        <v>45822</v>
      </c>
      <c r="D1698" t="inlineStr">
        <is>
          <t>VÄSTERNORRLANDS LÄN</t>
        </is>
      </c>
      <c r="E1698" t="inlineStr">
        <is>
          <t>SOLLEFTEÅ</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46053-2022</t>
        </is>
      </c>
      <c r="B1699" s="1" t="n">
        <v>44846</v>
      </c>
      <c r="C1699" s="1" t="n">
        <v>45822</v>
      </c>
      <c r="D1699" t="inlineStr">
        <is>
          <t>VÄSTERNORRLANDS LÄN</t>
        </is>
      </c>
      <c r="E1699" t="inlineStr">
        <is>
          <t>SOLLEFTEÅ</t>
        </is>
      </c>
      <c r="F1699" t="inlineStr">
        <is>
          <t>SCA</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46324-2022</t>
        </is>
      </c>
      <c r="B1700" s="1" t="n">
        <v>44847</v>
      </c>
      <c r="C1700" s="1" t="n">
        <v>45822</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46626-2022</t>
        </is>
      </c>
      <c r="B1701" s="1" t="n">
        <v>44848</v>
      </c>
      <c r="C1701" s="1" t="n">
        <v>45822</v>
      </c>
      <c r="D1701" t="inlineStr">
        <is>
          <t>VÄSTERNORRLANDS LÄN</t>
        </is>
      </c>
      <c r="E1701" t="inlineStr">
        <is>
          <t>SOLLEFTEÅ</t>
        </is>
      </c>
      <c r="F1701" t="inlineStr">
        <is>
          <t>SCA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46616-2022</t>
        </is>
      </c>
      <c r="B1702" s="1" t="n">
        <v>44848</v>
      </c>
      <c r="C1702" s="1" t="n">
        <v>45822</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46664-2022</t>
        </is>
      </c>
      <c r="B1703" s="1" t="n">
        <v>44851</v>
      </c>
      <c r="C1703" s="1" t="n">
        <v>45822</v>
      </c>
      <c r="D1703" t="inlineStr">
        <is>
          <t>VÄSTERNORRLANDS LÄN</t>
        </is>
      </c>
      <c r="E1703" t="inlineStr">
        <is>
          <t>SOLLEFTEÅ</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46871-2022</t>
        </is>
      </c>
      <c r="B1704" s="1" t="n">
        <v>44851</v>
      </c>
      <c r="C1704" s="1" t="n">
        <v>45822</v>
      </c>
      <c r="D1704" t="inlineStr">
        <is>
          <t>VÄSTERNORRLANDS LÄN</t>
        </is>
      </c>
      <c r="E1704" t="inlineStr">
        <is>
          <t>SOLLEFTEÅ</t>
        </is>
      </c>
      <c r="F1704" t="inlineStr">
        <is>
          <t>Kyrkan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46880-2022</t>
        </is>
      </c>
      <c r="B1705" s="1" t="n">
        <v>44851</v>
      </c>
      <c r="C1705" s="1" t="n">
        <v>45822</v>
      </c>
      <c r="D1705" t="inlineStr">
        <is>
          <t>VÄSTERNORRLANDS LÄN</t>
        </is>
      </c>
      <c r="E1705" t="inlineStr">
        <is>
          <t>SOLLEFTEÅ</t>
        </is>
      </c>
      <c r="F1705" t="inlineStr">
        <is>
          <t>Kyrkan</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46986-2022</t>
        </is>
      </c>
      <c r="B1706" s="1" t="n">
        <v>44851</v>
      </c>
      <c r="C1706" s="1" t="n">
        <v>45822</v>
      </c>
      <c r="D1706" t="inlineStr">
        <is>
          <t>VÄSTERNORRLANDS LÄN</t>
        </is>
      </c>
      <c r="E1706" t="inlineStr">
        <is>
          <t>SOLLEFTEÅ</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46985-2022</t>
        </is>
      </c>
      <c r="B1707" s="1" t="n">
        <v>44851</v>
      </c>
      <c r="C1707" s="1" t="n">
        <v>45822</v>
      </c>
      <c r="D1707" t="inlineStr">
        <is>
          <t>VÄSTERNORRLANDS LÄN</t>
        </is>
      </c>
      <c r="E1707" t="inlineStr">
        <is>
          <t>SOLLEFTEÅ</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47250-2022</t>
        </is>
      </c>
      <c r="B1708" s="1" t="n">
        <v>44852</v>
      </c>
      <c r="C1708" s="1" t="n">
        <v>45822</v>
      </c>
      <c r="D1708" t="inlineStr">
        <is>
          <t>VÄSTERNORRLANDS LÄN</t>
        </is>
      </c>
      <c r="E1708" t="inlineStr">
        <is>
          <t>SOLLEFTEÅ</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47268-2022</t>
        </is>
      </c>
      <c r="B1709" s="1" t="n">
        <v>44853</v>
      </c>
      <c r="C1709" s="1" t="n">
        <v>45822</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47269-2022</t>
        </is>
      </c>
      <c r="B1710" s="1" t="n">
        <v>44853</v>
      </c>
      <c r="C1710" s="1" t="n">
        <v>45822</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47272-2022</t>
        </is>
      </c>
      <c r="B1711" s="1" t="n">
        <v>44853</v>
      </c>
      <c r="C1711" s="1" t="n">
        <v>45822</v>
      </c>
      <c r="D1711" t="inlineStr">
        <is>
          <t>VÄSTERNORRLANDS LÄN</t>
        </is>
      </c>
      <c r="E1711" t="inlineStr">
        <is>
          <t>SOLLEFTEÅ</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47564-2022</t>
        </is>
      </c>
      <c r="B1712" s="1" t="n">
        <v>44854</v>
      </c>
      <c r="C1712" s="1" t="n">
        <v>45822</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47580-2022</t>
        </is>
      </c>
      <c r="B1713" s="1" t="n">
        <v>44854</v>
      </c>
      <c r="C1713" s="1" t="n">
        <v>45822</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47787-2022</t>
        </is>
      </c>
      <c r="B1714" s="1" t="n">
        <v>44855</v>
      </c>
      <c r="C1714" s="1" t="n">
        <v>45822</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47814-2022</t>
        </is>
      </c>
      <c r="B1715" s="1" t="n">
        <v>44855</v>
      </c>
      <c r="C1715" s="1" t="n">
        <v>45822</v>
      </c>
      <c r="D1715" t="inlineStr">
        <is>
          <t>VÄSTERNORRLANDS LÄN</t>
        </is>
      </c>
      <c r="E1715" t="inlineStr">
        <is>
          <t>SOLLEFTEÅ</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47812-2022</t>
        </is>
      </c>
      <c r="B1716" s="1" t="n">
        <v>44855</v>
      </c>
      <c r="C1716" s="1" t="n">
        <v>45822</v>
      </c>
      <c r="D1716" t="inlineStr">
        <is>
          <t>VÄSTERNORRLANDS LÄN</t>
        </is>
      </c>
      <c r="E1716" t="inlineStr">
        <is>
          <t>SOLLEFTEÅ</t>
        </is>
      </c>
      <c r="F1716" t="inlineStr">
        <is>
          <t>SCA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47875-2022</t>
        </is>
      </c>
      <c r="B1717" s="1" t="n">
        <v>44855</v>
      </c>
      <c r="C1717" s="1" t="n">
        <v>45822</v>
      </c>
      <c r="D1717" t="inlineStr">
        <is>
          <t>VÄSTERNORRLANDS LÄN</t>
        </is>
      </c>
      <c r="E1717" t="inlineStr">
        <is>
          <t>SOLLEFTEÅ</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48056-2022</t>
        </is>
      </c>
      <c r="B1718" s="1" t="n">
        <v>44856</v>
      </c>
      <c r="C1718" s="1" t="n">
        <v>45822</v>
      </c>
      <c r="D1718" t="inlineStr">
        <is>
          <t>VÄSTERNORRLANDS LÄN</t>
        </is>
      </c>
      <c r="E1718" t="inlineStr">
        <is>
          <t>SOLLEFTEÅ</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48064-2022</t>
        </is>
      </c>
      <c r="B1719" s="1" t="n">
        <v>44856</v>
      </c>
      <c r="C1719" s="1" t="n">
        <v>45822</v>
      </c>
      <c r="D1719" t="inlineStr">
        <is>
          <t>VÄSTERNORRLANDS LÄN</t>
        </is>
      </c>
      <c r="E1719" t="inlineStr">
        <is>
          <t>SOLLEFTEÅ</t>
        </is>
      </c>
      <c r="F1719" t="inlineStr">
        <is>
          <t>SCA</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48067-2022</t>
        </is>
      </c>
      <c r="B1720" s="1" t="n">
        <v>44855</v>
      </c>
      <c r="C1720" s="1" t="n">
        <v>45822</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48062-2022</t>
        </is>
      </c>
      <c r="B1721" s="1" t="n">
        <v>44856</v>
      </c>
      <c r="C1721" s="1" t="n">
        <v>45822</v>
      </c>
      <c r="D1721" t="inlineStr">
        <is>
          <t>VÄSTERNORRLANDS LÄN</t>
        </is>
      </c>
      <c r="E1721" t="inlineStr">
        <is>
          <t>SOLLEFTEÅ</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47826-2022</t>
        </is>
      </c>
      <c r="B1722" s="1" t="n">
        <v>44855</v>
      </c>
      <c r="C1722" s="1" t="n">
        <v>45822</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48057-2022</t>
        </is>
      </c>
      <c r="B1723" s="1" t="n">
        <v>44856</v>
      </c>
      <c r="C1723" s="1" t="n">
        <v>45822</v>
      </c>
      <c r="D1723" t="inlineStr">
        <is>
          <t>VÄSTERNORRLANDS LÄN</t>
        </is>
      </c>
      <c r="E1723" t="inlineStr">
        <is>
          <t>SOLLEFTEÅ</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48065-2022</t>
        </is>
      </c>
      <c r="B1724" s="1" t="n">
        <v>44856</v>
      </c>
      <c r="C1724" s="1" t="n">
        <v>45822</v>
      </c>
      <c r="D1724" t="inlineStr">
        <is>
          <t>VÄSTERNORRLANDS LÄN</t>
        </is>
      </c>
      <c r="E1724" t="inlineStr">
        <is>
          <t>SOLLEFTEÅ</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48738-2022</t>
        </is>
      </c>
      <c r="B1725" s="1" t="n">
        <v>44855</v>
      </c>
      <c r="C1725" s="1" t="n">
        <v>45822</v>
      </c>
      <c r="D1725" t="inlineStr">
        <is>
          <t>VÄSTERNORRLANDS LÄN</t>
        </is>
      </c>
      <c r="E1725" t="inlineStr">
        <is>
          <t>SOLLEFTEÅ</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48240-2022</t>
        </is>
      </c>
      <c r="B1726" s="1" t="n">
        <v>44858</v>
      </c>
      <c r="C1726" s="1" t="n">
        <v>45822</v>
      </c>
      <c r="D1726" t="inlineStr">
        <is>
          <t>VÄSTERNORRLANDS LÄN</t>
        </is>
      </c>
      <c r="E1726" t="inlineStr">
        <is>
          <t>SOLLEFTEÅ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48511-2022</t>
        </is>
      </c>
      <c r="B1727" s="1" t="n">
        <v>44859</v>
      </c>
      <c r="C1727" s="1" t="n">
        <v>45822</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48512-2022</t>
        </is>
      </c>
      <c r="B1728" s="1" t="n">
        <v>44859</v>
      </c>
      <c r="C1728" s="1" t="n">
        <v>45822</v>
      </c>
      <c r="D1728" t="inlineStr">
        <is>
          <t>VÄSTERNORRLANDS LÄN</t>
        </is>
      </c>
      <c r="E1728" t="inlineStr">
        <is>
          <t>SOLLEFTEÅ</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48519-2022</t>
        </is>
      </c>
      <c r="B1729" s="1" t="n">
        <v>44858</v>
      </c>
      <c r="C1729" s="1" t="n">
        <v>45822</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48296-2022</t>
        </is>
      </c>
      <c r="B1730" s="1" t="n">
        <v>44858</v>
      </c>
      <c r="C1730" s="1" t="n">
        <v>45822</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48510-2022</t>
        </is>
      </c>
      <c r="B1731" s="1" t="n">
        <v>44858</v>
      </c>
      <c r="C1731" s="1" t="n">
        <v>45822</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48535-2022</t>
        </is>
      </c>
      <c r="B1732" s="1" t="n">
        <v>44859</v>
      </c>
      <c r="C1732" s="1" t="n">
        <v>45822</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48513-2022</t>
        </is>
      </c>
      <c r="B1733" s="1" t="n">
        <v>44859</v>
      </c>
      <c r="C1733" s="1" t="n">
        <v>45822</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48905-2022</t>
        </is>
      </c>
      <c r="B1734" s="1" t="n">
        <v>44859</v>
      </c>
      <c r="C1734" s="1" t="n">
        <v>45822</v>
      </c>
      <c r="D1734" t="inlineStr">
        <is>
          <t>VÄSTERNORRLANDS LÄN</t>
        </is>
      </c>
      <c r="E1734" t="inlineStr">
        <is>
          <t>SOLLEFTEÅ</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48915-2022</t>
        </is>
      </c>
      <c r="B1735" s="1" t="n">
        <v>44860</v>
      </c>
      <c r="C1735" s="1" t="n">
        <v>45822</v>
      </c>
      <c r="D1735" t="inlineStr">
        <is>
          <t>VÄSTERNORRLANDS LÄN</t>
        </is>
      </c>
      <c r="E1735" t="inlineStr">
        <is>
          <t>SOLLEFTEÅ</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48919-2022</t>
        </is>
      </c>
      <c r="B1736" s="1" t="n">
        <v>44859</v>
      </c>
      <c r="C1736" s="1" t="n">
        <v>45822</v>
      </c>
      <c r="D1736" t="inlineStr">
        <is>
          <t>VÄSTERNORRLANDS LÄN</t>
        </is>
      </c>
      <c r="E1736" t="inlineStr">
        <is>
          <t>SOLLEFTEÅ</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48901-2022</t>
        </is>
      </c>
      <c r="B1737" s="1" t="n">
        <v>44860</v>
      </c>
      <c r="C1737" s="1" t="n">
        <v>45822</v>
      </c>
      <c r="D1737" t="inlineStr">
        <is>
          <t>VÄSTERNORRLANDS LÄN</t>
        </is>
      </c>
      <c r="E1737" t="inlineStr">
        <is>
          <t>SOLLEFTEÅ</t>
        </is>
      </c>
      <c r="F1737" t="inlineStr">
        <is>
          <t>SCA</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48913-2022</t>
        </is>
      </c>
      <c r="B1738" s="1" t="n">
        <v>44860</v>
      </c>
      <c r="C1738" s="1" t="n">
        <v>45822</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48923-2022</t>
        </is>
      </c>
      <c r="B1739" s="1" t="n">
        <v>44860</v>
      </c>
      <c r="C1739" s="1" t="n">
        <v>45822</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48902-2022</t>
        </is>
      </c>
      <c r="B1740" s="1" t="n">
        <v>44859</v>
      </c>
      <c r="C1740" s="1" t="n">
        <v>45822</v>
      </c>
      <c r="D1740" t="inlineStr">
        <is>
          <t>VÄSTERNORRLANDS LÄN</t>
        </is>
      </c>
      <c r="E1740" t="inlineStr">
        <is>
          <t>SOLLEFTEÅ</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48914-2022</t>
        </is>
      </c>
      <c r="B1741" s="1" t="n">
        <v>44860</v>
      </c>
      <c r="C1741" s="1" t="n">
        <v>45822</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49694-2022</t>
        </is>
      </c>
      <c r="B1742" s="1" t="n">
        <v>44859</v>
      </c>
      <c r="C1742" s="1" t="n">
        <v>45822</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49708-2022</t>
        </is>
      </c>
      <c r="B1743" s="1" t="n">
        <v>44859</v>
      </c>
      <c r="C1743" s="1" t="n">
        <v>45822</v>
      </c>
      <c r="D1743" t="inlineStr">
        <is>
          <t>VÄSTERNORRLANDS LÄN</t>
        </is>
      </c>
      <c r="E1743" t="inlineStr">
        <is>
          <t>SOLLEFTEÅ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49176-2022</t>
        </is>
      </c>
      <c r="B1744" s="1" t="n">
        <v>44861</v>
      </c>
      <c r="C1744" s="1" t="n">
        <v>45822</v>
      </c>
      <c r="D1744" t="inlineStr">
        <is>
          <t>VÄSTERNORRLANDS LÄN</t>
        </is>
      </c>
      <c r="E1744" t="inlineStr">
        <is>
          <t>SOLLEFTEÅ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49181-2022</t>
        </is>
      </c>
      <c r="B1745" s="1" t="n">
        <v>44861</v>
      </c>
      <c r="C1745" s="1" t="n">
        <v>45822</v>
      </c>
      <c r="D1745" t="inlineStr">
        <is>
          <t>VÄSTERNORRLANDS LÄN</t>
        </is>
      </c>
      <c r="E1745" t="inlineStr">
        <is>
          <t>SOLLEFTEÅ</t>
        </is>
      </c>
      <c r="F1745" t="inlineStr">
        <is>
          <t>SCA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49170-2022</t>
        </is>
      </c>
      <c r="B1746" s="1" t="n">
        <v>44861</v>
      </c>
      <c r="C1746" s="1" t="n">
        <v>45822</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49198-2022</t>
        </is>
      </c>
      <c r="B1747" s="1" t="n">
        <v>44860</v>
      </c>
      <c r="C1747" s="1" t="n">
        <v>45822</v>
      </c>
      <c r="D1747" t="inlineStr">
        <is>
          <t>VÄSTERNORRLANDS LÄN</t>
        </is>
      </c>
      <c r="E1747" t="inlineStr">
        <is>
          <t>SOLLEFTEÅ</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49177-2022</t>
        </is>
      </c>
      <c r="B1748" s="1" t="n">
        <v>44861</v>
      </c>
      <c r="C1748" s="1" t="n">
        <v>45822</v>
      </c>
      <c r="D1748" t="inlineStr">
        <is>
          <t>VÄSTERNORRLANDS LÄN</t>
        </is>
      </c>
      <c r="E1748" t="inlineStr">
        <is>
          <t>SOLLEFTEÅ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49171-2022</t>
        </is>
      </c>
      <c r="B1749" s="1" t="n">
        <v>44861</v>
      </c>
      <c r="C1749" s="1" t="n">
        <v>45822</v>
      </c>
      <c r="D1749" t="inlineStr">
        <is>
          <t>VÄSTERNORRLANDS LÄN</t>
        </is>
      </c>
      <c r="E1749" t="inlineStr">
        <is>
          <t>SOLLEFTEÅ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49175-2022</t>
        </is>
      </c>
      <c r="B1750" s="1" t="n">
        <v>44861</v>
      </c>
      <c r="C1750" s="1" t="n">
        <v>45822</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49200-2022</t>
        </is>
      </c>
      <c r="B1751" s="1" t="n">
        <v>44861</v>
      </c>
      <c r="C1751" s="1" t="n">
        <v>45822</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49520-2022</t>
        </is>
      </c>
      <c r="B1752" s="1" t="n">
        <v>44862</v>
      </c>
      <c r="C1752" s="1" t="n">
        <v>45822</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49513-2022</t>
        </is>
      </c>
      <c r="B1753" s="1" t="n">
        <v>44862</v>
      </c>
      <c r="C1753" s="1" t="n">
        <v>45822</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49512-2022</t>
        </is>
      </c>
      <c r="B1754" s="1" t="n">
        <v>44861</v>
      </c>
      <c r="C1754" s="1" t="n">
        <v>45822</v>
      </c>
      <c r="D1754" t="inlineStr">
        <is>
          <t>VÄSTERNORRLANDS LÄN</t>
        </is>
      </c>
      <c r="E1754" t="inlineStr">
        <is>
          <t>SOLLEFTEÅ</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49521-2022</t>
        </is>
      </c>
      <c r="B1755" s="1" t="n">
        <v>44861</v>
      </c>
      <c r="C1755" s="1" t="n">
        <v>45822</v>
      </c>
      <c r="D1755" t="inlineStr">
        <is>
          <t>VÄSTERNORRLANDS LÄN</t>
        </is>
      </c>
      <c r="E1755" t="inlineStr">
        <is>
          <t>SOLLEFTEÅ</t>
        </is>
      </c>
      <c r="F1755" t="inlineStr">
        <is>
          <t>SCA</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49538-2022</t>
        </is>
      </c>
      <c r="B1756" s="1" t="n">
        <v>44861</v>
      </c>
      <c r="C1756" s="1" t="n">
        <v>45822</v>
      </c>
      <c r="D1756" t="inlineStr">
        <is>
          <t>VÄSTERNORRLANDS LÄN</t>
        </is>
      </c>
      <c r="E1756" t="inlineStr">
        <is>
          <t>SOLLEFTEÅ</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49665-2022</t>
        </is>
      </c>
      <c r="B1757" s="1" t="n">
        <v>44862</v>
      </c>
      <c r="C1757" s="1" t="n">
        <v>45822</v>
      </c>
      <c r="D1757" t="inlineStr">
        <is>
          <t>VÄSTERNORRLANDS LÄN</t>
        </is>
      </c>
      <c r="E1757" t="inlineStr">
        <is>
          <t>SOLLEFTEÅ</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49860-2022</t>
        </is>
      </c>
      <c r="B1758" s="1" t="n">
        <v>44862</v>
      </c>
      <c r="C1758" s="1" t="n">
        <v>45822</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49866-2022</t>
        </is>
      </c>
      <c r="B1759" s="1" t="n">
        <v>44863</v>
      </c>
      <c r="C1759" s="1" t="n">
        <v>45822</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50813-2022</t>
        </is>
      </c>
      <c r="B1760" s="1" t="n">
        <v>44862</v>
      </c>
      <c r="C1760" s="1" t="n">
        <v>45822</v>
      </c>
      <c r="D1760" t="inlineStr">
        <is>
          <t>VÄSTERNORRLANDS LÄN</t>
        </is>
      </c>
      <c r="E1760" t="inlineStr">
        <is>
          <t>SOLLEFTEÅ</t>
        </is>
      </c>
      <c r="F1760" t="inlineStr">
        <is>
          <t>Övriga statliga verk och myndigheter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50825-2022</t>
        </is>
      </c>
      <c r="B1761" s="1" t="n">
        <v>44862</v>
      </c>
      <c r="C1761" s="1" t="n">
        <v>45822</v>
      </c>
      <c r="D1761" t="inlineStr">
        <is>
          <t>VÄSTERNORRLANDS LÄN</t>
        </is>
      </c>
      <c r="E1761" t="inlineStr">
        <is>
          <t>SOLLEFTEÅ</t>
        </is>
      </c>
      <c r="F1761" t="inlineStr">
        <is>
          <t>Övriga statliga verk och myndigheter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49911-2022</t>
        </is>
      </c>
      <c r="B1762" s="1" t="n">
        <v>44865</v>
      </c>
      <c r="C1762" s="1" t="n">
        <v>45822</v>
      </c>
      <c r="D1762" t="inlineStr">
        <is>
          <t>VÄSTERNORRLANDS LÄN</t>
        </is>
      </c>
      <c r="E1762" t="inlineStr">
        <is>
          <t>SOLLEFTEÅ</t>
        </is>
      </c>
      <c r="F1762" t="inlineStr">
        <is>
          <t>Holmen skog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50318-2022</t>
        </is>
      </c>
      <c r="B1763" s="1" t="n">
        <v>44865</v>
      </c>
      <c r="C1763" s="1" t="n">
        <v>45822</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51080-2022</t>
        </is>
      </c>
      <c r="B1764" s="1" t="n">
        <v>44865</v>
      </c>
      <c r="C1764" s="1" t="n">
        <v>45822</v>
      </c>
      <c r="D1764" t="inlineStr">
        <is>
          <t>VÄSTERNORRLANDS LÄN</t>
        </is>
      </c>
      <c r="E1764" t="inlineStr">
        <is>
          <t>SOLLEFTEÅ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50641-2022</t>
        </is>
      </c>
      <c r="B1765" s="1" t="n">
        <v>44866</v>
      </c>
      <c r="C1765" s="1" t="n">
        <v>45822</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50642-2022</t>
        </is>
      </c>
      <c r="B1766" s="1" t="n">
        <v>44866</v>
      </c>
      <c r="C1766" s="1" t="n">
        <v>45822</v>
      </c>
      <c r="D1766" t="inlineStr">
        <is>
          <t>VÄSTERNORRLANDS LÄN</t>
        </is>
      </c>
      <c r="E1766" t="inlineStr">
        <is>
          <t>SOLLEFTEÅ</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50655-2022</t>
        </is>
      </c>
      <c r="B1767" s="1" t="n">
        <v>44866</v>
      </c>
      <c r="C1767" s="1" t="n">
        <v>45822</v>
      </c>
      <c r="D1767" t="inlineStr">
        <is>
          <t>VÄSTERNORRLANDS LÄN</t>
        </is>
      </c>
      <c r="E1767" t="inlineStr">
        <is>
          <t>SOLLEFTEÅ</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50656-2022</t>
        </is>
      </c>
      <c r="B1768" s="1" t="n">
        <v>44866</v>
      </c>
      <c r="C1768" s="1" t="n">
        <v>45822</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50662-2022</t>
        </is>
      </c>
      <c r="B1769" s="1" t="n">
        <v>44866</v>
      </c>
      <c r="C1769" s="1" t="n">
        <v>45822</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51249-2022</t>
        </is>
      </c>
      <c r="B1770" s="1" t="n">
        <v>44866</v>
      </c>
      <c r="C1770" s="1" t="n">
        <v>45822</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51006-2022</t>
        </is>
      </c>
      <c r="B1771" s="1" t="n">
        <v>44867</v>
      </c>
      <c r="C1771" s="1" t="n">
        <v>45822</v>
      </c>
      <c r="D1771" t="inlineStr">
        <is>
          <t>VÄSTERNORRLANDS LÄN</t>
        </is>
      </c>
      <c r="E1771" t="inlineStr">
        <is>
          <t>SOLLEFTEÅ</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51317-2022</t>
        </is>
      </c>
      <c r="B1772" s="1" t="n">
        <v>44868</v>
      </c>
      <c r="C1772" s="1" t="n">
        <v>45822</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51314-2022</t>
        </is>
      </c>
      <c r="B1773" s="1" t="n">
        <v>44868</v>
      </c>
      <c r="C1773" s="1" t="n">
        <v>45822</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51544-2022</t>
        </is>
      </c>
      <c r="B1774" s="1" t="n">
        <v>44869</v>
      </c>
      <c r="C1774" s="1" t="n">
        <v>45822</v>
      </c>
      <c r="D1774" t="inlineStr">
        <is>
          <t>VÄSTERNORRLANDS LÄN</t>
        </is>
      </c>
      <c r="E1774" t="inlineStr">
        <is>
          <t>SOLLEFTEÅ</t>
        </is>
      </c>
      <c r="F1774" t="inlineStr">
        <is>
          <t>SCA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51541-2022</t>
        </is>
      </c>
      <c r="B1775" s="1" t="n">
        <v>44869</v>
      </c>
      <c r="C1775" s="1" t="n">
        <v>45822</v>
      </c>
      <c r="D1775" t="inlineStr">
        <is>
          <t>VÄSTERNORRLANDS LÄN</t>
        </is>
      </c>
      <c r="E1775" t="inlineStr">
        <is>
          <t>SOLLEFTEÅ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51543-2022</t>
        </is>
      </c>
      <c r="B1776" s="1" t="n">
        <v>44869</v>
      </c>
      <c r="C1776" s="1" t="n">
        <v>45822</v>
      </c>
      <c r="D1776" t="inlineStr">
        <is>
          <t>VÄSTERNORRLANDS LÄN</t>
        </is>
      </c>
      <c r="E1776" t="inlineStr">
        <is>
          <t>SOLLEFTEÅ</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51739-2022</t>
        </is>
      </c>
      <c r="B1777" s="1" t="n">
        <v>44872</v>
      </c>
      <c r="C1777" s="1" t="n">
        <v>45822</v>
      </c>
      <c r="D1777" t="inlineStr">
        <is>
          <t>VÄSTERNORRLANDS LÄN</t>
        </is>
      </c>
      <c r="E1777" t="inlineStr">
        <is>
          <t>SOLLEFTEÅ</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52013-2022</t>
        </is>
      </c>
      <c r="B1778" s="1" t="n">
        <v>44872</v>
      </c>
      <c r="C1778" s="1" t="n">
        <v>45822</v>
      </c>
      <c r="D1778" t="inlineStr">
        <is>
          <t>VÄSTERNORRLANDS LÄN</t>
        </is>
      </c>
      <c r="E1778" t="inlineStr">
        <is>
          <t>SOLLEFTEÅ</t>
        </is>
      </c>
      <c r="F1778" t="inlineStr">
        <is>
          <t>SCA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52034-2022</t>
        </is>
      </c>
      <c r="B1779" s="1" t="n">
        <v>44872</v>
      </c>
      <c r="C1779" s="1" t="n">
        <v>45822</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52040-2022</t>
        </is>
      </c>
      <c r="B1780" s="1" t="n">
        <v>44872</v>
      </c>
      <c r="C1780" s="1" t="n">
        <v>45822</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52035-2022</t>
        </is>
      </c>
      <c r="B1781" s="1" t="n">
        <v>44872</v>
      </c>
      <c r="C1781" s="1" t="n">
        <v>45822</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52039-2022</t>
        </is>
      </c>
      <c r="B1782" s="1" t="n">
        <v>44872</v>
      </c>
      <c r="C1782" s="1" t="n">
        <v>45822</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53128-2022</t>
        </is>
      </c>
      <c r="B1783" s="1" t="n">
        <v>44873</v>
      </c>
      <c r="C1783" s="1" t="n">
        <v>45822</v>
      </c>
      <c r="D1783" t="inlineStr">
        <is>
          <t>VÄSTERNORRLANDS LÄN</t>
        </is>
      </c>
      <c r="E1783" t="inlineStr">
        <is>
          <t>SOLLEFTEÅ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53123-2022</t>
        </is>
      </c>
      <c r="B1784" s="1" t="n">
        <v>44873</v>
      </c>
      <c r="C1784" s="1" t="n">
        <v>45822</v>
      </c>
      <c r="D1784" t="inlineStr">
        <is>
          <t>VÄSTERNORRLANDS LÄN</t>
        </is>
      </c>
      <c r="E1784" t="inlineStr">
        <is>
          <t>SOLLEFTEÅ</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52549-2022</t>
        </is>
      </c>
      <c r="B1785" s="1" t="n">
        <v>44874</v>
      </c>
      <c r="C1785" s="1" t="n">
        <v>45822</v>
      </c>
      <c r="D1785" t="inlineStr">
        <is>
          <t>VÄSTERNORRLANDS LÄN</t>
        </is>
      </c>
      <c r="E1785" t="inlineStr">
        <is>
          <t>SOLLEFTEÅ</t>
        </is>
      </c>
      <c r="F1785" t="inlineStr">
        <is>
          <t>Holmen skog AB</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52735-2022</t>
        </is>
      </c>
      <c r="B1786" s="1" t="n">
        <v>44874</v>
      </c>
      <c r="C1786" s="1" t="n">
        <v>45822</v>
      </c>
      <c r="D1786" t="inlineStr">
        <is>
          <t>VÄSTERNORRLANDS LÄN</t>
        </is>
      </c>
      <c r="E1786" t="inlineStr">
        <is>
          <t>SOLLEFTEÅ</t>
        </is>
      </c>
      <c r="F1786" t="inlineStr">
        <is>
          <t>SCA</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52595-2022</t>
        </is>
      </c>
      <c r="B1787" s="1" t="n">
        <v>44874</v>
      </c>
      <c r="C1787" s="1" t="n">
        <v>45822</v>
      </c>
      <c r="D1787" t="inlineStr">
        <is>
          <t>VÄSTERNORRLANDS LÄN</t>
        </is>
      </c>
      <c r="E1787" t="inlineStr">
        <is>
          <t>SOLLEFTEÅ</t>
        </is>
      </c>
      <c r="F1787" t="inlineStr">
        <is>
          <t>Holmen skog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52717-2022</t>
        </is>
      </c>
      <c r="B1788" s="1" t="n">
        <v>44874</v>
      </c>
      <c r="C1788" s="1" t="n">
        <v>45822</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52718-2022</t>
        </is>
      </c>
      <c r="B1789" s="1" t="n">
        <v>44874</v>
      </c>
      <c r="C1789" s="1" t="n">
        <v>45822</v>
      </c>
      <c r="D1789" t="inlineStr">
        <is>
          <t>VÄSTERNORRLANDS LÄN</t>
        </is>
      </c>
      <c r="E1789" t="inlineStr">
        <is>
          <t>SOLLEFTEÅ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53012-2022</t>
        </is>
      </c>
      <c r="B1790" s="1" t="n">
        <v>44875</v>
      </c>
      <c r="C1790" s="1" t="n">
        <v>45822</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52777-2022</t>
        </is>
      </c>
      <c r="B1791" s="1" t="n">
        <v>44875</v>
      </c>
      <c r="C1791" s="1" t="n">
        <v>45822</v>
      </c>
      <c r="D1791" t="inlineStr">
        <is>
          <t>VÄSTERNORRLANDS LÄN</t>
        </is>
      </c>
      <c r="E1791" t="inlineStr">
        <is>
          <t>SOLLEFTEÅ</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53000-2022</t>
        </is>
      </c>
      <c r="B1792" s="1" t="n">
        <v>44875</v>
      </c>
      <c r="C1792" s="1" t="n">
        <v>45822</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53011-2022</t>
        </is>
      </c>
      <c r="B1793" s="1" t="n">
        <v>44875</v>
      </c>
      <c r="C1793" s="1" t="n">
        <v>45822</v>
      </c>
      <c r="D1793" t="inlineStr">
        <is>
          <t>VÄSTERNORRLANDS LÄN</t>
        </is>
      </c>
      <c r="E1793" t="inlineStr">
        <is>
          <t>SOLLEFTEÅ</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53669-2022</t>
        </is>
      </c>
      <c r="B1794" s="1" t="n">
        <v>44879</v>
      </c>
      <c r="C1794" s="1" t="n">
        <v>45822</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53933-2022</t>
        </is>
      </c>
      <c r="B1795" s="1" t="n">
        <v>44880</v>
      </c>
      <c r="C1795" s="1" t="n">
        <v>45822</v>
      </c>
      <c r="D1795" t="inlineStr">
        <is>
          <t>VÄSTERNORRLANDS LÄN</t>
        </is>
      </c>
      <c r="E1795" t="inlineStr">
        <is>
          <t>SOLLEFTEÅ</t>
        </is>
      </c>
      <c r="F1795" t="inlineStr">
        <is>
          <t>SCA</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53929-2022</t>
        </is>
      </c>
      <c r="B1796" s="1" t="n">
        <v>44880</v>
      </c>
      <c r="C1796" s="1" t="n">
        <v>45822</v>
      </c>
      <c r="D1796" t="inlineStr">
        <is>
          <t>VÄSTERNORRLANDS LÄN</t>
        </is>
      </c>
      <c r="E1796" t="inlineStr">
        <is>
          <t>SOLLEFTEÅ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53944-2022</t>
        </is>
      </c>
      <c r="B1797" s="1" t="n">
        <v>44880</v>
      </c>
      <c r="C1797" s="1" t="n">
        <v>45822</v>
      </c>
      <c r="D1797" t="inlineStr">
        <is>
          <t>VÄSTERNORRLANDS LÄN</t>
        </is>
      </c>
      <c r="E1797" t="inlineStr">
        <is>
          <t>SOLLEFTEÅ</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53947-2022</t>
        </is>
      </c>
      <c r="B1798" s="1" t="n">
        <v>44880</v>
      </c>
      <c r="C1798" s="1" t="n">
        <v>45822</v>
      </c>
      <c r="D1798" t="inlineStr">
        <is>
          <t>VÄSTERNORRLANDS LÄN</t>
        </is>
      </c>
      <c r="E1798" t="inlineStr">
        <is>
          <t>SOLLEFTEÅ</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53985-2022</t>
        </is>
      </c>
      <c r="B1799" s="1" t="n">
        <v>44881</v>
      </c>
      <c r="C1799" s="1" t="n">
        <v>45822</v>
      </c>
      <c r="D1799" t="inlineStr">
        <is>
          <t>VÄSTERNORRLANDS LÄN</t>
        </is>
      </c>
      <c r="E1799" t="inlineStr">
        <is>
          <t>SOLLEFTEÅ</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54256-2022</t>
        </is>
      </c>
      <c r="B1800" s="1" t="n">
        <v>44881</v>
      </c>
      <c r="C1800" s="1" t="n">
        <v>45822</v>
      </c>
      <c r="D1800" t="inlineStr">
        <is>
          <t>VÄSTERNORRLANDS LÄN</t>
        </is>
      </c>
      <c r="E1800" t="inlineStr">
        <is>
          <t>SOLLEFTEÅ</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54242-2022</t>
        </is>
      </c>
      <c r="B1801" s="1" t="n">
        <v>44881</v>
      </c>
      <c r="C1801" s="1" t="n">
        <v>45822</v>
      </c>
      <c r="D1801" t="inlineStr">
        <is>
          <t>VÄSTERNORRLANDS LÄN</t>
        </is>
      </c>
      <c r="E1801" t="inlineStr">
        <is>
          <t>SOLLEFTEÅ</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54249-2022</t>
        </is>
      </c>
      <c r="B1802" s="1" t="n">
        <v>44881</v>
      </c>
      <c r="C1802" s="1" t="n">
        <v>45822</v>
      </c>
      <c r="D1802" t="inlineStr">
        <is>
          <t>VÄSTERNORRLANDS LÄN</t>
        </is>
      </c>
      <c r="E1802" t="inlineStr">
        <is>
          <t>SOLLEFTEÅ</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54255-2022</t>
        </is>
      </c>
      <c r="B1803" s="1" t="n">
        <v>44881</v>
      </c>
      <c r="C1803" s="1" t="n">
        <v>45822</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54280-2022</t>
        </is>
      </c>
      <c r="B1804" s="1" t="n">
        <v>44882</v>
      </c>
      <c r="C1804" s="1" t="n">
        <v>45822</v>
      </c>
      <c r="D1804" t="inlineStr">
        <is>
          <t>VÄSTERNORRLANDS LÄN</t>
        </is>
      </c>
      <c r="E1804" t="inlineStr">
        <is>
          <t>SOLLEFTEÅ</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54538-2022</t>
        </is>
      </c>
      <c r="B1805" s="1" t="n">
        <v>44882</v>
      </c>
      <c r="C1805" s="1" t="n">
        <v>45822</v>
      </c>
      <c r="D1805" t="inlineStr">
        <is>
          <t>VÄSTERNORRLANDS LÄN</t>
        </is>
      </c>
      <c r="E1805" t="inlineStr">
        <is>
          <t>SOLLEFTEÅ</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54559-2022</t>
        </is>
      </c>
      <c r="B1806" s="1" t="n">
        <v>44882</v>
      </c>
      <c r="C1806" s="1" t="n">
        <v>45822</v>
      </c>
      <c r="D1806" t="inlineStr">
        <is>
          <t>VÄSTERNORRLANDS LÄN</t>
        </is>
      </c>
      <c r="E1806" t="inlineStr">
        <is>
          <t>SOLLEFTEÅ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54573-2022</t>
        </is>
      </c>
      <c r="B1807" s="1" t="n">
        <v>44882</v>
      </c>
      <c r="C1807" s="1" t="n">
        <v>45822</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54569-2022</t>
        </is>
      </c>
      <c r="B1808" s="1" t="n">
        <v>44882</v>
      </c>
      <c r="C1808" s="1" t="n">
        <v>45822</v>
      </c>
      <c r="D1808" t="inlineStr">
        <is>
          <t>VÄSTERNORRLANDS LÄN</t>
        </is>
      </c>
      <c r="E1808" t="inlineStr">
        <is>
          <t>SOLLEFTEÅ</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55209-2022</t>
        </is>
      </c>
      <c r="B1809" s="1" t="n">
        <v>44887</v>
      </c>
      <c r="C1809" s="1" t="n">
        <v>45822</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55692-2022</t>
        </is>
      </c>
      <c r="B1810" s="1" t="n">
        <v>44888</v>
      </c>
      <c r="C1810" s="1" t="n">
        <v>45822</v>
      </c>
      <c r="D1810" t="inlineStr">
        <is>
          <t>VÄSTERNORRLANDS LÄN</t>
        </is>
      </c>
      <c r="E1810" t="inlineStr">
        <is>
          <t>SOLLEFTEÅ</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55898-2022</t>
        </is>
      </c>
      <c r="B1811" s="1" t="n">
        <v>44888</v>
      </c>
      <c r="C1811" s="1" t="n">
        <v>45822</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56176-2022</t>
        </is>
      </c>
      <c r="B1812" s="1" t="n">
        <v>44889</v>
      </c>
      <c r="C1812" s="1" t="n">
        <v>45822</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56175-2022</t>
        </is>
      </c>
      <c r="B1813" s="1" t="n">
        <v>44889</v>
      </c>
      <c r="C1813" s="1" t="n">
        <v>45822</v>
      </c>
      <c r="D1813" t="inlineStr">
        <is>
          <t>VÄSTERNORRLANDS LÄN</t>
        </is>
      </c>
      <c r="E1813" t="inlineStr">
        <is>
          <t>SOLLEFTEÅ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56184-2022</t>
        </is>
      </c>
      <c r="B1814" s="1" t="n">
        <v>44889</v>
      </c>
      <c r="C1814" s="1" t="n">
        <v>45822</v>
      </c>
      <c r="D1814" t="inlineStr">
        <is>
          <t>VÄSTERNORRLANDS LÄN</t>
        </is>
      </c>
      <c r="E1814" t="inlineStr">
        <is>
          <t>SOLLEFTEÅ</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56544-2022</t>
        </is>
      </c>
      <c r="B1815" s="1" t="n">
        <v>44893</v>
      </c>
      <c r="C1815" s="1" t="n">
        <v>45822</v>
      </c>
      <c r="D1815" t="inlineStr">
        <is>
          <t>VÄSTERNORRLANDS LÄN</t>
        </is>
      </c>
      <c r="E1815" t="inlineStr">
        <is>
          <t>SOLLEFTEÅ</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57019-2022</t>
        </is>
      </c>
      <c r="B1816" s="1" t="n">
        <v>44895</v>
      </c>
      <c r="C1816" s="1" t="n">
        <v>45822</v>
      </c>
      <c r="D1816" t="inlineStr">
        <is>
          <t>VÄSTERNORRLANDS LÄN</t>
        </is>
      </c>
      <c r="E1816" t="inlineStr">
        <is>
          <t>SOLLEFTEÅ</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57020-2022</t>
        </is>
      </c>
      <c r="B1817" s="1" t="n">
        <v>44895</v>
      </c>
      <c r="C1817" s="1" t="n">
        <v>45822</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57282-2022</t>
        </is>
      </c>
      <c r="B1818" s="1" t="n">
        <v>44895</v>
      </c>
      <c r="C1818" s="1" t="n">
        <v>45822</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57273-2022</t>
        </is>
      </c>
      <c r="B1819" s="1" t="n">
        <v>44895</v>
      </c>
      <c r="C1819" s="1" t="n">
        <v>45822</v>
      </c>
      <c r="D1819" t="inlineStr">
        <is>
          <t>VÄSTERNORRLANDS LÄN</t>
        </is>
      </c>
      <c r="E1819" t="inlineStr">
        <is>
          <t>SOLLEFTEÅ</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58643-2022</t>
        </is>
      </c>
      <c r="B1820" s="1" t="n">
        <v>44895</v>
      </c>
      <c r="C1820" s="1" t="n">
        <v>45822</v>
      </c>
      <c r="D1820" t="inlineStr">
        <is>
          <t>VÄSTERNORRLANDS LÄN</t>
        </is>
      </c>
      <c r="E1820" t="inlineStr">
        <is>
          <t>SOLLEFTEÅ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58636-2022</t>
        </is>
      </c>
      <c r="B1821" s="1" t="n">
        <v>44895</v>
      </c>
      <c r="C1821" s="1" t="n">
        <v>45822</v>
      </c>
      <c r="D1821" t="inlineStr">
        <is>
          <t>VÄSTERNORRLANDS LÄN</t>
        </is>
      </c>
      <c r="E1821" t="inlineStr">
        <is>
          <t>SOLLEFTEÅ</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58646-2022</t>
        </is>
      </c>
      <c r="B1822" s="1" t="n">
        <v>44895</v>
      </c>
      <c r="C1822" s="1" t="n">
        <v>45822</v>
      </c>
      <c r="D1822" t="inlineStr">
        <is>
          <t>VÄSTERNORRLANDS LÄN</t>
        </is>
      </c>
      <c r="E1822" t="inlineStr">
        <is>
          <t>SOLLEFTEÅ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57991-2022</t>
        </is>
      </c>
      <c r="B1823" s="1" t="n">
        <v>44900</v>
      </c>
      <c r="C1823" s="1" t="n">
        <v>45822</v>
      </c>
      <c r="D1823" t="inlineStr">
        <is>
          <t>VÄSTERNORRLANDS LÄN</t>
        </is>
      </c>
      <c r="E1823" t="inlineStr">
        <is>
          <t>SOLLEFTEÅ</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58173-2022</t>
        </is>
      </c>
      <c r="B1824" s="1" t="n">
        <v>44900</v>
      </c>
      <c r="C1824" s="1" t="n">
        <v>45822</v>
      </c>
      <c r="D1824" t="inlineStr">
        <is>
          <t>VÄSTERNORRLANDS LÄN</t>
        </is>
      </c>
      <c r="E1824" t="inlineStr">
        <is>
          <t>SOLLEFTEÅ</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58172-2022</t>
        </is>
      </c>
      <c r="B1825" s="1" t="n">
        <v>44900</v>
      </c>
      <c r="C1825" s="1" t="n">
        <v>45822</v>
      </c>
      <c r="D1825" t="inlineStr">
        <is>
          <t>VÄSTERNORRLANDS LÄN</t>
        </is>
      </c>
      <c r="E1825" t="inlineStr">
        <is>
          <t>SOLLEFTEÅ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58171-2022</t>
        </is>
      </c>
      <c r="B1826" s="1" t="n">
        <v>44900</v>
      </c>
      <c r="C1826" s="1" t="n">
        <v>45822</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58401-2022</t>
        </is>
      </c>
      <c r="B1827" s="1" t="n">
        <v>44901</v>
      </c>
      <c r="C1827" s="1" t="n">
        <v>45822</v>
      </c>
      <c r="D1827" t="inlineStr">
        <is>
          <t>VÄSTERNORRLANDS LÄN</t>
        </is>
      </c>
      <c r="E1827" t="inlineStr">
        <is>
          <t>SOLLEFTEÅ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58765-2022</t>
        </is>
      </c>
      <c r="B1828" s="1" t="n">
        <v>44903</v>
      </c>
      <c r="C1828" s="1" t="n">
        <v>45822</v>
      </c>
      <c r="D1828" t="inlineStr">
        <is>
          <t>VÄSTERNORRLANDS LÄN</t>
        </is>
      </c>
      <c r="E1828" t="inlineStr">
        <is>
          <t>SOLLEFTEÅ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59036-2022</t>
        </is>
      </c>
      <c r="B1829" s="1" t="n">
        <v>44903</v>
      </c>
      <c r="C1829" s="1" t="n">
        <v>45822</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59038-2022</t>
        </is>
      </c>
      <c r="B1830" s="1" t="n">
        <v>44903</v>
      </c>
      <c r="C1830" s="1" t="n">
        <v>45822</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59037-2022</t>
        </is>
      </c>
      <c r="B1831" s="1" t="n">
        <v>44903</v>
      </c>
      <c r="C1831" s="1" t="n">
        <v>45822</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59371-2022</t>
        </is>
      </c>
      <c r="B1832" s="1" t="n">
        <v>44904</v>
      </c>
      <c r="C1832" s="1" t="n">
        <v>45822</v>
      </c>
      <c r="D1832" t="inlineStr">
        <is>
          <t>VÄSTERNORRLANDS LÄN</t>
        </is>
      </c>
      <c r="E1832" t="inlineStr">
        <is>
          <t>SOLLEFTEÅ</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60482-2022</t>
        </is>
      </c>
      <c r="B1833" s="1" t="n">
        <v>44904</v>
      </c>
      <c r="C1833" s="1" t="n">
        <v>45822</v>
      </c>
      <c r="D1833" t="inlineStr">
        <is>
          <t>VÄSTERNORRLANDS LÄN</t>
        </is>
      </c>
      <c r="E1833" t="inlineStr">
        <is>
          <t>SOLLEFTEÅ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60856-2022</t>
        </is>
      </c>
      <c r="B1834" s="1" t="n">
        <v>44907</v>
      </c>
      <c r="C1834" s="1" t="n">
        <v>45822</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59647-2022</t>
        </is>
      </c>
      <c r="B1835" s="1" t="n">
        <v>44908</v>
      </c>
      <c r="C1835" s="1" t="n">
        <v>45822</v>
      </c>
      <c r="D1835" t="inlineStr">
        <is>
          <t>VÄSTERNORRLANDS LÄN</t>
        </is>
      </c>
      <c r="E1835" t="inlineStr">
        <is>
          <t>SOLLEFTEÅ</t>
        </is>
      </c>
      <c r="F1835" t="inlineStr">
        <is>
          <t>SCA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59908-2022</t>
        </is>
      </c>
      <c r="B1836" s="1" t="n">
        <v>44908</v>
      </c>
      <c r="C1836" s="1" t="n">
        <v>45822</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59854-2022</t>
        </is>
      </c>
      <c r="B1837" s="1" t="n">
        <v>44908</v>
      </c>
      <c r="C1837" s="1" t="n">
        <v>45822</v>
      </c>
      <c r="D1837" t="inlineStr">
        <is>
          <t>VÄSTERNORRLANDS LÄN</t>
        </is>
      </c>
      <c r="E1837" t="inlineStr">
        <is>
          <t>SOLLEFTEÅ</t>
        </is>
      </c>
      <c r="F1837" t="inlineStr">
        <is>
          <t>Holmen skog AB</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60170-2022</t>
        </is>
      </c>
      <c r="B1838" s="1" t="n">
        <v>44909</v>
      </c>
      <c r="C1838" s="1" t="n">
        <v>45822</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60169-2022</t>
        </is>
      </c>
      <c r="B1839" s="1" t="n">
        <v>44909</v>
      </c>
      <c r="C1839" s="1" t="n">
        <v>45822</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60171-2022</t>
        </is>
      </c>
      <c r="B1840" s="1" t="n">
        <v>44909</v>
      </c>
      <c r="C1840" s="1" t="n">
        <v>45822</v>
      </c>
      <c r="D1840" t="inlineStr">
        <is>
          <t>VÄSTERNORRLANDS LÄN</t>
        </is>
      </c>
      <c r="E1840" t="inlineStr">
        <is>
          <t>SOLLEFTEÅ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60168-2022</t>
        </is>
      </c>
      <c r="B1841" s="1" t="n">
        <v>44909</v>
      </c>
      <c r="C1841" s="1" t="n">
        <v>45822</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60338-2022</t>
        </is>
      </c>
      <c r="B1842" s="1" t="n">
        <v>44910</v>
      </c>
      <c r="C1842" s="1" t="n">
        <v>45822</v>
      </c>
      <c r="D1842" t="inlineStr">
        <is>
          <t>VÄSTERNORRLANDS LÄN</t>
        </is>
      </c>
      <c r="E1842" t="inlineStr">
        <is>
          <t>SOLLEFTEÅ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60420-2022</t>
        </is>
      </c>
      <c r="B1843" s="1" t="n">
        <v>44910</v>
      </c>
      <c r="C1843" s="1" t="n">
        <v>45822</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61473-2022</t>
        </is>
      </c>
      <c r="B1844" s="1" t="n">
        <v>44910</v>
      </c>
      <c r="C1844" s="1" t="n">
        <v>45822</v>
      </c>
      <c r="D1844" t="inlineStr">
        <is>
          <t>VÄSTERNORRLANDS LÄN</t>
        </is>
      </c>
      <c r="E1844" t="inlineStr">
        <is>
          <t>SOLLEFTEÅ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61459-2022</t>
        </is>
      </c>
      <c r="B1845" s="1" t="n">
        <v>44910</v>
      </c>
      <c r="C1845" s="1" t="n">
        <v>45822</v>
      </c>
      <c r="D1845" t="inlineStr">
        <is>
          <t>VÄSTERNORRLANDS LÄN</t>
        </is>
      </c>
      <c r="E1845" t="inlineStr">
        <is>
          <t>SOLLEFTEÅ</t>
        </is>
      </c>
      <c r="G1845" t="n">
        <v>20.6</v>
      </c>
      <c r="H1845" t="n">
        <v>0</v>
      </c>
      <c r="I1845" t="n">
        <v>0</v>
      </c>
      <c r="J1845" t="n">
        <v>0</v>
      </c>
      <c r="K1845" t="n">
        <v>0</v>
      </c>
      <c r="L1845" t="n">
        <v>0</v>
      </c>
      <c r="M1845" t="n">
        <v>0</v>
      </c>
      <c r="N1845" t="n">
        <v>0</v>
      </c>
      <c r="O1845" t="n">
        <v>0</v>
      </c>
      <c r="P1845" t="n">
        <v>0</v>
      </c>
      <c r="Q1845" t="n">
        <v>0</v>
      </c>
      <c r="R1845" s="2" t="inlineStr"/>
    </row>
    <row r="1846" ht="15" customHeight="1">
      <c r="A1846" t="inlineStr">
        <is>
          <t>A 60665-2022</t>
        </is>
      </c>
      <c r="B1846" s="1" t="n">
        <v>44911</v>
      </c>
      <c r="C1846" s="1" t="n">
        <v>45822</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60664-2022</t>
        </is>
      </c>
      <c r="B1847" s="1" t="n">
        <v>44911</v>
      </c>
      <c r="C1847" s="1" t="n">
        <v>45822</v>
      </c>
      <c r="D1847" t="inlineStr">
        <is>
          <t>VÄSTERNORRLANDS LÄN</t>
        </is>
      </c>
      <c r="E1847" t="inlineStr">
        <is>
          <t>SOLLEFTEÅ</t>
        </is>
      </c>
      <c r="F1847" t="inlineStr">
        <is>
          <t>SCA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60666-2022</t>
        </is>
      </c>
      <c r="B1848" s="1" t="n">
        <v>44911</v>
      </c>
      <c r="C1848" s="1" t="n">
        <v>45822</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61384-2022</t>
        </is>
      </c>
      <c r="B1849" s="1" t="n">
        <v>44915</v>
      </c>
      <c r="C1849" s="1" t="n">
        <v>45822</v>
      </c>
      <c r="D1849" t="inlineStr">
        <is>
          <t>VÄSTERNORRLANDS LÄN</t>
        </is>
      </c>
      <c r="E1849" t="inlineStr">
        <is>
          <t>SOLLEFTEÅ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61345-2022</t>
        </is>
      </c>
      <c r="B1850" s="1" t="n">
        <v>44915</v>
      </c>
      <c r="C1850" s="1" t="n">
        <v>45822</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61341-2022</t>
        </is>
      </c>
      <c r="B1851" s="1" t="n">
        <v>44915</v>
      </c>
      <c r="C1851" s="1" t="n">
        <v>45822</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61376-2022</t>
        </is>
      </c>
      <c r="B1852" s="1" t="n">
        <v>44915</v>
      </c>
      <c r="C1852" s="1" t="n">
        <v>45822</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61391-2022</t>
        </is>
      </c>
      <c r="B1853" s="1" t="n">
        <v>44915</v>
      </c>
      <c r="C1853" s="1" t="n">
        <v>45822</v>
      </c>
      <c r="D1853" t="inlineStr">
        <is>
          <t>VÄSTERNORRLANDS LÄN</t>
        </is>
      </c>
      <c r="E1853" t="inlineStr">
        <is>
          <t>SOLLEFTEÅ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61383-2022</t>
        </is>
      </c>
      <c r="B1854" s="1" t="n">
        <v>44915</v>
      </c>
      <c r="C1854" s="1" t="n">
        <v>45822</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62217-2022</t>
        </is>
      </c>
      <c r="B1855" s="1" t="n">
        <v>44916</v>
      </c>
      <c r="C1855" s="1" t="n">
        <v>45822</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61920-2022</t>
        </is>
      </c>
      <c r="B1856" s="1" t="n">
        <v>44917</v>
      </c>
      <c r="C1856" s="1" t="n">
        <v>45822</v>
      </c>
      <c r="D1856" t="inlineStr">
        <is>
          <t>VÄSTERNORRLANDS LÄN</t>
        </is>
      </c>
      <c r="E1856" t="inlineStr">
        <is>
          <t>SOLLEFTEÅ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61936-2022</t>
        </is>
      </c>
      <c r="B1857" s="1" t="n">
        <v>44917</v>
      </c>
      <c r="C1857" s="1" t="n">
        <v>45822</v>
      </c>
      <c r="D1857" t="inlineStr">
        <is>
          <t>VÄSTERNORRLANDS LÄN</t>
        </is>
      </c>
      <c r="E1857" t="inlineStr">
        <is>
          <t>SOLLEFTEÅ</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62662-2022</t>
        </is>
      </c>
      <c r="B1858" s="1" t="n">
        <v>44917</v>
      </c>
      <c r="C1858" s="1" t="n">
        <v>45822</v>
      </c>
      <c r="D1858" t="inlineStr">
        <is>
          <t>VÄSTERNORRLANDS LÄN</t>
        </is>
      </c>
      <c r="E1858" t="inlineStr">
        <is>
          <t>SOLLEFTEÅ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28-2023</t>
        </is>
      </c>
      <c r="B1859" s="1" t="n">
        <v>44918</v>
      </c>
      <c r="C1859" s="1" t="n">
        <v>45822</v>
      </c>
      <c r="D1859" t="inlineStr">
        <is>
          <t>VÄSTERNORRLANDS LÄN</t>
        </is>
      </c>
      <c r="E1859" t="inlineStr">
        <is>
          <t>SOLLEFTEÅ</t>
        </is>
      </c>
      <c r="G1859" t="n">
        <v>23.8</v>
      </c>
      <c r="H1859" t="n">
        <v>0</v>
      </c>
      <c r="I1859" t="n">
        <v>0</v>
      </c>
      <c r="J1859" t="n">
        <v>0</v>
      </c>
      <c r="K1859" t="n">
        <v>0</v>
      </c>
      <c r="L1859" t="n">
        <v>0</v>
      </c>
      <c r="M1859" t="n">
        <v>0</v>
      </c>
      <c r="N1859" t="n">
        <v>0</v>
      </c>
      <c r="O1859" t="n">
        <v>0</v>
      </c>
      <c r="P1859" t="n">
        <v>0</v>
      </c>
      <c r="Q1859" t="n">
        <v>0</v>
      </c>
      <c r="R1859" s="2" t="inlineStr"/>
    </row>
    <row r="1860" ht="15" customHeight="1">
      <c r="A1860" t="inlineStr">
        <is>
          <t>A 62262-2022</t>
        </is>
      </c>
      <c r="B1860" s="1" t="n">
        <v>44922</v>
      </c>
      <c r="C1860" s="1" t="n">
        <v>45822</v>
      </c>
      <c r="D1860" t="inlineStr">
        <is>
          <t>VÄSTERNORRLANDS LÄN</t>
        </is>
      </c>
      <c r="E1860" t="inlineStr">
        <is>
          <t>SOLLEFTEÅ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62260-2022</t>
        </is>
      </c>
      <c r="B1861" s="1" t="n">
        <v>44922</v>
      </c>
      <c r="C1861" s="1" t="n">
        <v>45822</v>
      </c>
      <c r="D1861" t="inlineStr">
        <is>
          <t>VÄSTERNORRLANDS LÄN</t>
        </is>
      </c>
      <c r="E1861" t="inlineStr">
        <is>
          <t>SOLLEFTEÅ</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192-2023</t>
        </is>
      </c>
      <c r="B1862" s="1" t="n">
        <v>44922</v>
      </c>
      <c r="C1862" s="1" t="n">
        <v>45822</v>
      </c>
      <c r="D1862" t="inlineStr">
        <is>
          <t>VÄSTERNORRLANDS LÄN</t>
        </is>
      </c>
      <c r="E1862" t="inlineStr">
        <is>
          <t>SOLLEFTEÅ</t>
        </is>
      </c>
      <c r="G1862" t="n">
        <v>20.9</v>
      </c>
      <c r="H1862" t="n">
        <v>0</v>
      </c>
      <c r="I1862" t="n">
        <v>0</v>
      </c>
      <c r="J1862" t="n">
        <v>0</v>
      </c>
      <c r="K1862" t="n">
        <v>0</v>
      </c>
      <c r="L1862" t="n">
        <v>0</v>
      </c>
      <c r="M1862" t="n">
        <v>0</v>
      </c>
      <c r="N1862" t="n">
        <v>0</v>
      </c>
      <c r="O1862" t="n">
        <v>0</v>
      </c>
      <c r="P1862" t="n">
        <v>0</v>
      </c>
      <c r="Q1862" t="n">
        <v>0</v>
      </c>
      <c r="R1862" s="2" t="inlineStr"/>
    </row>
    <row r="1863" ht="15" customHeight="1">
      <c r="A1863" t="inlineStr">
        <is>
          <t>A 62406-2022</t>
        </is>
      </c>
      <c r="B1863" s="1" t="n">
        <v>44923</v>
      </c>
      <c r="C1863" s="1" t="n">
        <v>45822</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62507-2022</t>
        </is>
      </c>
      <c r="B1864" s="1" t="n">
        <v>44924</v>
      </c>
      <c r="C1864" s="1" t="n">
        <v>45822</v>
      </c>
      <c r="D1864" t="inlineStr">
        <is>
          <t>VÄSTERNORRLANDS LÄN</t>
        </is>
      </c>
      <c r="E1864" t="inlineStr">
        <is>
          <t>SOLLEFTEÅ</t>
        </is>
      </c>
      <c r="F1864" t="inlineStr">
        <is>
          <t>Holmen skog AB</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62745-2022</t>
        </is>
      </c>
      <c r="B1865" s="1" t="n">
        <v>44925</v>
      </c>
      <c r="C1865" s="1" t="n">
        <v>45822</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62750-2022</t>
        </is>
      </c>
      <c r="B1866" s="1" t="n">
        <v>44925</v>
      </c>
      <c r="C1866" s="1" t="n">
        <v>45822</v>
      </c>
      <c r="D1866" t="inlineStr">
        <is>
          <t>VÄSTERNORRLANDS LÄN</t>
        </is>
      </c>
      <c r="E1866" t="inlineStr">
        <is>
          <t>SOLLEFTEÅ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62710-2022</t>
        </is>
      </c>
      <c r="B1867" s="1" t="n">
        <v>44925</v>
      </c>
      <c r="C1867" s="1" t="n">
        <v>45822</v>
      </c>
      <c r="D1867" t="inlineStr">
        <is>
          <t>VÄSTERNORRLANDS LÄN</t>
        </is>
      </c>
      <c r="E1867" t="inlineStr">
        <is>
          <t>SOLLEFTEÅ</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279-2023</t>
        </is>
      </c>
      <c r="B1868" s="1" t="n">
        <v>44928</v>
      </c>
      <c r="C1868" s="1" t="n">
        <v>45822</v>
      </c>
      <c r="D1868" t="inlineStr">
        <is>
          <t>VÄSTERNORRLANDS LÄN</t>
        </is>
      </c>
      <c r="E1868" t="inlineStr">
        <is>
          <t>SOLLEFTEÅ</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282-2023</t>
        </is>
      </c>
      <c r="B1869" s="1" t="n">
        <v>44928</v>
      </c>
      <c r="C1869" s="1" t="n">
        <v>45822</v>
      </c>
      <c r="D1869" t="inlineStr">
        <is>
          <t>VÄSTERNORRLANDS LÄN</t>
        </is>
      </c>
      <c r="E1869" t="inlineStr">
        <is>
          <t>SOLLEFTEÅ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714-2023</t>
        </is>
      </c>
      <c r="B1870" s="1" t="n">
        <v>44930</v>
      </c>
      <c r="C1870" s="1" t="n">
        <v>45822</v>
      </c>
      <c r="D1870" t="inlineStr">
        <is>
          <t>VÄSTERNORRLANDS LÄN</t>
        </is>
      </c>
      <c r="E1870" t="inlineStr">
        <is>
          <t>SOLLEFTEÅ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918-2023</t>
        </is>
      </c>
      <c r="B1871" s="1" t="n">
        <v>44931</v>
      </c>
      <c r="C1871" s="1" t="n">
        <v>45822</v>
      </c>
      <c r="D1871" t="inlineStr">
        <is>
          <t>VÄSTERNORRLANDS LÄN</t>
        </is>
      </c>
      <c r="E1871" t="inlineStr">
        <is>
          <t>SOLLEFTEÅ</t>
        </is>
      </c>
      <c r="F1871" t="inlineStr">
        <is>
          <t>SCA</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965-2023</t>
        </is>
      </c>
      <c r="B1872" s="1" t="n">
        <v>44934</v>
      </c>
      <c r="C1872" s="1" t="n">
        <v>45822</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964-2023</t>
        </is>
      </c>
      <c r="B1873" s="1" t="n">
        <v>44934</v>
      </c>
      <c r="C1873" s="1" t="n">
        <v>45822</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1275-2023</t>
        </is>
      </c>
      <c r="B1874" s="1" t="n">
        <v>44936</v>
      </c>
      <c r="C1874" s="1" t="n">
        <v>45822</v>
      </c>
      <c r="D1874" t="inlineStr">
        <is>
          <t>VÄSTERNORRLANDS LÄN</t>
        </is>
      </c>
      <c r="E1874" t="inlineStr">
        <is>
          <t>SOLLEFTEÅ</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1803-2023</t>
        </is>
      </c>
      <c r="B1875" s="1" t="n">
        <v>44937</v>
      </c>
      <c r="C1875" s="1" t="n">
        <v>45822</v>
      </c>
      <c r="D1875" t="inlineStr">
        <is>
          <t>VÄSTERNORRLANDS LÄN</t>
        </is>
      </c>
      <c r="E1875" t="inlineStr">
        <is>
          <t>SOLLEFTEÅ</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1868-2023</t>
        </is>
      </c>
      <c r="B1876" s="1" t="n">
        <v>44938</v>
      </c>
      <c r="C1876" s="1" t="n">
        <v>45822</v>
      </c>
      <c r="D1876" t="inlineStr">
        <is>
          <t>VÄSTERNORRLANDS LÄN</t>
        </is>
      </c>
      <c r="E1876" t="inlineStr">
        <is>
          <t>SOLLEFTEÅ</t>
        </is>
      </c>
      <c r="F1876" t="inlineStr">
        <is>
          <t>SCA</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1874-2023</t>
        </is>
      </c>
      <c r="B1877" s="1" t="n">
        <v>44938</v>
      </c>
      <c r="C1877" s="1" t="n">
        <v>45822</v>
      </c>
      <c r="D1877" t="inlineStr">
        <is>
          <t>VÄSTERNORRLANDS LÄN</t>
        </is>
      </c>
      <c r="E1877" t="inlineStr">
        <is>
          <t>SOLLEFTEÅ</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2058-2023</t>
        </is>
      </c>
      <c r="B1878" s="1" t="n">
        <v>44938</v>
      </c>
      <c r="C1878" s="1" t="n">
        <v>45822</v>
      </c>
      <c r="D1878" t="inlineStr">
        <is>
          <t>VÄSTERNORRLANDS LÄN</t>
        </is>
      </c>
      <c r="E1878" t="inlineStr">
        <is>
          <t>SOLLEFTEÅ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2121-2023</t>
        </is>
      </c>
      <c r="B1879" s="1" t="n">
        <v>44939</v>
      </c>
      <c r="C1879" s="1" t="n">
        <v>45822</v>
      </c>
      <c r="D1879" t="inlineStr">
        <is>
          <t>VÄSTERNORRLANDS LÄN</t>
        </is>
      </c>
      <c r="E1879" t="inlineStr">
        <is>
          <t>SOLLEFTEÅ</t>
        </is>
      </c>
      <c r="F1879" t="inlineStr">
        <is>
          <t>SCA</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2119-2023</t>
        </is>
      </c>
      <c r="B1880" s="1" t="n">
        <v>44939</v>
      </c>
      <c r="C1880" s="1" t="n">
        <v>45822</v>
      </c>
      <c r="D1880" t="inlineStr">
        <is>
          <t>VÄSTERNORRLANDS LÄN</t>
        </is>
      </c>
      <c r="E1880" t="inlineStr">
        <is>
          <t>SOLLEFTEÅ</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2132-2023</t>
        </is>
      </c>
      <c r="B1881" s="1" t="n">
        <v>44939</v>
      </c>
      <c r="C1881" s="1" t="n">
        <v>45822</v>
      </c>
      <c r="D1881" t="inlineStr">
        <is>
          <t>VÄSTERNORRLANDS LÄN</t>
        </is>
      </c>
      <c r="E1881" t="inlineStr">
        <is>
          <t>SOLLEFTEÅ</t>
        </is>
      </c>
      <c r="F1881" t="inlineStr">
        <is>
          <t>SCA</t>
        </is>
      </c>
      <c r="G1881" t="n">
        <v>19.4</v>
      </c>
      <c r="H1881" t="n">
        <v>0</v>
      </c>
      <c r="I1881" t="n">
        <v>0</v>
      </c>
      <c r="J1881" t="n">
        <v>0</v>
      </c>
      <c r="K1881" t="n">
        <v>0</v>
      </c>
      <c r="L1881" t="n">
        <v>0</v>
      </c>
      <c r="M1881" t="n">
        <v>0</v>
      </c>
      <c r="N1881" t="n">
        <v>0</v>
      </c>
      <c r="O1881" t="n">
        <v>0</v>
      </c>
      <c r="P1881" t="n">
        <v>0</v>
      </c>
      <c r="Q1881" t="n">
        <v>0</v>
      </c>
      <c r="R1881" s="2" t="inlineStr"/>
    </row>
    <row r="1882" ht="15" customHeight="1">
      <c r="A1882" t="inlineStr">
        <is>
          <t>A 2120-2023</t>
        </is>
      </c>
      <c r="B1882" s="1" t="n">
        <v>44939</v>
      </c>
      <c r="C1882" s="1" t="n">
        <v>45822</v>
      </c>
      <c r="D1882" t="inlineStr">
        <is>
          <t>VÄSTERNORRLANDS LÄN</t>
        </is>
      </c>
      <c r="E1882" t="inlineStr">
        <is>
          <t>SOLLEFTEÅ</t>
        </is>
      </c>
      <c r="F1882" t="inlineStr">
        <is>
          <t>SCA</t>
        </is>
      </c>
      <c r="G1882" t="n">
        <v>126.9</v>
      </c>
      <c r="H1882" t="n">
        <v>0</v>
      </c>
      <c r="I1882" t="n">
        <v>0</v>
      </c>
      <c r="J1882" t="n">
        <v>0</v>
      </c>
      <c r="K1882" t="n">
        <v>0</v>
      </c>
      <c r="L1882" t="n">
        <v>0</v>
      </c>
      <c r="M1882" t="n">
        <v>0</v>
      </c>
      <c r="N1882" t="n">
        <v>0</v>
      </c>
      <c r="O1882" t="n">
        <v>0</v>
      </c>
      <c r="P1882" t="n">
        <v>0</v>
      </c>
      <c r="Q1882" t="n">
        <v>0</v>
      </c>
      <c r="R1882" s="2" t="inlineStr"/>
    </row>
    <row r="1883" ht="15" customHeight="1">
      <c r="A1883" t="inlineStr">
        <is>
          <t>A 2114-2023</t>
        </is>
      </c>
      <c r="B1883" s="1" t="n">
        <v>44939</v>
      </c>
      <c r="C1883" s="1" t="n">
        <v>45822</v>
      </c>
      <c r="D1883" t="inlineStr">
        <is>
          <t>VÄSTERNORRLANDS LÄN</t>
        </is>
      </c>
      <c r="E1883" t="inlineStr">
        <is>
          <t>SOLLEFTEÅ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2118-2023</t>
        </is>
      </c>
      <c r="B1884" s="1" t="n">
        <v>44939</v>
      </c>
      <c r="C1884" s="1" t="n">
        <v>45822</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2139-2023</t>
        </is>
      </c>
      <c r="B1885" s="1" t="n">
        <v>44940</v>
      </c>
      <c r="C1885" s="1" t="n">
        <v>45822</v>
      </c>
      <c r="D1885" t="inlineStr">
        <is>
          <t>VÄSTERNORRLANDS LÄN</t>
        </is>
      </c>
      <c r="E1885" t="inlineStr">
        <is>
          <t>SOLLEFTEÅ</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2183-2023</t>
        </is>
      </c>
      <c r="B1886" s="1" t="n">
        <v>44942</v>
      </c>
      <c r="C1886" s="1" t="n">
        <v>45822</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2408-2023</t>
        </is>
      </c>
      <c r="B1887" s="1" t="n">
        <v>44942</v>
      </c>
      <c r="C1887" s="1" t="n">
        <v>45822</v>
      </c>
      <c r="D1887" t="inlineStr">
        <is>
          <t>VÄSTERNORRLANDS LÄN</t>
        </is>
      </c>
      <c r="E1887" t="inlineStr">
        <is>
          <t>SOLLEFTEÅ</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2412-2023</t>
        </is>
      </c>
      <c r="B1888" s="1" t="n">
        <v>44942</v>
      </c>
      <c r="C1888" s="1" t="n">
        <v>45822</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2597-2023</t>
        </is>
      </c>
      <c r="B1889" s="1" t="n">
        <v>44943</v>
      </c>
      <c r="C1889" s="1" t="n">
        <v>45822</v>
      </c>
      <c r="D1889" t="inlineStr">
        <is>
          <t>VÄSTERNORRLANDS LÄN</t>
        </is>
      </c>
      <c r="E1889" t="inlineStr">
        <is>
          <t>SOLLEFTEÅ</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2756-2023</t>
        </is>
      </c>
      <c r="B1890" s="1" t="n">
        <v>44943</v>
      </c>
      <c r="C1890" s="1" t="n">
        <v>45822</v>
      </c>
      <c r="D1890" t="inlineStr">
        <is>
          <t>VÄSTERNORRLANDS LÄN</t>
        </is>
      </c>
      <c r="E1890" t="inlineStr">
        <is>
          <t>SOLLEFTEÅ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2598-2023</t>
        </is>
      </c>
      <c r="B1891" s="1" t="n">
        <v>44943</v>
      </c>
      <c r="C1891" s="1" t="n">
        <v>45822</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2927-2023</t>
        </is>
      </c>
      <c r="B1892" s="1" t="n">
        <v>44945</v>
      </c>
      <c r="C1892" s="1" t="n">
        <v>45822</v>
      </c>
      <c r="D1892" t="inlineStr">
        <is>
          <t>VÄSTERNORRLANDS LÄN</t>
        </is>
      </c>
      <c r="E1892" t="inlineStr">
        <is>
          <t>SOLLEFTEÅ</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3019-2023</t>
        </is>
      </c>
      <c r="B1893" s="1" t="n">
        <v>44945</v>
      </c>
      <c r="C1893" s="1" t="n">
        <v>45822</v>
      </c>
      <c r="D1893" t="inlineStr">
        <is>
          <t>VÄSTERNORRLANDS LÄN</t>
        </is>
      </c>
      <c r="E1893" t="inlineStr">
        <is>
          <t>SOLLEFTEÅ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3319-2023</t>
        </is>
      </c>
      <c r="B1894" s="1" t="n">
        <v>44949</v>
      </c>
      <c r="C1894" s="1" t="n">
        <v>45822</v>
      </c>
      <c r="D1894" t="inlineStr">
        <is>
          <t>VÄSTERNORRLANDS LÄN</t>
        </is>
      </c>
      <c r="E1894" t="inlineStr">
        <is>
          <t>SOLLEFTEÅ</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3692-2023</t>
        </is>
      </c>
      <c r="B1895" s="1" t="n">
        <v>44950</v>
      </c>
      <c r="C1895" s="1" t="n">
        <v>45822</v>
      </c>
      <c r="D1895" t="inlineStr">
        <is>
          <t>VÄSTERNORRLANDS LÄN</t>
        </is>
      </c>
      <c r="E1895" t="inlineStr">
        <is>
          <t>SOLLEFTEÅ</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3691-2023</t>
        </is>
      </c>
      <c r="B1896" s="1" t="n">
        <v>44950</v>
      </c>
      <c r="C1896" s="1" t="n">
        <v>45822</v>
      </c>
      <c r="D1896" t="inlineStr">
        <is>
          <t>VÄSTERNORRLANDS LÄN</t>
        </is>
      </c>
      <c r="E1896" t="inlineStr">
        <is>
          <t>SOLLEFTEÅ</t>
        </is>
      </c>
      <c r="F1896" t="inlineStr">
        <is>
          <t>SCA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3689-2023</t>
        </is>
      </c>
      <c r="B1897" s="1" t="n">
        <v>44950</v>
      </c>
      <c r="C1897" s="1" t="n">
        <v>45822</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4154-2023</t>
        </is>
      </c>
      <c r="B1898" s="1" t="n">
        <v>44950</v>
      </c>
      <c r="C1898" s="1" t="n">
        <v>45822</v>
      </c>
      <c r="D1898" t="inlineStr">
        <is>
          <t>VÄSTERNORRLANDS LÄN</t>
        </is>
      </c>
      <c r="E1898" t="inlineStr">
        <is>
          <t>SOLLEFTEÅ</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4406-2023</t>
        </is>
      </c>
      <c r="B1899" s="1" t="n">
        <v>44951</v>
      </c>
      <c r="C1899" s="1" t="n">
        <v>45822</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4132-2023</t>
        </is>
      </c>
      <c r="B1900" s="1" t="n">
        <v>44952</v>
      </c>
      <c r="C1900" s="1" t="n">
        <v>45822</v>
      </c>
      <c r="D1900" t="inlineStr">
        <is>
          <t>VÄSTERNORRLANDS LÄN</t>
        </is>
      </c>
      <c r="E1900" t="inlineStr">
        <is>
          <t>SOLLEFTEÅ</t>
        </is>
      </c>
      <c r="F1900" t="inlineStr">
        <is>
          <t>SCA</t>
        </is>
      </c>
      <c r="G1900" t="n">
        <v>50.4</v>
      </c>
      <c r="H1900" t="n">
        <v>0</v>
      </c>
      <c r="I1900" t="n">
        <v>0</v>
      </c>
      <c r="J1900" t="n">
        <v>0</v>
      </c>
      <c r="K1900" t="n">
        <v>0</v>
      </c>
      <c r="L1900" t="n">
        <v>0</v>
      </c>
      <c r="M1900" t="n">
        <v>0</v>
      </c>
      <c r="N1900" t="n">
        <v>0</v>
      </c>
      <c r="O1900" t="n">
        <v>0</v>
      </c>
      <c r="P1900" t="n">
        <v>0</v>
      </c>
      <c r="Q1900" t="n">
        <v>0</v>
      </c>
      <c r="R1900" s="2" t="inlineStr"/>
    </row>
    <row r="1901" ht="15" customHeight="1">
      <c r="A1901" t="inlineStr">
        <is>
          <t>A 4138-2023</t>
        </is>
      </c>
      <c r="B1901" s="1" t="n">
        <v>44952</v>
      </c>
      <c r="C1901" s="1" t="n">
        <v>45822</v>
      </c>
      <c r="D1901" t="inlineStr">
        <is>
          <t>VÄSTERNORRLANDS LÄN</t>
        </is>
      </c>
      <c r="E1901" t="inlineStr">
        <is>
          <t>SOLLEFTEÅ</t>
        </is>
      </c>
      <c r="F1901" t="inlineStr">
        <is>
          <t>SCA</t>
        </is>
      </c>
      <c r="G1901" t="n">
        <v>70</v>
      </c>
      <c r="H1901" t="n">
        <v>0</v>
      </c>
      <c r="I1901" t="n">
        <v>0</v>
      </c>
      <c r="J1901" t="n">
        <v>0</v>
      </c>
      <c r="K1901" t="n">
        <v>0</v>
      </c>
      <c r="L1901" t="n">
        <v>0</v>
      </c>
      <c r="M1901" t="n">
        <v>0</v>
      </c>
      <c r="N1901" t="n">
        <v>0</v>
      </c>
      <c r="O1901" t="n">
        <v>0</v>
      </c>
      <c r="P1901" t="n">
        <v>0</v>
      </c>
      <c r="Q1901" t="n">
        <v>0</v>
      </c>
      <c r="R1901" s="2" t="inlineStr"/>
    </row>
    <row r="1902" ht="15" customHeight="1">
      <c r="A1902" t="inlineStr">
        <is>
          <t>A 4501-2023</t>
        </is>
      </c>
      <c r="B1902" s="1" t="n">
        <v>44952</v>
      </c>
      <c r="C1902" s="1" t="n">
        <v>45822</v>
      </c>
      <c r="D1902" t="inlineStr">
        <is>
          <t>VÄSTERNORRLANDS LÄN</t>
        </is>
      </c>
      <c r="E1902" t="inlineStr">
        <is>
          <t>SOLLEFTEÅ</t>
        </is>
      </c>
      <c r="F1902" t="inlineStr">
        <is>
          <t>Övriga Aktiebolag</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4613-2023</t>
        </is>
      </c>
      <c r="B1903" s="1" t="n">
        <v>44956</v>
      </c>
      <c r="C1903" s="1" t="n">
        <v>45822</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4611-2023</t>
        </is>
      </c>
      <c r="B1904" s="1" t="n">
        <v>44956</v>
      </c>
      <c r="C1904" s="1" t="n">
        <v>45822</v>
      </c>
      <c r="D1904" t="inlineStr">
        <is>
          <t>VÄSTERNORRLANDS LÄN</t>
        </is>
      </c>
      <c r="E1904" t="inlineStr">
        <is>
          <t>SOLLEFTEÅ</t>
        </is>
      </c>
      <c r="F1904" t="inlineStr">
        <is>
          <t>SCA</t>
        </is>
      </c>
      <c r="G1904" t="n">
        <v>19.2</v>
      </c>
      <c r="H1904" t="n">
        <v>0</v>
      </c>
      <c r="I1904" t="n">
        <v>0</v>
      </c>
      <c r="J1904" t="n">
        <v>0</v>
      </c>
      <c r="K1904" t="n">
        <v>0</v>
      </c>
      <c r="L1904" t="n">
        <v>0</v>
      </c>
      <c r="M1904" t="n">
        <v>0</v>
      </c>
      <c r="N1904" t="n">
        <v>0</v>
      </c>
      <c r="O1904" t="n">
        <v>0</v>
      </c>
      <c r="P1904" t="n">
        <v>0</v>
      </c>
      <c r="Q1904" t="n">
        <v>0</v>
      </c>
      <c r="R1904" s="2" t="inlineStr"/>
    </row>
    <row r="1905" ht="15" customHeight="1">
      <c r="A1905" t="inlineStr">
        <is>
          <t>A 4612-2023</t>
        </is>
      </c>
      <c r="B1905" s="1" t="n">
        <v>44956</v>
      </c>
      <c r="C1905" s="1" t="n">
        <v>45822</v>
      </c>
      <c r="D1905" t="inlineStr">
        <is>
          <t>VÄSTERNORRLANDS LÄN</t>
        </is>
      </c>
      <c r="E1905" t="inlineStr">
        <is>
          <t>SOLLEFTEÅ</t>
        </is>
      </c>
      <c r="F1905" t="inlineStr">
        <is>
          <t>SCA</t>
        </is>
      </c>
      <c r="G1905" t="n">
        <v>25.5</v>
      </c>
      <c r="H1905" t="n">
        <v>0</v>
      </c>
      <c r="I1905" t="n">
        <v>0</v>
      </c>
      <c r="J1905" t="n">
        <v>0</v>
      </c>
      <c r="K1905" t="n">
        <v>0</v>
      </c>
      <c r="L1905" t="n">
        <v>0</v>
      </c>
      <c r="M1905" t="n">
        <v>0</v>
      </c>
      <c r="N1905" t="n">
        <v>0</v>
      </c>
      <c r="O1905" t="n">
        <v>0</v>
      </c>
      <c r="P1905" t="n">
        <v>0</v>
      </c>
      <c r="Q1905" t="n">
        <v>0</v>
      </c>
      <c r="R1905" s="2" t="inlineStr"/>
    </row>
    <row r="1906" ht="15" customHeight="1">
      <c r="A1906" t="inlineStr">
        <is>
          <t>A 4623-2023</t>
        </is>
      </c>
      <c r="B1906" s="1" t="n">
        <v>44956</v>
      </c>
      <c r="C1906" s="1" t="n">
        <v>45822</v>
      </c>
      <c r="D1906" t="inlineStr">
        <is>
          <t>VÄSTERNORRLANDS LÄN</t>
        </is>
      </c>
      <c r="E1906" t="inlineStr">
        <is>
          <t>SOLLEFTEÅ</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5001-2023</t>
        </is>
      </c>
      <c r="B1907" s="1" t="n">
        <v>44956</v>
      </c>
      <c r="C1907" s="1" t="n">
        <v>45822</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5168-2023</t>
        </is>
      </c>
      <c r="B1908" s="1" t="n">
        <v>44958</v>
      </c>
      <c r="C1908" s="1" t="n">
        <v>45822</v>
      </c>
      <c r="D1908" t="inlineStr">
        <is>
          <t>VÄSTERNORRLANDS LÄN</t>
        </is>
      </c>
      <c r="E1908" t="inlineStr">
        <is>
          <t>SOLLEFTEÅ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5149-2023</t>
        </is>
      </c>
      <c r="B1909" s="1" t="n">
        <v>44958</v>
      </c>
      <c r="C1909" s="1" t="n">
        <v>45822</v>
      </c>
      <c r="D1909" t="inlineStr">
        <is>
          <t>VÄSTERNORRLANDS LÄN</t>
        </is>
      </c>
      <c r="E1909" t="inlineStr">
        <is>
          <t>SOLLEFTEÅ</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5161-2023</t>
        </is>
      </c>
      <c r="B1910" s="1" t="n">
        <v>44958</v>
      </c>
      <c r="C1910" s="1" t="n">
        <v>45822</v>
      </c>
      <c r="D1910" t="inlineStr">
        <is>
          <t>VÄSTERNORRLANDS LÄN</t>
        </is>
      </c>
      <c r="E1910" t="inlineStr">
        <is>
          <t>SOLLEFTEÅ</t>
        </is>
      </c>
      <c r="F1910" t="inlineStr">
        <is>
          <t>SCA</t>
        </is>
      </c>
      <c r="G1910" t="n">
        <v>30.3</v>
      </c>
      <c r="H1910" t="n">
        <v>0</v>
      </c>
      <c r="I1910" t="n">
        <v>0</v>
      </c>
      <c r="J1910" t="n">
        <v>0</v>
      </c>
      <c r="K1910" t="n">
        <v>0</v>
      </c>
      <c r="L1910" t="n">
        <v>0</v>
      </c>
      <c r="M1910" t="n">
        <v>0</v>
      </c>
      <c r="N1910" t="n">
        <v>0</v>
      </c>
      <c r="O1910" t="n">
        <v>0</v>
      </c>
      <c r="P1910" t="n">
        <v>0</v>
      </c>
      <c r="Q1910" t="n">
        <v>0</v>
      </c>
      <c r="R1910" s="2" t="inlineStr"/>
    </row>
    <row r="1911" ht="15" customHeight="1">
      <c r="A1911" t="inlineStr">
        <is>
          <t>A 5166-2023</t>
        </is>
      </c>
      <c r="B1911" s="1" t="n">
        <v>44958</v>
      </c>
      <c r="C1911" s="1" t="n">
        <v>45822</v>
      </c>
      <c r="D1911" t="inlineStr">
        <is>
          <t>VÄSTERNORRLANDS LÄN</t>
        </is>
      </c>
      <c r="E1911" t="inlineStr">
        <is>
          <t>SOLLEFTEÅ</t>
        </is>
      </c>
      <c r="F1911" t="inlineStr">
        <is>
          <t>SCA</t>
        </is>
      </c>
      <c r="G1911" t="n">
        <v>29.3</v>
      </c>
      <c r="H1911" t="n">
        <v>0</v>
      </c>
      <c r="I1911" t="n">
        <v>0</v>
      </c>
      <c r="J1911" t="n">
        <v>0</v>
      </c>
      <c r="K1911" t="n">
        <v>0</v>
      </c>
      <c r="L1911" t="n">
        <v>0</v>
      </c>
      <c r="M1911" t="n">
        <v>0</v>
      </c>
      <c r="N1911" t="n">
        <v>0</v>
      </c>
      <c r="O1911" t="n">
        <v>0</v>
      </c>
      <c r="P1911" t="n">
        <v>0</v>
      </c>
      <c r="Q1911" t="n">
        <v>0</v>
      </c>
      <c r="R1911" s="2" t="inlineStr"/>
    </row>
    <row r="1912" ht="15" customHeight="1">
      <c r="A1912" t="inlineStr">
        <is>
          <t>A 5167-2023</t>
        </is>
      </c>
      <c r="B1912" s="1" t="n">
        <v>44958</v>
      </c>
      <c r="C1912" s="1" t="n">
        <v>45822</v>
      </c>
      <c r="D1912" t="inlineStr">
        <is>
          <t>VÄSTERNORRLANDS LÄN</t>
        </is>
      </c>
      <c r="E1912" t="inlineStr">
        <is>
          <t>SOLLEFTEÅ</t>
        </is>
      </c>
      <c r="F1912" t="inlineStr">
        <is>
          <t>SCA</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5448-2023</t>
        </is>
      </c>
      <c r="B1913" s="1" t="n">
        <v>44959</v>
      </c>
      <c r="C1913" s="1" t="n">
        <v>45822</v>
      </c>
      <c r="D1913" t="inlineStr">
        <is>
          <t>VÄSTERNORRLANDS LÄN</t>
        </is>
      </c>
      <c r="E1913" t="inlineStr">
        <is>
          <t>SOLLEFTEÅ</t>
        </is>
      </c>
      <c r="F1913" t="inlineStr">
        <is>
          <t>SCA</t>
        </is>
      </c>
      <c r="G1913" t="n">
        <v>138.3</v>
      </c>
      <c r="H1913" t="n">
        <v>0</v>
      </c>
      <c r="I1913" t="n">
        <v>0</v>
      </c>
      <c r="J1913" t="n">
        <v>0</v>
      </c>
      <c r="K1913" t="n">
        <v>0</v>
      </c>
      <c r="L1913" t="n">
        <v>0</v>
      </c>
      <c r="M1913" t="n">
        <v>0</v>
      </c>
      <c r="N1913" t="n">
        <v>0</v>
      </c>
      <c r="O1913" t="n">
        <v>0</v>
      </c>
      <c r="P1913" t="n">
        <v>0</v>
      </c>
      <c r="Q1913" t="n">
        <v>0</v>
      </c>
      <c r="R1913" s="2" t="inlineStr"/>
    </row>
    <row r="1914" ht="15" customHeight="1">
      <c r="A1914" t="inlineStr">
        <is>
          <t>A 5451-2023</t>
        </is>
      </c>
      <c r="B1914" s="1" t="n">
        <v>44959</v>
      </c>
      <c r="C1914" s="1" t="n">
        <v>45822</v>
      </c>
      <c r="D1914" t="inlineStr">
        <is>
          <t>VÄSTERNORRLANDS LÄN</t>
        </is>
      </c>
      <c r="E1914" t="inlineStr">
        <is>
          <t>SOLLEFTEÅ</t>
        </is>
      </c>
      <c r="F1914" t="inlineStr">
        <is>
          <t>SCA</t>
        </is>
      </c>
      <c r="G1914" t="n">
        <v>20.1</v>
      </c>
      <c r="H1914" t="n">
        <v>0</v>
      </c>
      <c r="I1914" t="n">
        <v>0</v>
      </c>
      <c r="J1914" t="n">
        <v>0</v>
      </c>
      <c r="K1914" t="n">
        <v>0</v>
      </c>
      <c r="L1914" t="n">
        <v>0</v>
      </c>
      <c r="M1914" t="n">
        <v>0</v>
      </c>
      <c r="N1914" t="n">
        <v>0</v>
      </c>
      <c r="O1914" t="n">
        <v>0</v>
      </c>
      <c r="P1914" t="n">
        <v>0</v>
      </c>
      <c r="Q1914" t="n">
        <v>0</v>
      </c>
      <c r="R1914" s="2" t="inlineStr"/>
    </row>
    <row r="1915" ht="15" customHeight="1">
      <c r="A1915" t="inlineStr">
        <is>
          <t>A 6271-2023</t>
        </is>
      </c>
      <c r="B1915" s="1" t="n">
        <v>44959</v>
      </c>
      <c r="C1915" s="1" t="n">
        <v>45822</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5519-2023</t>
        </is>
      </c>
      <c r="B1916" s="1" t="n">
        <v>44960</v>
      </c>
      <c r="C1916" s="1" t="n">
        <v>45822</v>
      </c>
      <c r="D1916" t="inlineStr">
        <is>
          <t>VÄSTERNORRLANDS LÄN</t>
        </is>
      </c>
      <c r="E1916" t="inlineStr">
        <is>
          <t>SOLLEFTEÅ</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5529-2023</t>
        </is>
      </c>
      <c r="B1917" s="1" t="n">
        <v>44960</v>
      </c>
      <c r="C1917" s="1" t="n">
        <v>45822</v>
      </c>
      <c r="D1917" t="inlineStr">
        <is>
          <t>VÄSTERNORRLANDS LÄN</t>
        </is>
      </c>
      <c r="E1917" t="inlineStr">
        <is>
          <t>SOLLEFTEÅ</t>
        </is>
      </c>
      <c r="F1917" t="inlineStr">
        <is>
          <t>Holmen skog AB</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5952-2023</t>
        </is>
      </c>
      <c r="B1918" s="1" t="n">
        <v>44963</v>
      </c>
      <c r="C1918" s="1" t="n">
        <v>45822</v>
      </c>
      <c r="D1918" t="inlineStr">
        <is>
          <t>VÄSTERNORRLANDS LÄN</t>
        </is>
      </c>
      <c r="E1918" t="inlineStr">
        <is>
          <t>SOLLEFTEÅ</t>
        </is>
      </c>
      <c r="F1918" t="inlineStr">
        <is>
          <t>SCA</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6236-2023</t>
        </is>
      </c>
      <c r="B1919" s="1" t="n">
        <v>44964</v>
      </c>
      <c r="C1919" s="1" t="n">
        <v>45822</v>
      </c>
      <c r="D1919" t="inlineStr">
        <is>
          <t>VÄSTERNORRLANDS LÄN</t>
        </is>
      </c>
      <c r="E1919" t="inlineStr">
        <is>
          <t>SOLLEFTEÅ</t>
        </is>
      </c>
      <c r="F1919" t="inlineStr">
        <is>
          <t>SCA</t>
        </is>
      </c>
      <c r="G1919" t="n">
        <v>0.1</v>
      </c>
      <c r="H1919" t="n">
        <v>0</v>
      </c>
      <c r="I1919" t="n">
        <v>0</v>
      </c>
      <c r="J1919" t="n">
        <v>0</v>
      </c>
      <c r="K1919" t="n">
        <v>0</v>
      </c>
      <c r="L1919" t="n">
        <v>0</v>
      </c>
      <c r="M1919" t="n">
        <v>0</v>
      </c>
      <c r="N1919" t="n">
        <v>0</v>
      </c>
      <c r="O1919" t="n">
        <v>0</v>
      </c>
      <c r="P1919" t="n">
        <v>0</v>
      </c>
      <c r="Q1919" t="n">
        <v>0</v>
      </c>
      <c r="R1919" s="2" t="inlineStr"/>
      <c r="U1919">
        <f>HYPERLINK("https://klasma.github.io/Logging_2283/knärot/A 6236-2023 karta knärot.png", "A 6236-2023")</f>
        <v/>
      </c>
      <c r="V1919">
        <f>HYPERLINK("https://klasma.github.io/Logging_2283/klagomål/A 6236-2023 FSC-klagomål.docx", "A 6236-2023")</f>
        <v/>
      </c>
      <c r="W1919">
        <f>HYPERLINK("https://klasma.github.io/Logging_2283/klagomålsmail/A 6236-2023 FSC-klagomål mail.docx", "A 6236-2023")</f>
        <v/>
      </c>
      <c r="X1919">
        <f>HYPERLINK("https://klasma.github.io/Logging_2283/tillsyn/A 6236-2023 tillsynsbegäran.docx", "A 6236-2023")</f>
        <v/>
      </c>
      <c r="Y1919">
        <f>HYPERLINK("https://klasma.github.io/Logging_2283/tillsynsmail/A 6236-2023 tillsynsbegäran mail.docx", "A 6236-2023")</f>
        <v/>
      </c>
    </row>
    <row r="1920" ht="15" customHeight="1">
      <c r="A1920" t="inlineStr">
        <is>
          <t>A 6474-2023</t>
        </is>
      </c>
      <c r="B1920" s="1" t="n">
        <v>44965</v>
      </c>
      <c r="C1920" s="1" t="n">
        <v>45822</v>
      </c>
      <c r="D1920" t="inlineStr">
        <is>
          <t>VÄSTERNORRLANDS LÄN</t>
        </is>
      </c>
      <c r="E1920" t="inlineStr">
        <is>
          <t>SOLLEFTEÅ</t>
        </is>
      </c>
      <c r="F1920" t="inlineStr">
        <is>
          <t>SCA</t>
        </is>
      </c>
      <c r="G1920" t="n">
        <v>47.3</v>
      </c>
      <c r="H1920" t="n">
        <v>0</v>
      </c>
      <c r="I1920" t="n">
        <v>0</v>
      </c>
      <c r="J1920" t="n">
        <v>0</v>
      </c>
      <c r="K1920" t="n">
        <v>0</v>
      </c>
      <c r="L1920" t="n">
        <v>0</v>
      </c>
      <c r="M1920" t="n">
        <v>0</v>
      </c>
      <c r="N1920" t="n">
        <v>0</v>
      </c>
      <c r="O1920" t="n">
        <v>0</v>
      </c>
      <c r="P1920" t="n">
        <v>0</v>
      </c>
      <c r="Q1920" t="n">
        <v>0</v>
      </c>
      <c r="R1920" s="2" t="inlineStr"/>
    </row>
    <row r="1921" ht="15" customHeight="1">
      <c r="A1921" t="inlineStr">
        <is>
          <t>A 7009-2023</t>
        </is>
      </c>
      <c r="B1921" s="1" t="n">
        <v>44967</v>
      </c>
      <c r="C1921" s="1" t="n">
        <v>45822</v>
      </c>
      <c r="D1921" t="inlineStr">
        <is>
          <t>VÄSTERNORRLANDS LÄN</t>
        </is>
      </c>
      <c r="E1921" t="inlineStr">
        <is>
          <t>SOLLEFTEÅ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7332-2023</t>
        </is>
      </c>
      <c r="B1922" s="1" t="n">
        <v>44970</v>
      </c>
      <c r="C1922" s="1" t="n">
        <v>45822</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7324-2023</t>
        </is>
      </c>
      <c r="B1923" s="1" t="n">
        <v>44970</v>
      </c>
      <c r="C1923" s="1" t="n">
        <v>45822</v>
      </c>
      <c r="D1923" t="inlineStr">
        <is>
          <t>VÄSTERNORRLANDS LÄN</t>
        </is>
      </c>
      <c r="E1923" t="inlineStr">
        <is>
          <t>SOLLEFTEÅ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7325-2023</t>
        </is>
      </c>
      <c r="B1924" s="1" t="n">
        <v>44970</v>
      </c>
      <c r="C1924" s="1" t="n">
        <v>45822</v>
      </c>
      <c r="D1924" t="inlineStr">
        <is>
          <t>VÄSTERNORRLANDS LÄN</t>
        </is>
      </c>
      <c r="E1924" t="inlineStr">
        <is>
          <t>SOLLEFTEÅ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7330-2023</t>
        </is>
      </c>
      <c r="B1925" s="1" t="n">
        <v>44971</v>
      </c>
      <c r="C1925" s="1" t="n">
        <v>45822</v>
      </c>
      <c r="D1925" t="inlineStr">
        <is>
          <t>VÄSTERNORRLANDS LÄN</t>
        </is>
      </c>
      <c r="E1925" t="inlineStr">
        <is>
          <t>SOLLEFTEÅ</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7331-2023</t>
        </is>
      </c>
      <c r="B1926" s="1" t="n">
        <v>44970</v>
      </c>
      <c r="C1926" s="1" t="n">
        <v>45822</v>
      </c>
      <c r="D1926" t="inlineStr">
        <is>
          <t>VÄSTERNORRLANDS LÄN</t>
        </is>
      </c>
      <c r="E1926" t="inlineStr">
        <is>
          <t>SOLLEFTEÅ</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7333-2023</t>
        </is>
      </c>
      <c r="B1927" s="1" t="n">
        <v>44971</v>
      </c>
      <c r="C1927" s="1" t="n">
        <v>45822</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7713-2023</t>
        </is>
      </c>
      <c r="B1928" s="1" t="n">
        <v>44972</v>
      </c>
      <c r="C1928" s="1" t="n">
        <v>45822</v>
      </c>
      <c r="D1928" t="inlineStr">
        <is>
          <t>VÄSTERNORRLANDS LÄN</t>
        </is>
      </c>
      <c r="E1928" t="inlineStr">
        <is>
          <t>SOLLEFTEÅ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7721-2023</t>
        </is>
      </c>
      <c r="B1929" s="1" t="n">
        <v>44972</v>
      </c>
      <c r="C1929" s="1" t="n">
        <v>45822</v>
      </c>
      <c r="D1929" t="inlineStr">
        <is>
          <t>VÄSTERNORRLANDS LÄN</t>
        </is>
      </c>
      <c r="E1929" t="inlineStr">
        <is>
          <t>SOLLEFTEÅ</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8030-2023</t>
        </is>
      </c>
      <c r="B1930" s="1" t="n">
        <v>44973</v>
      </c>
      <c r="C1930" s="1" t="n">
        <v>45822</v>
      </c>
      <c r="D1930" t="inlineStr">
        <is>
          <t>VÄSTERNORRLANDS LÄN</t>
        </is>
      </c>
      <c r="E1930" t="inlineStr">
        <is>
          <t>SOLLEFTEÅ</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8959-2023</t>
        </is>
      </c>
      <c r="B1931" s="1" t="n">
        <v>44974</v>
      </c>
      <c r="C1931" s="1" t="n">
        <v>45822</v>
      </c>
      <c r="D1931" t="inlineStr">
        <is>
          <t>VÄSTERNORRLANDS LÄN</t>
        </is>
      </c>
      <c r="E1931" t="inlineStr">
        <is>
          <t>SOLLEFTEÅ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8640-2023</t>
        </is>
      </c>
      <c r="B1932" s="1" t="n">
        <v>44978</v>
      </c>
      <c r="C1932" s="1" t="n">
        <v>45822</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8658-2023</t>
        </is>
      </c>
      <c r="B1933" s="1" t="n">
        <v>44978</v>
      </c>
      <c r="C1933" s="1" t="n">
        <v>45822</v>
      </c>
      <c r="D1933" t="inlineStr">
        <is>
          <t>VÄSTERNORRLANDS LÄN</t>
        </is>
      </c>
      <c r="E1933" t="inlineStr">
        <is>
          <t>SOLLEFTEÅ</t>
        </is>
      </c>
      <c r="F1933" t="inlineStr">
        <is>
          <t>SCA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8668-2023</t>
        </is>
      </c>
      <c r="B1934" s="1" t="n">
        <v>44978</v>
      </c>
      <c r="C1934" s="1" t="n">
        <v>45822</v>
      </c>
      <c r="D1934" t="inlineStr">
        <is>
          <t>VÄSTERNORRLANDS LÄN</t>
        </is>
      </c>
      <c r="E1934" t="inlineStr">
        <is>
          <t>SOLLEFTEÅ</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8672-2023</t>
        </is>
      </c>
      <c r="B1935" s="1" t="n">
        <v>44977</v>
      </c>
      <c r="C1935" s="1" t="n">
        <v>45822</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8656-2023</t>
        </is>
      </c>
      <c r="B1936" s="1" t="n">
        <v>44978</v>
      </c>
      <c r="C1936" s="1" t="n">
        <v>45822</v>
      </c>
      <c r="D1936" t="inlineStr">
        <is>
          <t>VÄSTERNORRLANDS LÄN</t>
        </is>
      </c>
      <c r="E1936" t="inlineStr">
        <is>
          <t>SOLLEFTEÅ</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8670-2023</t>
        </is>
      </c>
      <c r="B1937" s="1" t="n">
        <v>44977</v>
      </c>
      <c r="C1937" s="1" t="n">
        <v>45822</v>
      </c>
      <c r="D1937" t="inlineStr">
        <is>
          <t>VÄSTERNORRLANDS LÄN</t>
        </is>
      </c>
      <c r="E1937" t="inlineStr">
        <is>
          <t>SOLLEFTEÅ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8667-2023</t>
        </is>
      </c>
      <c r="B1938" s="1" t="n">
        <v>44978</v>
      </c>
      <c r="C1938" s="1" t="n">
        <v>45822</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8671-2023</t>
        </is>
      </c>
      <c r="B1939" s="1" t="n">
        <v>44978</v>
      </c>
      <c r="C1939" s="1" t="n">
        <v>45822</v>
      </c>
      <c r="D1939" t="inlineStr">
        <is>
          <t>VÄSTERNORRLANDS LÄN</t>
        </is>
      </c>
      <c r="E1939" t="inlineStr">
        <is>
          <t>SOLLEFTEÅ</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8875-2023</t>
        </is>
      </c>
      <c r="B1940" s="1" t="n">
        <v>44978</v>
      </c>
      <c r="C1940" s="1" t="n">
        <v>45822</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8880-2023</t>
        </is>
      </c>
      <c r="B1941" s="1" t="n">
        <v>44978</v>
      </c>
      <c r="C1941" s="1" t="n">
        <v>45822</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9097-2023</t>
        </is>
      </c>
      <c r="B1942" s="1" t="n">
        <v>44979</v>
      </c>
      <c r="C1942" s="1" t="n">
        <v>45822</v>
      </c>
      <c r="D1942" t="inlineStr">
        <is>
          <t>VÄSTERNORRLANDS LÄN</t>
        </is>
      </c>
      <c r="E1942" t="inlineStr">
        <is>
          <t>SOLLEFTEÅ</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9095-2023</t>
        </is>
      </c>
      <c r="B1943" s="1" t="n">
        <v>44979</v>
      </c>
      <c r="C1943" s="1" t="n">
        <v>45822</v>
      </c>
      <c r="D1943" t="inlineStr">
        <is>
          <t>VÄSTERNORRLANDS LÄN</t>
        </is>
      </c>
      <c r="E1943" t="inlineStr">
        <is>
          <t>SOLLEFTEÅ</t>
        </is>
      </c>
      <c r="F1943" t="inlineStr">
        <is>
          <t>SCA</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9099-2023</t>
        </is>
      </c>
      <c r="B1944" s="1" t="n">
        <v>44979</v>
      </c>
      <c r="C1944" s="1" t="n">
        <v>45822</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9096-2023</t>
        </is>
      </c>
      <c r="B1945" s="1" t="n">
        <v>44979</v>
      </c>
      <c r="C1945" s="1" t="n">
        <v>45822</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9104-2023</t>
        </is>
      </c>
      <c r="B1946" s="1" t="n">
        <v>44979</v>
      </c>
      <c r="C1946" s="1" t="n">
        <v>45822</v>
      </c>
      <c r="D1946" t="inlineStr">
        <is>
          <t>VÄSTERNORRLANDS LÄN</t>
        </is>
      </c>
      <c r="E1946" t="inlineStr">
        <is>
          <t>SOLLEFTEÅ</t>
        </is>
      </c>
      <c r="F1946" t="inlineStr">
        <is>
          <t>SCA</t>
        </is>
      </c>
      <c r="G1946" t="n">
        <v>22.1</v>
      </c>
      <c r="H1946" t="n">
        <v>0</v>
      </c>
      <c r="I1946" t="n">
        <v>0</v>
      </c>
      <c r="J1946" t="n">
        <v>0</v>
      </c>
      <c r="K1946" t="n">
        <v>0</v>
      </c>
      <c r="L1946" t="n">
        <v>0</v>
      </c>
      <c r="M1946" t="n">
        <v>0</v>
      </c>
      <c r="N1946" t="n">
        <v>0</v>
      </c>
      <c r="O1946" t="n">
        <v>0</v>
      </c>
      <c r="P1946" t="n">
        <v>0</v>
      </c>
      <c r="Q1946" t="n">
        <v>0</v>
      </c>
      <c r="R1946" s="2" t="inlineStr"/>
    </row>
    <row r="1947" ht="15" customHeight="1">
      <c r="A1947" t="inlineStr">
        <is>
          <t>A 9098-2023</t>
        </is>
      </c>
      <c r="B1947" s="1" t="n">
        <v>44979</v>
      </c>
      <c r="C1947" s="1" t="n">
        <v>45822</v>
      </c>
      <c r="D1947" t="inlineStr">
        <is>
          <t>VÄSTERNORRLANDS LÄN</t>
        </is>
      </c>
      <c r="E1947" t="inlineStr">
        <is>
          <t>SOLLEFTEÅ</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9105-2023</t>
        </is>
      </c>
      <c r="B1948" s="1" t="n">
        <v>44979</v>
      </c>
      <c r="C1948" s="1" t="n">
        <v>45822</v>
      </c>
      <c r="D1948" t="inlineStr">
        <is>
          <t>VÄSTERNORRLANDS LÄN</t>
        </is>
      </c>
      <c r="E1948" t="inlineStr">
        <is>
          <t>SOLLEFTEÅ</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9358-2023</t>
        </is>
      </c>
      <c r="B1949" s="1" t="n">
        <v>44980</v>
      </c>
      <c r="C1949" s="1" t="n">
        <v>45822</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10256-2023</t>
        </is>
      </c>
      <c r="B1950" s="1" t="n">
        <v>44980</v>
      </c>
      <c r="C1950" s="1" t="n">
        <v>45822</v>
      </c>
      <c r="D1950" t="inlineStr">
        <is>
          <t>VÄSTERNORRLANDS LÄN</t>
        </is>
      </c>
      <c r="E1950" t="inlineStr">
        <is>
          <t>SOLLEFTEÅ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9362-2023</t>
        </is>
      </c>
      <c r="B1951" s="1" t="n">
        <v>44980</v>
      </c>
      <c r="C1951" s="1" t="n">
        <v>45822</v>
      </c>
      <c r="D1951" t="inlineStr">
        <is>
          <t>VÄSTERNORRLANDS LÄN</t>
        </is>
      </c>
      <c r="E1951" t="inlineStr">
        <is>
          <t>SOLLEFTEÅ</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9549-2023</t>
        </is>
      </c>
      <c r="B1952" s="1" t="n">
        <v>44981</v>
      </c>
      <c r="C1952" s="1" t="n">
        <v>45822</v>
      </c>
      <c r="D1952" t="inlineStr">
        <is>
          <t>VÄSTERNORRLANDS LÄN</t>
        </is>
      </c>
      <c r="E1952" t="inlineStr">
        <is>
          <t>SOLLEFTEÅ</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10428-2023</t>
        </is>
      </c>
      <c r="B1953" s="1" t="n">
        <v>44981</v>
      </c>
      <c r="C1953" s="1" t="n">
        <v>45822</v>
      </c>
      <c r="D1953" t="inlineStr">
        <is>
          <t>VÄSTERNORRLANDS LÄN</t>
        </is>
      </c>
      <c r="E1953" t="inlineStr">
        <is>
          <t>SOLLEFTEÅ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9617-2023</t>
        </is>
      </c>
      <c r="B1954" s="1" t="n">
        <v>44983</v>
      </c>
      <c r="C1954" s="1" t="n">
        <v>45822</v>
      </c>
      <c r="D1954" t="inlineStr">
        <is>
          <t>VÄSTERNORRLANDS LÄN</t>
        </is>
      </c>
      <c r="E1954" t="inlineStr">
        <is>
          <t>SOLLEFTEÅ</t>
        </is>
      </c>
      <c r="F1954" t="inlineStr">
        <is>
          <t>SCA</t>
        </is>
      </c>
      <c r="G1954" t="n">
        <v>39.6</v>
      </c>
      <c r="H1954" t="n">
        <v>0</v>
      </c>
      <c r="I1954" t="n">
        <v>0</v>
      </c>
      <c r="J1954" t="n">
        <v>0</v>
      </c>
      <c r="K1954" t="n">
        <v>0</v>
      </c>
      <c r="L1954" t="n">
        <v>0</v>
      </c>
      <c r="M1954" t="n">
        <v>0</v>
      </c>
      <c r="N1954" t="n">
        <v>0</v>
      </c>
      <c r="O1954" t="n">
        <v>0</v>
      </c>
      <c r="P1954" t="n">
        <v>0</v>
      </c>
      <c r="Q1954" t="n">
        <v>0</v>
      </c>
      <c r="R1954" s="2" t="inlineStr"/>
    </row>
    <row r="1955" ht="15" customHeight="1">
      <c r="A1955" t="inlineStr">
        <is>
          <t>A 9616-2023</t>
        </is>
      </c>
      <c r="B1955" s="1" t="n">
        <v>44983</v>
      </c>
      <c r="C1955" s="1" t="n">
        <v>45822</v>
      </c>
      <c r="D1955" t="inlineStr">
        <is>
          <t>VÄSTERNORRLANDS LÄN</t>
        </is>
      </c>
      <c r="E1955" t="inlineStr">
        <is>
          <t>SOLLEFTEÅ</t>
        </is>
      </c>
      <c r="F1955" t="inlineStr">
        <is>
          <t>SCA</t>
        </is>
      </c>
      <c r="G1955" t="n">
        <v>45.9</v>
      </c>
      <c r="H1955" t="n">
        <v>0</v>
      </c>
      <c r="I1955" t="n">
        <v>0</v>
      </c>
      <c r="J1955" t="n">
        <v>0</v>
      </c>
      <c r="K1955" t="n">
        <v>0</v>
      </c>
      <c r="L1955" t="n">
        <v>0</v>
      </c>
      <c r="M1955" t="n">
        <v>0</v>
      </c>
      <c r="N1955" t="n">
        <v>0</v>
      </c>
      <c r="O1955" t="n">
        <v>0</v>
      </c>
      <c r="P1955" t="n">
        <v>0</v>
      </c>
      <c r="Q1955" t="n">
        <v>0</v>
      </c>
      <c r="R1955" s="2" t="inlineStr"/>
    </row>
    <row r="1956" ht="15" customHeight="1">
      <c r="A1956" t="inlineStr">
        <is>
          <t>A 9614-2023</t>
        </is>
      </c>
      <c r="B1956" s="1" t="n">
        <v>44983</v>
      </c>
      <c r="C1956" s="1" t="n">
        <v>45822</v>
      </c>
      <c r="D1956" t="inlineStr">
        <is>
          <t>VÄSTERNORRLANDS LÄN</t>
        </is>
      </c>
      <c r="E1956" t="inlineStr">
        <is>
          <t>SOLLEFTEÅ</t>
        </is>
      </c>
      <c r="F1956" t="inlineStr">
        <is>
          <t>SCA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9741-2023</t>
        </is>
      </c>
      <c r="B1957" s="1" t="n">
        <v>44984</v>
      </c>
      <c r="C1957" s="1" t="n">
        <v>45822</v>
      </c>
      <c r="D1957" t="inlineStr">
        <is>
          <t>VÄSTERNORRLANDS LÄN</t>
        </is>
      </c>
      <c r="E1957" t="inlineStr">
        <is>
          <t>SOLLEFTEÅ</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9829-2023</t>
        </is>
      </c>
      <c r="B1958" s="1" t="n">
        <v>44984</v>
      </c>
      <c r="C1958" s="1" t="n">
        <v>45822</v>
      </c>
      <c r="D1958" t="inlineStr">
        <is>
          <t>VÄSTERNORRLANDS LÄN</t>
        </is>
      </c>
      <c r="E1958" t="inlineStr">
        <is>
          <t>SOLLEFTEÅ</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9858-2023</t>
        </is>
      </c>
      <c r="B1959" s="1" t="n">
        <v>44984</v>
      </c>
      <c r="C1959" s="1" t="n">
        <v>45822</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9879-2023</t>
        </is>
      </c>
      <c r="B1960" s="1" t="n">
        <v>44984</v>
      </c>
      <c r="C1960" s="1" t="n">
        <v>45822</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9871-2023</t>
        </is>
      </c>
      <c r="B1961" s="1" t="n">
        <v>44984</v>
      </c>
      <c r="C1961" s="1" t="n">
        <v>45822</v>
      </c>
      <c r="D1961" t="inlineStr">
        <is>
          <t>VÄSTERNORRLANDS LÄN</t>
        </is>
      </c>
      <c r="E1961" t="inlineStr">
        <is>
          <t>SOLLEFTEÅ</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10079-2023</t>
        </is>
      </c>
      <c r="B1962" s="1" t="n">
        <v>44985</v>
      </c>
      <c r="C1962" s="1" t="n">
        <v>45822</v>
      </c>
      <c r="D1962" t="inlineStr">
        <is>
          <t>VÄSTERNORRLANDS LÄN</t>
        </is>
      </c>
      <c r="E1962" t="inlineStr">
        <is>
          <t>SOLLEFTEÅ</t>
        </is>
      </c>
      <c r="F1962" t="inlineStr">
        <is>
          <t>SCA</t>
        </is>
      </c>
      <c r="G1962" t="n">
        <v>32.7</v>
      </c>
      <c r="H1962" t="n">
        <v>0</v>
      </c>
      <c r="I1962" t="n">
        <v>0</v>
      </c>
      <c r="J1962" t="n">
        <v>0</v>
      </c>
      <c r="K1962" t="n">
        <v>0</v>
      </c>
      <c r="L1962" t="n">
        <v>0</v>
      </c>
      <c r="M1962" t="n">
        <v>0</v>
      </c>
      <c r="N1962" t="n">
        <v>0</v>
      </c>
      <c r="O1962" t="n">
        <v>0</v>
      </c>
      <c r="P1962" t="n">
        <v>0</v>
      </c>
      <c r="Q1962" t="n">
        <v>0</v>
      </c>
      <c r="R1962" s="2" t="inlineStr"/>
    </row>
    <row r="1963" ht="15" customHeight="1">
      <c r="A1963" t="inlineStr">
        <is>
          <t>A 10094-2023</t>
        </is>
      </c>
      <c r="B1963" s="1" t="n">
        <v>44985</v>
      </c>
      <c r="C1963" s="1" t="n">
        <v>45822</v>
      </c>
      <c r="D1963" t="inlineStr">
        <is>
          <t>VÄSTERNORRLANDS LÄN</t>
        </is>
      </c>
      <c r="E1963" t="inlineStr">
        <is>
          <t>SOLLEFTEÅ</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10095-2023</t>
        </is>
      </c>
      <c r="B1964" s="1" t="n">
        <v>44985</v>
      </c>
      <c r="C1964" s="1" t="n">
        <v>45822</v>
      </c>
      <c r="D1964" t="inlineStr">
        <is>
          <t>VÄSTERNORRLANDS LÄN</t>
        </is>
      </c>
      <c r="E1964" t="inlineStr">
        <is>
          <t>SOLLEFTEÅ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10077-2023</t>
        </is>
      </c>
      <c r="B1965" s="1" t="n">
        <v>44985</v>
      </c>
      <c r="C1965" s="1" t="n">
        <v>45822</v>
      </c>
      <c r="D1965" t="inlineStr">
        <is>
          <t>VÄSTERNORRLANDS LÄN</t>
        </is>
      </c>
      <c r="E1965" t="inlineStr">
        <is>
          <t>SOLLEFTEÅ</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10099-2023</t>
        </is>
      </c>
      <c r="B1966" s="1" t="n">
        <v>44985</v>
      </c>
      <c r="C1966" s="1" t="n">
        <v>45822</v>
      </c>
      <c r="D1966" t="inlineStr">
        <is>
          <t>VÄSTERNORRLANDS LÄN</t>
        </is>
      </c>
      <c r="E1966" t="inlineStr">
        <is>
          <t>SOLLEFTEÅ</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10078-2023</t>
        </is>
      </c>
      <c r="B1967" s="1" t="n">
        <v>44985</v>
      </c>
      <c r="C1967" s="1" t="n">
        <v>45822</v>
      </c>
      <c r="D1967" t="inlineStr">
        <is>
          <t>VÄSTERNORRLANDS LÄN</t>
        </is>
      </c>
      <c r="E1967" t="inlineStr">
        <is>
          <t>SOLLEFTEÅ</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10093-2023</t>
        </is>
      </c>
      <c r="B1968" s="1" t="n">
        <v>44985</v>
      </c>
      <c r="C1968" s="1" t="n">
        <v>45822</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10294-2023</t>
        </is>
      </c>
      <c r="B1969" s="1" t="n">
        <v>44986</v>
      </c>
      <c r="C1969" s="1" t="n">
        <v>45822</v>
      </c>
      <c r="D1969" t="inlineStr">
        <is>
          <t>VÄSTERNORRLANDS LÄN</t>
        </is>
      </c>
      <c r="E1969" t="inlineStr">
        <is>
          <t>SOLLEFTEÅ</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10311-2023</t>
        </is>
      </c>
      <c r="B1970" s="1" t="n">
        <v>44986</v>
      </c>
      <c r="C1970" s="1" t="n">
        <v>45822</v>
      </c>
      <c r="D1970" t="inlineStr">
        <is>
          <t>VÄSTERNORRLANDS LÄN</t>
        </is>
      </c>
      <c r="E1970" t="inlineStr">
        <is>
          <t>SOLLEFTEÅ</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11094-2023</t>
        </is>
      </c>
      <c r="B1971" s="1" t="n">
        <v>44986</v>
      </c>
      <c r="C1971" s="1" t="n">
        <v>45822</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10526-2023</t>
        </is>
      </c>
      <c r="B1972" s="1" t="n">
        <v>44987</v>
      </c>
      <c r="C1972" s="1" t="n">
        <v>45822</v>
      </c>
      <c r="D1972" t="inlineStr">
        <is>
          <t>VÄSTERNORRLANDS LÄN</t>
        </is>
      </c>
      <c r="E1972" t="inlineStr">
        <is>
          <t>SOLLEFTEÅ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10541-2023</t>
        </is>
      </c>
      <c r="B1973" s="1" t="n">
        <v>44987</v>
      </c>
      <c r="C1973" s="1" t="n">
        <v>45822</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10549-2023</t>
        </is>
      </c>
      <c r="B1974" s="1" t="n">
        <v>44987</v>
      </c>
      <c r="C1974" s="1" t="n">
        <v>45822</v>
      </c>
      <c r="D1974" t="inlineStr">
        <is>
          <t>VÄSTERNORRLANDS LÄN</t>
        </is>
      </c>
      <c r="E1974" t="inlineStr">
        <is>
          <t>SOLLEFTEÅ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10777-2023</t>
        </is>
      </c>
      <c r="B1975" s="1" t="n">
        <v>44988</v>
      </c>
      <c r="C1975" s="1" t="n">
        <v>45822</v>
      </c>
      <c r="D1975" t="inlineStr">
        <is>
          <t>VÄSTERNORRLANDS LÄN</t>
        </is>
      </c>
      <c r="E1975" t="inlineStr">
        <is>
          <t>SOLLEFTEÅ</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10771-2023</t>
        </is>
      </c>
      <c r="B1976" s="1" t="n">
        <v>44988</v>
      </c>
      <c r="C1976" s="1" t="n">
        <v>45822</v>
      </c>
      <c r="D1976" t="inlineStr">
        <is>
          <t>VÄSTERNORRLANDS LÄN</t>
        </is>
      </c>
      <c r="E1976" t="inlineStr">
        <is>
          <t>SOLLEFTEÅ</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10783-2023</t>
        </is>
      </c>
      <c r="B1977" s="1" t="n">
        <v>44988</v>
      </c>
      <c r="C1977" s="1" t="n">
        <v>45822</v>
      </c>
      <c r="D1977" t="inlineStr">
        <is>
          <t>VÄSTERNORRLANDS LÄN</t>
        </is>
      </c>
      <c r="E1977" t="inlineStr">
        <is>
          <t>SOLLEFTEÅ</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10768-2023</t>
        </is>
      </c>
      <c r="B1978" s="1" t="n">
        <v>44988</v>
      </c>
      <c r="C1978" s="1" t="n">
        <v>45822</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10785-2023</t>
        </is>
      </c>
      <c r="B1979" s="1" t="n">
        <v>44988</v>
      </c>
      <c r="C1979" s="1" t="n">
        <v>45822</v>
      </c>
      <c r="D1979" t="inlineStr">
        <is>
          <t>VÄSTERNORRLANDS LÄN</t>
        </is>
      </c>
      <c r="E1979" t="inlineStr">
        <is>
          <t>SOLLEFTEÅ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11038-2023</t>
        </is>
      </c>
      <c r="B1980" s="1" t="n">
        <v>44991</v>
      </c>
      <c r="C1980" s="1" t="n">
        <v>45822</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11052-2023</t>
        </is>
      </c>
      <c r="B1981" s="1" t="n">
        <v>44991</v>
      </c>
      <c r="C1981" s="1" t="n">
        <v>45822</v>
      </c>
      <c r="D1981" t="inlineStr">
        <is>
          <t>VÄSTERNORRLANDS LÄN</t>
        </is>
      </c>
      <c r="E1981" t="inlineStr">
        <is>
          <t>SOLLEFTEÅ</t>
        </is>
      </c>
      <c r="F1981" t="inlineStr">
        <is>
          <t>SCA</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11039-2023</t>
        </is>
      </c>
      <c r="B1982" s="1" t="n">
        <v>44991</v>
      </c>
      <c r="C1982" s="1" t="n">
        <v>45822</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11301-2023</t>
        </is>
      </c>
      <c r="B1983" s="1" t="n">
        <v>44993</v>
      </c>
      <c r="C1983" s="1" t="n">
        <v>45822</v>
      </c>
      <c r="D1983" t="inlineStr">
        <is>
          <t>VÄSTERNORRLANDS LÄN</t>
        </is>
      </c>
      <c r="E1983" t="inlineStr">
        <is>
          <t>SOLLEFTEÅ</t>
        </is>
      </c>
      <c r="F1983" t="inlineStr">
        <is>
          <t>SCA</t>
        </is>
      </c>
      <c r="G1983" t="n">
        <v>19.9</v>
      </c>
      <c r="H1983" t="n">
        <v>0</v>
      </c>
      <c r="I1983" t="n">
        <v>0</v>
      </c>
      <c r="J1983" t="n">
        <v>0</v>
      </c>
      <c r="K1983" t="n">
        <v>0</v>
      </c>
      <c r="L1983" t="n">
        <v>0</v>
      </c>
      <c r="M1983" t="n">
        <v>0</v>
      </c>
      <c r="N1983" t="n">
        <v>0</v>
      </c>
      <c r="O1983" t="n">
        <v>0</v>
      </c>
      <c r="P1983" t="n">
        <v>0</v>
      </c>
      <c r="Q1983" t="n">
        <v>0</v>
      </c>
      <c r="R1983" s="2" t="inlineStr"/>
    </row>
    <row r="1984" ht="15" customHeight="1">
      <c r="A1984" t="inlineStr">
        <is>
          <t>A 11306-2023</t>
        </is>
      </c>
      <c r="B1984" s="1" t="n">
        <v>44993</v>
      </c>
      <c r="C1984" s="1" t="n">
        <v>45822</v>
      </c>
      <c r="D1984" t="inlineStr">
        <is>
          <t>VÄSTERNORRLANDS LÄN</t>
        </is>
      </c>
      <c r="E1984" t="inlineStr">
        <is>
          <t>SOLLEFTEÅ</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11551-2023</t>
        </is>
      </c>
      <c r="B1985" s="1" t="n">
        <v>44993</v>
      </c>
      <c r="C1985" s="1" t="n">
        <v>45822</v>
      </c>
      <c r="D1985" t="inlineStr">
        <is>
          <t>VÄSTERNORRLANDS LÄN</t>
        </is>
      </c>
      <c r="E1985" t="inlineStr">
        <is>
          <t>SOLLEFTEÅ</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11555-2023</t>
        </is>
      </c>
      <c r="B1986" s="1" t="n">
        <v>44993</v>
      </c>
      <c r="C1986" s="1" t="n">
        <v>45822</v>
      </c>
      <c r="D1986" t="inlineStr">
        <is>
          <t>VÄSTERNORRLANDS LÄN</t>
        </is>
      </c>
      <c r="E1986" t="inlineStr">
        <is>
          <t>SOLLEFTEÅ</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11554-2023</t>
        </is>
      </c>
      <c r="B1987" s="1" t="n">
        <v>44993</v>
      </c>
      <c r="C1987" s="1" t="n">
        <v>45822</v>
      </c>
      <c r="D1987" t="inlineStr">
        <is>
          <t>VÄSTERNORRLANDS LÄN</t>
        </is>
      </c>
      <c r="E1987" t="inlineStr">
        <is>
          <t>SOLLEFTEÅ</t>
        </is>
      </c>
      <c r="F1987" t="inlineStr">
        <is>
          <t>SCA</t>
        </is>
      </c>
      <c r="G1987" t="n">
        <v>23.1</v>
      </c>
      <c r="H1987" t="n">
        <v>0</v>
      </c>
      <c r="I1987" t="n">
        <v>0</v>
      </c>
      <c r="J1987" t="n">
        <v>0</v>
      </c>
      <c r="K1987" t="n">
        <v>0</v>
      </c>
      <c r="L1987" t="n">
        <v>0</v>
      </c>
      <c r="M1987" t="n">
        <v>0</v>
      </c>
      <c r="N1987" t="n">
        <v>0</v>
      </c>
      <c r="O1987" t="n">
        <v>0</v>
      </c>
      <c r="P1987" t="n">
        <v>0</v>
      </c>
      <c r="Q1987" t="n">
        <v>0</v>
      </c>
      <c r="R1987" s="2" t="inlineStr"/>
    </row>
    <row r="1988" ht="15" customHeight="1">
      <c r="A1988" t="inlineStr">
        <is>
          <t>A 11831-2023</t>
        </is>
      </c>
      <c r="B1988" s="1" t="n">
        <v>44994</v>
      </c>
      <c r="C1988" s="1" t="n">
        <v>45822</v>
      </c>
      <c r="D1988" t="inlineStr">
        <is>
          <t>VÄSTERNORRLANDS LÄN</t>
        </is>
      </c>
      <c r="E1988" t="inlineStr">
        <is>
          <t>SOLLEFTEÅ</t>
        </is>
      </c>
      <c r="F1988" t="inlineStr">
        <is>
          <t>SCA</t>
        </is>
      </c>
      <c r="G1988" t="n">
        <v>14.8</v>
      </c>
      <c r="H1988" t="n">
        <v>0</v>
      </c>
      <c r="I1988" t="n">
        <v>0</v>
      </c>
      <c r="J1988" t="n">
        <v>0</v>
      </c>
      <c r="K1988" t="n">
        <v>0</v>
      </c>
      <c r="L1988" t="n">
        <v>0</v>
      </c>
      <c r="M1988" t="n">
        <v>0</v>
      </c>
      <c r="N1988" t="n">
        <v>0</v>
      </c>
      <c r="O1988" t="n">
        <v>0</v>
      </c>
      <c r="P1988" t="n">
        <v>0</v>
      </c>
      <c r="Q1988" t="n">
        <v>0</v>
      </c>
      <c r="R1988" s="2" t="inlineStr"/>
    </row>
    <row r="1989" ht="15" customHeight="1">
      <c r="A1989" t="inlineStr">
        <is>
          <t>A 12107-2023</t>
        </is>
      </c>
      <c r="B1989" s="1" t="n">
        <v>44995</v>
      </c>
      <c r="C1989" s="1" t="n">
        <v>45822</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12135-2023</t>
        </is>
      </c>
      <c r="B1990" s="1" t="n">
        <v>44995</v>
      </c>
      <c r="C1990" s="1" t="n">
        <v>45822</v>
      </c>
      <c r="D1990" t="inlineStr">
        <is>
          <t>VÄSTERNORRLANDS LÄN</t>
        </is>
      </c>
      <c r="E1990" t="inlineStr">
        <is>
          <t>SOLLEFTEÅ</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12038-2023</t>
        </is>
      </c>
      <c r="B1991" s="1" t="n">
        <v>44996</v>
      </c>
      <c r="C1991" s="1" t="n">
        <v>45822</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12053-2023</t>
        </is>
      </c>
      <c r="B1992" s="1" t="n">
        <v>44996</v>
      </c>
      <c r="C1992" s="1" t="n">
        <v>45822</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12129-2023</t>
        </is>
      </c>
      <c r="B1993" s="1" t="n">
        <v>44995</v>
      </c>
      <c r="C1993" s="1" t="n">
        <v>45822</v>
      </c>
      <c r="D1993" t="inlineStr">
        <is>
          <t>VÄSTERNORRLANDS LÄN</t>
        </is>
      </c>
      <c r="E1993" t="inlineStr">
        <is>
          <t>SOLLEFTEÅ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12164-2023</t>
        </is>
      </c>
      <c r="B1994" s="1" t="n">
        <v>44995</v>
      </c>
      <c r="C1994" s="1" t="n">
        <v>45822</v>
      </c>
      <c r="D1994" t="inlineStr">
        <is>
          <t>VÄSTERNORRLANDS LÄN</t>
        </is>
      </c>
      <c r="E1994" t="inlineStr">
        <is>
          <t>SOLLEFTEÅ</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12311-2023</t>
        </is>
      </c>
      <c r="B1995" s="1" t="n">
        <v>44995</v>
      </c>
      <c r="C1995" s="1" t="n">
        <v>45822</v>
      </c>
      <c r="D1995" t="inlineStr">
        <is>
          <t>VÄSTERNORRLANDS LÄN</t>
        </is>
      </c>
      <c r="E1995" t="inlineStr">
        <is>
          <t>SOLLEFTEÅ</t>
        </is>
      </c>
      <c r="G1995" t="n">
        <v>16.8</v>
      </c>
      <c r="H1995" t="n">
        <v>0</v>
      </c>
      <c r="I1995" t="n">
        <v>0</v>
      </c>
      <c r="J1995" t="n">
        <v>0</v>
      </c>
      <c r="K1995" t="n">
        <v>0</v>
      </c>
      <c r="L1995" t="n">
        <v>0</v>
      </c>
      <c r="M1995" t="n">
        <v>0</v>
      </c>
      <c r="N1995" t="n">
        <v>0</v>
      </c>
      <c r="O1995" t="n">
        <v>0</v>
      </c>
      <c r="P1995" t="n">
        <v>0</v>
      </c>
      <c r="Q1995" t="n">
        <v>0</v>
      </c>
      <c r="R1995" s="2" t="inlineStr"/>
    </row>
    <row r="1996" ht="15" customHeight="1">
      <c r="A1996" t="inlineStr">
        <is>
          <t>A 12054-2023</t>
        </is>
      </c>
      <c r="B1996" s="1" t="n">
        <v>44996</v>
      </c>
      <c r="C1996" s="1" t="n">
        <v>45822</v>
      </c>
      <c r="D1996" t="inlineStr">
        <is>
          <t>VÄSTERNORRLANDS LÄN</t>
        </is>
      </c>
      <c r="E1996" t="inlineStr">
        <is>
          <t>SOLLEFTEÅ</t>
        </is>
      </c>
      <c r="F1996" t="inlineStr">
        <is>
          <t>SCA</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12045-2023</t>
        </is>
      </c>
      <c r="B1997" s="1" t="n">
        <v>44996</v>
      </c>
      <c r="C1997" s="1" t="n">
        <v>45822</v>
      </c>
      <c r="D1997" t="inlineStr">
        <is>
          <t>VÄSTERNORRLANDS LÄN</t>
        </is>
      </c>
      <c r="E1997" t="inlineStr">
        <is>
          <t>SOLLEFTEÅ</t>
        </is>
      </c>
      <c r="F1997" t="inlineStr">
        <is>
          <t>SCA</t>
        </is>
      </c>
      <c r="G1997" t="n">
        <v>16.4</v>
      </c>
      <c r="H1997" t="n">
        <v>0</v>
      </c>
      <c r="I1997" t="n">
        <v>0</v>
      </c>
      <c r="J1997" t="n">
        <v>0</v>
      </c>
      <c r="K1997" t="n">
        <v>0</v>
      </c>
      <c r="L1997" t="n">
        <v>0</v>
      </c>
      <c r="M1997" t="n">
        <v>0</v>
      </c>
      <c r="N1997" t="n">
        <v>0</v>
      </c>
      <c r="O1997" t="n">
        <v>0</v>
      </c>
      <c r="P1997" t="n">
        <v>0</v>
      </c>
      <c r="Q1997" t="n">
        <v>0</v>
      </c>
      <c r="R1997" s="2" t="inlineStr"/>
    </row>
    <row r="1998" ht="15" customHeight="1">
      <c r="A1998" t="inlineStr">
        <is>
          <t>A 12429-2023</t>
        </is>
      </c>
      <c r="B1998" s="1" t="n">
        <v>44998</v>
      </c>
      <c r="C1998" s="1" t="n">
        <v>45822</v>
      </c>
      <c r="D1998" t="inlineStr">
        <is>
          <t>VÄSTERNORRLANDS LÄN</t>
        </is>
      </c>
      <c r="E1998" t="inlineStr">
        <is>
          <t>SOLLEFTEÅ</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12515-2023</t>
        </is>
      </c>
      <c r="B1999" s="1" t="n">
        <v>45000</v>
      </c>
      <c r="C1999" s="1" t="n">
        <v>45822</v>
      </c>
      <c r="D1999" t="inlineStr">
        <is>
          <t>VÄSTERNORRLANDS LÄN</t>
        </is>
      </c>
      <c r="E1999" t="inlineStr">
        <is>
          <t>SOLLEFTEÅ</t>
        </is>
      </c>
      <c r="F1999" t="inlineStr">
        <is>
          <t>SCA</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12726-2023</t>
        </is>
      </c>
      <c r="B2000" s="1" t="n">
        <v>45000</v>
      </c>
      <c r="C2000" s="1" t="n">
        <v>45822</v>
      </c>
      <c r="D2000" t="inlineStr">
        <is>
          <t>VÄSTERNORRLANDS LÄN</t>
        </is>
      </c>
      <c r="E2000" t="inlineStr">
        <is>
          <t>SOLLEFTEÅ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12512-2023</t>
        </is>
      </c>
      <c r="B2001" s="1" t="n">
        <v>45000</v>
      </c>
      <c r="C2001" s="1" t="n">
        <v>45822</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12536-2023</t>
        </is>
      </c>
      <c r="B2002" s="1" t="n">
        <v>45000</v>
      </c>
      <c r="C2002" s="1" t="n">
        <v>45822</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12540-2023</t>
        </is>
      </c>
      <c r="B2003" s="1" t="n">
        <v>45000</v>
      </c>
      <c r="C2003" s="1" t="n">
        <v>45822</v>
      </c>
      <c r="D2003" t="inlineStr">
        <is>
          <t>VÄSTERNORRLANDS LÄN</t>
        </is>
      </c>
      <c r="E2003" t="inlineStr">
        <is>
          <t>SOLLEFTEÅ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12730-2023</t>
        </is>
      </c>
      <c r="B2004" s="1" t="n">
        <v>45000</v>
      </c>
      <c r="C2004" s="1" t="n">
        <v>45822</v>
      </c>
      <c r="D2004" t="inlineStr">
        <is>
          <t>VÄSTERNORRLANDS LÄN</t>
        </is>
      </c>
      <c r="E2004" t="inlineStr">
        <is>
          <t>SOLLEFTEÅ</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12735-2023</t>
        </is>
      </c>
      <c r="B2005" s="1" t="n">
        <v>45000</v>
      </c>
      <c r="C2005" s="1" t="n">
        <v>45822</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12539-2023</t>
        </is>
      </c>
      <c r="B2006" s="1" t="n">
        <v>45000</v>
      </c>
      <c r="C2006" s="1" t="n">
        <v>45822</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12727-2023</t>
        </is>
      </c>
      <c r="B2007" s="1" t="n">
        <v>45000</v>
      </c>
      <c r="C2007" s="1" t="n">
        <v>45822</v>
      </c>
      <c r="D2007" t="inlineStr">
        <is>
          <t>VÄSTERNORRLANDS LÄN</t>
        </is>
      </c>
      <c r="E2007" t="inlineStr">
        <is>
          <t>SOLLEFTEÅ</t>
        </is>
      </c>
      <c r="G2007" t="n">
        <v>15.7</v>
      </c>
      <c r="H2007" t="n">
        <v>0</v>
      </c>
      <c r="I2007" t="n">
        <v>0</v>
      </c>
      <c r="J2007" t="n">
        <v>0</v>
      </c>
      <c r="K2007" t="n">
        <v>0</v>
      </c>
      <c r="L2007" t="n">
        <v>0</v>
      </c>
      <c r="M2007" t="n">
        <v>0</v>
      </c>
      <c r="N2007" t="n">
        <v>0</v>
      </c>
      <c r="O2007" t="n">
        <v>0</v>
      </c>
      <c r="P2007" t="n">
        <v>0</v>
      </c>
      <c r="Q2007" t="n">
        <v>0</v>
      </c>
      <c r="R2007" s="2" t="inlineStr"/>
    </row>
    <row r="2008" ht="15" customHeight="1">
      <c r="A2008" t="inlineStr">
        <is>
          <t>A 12733-2023</t>
        </is>
      </c>
      <c r="B2008" s="1" t="n">
        <v>45000</v>
      </c>
      <c r="C2008" s="1" t="n">
        <v>45822</v>
      </c>
      <c r="D2008" t="inlineStr">
        <is>
          <t>VÄSTERNORRLANDS LÄN</t>
        </is>
      </c>
      <c r="E2008" t="inlineStr">
        <is>
          <t>SOLLEFTEÅ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12747-2023</t>
        </is>
      </c>
      <c r="B2009" s="1" t="n">
        <v>45000</v>
      </c>
      <c r="C2009" s="1" t="n">
        <v>45822</v>
      </c>
      <c r="D2009" t="inlineStr">
        <is>
          <t>VÄSTERNORRLANDS LÄN</t>
        </is>
      </c>
      <c r="E2009" t="inlineStr">
        <is>
          <t>SOLLEFTEÅ</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12734-2023</t>
        </is>
      </c>
      <c r="B2010" s="1" t="n">
        <v>45000</v>
      </c>
      <c r="C2010" s="1" t="n">
        <v>45822</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12752-2023</t>
        </is>
      </c>
      <c r="B2011" s="1" t="n">
        <v>45000</v>
      </c>
      <c r="C2011" s="1" t="n">
        <v>45822</v>
      </c>
      <c r="D2011" t="inlineStr">
        <is>
          <t>VÄSTERNORRLANDS LÄN</t>
        </is>
      </c>
      <c r="E2011" t="inlineStr">
        <is>
          <t>SOLLEFTEÅ</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12746-2023</t>
        </is>
      </c>
      <c r="B2012" s="1" t="n">
        <v>45000</v>
      </c>
      <c r="C2012" s="1" t="n">
        <v>45822</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12755-2023</t>
        </is>
      </c>
      <c r="B2013" s="1" t="n">
        <v>45000</v>
      </c>
      <c r="C2013" s="1" t="n">
        <v>45822</v>
      </c>
      <c r="D2013" t="inlineStr">
        <is>
          <t>VÄSTERNORRLANDS LÄN</t>
        </is>
      </c>
      <c r="E2013" t="inlineStr">
        <is>
          <t>SOLLEFTEÅ</t>
        </is>
      </c>
      <c r="F2013" t="inlineStr">
        <is>
          <t>SCA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12820-2023</t>
        </is>
      </c>
      <c r="B2014" s="1" t="n">
        <v>45000</v>
      </c>
      <c r="C2014" s="1" t="n">
        <v>45822</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12972-2023</t>
        </is>
      </c>
      <c r="B2015" s="1" t="n">
        <v>45001</v>
      </c>
      <c r="C2015" s="1" t="n">
        <v>45822</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13066-2023</t>
        </is>
      </c>
      <c r="B2016" s="1" t="n">
        <v>45001</v>
      </c>
      <c r="C2016" s="1" t="n">
        <v>45822</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13050-2023</t>
        </is>
      </c>
      <c r="B2017" s="1" t="n">
        <v>45001</v>
      </c>
      <c r="C2017" s="1" t="n">
        <v>45822</v>
      </c>
      <c r="D2017" t="inlineStr">
        <is>
          <t>VÄSTERNORRLANDS LÄN</t>
        </is>
      </c>
      <c r="E2017" t="inlineStr">
        <is>
          <t>SOLLEFTEÅ</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12996-2023</t>
        </is>
      </c>
      <c r="B2018" s="1" t="n">
        <v>45002</v>
      </c>
      <c r="C2018" s="1" t="n">
        <v>45822</v>
      </c>
      <c r="D2018" t="inlineStr">
        <is>
          <t>VÄSTERNORRLANDS LÄN</t>
        </is>
      </c>
      <c r="E2018" t="inlineStr">
        <is>
          <t>SOLLEFTEÅ</t>
        </is>
      </c>
      <c r="F2018" t="inlineStr">
        <is>
          <t>SCA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13009-2023</t>
        </is>
      </c>
      <c r="B2019" s="1" t="n">
        <v>45002</v>
      </c>
      <c r="C2019" s="1" t="n">
        <v>45822</v>
      </c>
      <c r="D2019" t="inlineStr">
        <is>
          <t>VÄSTERNORRLANDS LÄN</t>
        </is>
      </c>
      <c r="E2019" t="inlineStr">
        <is>
          <t>SOLLEFTEÅ</t>
        </is>
      </c>
      <c r="F2019" t="inlineStr">
        <is>
          <t>SCA</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13006-2023</t>
        </is>
      </c>
      <c r="B2020" s="1" t="n">
        <v>45002</v>
      </c>
      <c r="C2020" s="1" t="n">
        <v>45822</v>
      </c>
      <c r="D2020" t="inlineStr">
        <is>
          <t>VÄSTERNORRLANDS LÄN</t>
        </is>
      </c>
      <c r="E2020" t="inlineStr">
        <is>
          <t>SOLLEFTEÅ</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12983-2023</t>
        </is>
      </c>
      <c r="B2021" s="1" t="n">
        <v>45002</v>
      </c>
      <c r="C2021" s="1" t="n">
        <v>45822</v>
      </c>
      <c r="D2021" t="inlineStr">
        <is>
          <t>VÄSTERNORRLANDS LÄN</t>
        </is>
      </c>
      <c r="E2021" t="inlineStr">
        <is>
          <t>SOLLEFTEÅ</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13008-2023</t>
        </is>
      </c>
      <c r="B2022" s="1" t="n">
        <v>45002</v>
      </c>
      <c r="C2022" s="1" t="n">
        <v>45822</v>
      </c>
      <c r="D2022" t="inlineStr">
        <is>
          <t>VÄSTERNORRLANDS LÄN</t>
        </is>
      </c>
      <c r="E2022" t="inlineStr">
        <is>
          <t>SOLLEFTEÅ</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13007-2023</t>
        </is>
      </c>
      <c r="B2023" s="1" t="n">
        <v>45002</v>
      </c>
      <c r="C2023" s="1" t="n">
        <v>45822</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13252-2023</t>
        </is>
      </c>
      <c r="B2024" s="1" t="n">
        <v>45002</v>
      </c>
      <c r="C2024" s="1" t="n">
        <v>45822</v>
      </c>
      <c r="D2024" t="inlineStr">
        <is>
          <t>VÄSTERNORRLANDS LÄN</t>
        </is>
      </c>
      <c r="E2024" t="inlineStr">
        <is>
          <t>SOLLEFTEÅ</t>
        </is>
      </c>
      <c r="F2024" t="inlineStr">
        <is>
          <t>SCA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13264-2023</t>
        </is>
      </c>
      <c r="B2025" s="1" t="n">
        <v>45002</v>
      </c>
      <c r="C2025" s="1" t="n">
        <v>45822</v>
      </c>
      <c r="D2025" t="inlineStr">
        <is>
          <t>VÄSTERNORRLANDS LÄN</t>
        </is>
      </c>
      <c r="E2025" t="inlineStr">
        <is>
          <t>SOLLEFTEÅ</t>
        </is>
      </c>
      <c r="F2025" t="inlineStr">
        <is>
          <t>SCA</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13292-2023</t>
        </is>
      </c>
      <c r="B2026" s="1" t="n">
        <v>45004</v>
      </c>
      <c r="C2026" s="1" t="n">
        <v>45822</v>
      </c>
      <c r="D2026" t="inlineStr">
        <is>
          <t>VÄSTERNORRLANDS LÄN</t>
        </is>
      </c>
      <c r="E2026" t="inlineStr">
        <is>
          <t>SOLLEFTEÅ</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13489-2023</t>
        </is>
      </c>
      <c r="B2027" s="1" t="n">
        <v>45005</v>
      </c>
      <c r="C2027" s="1" t="n">
        <v>45822</v>
      </c>
      <c r="D2027" t="inlineStr">
        <is>
          <t>VÄSTERNORRLANDS LÄN</t>
        </is>
      </c>
      <c r="E2027" t="inlineStr">
        <is>
          <t>SOLLEFTEÅ</t>
        </is>
      </c>
      <c r="F2027" t="inlineStr">
        <is>
          <t>SCA</t>
        </is>
      </c>
      <c r="G2027" t="n">
        <v>26.3</v>
      </c>
      <c r="H2027" t="n">
        <v>0</v>
      </c>
      <c r="I2027" t="n">
        <v>0</v>
      </c>
      <c r="J2027" t="n">
        <v>0</v>
      </c>
      <c r="K2027" t="n">
        <v>0</v>
      </c>
      <c r="L2027" t="n">
        <v>0</v>
      </c>
      <c r="M2027" t="n">
        <v>0</v>
      </c>
      <c r="N2027" t="n">
        <v>0</v>
      </c>
      <c r="O2027" t="n">
        <v>0</v>
      </c>
      <c r="P2027" t="n">
        <v>0</v>
      </c>
      <c r="Q2027" t="n">
        <v>0</v>
      </c>
      <c r="R2027" s="2" t="inlineStr"/>
    </row>
    <row r="2028" ht="15" customHeight="1">
      <c r="A2028" t="inlineStr">
        <is>
          <t>A 13487-2023</t>
        </is>
      </c>
      <c r="B2028" s="1" t="n">
        <v>45005</v>
      </c>
      <c r="C2028" s="1" t="n">
        <v>45822</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13521-2023</t>
        </is>
      </c>
      <c r="B2029" s="1" t="n">
        <v>45005</v>
      </c>
      <c r="C2029" s="1" t="n">
        <v>45822</v>
      </c>
      <c r="D2029" t="inlineStr">
        <is>
          <t>VÄSTERNORRLANDS LÄN</t>
        </is>
      </c>
      <c r="E2029" t="inlineStr">
        <is>
          <t>SOLLEFTEÅ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13567-2023</t>
        </is>
      </c>
      <c r="B2030" s="1" t="n">
        <v>45005</v>
      </c>
      <c r="C2030" s="1" t="n">
        <v>45822</v>
      </c>
      <c r="D2030" t="inlineStr">
        <is>
          <t>VÄSTERNORRLANDS LÄN</t>
        </is>
      </c>
      <c r="E2030" t="inlineStr">
        <is>
          <t>SOLLEFTEÅ</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13570-2023</t>
        </is>
      </c>
      <c r="B2031" s="1" t="n">
        <v>45005</v>
      </c>
      <c r="C2031" s="1" t="n">
        <v>45822</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13499-2023</t>
        </is>
      </c>
      <c r="B2032" s="1" t="n">
        <v>45005</v>
      </c>
      <c r="C2032" s="1" t="n">
        <v>45822</v>
      </c>
      <c r="D2032" t="inlineStr">
        <is>
          <t>VÄSTERNORRLANDS LÄN</t>
        </is>
      </c>
      <c r="E2032" t="inlineStr">
        <is>
          <t>SOLLEFTEÅ</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13565-2023</t>
        </is>
      </c>
      <c r="B2033" s="1" t="n">
        <v>45005</v>
      </c>
      <c r="C2033" s="1" t="n">
        <v>45822</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13689-2023</t>
        </is>
      </c>
      <c r="B2034" s="1" t="n">
        <v>45006</v>
      </c>
      <c r="C2034" s="1" t="n">
        <v>45822</v>
      </c>
      <c r="D2034" t="inlineStr">
        <is>
          <t>VÄSTERNORRLANDS LÄN</t>
        </is>
      </c>
      <c r="E2034" t="inlineStr">
        <is>
          <t>SOLLEFTEÅ</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13695-2023</t>
        </is>
      </c>
      <c r="B2035" s="1" t="n">
        <v>45006</v>
      </c>
      <c r="C2035" s="1" t="n">
        <v>45822</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13697-2023</t>
        </is>
      </c>
      <c r="B2036" s="1" t="n">
        <v>45006</v>
      </c>
      <c r="C2036" s="1" t="n">
        <v>45822</v>
      </c>
      <c r="D2036" t="inlineStr">
        <is>
          <t>VÄSTERNORRLANDS LÄN</t>
        </is>
      </c>
      <c r="E2036" t="inlineStr">
        <is>
          <t>SOLLEFTEÅ</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14109-2023</t>
        </is>
      </c>
      <c r="B2037" s="1" t="n">
        <v>45008</v>
      </c>
      <c r="C2037" s="1" t="n">
        <v>45822</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14134-2023</t>
        </is>
      </c>
      <c r="B2038" s="1" t="n">
        <v>45008</v>
      </c>
      <c r="C2038" s="1" t="n">
        <v>45822</v>
      </c>
      <c r="D2038" t="inlineStr">
        <is>
          <t>VÄSTERNORRLANDS LÄN</t>
        </is>
      </c>
      <c r="E2038" t="inlineStr">
        <is>
          <t>SOLLEFTEÅ</t>
        </is>
      </c>
      <c r="F2038" t="inlineStr">
        <is>
          <t>Övriga Aktiebolag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14718-2023</t>
        </is>
      </c>
      <c r="B2039" s="1" t="n">
        <v>45012</v>
      </c>
      <c r="C2039" s="1" t="n">
        <v>45822</v>
      </c>
      <c r="D2039" t="inlineStr">
        <is>
          <t>VÄSTERNORRLANDS LÄN</t>
        </is>
      </c>
      <c r="E2039" t="inlineStr">
        <is>
          <t>SOLLEFTEÅ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14675-2023</t>
        </is>
      </c>
      <c r="B2040" s="1" t="n">
        <v>45014</v>
      </c>
      <c r="C2040" s="1" t="n">
        <v>45822</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14668-2023</t>
        </is>
      </c>
      <c r="B2041" s="1" t="n">
        <v>45014</v>
      </c>
      <c r="C2041" s="1" t="n">
        <v>45822</v>
      </c>
      <c r="D2041" t="inlineStr">
        <is>
          <t>VÄSTERNORRLANDS LÄN</t>
        </is>
      </c>
      <c r="E2041" t="inlineStr">
        <is>
          <t>SOLLEFTEÅ</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14937-2023</t>
        </is>
      </c>
      <c r="B2042" s="1" t="n">
        <v>45014</v>
      </c>
      <c r="C2042" s="1" t="n">
        <v>45822</v>
      </c>
      <c r="D2042" t="inlineStr">
        <is>
          <t>VÄSTERNORRLANDS LÄN</t>
        </is>
      </c>
      <c r="E2042" t="inlineStr">
        <is>
          <t>SOLLEFTEÅ</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14859-2023</t>
        </is>
      </c>
      <c r="B2043" s="1" t="n">
        <v>45015</v>
      </c>
      <c r="C2043" s="1" t="n">
        <v>45822</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14875-2023</t>
        </is>
      </c>
      <c r="B2044" s="1" t="n">
        <v>45015</v>
      </c>
      <c r="C2044" s="1" t="n">
        <v>45822</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15080-2023</t>
        </is>
      </c>
      <c r="B2045" s="1" t="n">
        <v>45016</v>
      </c>
      <c r="C2045" s="1" t="n">
        <v>45822</v>
      </c>
      <c r="D2045" t="inlineStr">
        <is>
          <t>VÄSTERNORRLANDS LÄN</t>
        </is>
      </c>
      <c r="E2045" t="inlineStr">
        <is>
          <t>SOLLEFTEÅ</t>
        </is>
      </c>
      <c r="F2045" t="inlineStr">
        <is>
          <t>SCA</t>
        </is>
      </c>
      <c r="G2045" t="n">
        <v>33.6</v>
      </c>
      <c r="H2045" t="n">
        <v>0</v>
      </c>
      <c r="I2045" t="n">
        <v>0</v>
      </c>
      <c r="J2045" t="n">
        <v>0</v>
      </c>
      <c r="K2045" t="n">
        <v>0</v>
      </c>
      <c r="L2045" t="n">
        <v>0</v>
      </c>
      <c r="M2045" t="n">
        <v>0</v>
      </c>
      <c r="N2045" t="n">
        <v>0</v>
      </c>
      <c r="O2045" t="n">
        <v>0</v>
      </c>
      <c r="P2045" t="n">
        <v>0</v>
      </c>
      <c r="Q2045" t="n">
        <v>0</v>
      </c>
      <c r="R2045" s="2" t="inlineStr"/>
    </row>
    <row r="2046" ht="15" customHeight="1">
      <c r="A2046" t="inlineStr">
        <is>
          <t>A 15632-2023</t>
        </is>
      </c>
      <c r="B2046" s="1" t="n">
        <v>45019</v>
      </c>
      <c r="C2046" s="1" t="n">
        <v>45822</v>
      </c>
      <c r="D2046" t="inlineStr">
        <is>
          <t>VÄSTERNORRLANDS LÄN</t>
        </is>
      </c>
      <c r="E2046" t="inlineStr">
        <is>
          <t>SOLLEFTEÅ</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15723-2023</t>
        </is>
      </c>
      <c r="B2047" s="1" t="n">
        <v>45020</v>
      </c>
      <c r="C2047" s="1" t="n">
        <v>45822</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15978-2023</t>
        </is>
      </c>
      <c r="B2048" s="1" t="n">
        <v>45023</v>
      </c>
      <c r="C2048" s="1" t="n">
        <v>45822</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15987-2023</t>
        </is>
      </c>
      <c r="B2049" s="1" t="n">
        <v>45023</v>
      </c>
      <c r="C2049" s="1" t="n">
        <v>45822</v>
      </c>
      <c r="D2049" t="inlineStr">
        <is>
          <t>VÄSTERNORRLANDS LÄN</t>
        </is>
      </c>
      <c r="E2049" t="inlineStr">
        <is>
          <t>SOLLEFTEÅ</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15998-2023</t>
        </is>
      </c>
      <c r="B2050" s="1" t="n">
        <v>45024</v>
      </c>
      <c r="C2050" s="1" t="n">
        <v>45822</v>
      </c>
      <c r="D2050" t="inlineStr">
        <is>
          <t>VÄSTERNORRLANDS LÄN</t>
        </is>
      </c>
      <c r="E2050" t="inlineStr">
        <is>
          <t>SOLLEFTEÅ</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16189-2023</t>
        </is>
      </c>
      <c r="B2051" s="1" t="n">
        <v>45028</v>
      </c>
      <c r="C2051" s="1" t="n">
        <v>45822</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16190-2023</t>
        </is>
      </c>
      <c r="B2052" s="1" t="n">
        <v>45028</v>
      </c>
      <c r="C2052" s="1" t="n">
        <v>45822</v>
      </c>
      <c r="D2052" t="inlineStr">
        <is>
          <t>VÄSTERNORRLANDS LÄN</t>
        </is>
      </c>
      <c r="E2052" t="inlineStr">
        <is>
          <t>SOLLEFTEÅ</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16196-2023</t>
        </is>
      </c>
      <c r="B2053" s="1" t="n">
        <v>45028</v>
      </c>
      <c r="C2053" s="1" t="n">
        <v>45822</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16370-2023</t>
        </is>
      </c>
      <c r="B2054" s="1" t="n">
        <v>45029</v>
      </c>
      <c r="C2054" s="1" t="n">
        <v>45822</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16376-2023</t>
        </is>
      </c>
      <c r="B2055" s="1" t="n">
        <v>45029</v>
      </c>
      <c r="C2055" s="1" t="n">
        <v>45822</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16562-2023</t>
        </is>
      </c>
      <c r="B2056" s="1" t="n">
        <v>45029</v>
      </c>
      <c r="C2056" s="1" t="n">
        <v>45822</v>
      </c>
      <c r="D2056" t="inlineStr">
        <is>
          <t>VÄSTERNORRLANDS LÄN</t>
        </is>
      </c>
      <c r="E2056" t="inlineStr">
        <is>
          <t>SOLLEFTEÅ</t>
        </is>
      </c>
      <c r="F2056" t="inlineStr">
        <is>
          <t>SCA</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16760-2023</t>
        </is>
      </c>
      <c r="B2057" s="1" t="n">
        <v>45030</v>
      </c>
      <c r="C2057" s="1" t="n">
        <v>45822</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17007-2023</t>
        </is>
      </c>
      <c r="B2058" s="1" t="n">
        <v>45034</v>
      </c>
      <c r="C2058" s="1" t="n">
        <v>45822</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17064-2023</t>
        </is>
      </c>
      <c r="B2059" s="1" t="n">
        <v>45034</v>
      </c>
      <c r="C2059" s="1" t="n">
        <v>45822</v>
      </c>
      <c r="D2059" t="inlineStr">
        <is>
          <t>VÄSTERNORRLANDS LÄN</t>
        </is>
      </c>
      <c r="E2059" t="inlineStr">
        <is>
          <t>SOLLEFTEÅ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17218-2023</t>
        </is>
      </c>
      <c r="B2060" s="1" t="n">
        <v>45035</v>
      </c>
      <c r="C2060" s="1" t="n">
        <v>45822</v>
      </c>
      <c r="D2060" t="inlineStr">
        <is>
          <t>VÄSTERNORRLANDS LÄN</t>
        </is>
      </c>
      <c r="E2060" t="inlineStr">
        <is>
          <t>SOLLEFTEÅ</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17219-2023</t>
        </is>
      </c>
      <c r="B2061" s="1" t="n">
        <v>45034</v>
      </c>
      <c r="C2061" s="1" t="n">
        <v>45822</v>
      </c>
      <c r="D2061" t="inlineStr">
        <is>
          <t>VÄSTERNORRLANDS LÄN</t>
        </is>
      </c>
      <c r="E2061" t="inlineStr">
        <is>
          <t>SOLLEFTEÅ</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17416-2023</t>
        </is>
      </c>
      <c r="B2062" s="1" t="n">
        <v>45036</v>
      </c>
      <c r="C2062" s="1" t="n">
        <v>45822</v>
      </c>
      <c r="D2062" t="inlineStr">
        <is>
          <t>VÄSTERNORRLANDS LÄN</t>
        </is>
      </c>
      <c r="E2062" t="inlineStr">
        <is>
          <t>SOLLEFTEÅ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17683-2023</t>
        </is>
      </c>
      <c r="B2063" s="1" t="n">
        <v>45035</v>
      </c>
      <c r="C2063" s="1" t="n">
        <v>45822</v>
      </c>
      <c r="D2063" t="inlineStr">
        <is>
          <t>VÄSTERNORRLANDS LÄN</t>
        </is>
      </c>
      <c r="E2063" t="inlineStr">
        <is>
          <t>SOLLEFTEÅ</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17664-2023</t>
        </is>
      </c>
      <c r="B2064" s="1" t="n">
        <v>45037</v>
      </c>
      <c r="C2064" s="1" t="n">
        <v>45822</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18149-2023</t>
        </is>
      </c>
      <c r="B2065" s="1" t="n">
        <v>45040</v>
      </c>
      <c r="C2065" s="1" t="n">
        <v>45822</v>
      </c>
      <c r="D2065" t="inlineStr">
        <is>
          <t>VÄSTERNORRLANDS LÄN</t>
        </is>
      </c>
      <c r="E2065" t="inlineStr">
        <is>
          <t>SOLLEFTEÅ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18160-2023</t>
        </is>
      </c>
      <c r="B2066" s="1" t="n">
        <v>45040</v>
      </c>
      <c r="C2066" s="1" t="n">
        <v>45822</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18167-2023</t>
        </is>
      </c>
      <c r="B2067" s="1" t="n">
        <v>45040</v>
      </c>
      <c r="C2067" s="1" t="n">
        <v>45822</v>
      </c>
      <c r="D2067" t="inlineStr">
        <is>
          <t>VÄSTERNORRLANDS LÄN</t>
        </is>
      </c>
      <c r="E2067" t="inlineStr">
        <is>
          <t>SOLLEFTEÅ</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18459-2023</t>
        </is>
      </c>
      <c r="B2068" s="1" t="n">
        <v>45041</v>
      </c>
      <c r="C2068" s="1" t="n">
        <v>45822</v>
      </c>
      <c r="D2068" t="inlineStr">
        <is>
          <t>VÄSTERNORRLANDS LÄN</t>
        </is>
      </c>
      <c r="E2068" t="inlineStr">
        <is>
          <t>SOLLEFTEÅ</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18378-2023</t>
        </is>
      </c>
      <c r="B2069" s="1" t="n">
        <v>45041</v>
      </c>
      <c r="C2069" s="1" t="n">
        <v>45822</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18456-2023</t>
        </is>
      </c>
      <c r="B2070" s="1" t="n">
        <v>45041</v>
      </c>
      <c r="C2070" s="1" t="n">
        <v>45822</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18861-2023</t>
        </is>
      </c>
      <c r="B2071" s="1" t="n">
        <v>45042</v>
      </c>
      <c r="C2071" s="1" t="n">
        <v>45822</v>
      </c>
      <c r="D2071" t="inlineStr">
        <is>
          <t>VÄSTERNORRLANDS LÄN</t>
        </is>
      </c>
      <c r="E2071" t="inlineStr">
        <is>
          <t>SOLLEFTEÅ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18762-2023</t>
        </is>
      </c>
      <c r="B2072" s="1" t="n">
        <v>45043</v>
      </c>
      <c r="C2072" s="1" t="n">
        <v>45822</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18785-2023</t>
        </is>
      </c>
      <c r="B2073" s="1" t="n">
        <v>45043</v>
      </c>
      <c r="C2073" s="1" t="n">
        <v>45822</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18753-2023</t>
        </is>
      </c>
      <c r="B2074" s="1" t="n">
        <v>45044</v>
      </c>
      <c r="C2074" s="1" t="n">
        <v>45822</v>
      </c>
      <c r="D2074" t="inlineStr">
        <is>
          <t>VÄSTERNORRLANDS LÄN</t>
        </is>
      </c>
      <c r="E2074" t="inlineStr">
        <is>
          <t>SOLLEFTEÅ</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18761-2023</t>
        </is>
      </c>
      <c r="B2075" s="1" t="n">
        <v>45043</v>
      </c>
      <c r="C2075" s="1" t="n">
        <v>45822</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18782-2023</t>
        </is>
      </c>
      <c r="B2076" s="1" t="n">
        <v>45044</v>
      </c>
      <c r="C2076" s="1" t="n">
        <v>45822</v>
      </c>
      <c r="D2076" t="inlineStr">
        <is>
          <t>VÄSTERNORRLANDS LÄN</t>
        </is>
      </c>
      <c r="E2076" t="inlineStr">
        <is>
          <t>SOLLEFTEÅ</t>
        </is>
      </c>
      <c r="F2076" t="inlineStr">
        <is>
          <t>SCA</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18786-2023</t>
        </is>
      </c>
      <c r="B2077" s="1" t="n">
        <v>45043</v>
      </c>
      <c r="C2077" s="1" t="n">
        <v>45822</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18755-2023</t>
        </is>
      </c>
      <c r="B2078" s="1" t="n">
        <v>45043</v>
      </c>
      <c r="C2078" s="1" t="n">
        <v>45822</v>
      </c>
      <c r="D2078" t="inlineStr">
        <is>
          <t>VÄSTERNORRLANDS LÄN</t>
        </is>
      </c>
      <c r="E2078" t="inlineStr">
        <is>
          <t>SOLLEFTEÅ</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18780-2023</t>
        </is>
      </c>
      <c r="B2079" s="1" t="n">
        <v>45044</v>
      </c>
      <c r="C2079" s="1" t="n">
        <v>45822</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18784-2023</t>
        </is>
      </c>
      <c r="B2080" s="1" t="n">
        <v>45044</v>
      </c>
      <c r="C2080" s="1" t="n">
        <v>45822</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18980-2023</t>
        </is>
      </c>
      <c r="B2081" s="1" t="n">
        <v>45044</v>
      </c>
      <c r="C2081" s="1" t="n">
        <v>45822</v>
      </c>
      <c r="D2081" t="inlineStr">
        <is>
          <t>VÄSTERNORRLANDS LÄN</t>
        </is>
      </c>
      <c r="E2081" t="inlineStr">
        <is>
          <t>SOLLEFTEÅ</t>
        </is>
      </c>
      <c r="F2081" t="inlineStr">
        <is>
          <t>Övriga statliga verk och myndigheter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18989-2023</t>
        </is>
      </c>
      <c r="B2082" s="1" t="n">
        <v>45044</v>
      </c>
      <c r="C2082" s="1" t="n">
        <v>45822</v>
      </c>
      <c r="D2082" t="inlineStr">
        <is>
          <t>VÄSTERNORRLANDS LÄN</t>
        </is>
      </c>
      <c r="E2082" t="inlineStr">
        <is>
          <t>SOLLEFTEÅ</t>
        </is>
      </c>
      <c r="F2082" t="inlineStr">
        <is>
          <t>SCA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19154-2023</t>
        </is>
      </c>
      <c r="B2083" s="1" t="n">
        <v>45044</v>
      </c>
      <c r="C2083" s="1" t="n">
        <v>45822</v>
      </c>
      <c r="D2083" t="inlineStr">
        <is>
          <t>VÄSTERNORRLANDS LÄN</t>
        </is>
      </c>
      <c r="E2083" t="inlineStr">
        <is>
          <t>SOLLEFTEÅ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19433-2023</t>
        </is>
      </c>
      <c r="B2084" s="1" t="n">
        <v>45049</v>
      </c>
      <c r="C2084" s="1" t="n">
        <v>45822</v>
      </c>
      <c r="D2084" t="inlineStr">
        <is>
          <t>VÄSTERNORRLANDS LÄN</t>
        </is>
      </c>
      <c r="E2084" t="inlineStr">
        <is>
          <t>SOLLEFTEÅ</t>
        </is>
      </c>
      <c r="F2084" t="inlineStr">
        <is>
          <t>SCA</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19434-2023</t>
        </is>
      </c>
      <c r="B2085" s="1" t="n">
        <v>45049</v>
      </c>
      <c r="C2085" s="1" t="n">
        <v>45822</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19609-2023</t>
        </is>
      </c>
      <c r="B2086" s="1" t="n">
        <v>45050</v>
      </c>
      <c r="C2086" s="1" t="n">
        <v>45822</v>
      </c>
      <c r="D2086" t="inlineStr">
        <is>
          <t>VÄSTERNORRLANDS LÄN</t>
        </is>
      </c>
      <c r="E2086" t="inlineStr">
        <is>
          <t>SOLLEFTEÅ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19610-2023</t>
        </is>
      </c>
      <c r="B2087" s="1" t="n">
        <v>45050</v>
      </c>
      <c r="C2087" s="1" t="n">
        <v>45822</v>
      </c>
      <c r="D2087" t="inlineStr">
        <is>
          <t>VÄSTERNORRLANDS LÄN</t>
        </is>
      </c>
      <c r="E2087" t="inlineStr">
        <is>
          <t>SOLLEFTEÅ</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19615-2023</t>
        </is>
      </c>
      <c r="B2088" s="1" t="n">
        <v>45051</v>
      </c>
      <c r="C2088" s="1" t="n">
        <v>45822</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19625-2023</t>
        </is>
      </c>
      <c r="B2089" s="1" t="n">
        <v>45050</v>
      </c>
      <c r="C2089" s="1" t="n">
        <v>45822</v>
      </c>
      <c r="D2089" t="inlineStr">
        <is>
          <t>VÄSTERNORRLANDS LÄN</t>
        </is>
      </c>
      <c r="E2089" t="inlineStr">
        <is>
          <t>SOLLEFTEÅ</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19614-2023</t>
        </is>
      </c>
      <c r="B2090" s="1" t="n">
        <v>45050</v>
      </c>
      <c r="C2090" s="1" t="n">
        <v>45822</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19816-2023</t>
        </is>
      </c>
      <c r="B2091" s="1" t="n">
        <v>45052</v>
      </c>
      <c r="C2091" s="1" t="n">
        <v>45822</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19829-2023</t>
        </is>
      </c>
      <c r="B2092" s="1" t="n">
        <v>45052</v>
      </c>
      <c r="C2092" s="1" t="n">
        <v>45822</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19830-2023</t>
        </is>
      </c>
      <c r="B2093" s="1" t="n">
        <v>45052</v>
      </c>
      <c r="C2093" s="1" t="n">
        <v>45822</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20089-2023</t>
        </is>
      </c>
      <c r="B2094" s="1" t="n">
        <v>45055</v>
      </c>
      <c r="C2094" s="1" t="n">
        <v>45822</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20269-2023</t>
        </is>
      </c>
      <c r="B2095" s="1" t="n">
        <v>45055</v>
      </c>
      <c r="C2095" s="1" t="n">
        <v>45822</v>
      </c>
      <c r="D2095" t="inlineStr">
        <is>
          <t>VÄSTERNORRLANDS LÄN</t>
        </is>
      </c>
      <c r="E2095" t="inlineStr">
        <is>
          <t>SOLLEFTEÅ</t>
        </is>
      </c>
      <c r="F2095" t="inlineStr">
        <is>
          <t>SCA</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20268-2023</t>
        </is>
      </c>
      <c r="B2096" s="1" t="n">
        <v>45055</v>
      </c>
      <c r="C2096" s="1" t="n">
        <v>45822</v>
      </c>
      <c r="D2096" t="inlineStr">
        <is>
          <t>VÄSTERNORRLANDS LÄN</t>
        </is>
      </c>
      <c r="E2096" t="inlineStr">
        <is>
          <t>SOLLEFTEÅ</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20266-2023</t>
        </is>
      </c>
      <c r="B2097" s="1" t="n">
        <v>45055</v>
      </c>
      <c r="C2097" s="1" t="n">
        <v>45822</v>
      </c>
      <c r="D2097" t="inlineStr">
        <is>
          <t>VÄSTERNORRLANDS LÄN</t>
        </is>
      </c>
      <c r="E2097" t="inlineStr">
        <is>
          <t>SOLLEFTEÅ</t>
        </is>
      </c>
      <c r="F2097" t="inlineStr">
        <is>
          <t>SCA</t>
        </is>
      </c>
      <c r="G2097" t="n">
        <v>21.3</v>
      </c>
      <c r="H2097" t="n">
        <v>0</v>
      </c>
      <c r="I2097" t="n">
        <v>0</v>
      </c>
      <c r="J2097" t="n">
        <v>0</v>
      </c>
      <c r="K2097" t="n">
        <v>0</v>
      </c>
      <c r="L2097" t="n">
        <v>0</v>
      </c>
      <c r="M2097" t="n">
        <v>0</v>
      </c>
      <c r="N2097" t="n">
        <v>0</v>
      </c>
      <c r="O2097" t="n">
        <v>0</v>
      </c>
      <c r="P2097" t="n">
        <v>0</v>
      </c>
      <c r="Q2097" t="n">
        <v>0</v>
      </c>
      <c r="R2097" s="2" t="inlineStr"/>
    </row>
    <row r="2098" ht="15" customHeight="1">
      <c r="A2098" t="inlineStr">
        <is>
          <t>A 20271-2023</t>
        </is>
      </c>
      <c r="B2098" s="1" t="n">
        <v>45056</v>
      </c>
      <c r="C2098" s="1" t="n">
        <v>45822</v>
      </c>
      <c r="D2098" t="inlineStr">
        <is>
          <t>VÄSTERNORRLANDS LÄN</t>
        </is>
      </c>
      <c r="E2098" t="inlineStr">
        <is>
          <t>SOLLEFTEÅ</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20461-2023</t>
        </is>
      </c>
      <c r="B2099" s="1" t="n">
        <v>45057</v>
      </c>
      <c r="C2099" s="1" t="n">
        <v>45822</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20460-2023</t>
        </is>
      </c>
      <c r="B2100" s="1" t="n">
        <v>45057</v>
      </c>
      <c r="C2100" s="1" t="n">
        <v>45822</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20599-2023</t>
        </is>
      </c>
      <c r="B2101" s="1" t="n">
        <v>45058</v>
      </c>
      <c r="C2101" s="1" t="n">
        <v>45822</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20598-2023</t>
        </is>
      </c>
      <c r="B2102" s="1" t="n">
        <v>45058</v>
      </c>
      <c r="C2102" s="1" t="n">
        <v>45822</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21195-2023</t>
        </is>
      </c>
      <c r="B2103" s="1" t="n">
        <v>45057</v>
      </c>
      <c r="C2103" s="1" t="n">
        <v>45822</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20629-2023</t>
        </is>
      </c>
      <c r="B2104" s="1" t="n">
        <v>45058</v>
      </c>
      <c r="C2104" s="1" t="n">
        <v>45822</v>
      </c>
      <c r="D2104" t="inlineStr">
        <is>
          <t>VÄSTERNORRLANDS LÄN</t>
        </is>
      </c>
      <c r="E2104" t="inlineStr">
        <is>
          <t>SOLLEFTEÅ</t>
        </is>
      </c>
      <c r="F2104" t="inlineStr">
        <is>
          <t>SCA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20628-2023</t>
        </is>
      </c>
      <c r="B2105" s="1" t="n">
        <v>45058</v>
      </c>
      <c r="C2105" s="1" t="n">
        <v>45822</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21230-2023</t>
        </is>
      </c>
      <c r="B2106" s="1" t="n">
        <v>45057</v>
      </c>
      <c r="C2106" s="1" t="n">
        <v>45822</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20754-2023</t>
        </is>
      </c>
      <c r="B2107" s="1" t="n">
        <v>45058</v>
      </c>
      <c r="C2107" s="1" t="n">
        <v>45822</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20859-2023</t>
        </is>
      </c>
      <c r="B2108" s="1" t="n">
        <v>45059</v>
      </c>
      <c r="C2108" s="1" t="n">
        <v>45822</v>
      </c>
      <c r="D2108" t="inlineStr">
        <is>
          <t>VÄSTERNORRLANDS LÄN</t>
        </is>
      </c>
      <c r="E2108" t="inlineStr">
        <is>
          <t>SOLLEFTEÅ</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20862-2023</t>
        </is>
      </c>
      <c r="B2109" s="1" t="n">
        <v>45059</v>
      </c>
      <c r="C2109" s="1" t="n">
        <v>45822</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20817-2023</t>
        </is>
      </c>
      <c r="B2110" s="1" t="n">
        <v>45058</v>
      </c>
      <c r="C2110" s="1" t="n">
        <v>45822</v>
      </c>
      <c r="D2110" t="inlineStr">
        <is>
          <t>VÄSTERNORRLANDS LÄN</t>
        </is>
      </c>
      <c r="E2110" t="inlineStr">
        <is>
          <t>SOLLEFTEÅ</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20873-2023</t>
        </is>
      </c>
      <c r="B2111" s="1" t="n">
        <v>45059</v>
      </c>
      <c r="C2111" s="1" t="n">
        <v>45822</v>
      </c>
      <c r="D2111" t="inlineStr">
        <is>
          <t>VÄSTERNORRLANDS LÄN</t>
        </is>
      </c>
      <c r="E2111" t="inlineStr">
        <is>
          <t>SOLLEFTEÅ</t>
        </is>
      </c>
      <c r="F2111" t="inlineStr">
        <is>
          <t>SCA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20878-2023</t>
        </is>
      </c>
      <c r="B2112" s="1" t="n">
        <v>45059</v>
      </c>
      <c r="C2112" s="1" t="n">
        <v>45822</v>
      </c>
      <c r="D2112" t="inlineStr">
        <is>
          <t>VÄSTERNORRLANDS LÄN</t>
        </is>
      </c>
      <c r="E2112" t="inlineStr">
        <is>
          <t>SOLLEFTEÅ</t>
        </is>
      </c>
      <c r="F2112" t="inlineStr">
        <is>
          <t>SCA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20872-2023</t>
        </is>
      </c>
      <c r="B2113" s="1" t="n">
        <v>45058</v>
      </c>
      <c r="C2113" s="1" t="n">
        <v>45822</v>
      </c>
      <c r="D2113" t="inlineStr">
        <is>
          <t>VÄSTERNORRLANDS LÄN</t>
        </is>
      </c>
      <c r="E2113" t="inlineStr">
        <is>
          <t>SOLLEFTEÅ</t>
        </is>
      </c>
      <c r="F2113" t="inlineStr">
        <is>
          <t>SCA</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21513-2023</t>
        </is>
      </c>
      <c r="B2114" s="1" t="n">
        <v>45061</v>
      </c>
      <c r="C2114" s="1" t="n">
        <v>45822</v>
      </c>
      <c r="D2114" t="inlineStr">
        <is>
          <t>VÄSTERNORRLANDS LÄN</t>
        </is>
      </c>
      <c r="E2114" t="inlineStr">
        <is>
          <t>SOLLEFTEÅ</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21349-2023</t>
        </is>
      </c>
      <c r="B2115" s="1" t="n">
        <v>45063</v>
      </c>
      <c r="C2115" s="1" t="n">
        <v>45822</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21346-2023</t>
        </is>
      </c>
      <c r="B2116" s="1" t="n">
        <v>45063</v>
      </c>
      <c r="C2116" s="1" t="n">
        <v>45822</v>
      </c>
      <c r="D2116" t="inlineStr">
        <is>
          <t>VÄSTERNORRLANDS LÄN</t>
        </is>
      </c>
      <c r="E2116" t="inlineStr">
        <is>
          <t>SOLLEFTEÅ</t>
        </is>
      </c>
      <c r="F2116" t="inlineStr">
        <is>
          <t>SCA</t>
        </is>
      </c>
      <c r="G2116" t="n">
        <v>15.5</v>
      </c>
      <c r="H2116" t="n">
        <v>0</v>
      </c>
      <c r="I2116" t="n">
        <v>0</v>
      </c>
      <c r="J2116" t="n">
        <v>0</v>
      </c>
      <c r="K2116" t="n">
        <v>0</v>
      </c>
      <c r="L2116" t="n">
        <v>0</v>
      </c>
      <c r="M2116" t="n">
        <v>0</v>
      </c>
      <c r="N2116" t="n">
        <v>0</v>
      </c>
      <c r="O2116" t="n">
        <v>0</v>
      </c>
      <c r="P2116" t="n">
        <v>0</v>
      </c>
      <c r="Q2116" t="n">
        <v>0</v>
      </c>
      <c r="R2116" s="2" t="inlineStr"/>
    </row>
    <row r="2117" ht="15" customHeight="1">
      <c r="A2117" t="inlineStr">
        <is>
          <t>A 21340-2023</t>
        </is>
      </c>
      <c r="B2117" s="1" t="n">
        <v>45062</v>
      </c>
      <c r="C2117" s="1" t="n">
        <v>45822</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21344-2023</t>
        </is>
      </c>
      <c r="B2118" s="1" t="n">
        <v>45062</v>
      </c>
      <c r="C2118" s="1" t="n">
        <v>45822</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21361-2023</t>
        </is>
      </c>
      <c r="B2119" s="1" t="n">
        <v>45063</v>
      </c>
      <c r="C2119" s="1" t="n">
        <v>45822</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21690-2023</t>
        </is>
      </c>
      <c r="B2120" s="1" t="n">
        <v>45064</v>
      </c>
      <c r="C2120" s="1" t="n">
        <v>45822</v>
      </c>
      <c r="D2120" t="inlineStr">
        <is>
          <t>VÄSTERNORRLANDS LÄN</t>
        </is>
      </c>
      <c r="E2120" t="inlineStr">
        <is>
          <t>SOLLEFTEÅ</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21674-2023</t>
        </is>
      </c>
      <c r="B2121" s="1" t="n">
        <v>45064</v>
      </c>
      <c r="C2121" s="1" t="n">
        <v>45822</v>
      </c>
      <c r="D2121" t="inlineStr">
        <is>
          <t>VÄSTERNORRLANDS LÄN</t>
        </is>
      </c>
      <c r="E2121" t="inlineStr">
        <is>
          <t>SOLLEFTEÅ</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22008-2023</t>
        </is>
      </c>
      <c r="B2122" s="1" t="n">
        <v>45068</v>
      </c>
      <c r="C2122" s="1" t="n">
        <v>45822</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22220-2023</t>
        </is>
      </c>
      <c r="B2123" s="1" t="n">
        <v>45070</v>
      </c>
      <c r="C2123" s="1" t="n">
        <v>45822</v>
      </c>
      <c r="D2123" t="inlineStr">
        <is>
          <t>VÄSTERNORRLANDS LÄN</t>
        </is>
      </c>
      <c r="E2123" t="inlineStr">
        <is>
          <t>SOLLEFTEÅ</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22229-2023</t>
        </is>
      </c>
      <c r="B2124" s="1" t="n">
        <v>45070</v>
      </c>
      <c r="C2124" s="1" t="n">
        <v>45822</v>
      </c>
      <c r="D2124" t="inlineStr">
        <is>
          <t>VÄSTERNORRLANDS LÄN</t>
        </is>
      </c>
      <c r="E2124" t="inlineStr">
        <is>
          <t>SOLLEFTEÅ</t>
        </is>
      </c>
      <c r="F2124" t="inlineStr">
        <is>
          <t>SCA</t>
        </is>
      </c>
      <c r="G2124" t="n">
        <v>20.8</v>
      </c>
      <c r="H2124" t="n">
        <v>0</v>
      </c>
      <c r="I2124" t="n">
        <v>0</v>
      </c>
      <c r="J2124" t="n">
        <v>0</v>
      </c>
      <c r="K2124" t="n">
        <v>0</v>
      </c>
      <c r="L2124" t="n">
        <v>0</v>
      </c>
      <c r="M2124" t="n">
        <v>0</v>
      </c>
      <c r="N2124" t="n">
        <v>0</v>
      </c>
      <c r="O2124" t="n">
        <v>0</v>
      </c>
      <c r="P2124" t="n">
        <v>0</v>
      </c>
      <c r="Q2124" t="n">
        <v>0</v>
      </c>
      <c r="R2124" s="2" t="inlineStr"/>
    </row>
    <row r="2125" ht="15" customHeight="1">
      <c r="A2125" t="inlineStr">
        <is>
          <t>A 22750-2023</t>
        </is>
      </c>
      <c r="B2125" s="1" t="n">
        <v>45072</v>
      </c>
      <c r="C2125" s="1" t="n">
        <v>45822</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22994-2023</t>
        </is>
      </c>
      <c r="B2126" s="1" t="n">
        <v>45072</v>
      </c>
      <c r="C2126" s="1" t="n">
        <v>45822</v>
      </c>
      <c r="D2126" t="inlineStr">
        <is>
          <t>VÄSTERNORRLANDS LÄN</t>
        </is>
      </c>
      <c r="E2126" t="inlineStr">
        <is>
          <t>SOLLEFTEÅ</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22992-2023</t>
        </is>
      </c>
      <c r="B2127" s="1" t="n">
        <v>45072</v>
      </c>
      <c r="C2127" s="1" t="n">
        <v>45822</v>
      </c>
      <c r="D2127" t="inlineStr">
        <is>
          <t>VÄSTERNORRLANDS LÄN</t>
        </is>
      </c>
      <c r="E2127" t="inlineStr">
        <is>
          <t>SOLLEFTEÅ</t>
        </is>
      </c>
      <c r="F2127" t="inlineStr">
        <is>
          <t>SCA</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22995-2023</t>
        </is>
      </c>
      <c r="B2128" s="1" t="n">
        <v>45073</v>
      </c>
      <c r="C2128" s="1" t="n">
        <v>45822</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23488-2023</t>
        </is>
      </c>
      <c r="B2129" s="1" t="n">
        <v>45072</v>
      </c>
      <c r="C2129" s="1" t="n">
        <v>45822</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23016-2023</t>
        </is>
      </c>
      <c r="B2130" s="1" t="n">
        <v>45073</v>
      </c>
      <c r="C2130" s="1" t="n">
        <v>45822</v>
      </c>
      <c r="D2130" t="inlineStr">
        <is>
          <t>VÄSTERNORRLANDS LÄN</t>
        </is>
      </c>
      <c r="E2130" t="inlineStr">
        <is>
          <t>SOLLEFTEÅ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23286-2023</t>
        </is>
      </c>
      <c r="B2131" s="1" t="n">
        <v>45075</v>
      </c>
      <c r="C2131" s="1" t="n">
        <v>45822</v>
      </c>
      <c r="D2131" t="inlineStr">
        <is>
          <t>VÄSTERNORRLANDS LÄN</t>
        </is>
      </c>
      <c r="E2131" t="inlineStr">
        <is>
          <t>SOLLEFTEÅ</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23277-2023</t>
        </is>
      </c>
      <c r="B2132" s="1" t="n">
        <v>45075</v>
      </c>
      <c r="C2132" s="1" t="n">
        <v>45822</v>
      </c>
      <c r="D2132" t="inlineStr">
        <is>
          <t>VÄSTERNORRLANDS LÄN</t>
        </is>
      </c>
      <c r="E2132" t="inlineStr">
        <is>
          <t>SOLLEFTEÅ</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23285-2023</t>
        </is>
      </c>
      <c r="B2133" s="1" t="n">
        <v>45075</v>
      </c>
      <c r="C2133" s="1" t="n">
        <v>45822</v>
      </c>
      <c r="D2133" t="inlineStr">
        <is>
          <t>VÄSTERNORRLANDS LÄN</t>
        </is>
      </c>
      <c r="E2133" t="inlineStr">
        <is>
          <t>SOLLEFTEÅ</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23289-2023</t>
        </is>
      </c>
      <c r="B2134" s="1" t="n">
        <v>45075</v>
      </c>
      <c r="C2134" s="1" t="n">
        <v>45822</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23287-2023</t>
        </is>
      </c>
      <c r="B2135" s="1" t="n">
        <v>45075</v>
      </c>
      <c r="C2135" s="1" t="n">
        <v>45822</v>
      </c>
      <c r="D2135" t="inlineStr">
        <is>
          <t>VÄSTERNORRLANDS LÄN</t>
        </is>
      </c>
      <c r="E2135" t="inlineStr">
        <is>
          <t>SOLLEFTEÅ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23288-2023</t>
        </is>
      </c>
      <c r="B2136" s="1" t="n">
        <v>45075</v>
      </c>
      <c r="C2136" s="1" t="n">
        <v>45822</v>
      </c>
      <c r="D2136" t="inlineStr">
        <is>
          <t>VÄSTERNORRLANDS LÄN</t>
        </is>
      </c>
      <c r="E2136" t="inlineStr">
        <is>
          <t>SOLLEFTEÅ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23523-2023</t>
        </is>
      </c>
      <c r="B2137" s="1" t="n">
        <v>45076</v>
      </c>
      <c r="C2137" s="1" t="n">
        <v>45822</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23527-2023</t>
        </is>
      </c>
      <c r="B2138" s="1" t="n">
        <v>45076</v>
      </c>
      <c r="C2138" s="1" t="n">
        <v>45822</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24306-2023</t>
        </is>
      </c>
      <c r="B2139" s="1" t="n">
        <v>45080</v>
      </c>
      <c r="C2139" s="1" t="n">
        <v>45822</v>
      </c>
      <c r="D2139" t="inlineStr">
        <is>
          <t>VÄSTERNORRLANDS LÄN</t>
        </is>
      </c>
      <c r="E2139" t="inlineStr">
        <is>
          <t>SOLLEFTEÅ</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24314-2023</t>
        </is>
      </c>
      <c r="B2140" s="1" t="n">
        <v>45079</v>
      </c>
      <c r="C2140" s="1" t="n">
        <v>45822</v>
      </c>
      <c r="D2140" t="inlineStr">
        <is>
          <t>VÄSTERNORRLANDS LÄN</t>
        </is>
      </c>
      <c r="E2140" t="inlineStr">
        <is>
          <t>SOLLEFTEÅ</t>
        </is>
      </c>
      <c r="F2140" t="inlineStr">
        <is>
          <t>SCA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25259-2023</t>
        </is>
      </c>
      <c r="B2141" s="1" t="n">
        <v>45079</v>
      </c>
      <c r="C2141" s="1" t="n">
        <v>45822</v>
      </c>
      <c r="D2141" t="inlineStr">
        <is>
          <t>VÄSTERNORRLANDS LÄN</t>
        </is>
      </c>
      <c r="E2141" t="inlineStr">
        <is>
          <t>SOLLEFTEÅ</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25267-2023</t>
        </is>
      </c>
      <c r="B2142" s="1" t="n">
        <v>45079</v>
      </c>
      <c r="C2142" s="1" t="n">
        <v>45822</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25550-2023</t>
        </is>
      </c>
      <c r="B2143" s="1" t="n">
        <v>45082</v>
      </c>
      <c r="C2143" s="1" t="n">
        <v>45822</v>
      </c>
      <c r="D2143" t="inlineStr">
        <is>
          <t>VÄSTERNORRLANDS LÄN</t>
        </is>
      </c>
      <c r="E2143" t="inlineStr">
        <is>
          <t>SOLLEFTEÅ</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24595-2023</t>
        </is>
      </c>
      <c r="B2144" s="1" t="n">
        <v>45084</v>
      </c>
      <c r="C2144" s="1" t="n">
        <v>45822</v>
      </c>
      <c r="D2144" t="inlineStr">
        <is>
          <t>VÄSTERNORRLANDS LÄN</t>
        </is>
      </c>
      <c r="E2144" t="inlineStr">
        <is>
          <t>SOLLEFTEÅ</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24597-2023</t>
        </is>
      </c>
      <c r="B2145" s="1" t="n">
        <v>45083</v>
      </c>
      <c r="C2145" s="1" t="n">
        <v>45822</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24596-2023</t>
        </is>
      </c>
      <c r="B2146" s="1" t="n">
        <v>45084</v>
      </c>
      <c r="C2146" s="1" t="n">
        <v>45822</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25795-2023</t>
        </is>
      </c>
      <c r="B2147" s="1" t="n">
        <v>45085</v>
      </c>
      <c r="C2147" s="1" t="n">
        <v>45822</v>
      </c>
      <c r="D2147" t="inlineStr">
        <is>
          <t>VÄSTERNORRLANDS LÄN</t>
        </is>
      </c>
      <c r="E2147" t="inlineStr">
        <is>
          <t>SOLLEFTEÅ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25848-2023</t>
        </is>
      </c>
      <c r="B2148" s="1" t="n">
        <v>45085</v>
      </c>
      <c r="C2148" s="1" t="n">
        <v>45822</v>
      </c>
      <c r="D2148" t="inlineStr">
        <is>
          <t>VÄSTERNORRLANDS LÄN</t>
        </is>
      </c>
      <c r="E2148" t="inlineStr">
        <is>
          <t>SOLLEFTEÅ</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25079-2023</t>
        </is>
      </c>
      <c r="B2149" s="1" t="n">
        <v>45086</v>
      </c>
      <c r="C2149" s="1" t="n">
        <v>45822</v>
      </c>
      <c r="D2149" t="inlineStr">
        <is>
          <t>VÄSTERNORRLANDS LÄN</t>
        </is>
      </c>
      <c r="E2149" t="inlineStr">
        <is>
          <t>SOLLEFTEÅ</t>
        </is>
      </c>
      <c r="F2149" t="inlineStr">
        <is>
          <t>Kommuner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25314-2023</t>
        </is>
      </c>
      <c r="B2150" s="1" t="n">
        <v>45086</v>
      </c>
      <c r="C2150" s="1" t="n">
        <v>45822</v>
      </c>
      <c r="D2150" t="inlineStr">
        <is>
          <t>VÄSTERNORRLANDS LÄN</t>
        </is>
      </c>
      <c r="E2150" t="inlineStr">
        <is>
          <t>SOLLEFTEÅ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25392-2023</t>
        </is>
      </c>
      <c r="B2151" s="1" t="n">
        <v>45089</v>
      </c>
      <c r="C2151" s="1" t="n">
        <v>45822</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25987-2023</t>
        </is>
      </c>
      <c r="B2152" s="1" t="n">
        <v>45091</v>
      </c>
      <c r="C2152" s="1" t="n">
        <v>45822</v>
      </c>
      <c r="D2152" t="inlineStr">
        <is>
          <t>VÄSTERNORRLANDS LÄN</t>
        </is>
      </c>
      <c r="E2152" t="inlineStr">
        <is>
          <t>SOLLEFTEÅ</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26210-2023</t>
        </is>
      </c>
      <c r="B2153" s="1" t="n">
        <v>45090</v>
      </c>
      <c r="C2153" s="1" t="n">
        <v>45822</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25986-2023</t>
        </is>
      </c>
      <c r="B2154" s="1" t="n">
        <v>45090</v>
      </c>
      <c r="C2154" s="1" t="n">
        <v>45822</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26373-2023</t>
        </is>
      </c>
      <c r="B2155" s="1" t="n">
        <v>45092</v>
      </c>
      <c r="C2155" s="1" t="n">
        <v>45822</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27544-2023</t>
        </is>
      </c>
      <c r="B2156" s="1" t="n">
        <v>45092</v>
      </c>
      <c r="C2156" s="1" t="n">
        <v>45822</v>
      </c>
      <c r="D2156" t="inlineStr">
        <is>
          <t>VÄSTERNORRLANDS LÄN</t>
        </is>
      </c>
      <c r="E2156" t="inlineStr">
        <is>
          <t>SOLLEFTEÅ</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27534-2023</t>
        </is>
      </c>
      <c r="B2157" s="1" t="n">
        <v>45092</v>
      </c>
      <c r="C2157" s="1" t="n">
        <v>45822</v>
      </c>
      <c r="D2157" t="inlineStr">
        <is>
          <t>VÄSTERNORRLANDS LÄN</t>
        </is>
      </c>
      <c r="E2157" t="inlineStr">
        <is>
          <t>SOLLEFTEÅ</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27381-2023</t>
        </is>
      </c>
      <c r="B2158" s="1" t="n">
        <v>45097</v>
      </c>
      <c r="C2158" s="1" t="n">
        <v>45822</v>
      </c>
      <c r="D2158" t="inlineStr">
        <is>
          <t>VÄSTERNORRLANDS LÄN</t>
        </is>
      </c>
      <c r="E2158" t="inlineStr">
        <is>
          <t>SOLLEFTEÅ</t>
        </is>
      </c>
      <c r="F2158" t="inlineStr">
        <is>
          <t>SCA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27382-2023</t>
        </is>
      </c>
      <c r="B2159" s="1" t="n">
        <v>45097</v>
      </c>
      <c r="C2159" s="1" t="n">
        <v>45822</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27384-2023</t>
        </is>
      </c>
      <c r="B2160" s="1" t="n">
        <v>45097</v>
      </c>
      <c r="C2160" s="1" t="n">
        <v>45822</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27392-2023</t>
        </is>
      </c>
      <c r="B2161" s="1" t="n">
        <v>45097</v>
      </c>
      <c r="C2161" s="1" t="n">
        <v>45822</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28653-2023</t>
        </is>
      </c>
      <c r="B2162" s="1" t="n">
        <v>45096</v>
      </c>
      <c r="C2162" s="1" t="n">
        <v>45822</v>
      </c>
      <c r="D2162" t="inlineStr">
        <is>
          <t>VÄSTERNORRLANDS LÄN</t>
        </is>
      </c>
      <c r="E2162" t="inlineStr">
        <is>
          <t>SOLLEFTEÅ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27383-2023</t>
        </is>
      </c>
      <c r="B2163" s="1" t="n">
        <v>45097</v>
      </c>
      <c r="C2163" s="1" t="n">
        <v>45822</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27391-2023</t>
        </is>
      </c>
      <c r="B2164" s="1" t="n">
        <v>45097</v>
      </c>
      <c r="C2164" s="1" t="n">
        <v>45822</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27674-2023</t>
        </is>
      </c>
      <c r="B2165" s="1" t="n">
        <v>45097</v>
      </c>
      <c r="C2165" s="1" t="n">
        <v>45822</v>
      </c>
      <c r="D2165" t="inlineStr">
        <is>
          <t>VÄSTERNORRLANDS LÄN</t>
        </is>
      </c>
      <c r="E2165" t="inlineStr">
        <is>
          <t>SOLLEFTEÅ</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29210-2023</t>
        </is>
      </c>
      <c r="B2166" s="1" t="n">
        <v>45097</v>
      </c>
      <c r="C2166" s="1" t="n">
        <v>45822</v>
      </c>
      <c r="D2166" t="inlineStr">
        <is>
          <t>VÄSTERNORRLANDS LÄN</t>
        </is>
      </c>
      <c r="E2166" t="inlineStr">
        <is>
          <t>SOLLEFTEÅ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29197-2023</t>
        </is>
      </c>
      <c r="B2167" s="1" t="n">
        <v>45097</v>
      </c>
      <c r="C2167" s="1" t="n">
        <v>45822</v>
      </c>
      <c r="D2167" t="inlineStr">
        <is>
          <t>VÄSTERNORRLANDS LÄN</t>
        </is>
      </c>
      <c r="E2167" t="inlineStr">
        <is>
          <t>SOLLEFTEÅ</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28384-2023</t>
        </is>
      </c>
      <c r="B2168" s="1" t="n">
        <v>45100</v>
      </c>
      <c r="C2168" s="1" t="n">
        <v>45822</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28385-2023</t>
        </is>
      </c>
      <c r="B2169" s="1" t="n">
        <v>45099</v>
      </c>
      <c r="C2169" s="1" t="n">
        <v>45822</v>
      </c>
      <c r="D2169" t="inlineStr">
        <is>
          <t>VÄSTERNORRLANDS LÄN</t>
        </is>
      </c>
      <c r="E2169" t="inlineStr">
        <is>
          <t>SOLLEFTEÅ</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28374-2023</t>
        </is>
      </c>
      <c r="B2170" s="1" t="n">
        <v>45099</v>
      </c>
      <c r="C2170" s="1" t="n">
        <v>45822</v>
      </c>
      <c r="D2170" t="inlineStr">
        <is>
          <t>VÄSTERNORRLANDS LÄN</t>
        </is>
      </c>
      <c r="E2170" t="inlineStr">
        <is>
          <t>SOLLEFTEÅ</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28366-2023</t>
        </is>
      </c>
      <c r="B2171" s="1" t="n">
        <v>45099</v>
      </c>
      <c r="C2171" s="1" t="n">
        <v>45822</v>
      </c>
      <c r="D2171" t="inlineStr">
        <is>
          <t>VÄSTERNORRLANDS LÄN</t>
        </is>
      </c>
      <c r="E2171" t="inlineStr">
        <is>
          <t>SOLLEFTEÅ</t>
        </is>
      </c>
      <c r="F2171" t="inlineStr">
        <is>
          <t>SCA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28383-2023</t>
        </is>
      </c>
      <c r="B2172" s="1" t="n">
        <v>45099</v>
      </c>
      <c r="C2172" s="1" t="n">
        <v>45822</v>
      </c>
      <c r="D2172" t="inlineStr">
        <is>
          <t>VÄSTERNORRLANDS LÄN</t>
        </is>
      </c>
      <c r="E2172" t="inlineStr">
        <is>
          <t>SOLLEFTEÅ</t>
        </is>
      </c>
      <c r="F2172" t="inlineStr">
        <is>
          <t>SCA</t>
        </is>
      </c>
      <c r="G2172" t="n">
        <v>20.6</v>
      </c>
      <c r="H2172" t="n">
        <v>0</v>
      </c>
      <c r="I2172" t="n">
        <v>0</v>
      </c>
      <c r="J2172" t="n">
        <v>0</v>
      </c>
      <c r="K2172" t="n">
        <v>0</v>
      </c>
      <c r="L2172" t="n">
        <v>0</v>
      </c>
      <c r="M2172" t="n">
        <v>0</v>
      </c>
      <c r="N2172" t="n">
        <v>0</v>
      </c>
      <c r="O2172" t="n">
        <v>0</v>
      </c>
      <c r="P2172" t="n">
        <v>0</v>
      </c>
      <c r="Q2172" t="n">
        <v>0</v>
      </c>
      <c r="R2172" s="2" t="inlineStr"/>
    </row>
    <row r="2173" ht="15" customHeight="1">
      <c r="A2173" t="inlineStr">
        <is>
          <t>A 28375-2023</t>
        </is>
      </c>
      <c r="B2173" s="1" t="n">
        <v>45100</v>
      </c>
      <c r="C2173" s="1" t="n">
        <v>45822</v>
      </c>
      <c r="D2173" t="inlineStr">
        <is>
          <t>VÄSTERNORRLANDS LÄN</t>
        </is>
      </c>
      <c r="E2173" t="inlineStr">
        <is>
          <t>SOLLEFTEÅ</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30163-2023</t>
        </is>
      </c>
      <c r="B2174" s="1" t="n">
        <v>45099</v>
      </c>
      <c r="C2174" s="1" t="n">
        <v>45822</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28736-2023</t>
        </is>
      </c>
      <c r="B2175" s="1" t="n">
        <v>45104</v>
      </c>
      <c r="C2175" s="1" t="n">
        <v>45822</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28749-2023</t>
        </is>
      </c>
      <c r="B2176" s="1" t="n">
        <v>45103</v>
      </c>
      <c r="C2176" s="1" t="n">
        <v>45822</v>
      </c>
      <c r="D2176" t="inlineStr">
        <is>
          <t>VÄSTERNORRLANDS LÄN</t>
        </is>
      </c>
      <c r="E2176" t="inlineStr">
        <is>
          <t>SOLLEFTEÅ</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29065-2023</t>
        </is>
      </c>
      <c r="B2177" s="1" t="n">
        <v>45105</v>
      </c>
      <c r="C2177" s="1" t="n">
        <v>45822</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29062-2023</t>
        </is>
      </c>
      <c r="B2178" s="1" t="n">
        <v>45104</v>
      </c>
      <c r="C2178" s="1" t="n">
        <v>45822</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29064-2023</t>
        </is>
      </c>
      <c r="B2179" s="1" t="n">
        <v>45105</v>
      </c>
      <c r="C2179" s="1" t="n">
        <v>45822</v>
      </c>
      <c r="D2179" t="inlineStr">
        <is>
          <t>VÄSTERNORRLANDS LÄN</t>
        </is>
      </c>
      <c r="E2179" t="inlineStr">
        <is>
          <t>SOLLEFTEÅ</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29070-2023</t>
        </is>
      </c>
      <c r="B2180" s="1" t="n">
        <v>45105</v>
      </c>
      <c r="C2180" s="1" t="n">
        <v>45822</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29306-2023</t>
        </is>
      </c>
      <c r="B2181" s="1" t="n">
        <v>45106</v>
      </c>
      <c r="C2181" s="1" t="n">
        <v>45822</v>
      </c>
      <c r="D2181" t="inlineStr">
        <is>
          <t>VÄSTERNORRLANDS LÄN</t>
        </is>
      </c>
      <c r="E2181" t="inlineStr">
        <is>
          <t>SOLLEFTEÅ</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29337-2023</t>
        </is>
      </c>
      <c r="B2182" s="1" t="n">
        <v>45105</v>
      </c>
      <c r="C2182" s="1" t="n">
        <v>45822</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29336-2023</t>
        </is>
      </c>
      <c r="B2183" s="1" t="n">
        <v>45105</v>
      </c>
      <c r="C2183" s="1" t="n">
        <v>45822</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29614-2023</t>
        </is>
      </c>
      <c r="B2184" s="1" t="n">
        <v>45107</v>
      </c>
      <c r="C2184" s="1" t="n">
        <v>45822</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29446-2023</t>
        </is>
      </c>
      <c r="B2185" s="1" t="n">
        <v>45106</v>
      </c>
      <c r="C2185" s="1" t="n">
        <v>45822</v>
      </c>
      <c r="D2185" t="inlineStr">
        <is>
          <t>VÄSTERNORRLANDS LÄN</t>
        </is>
      </c>
      <c r="E2185" t="inlineStr">
        <is>
          <t>SOLLEFTEÅ</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29612-2023</t>
        </is>
      </c>
      <c r="B2186" s="1" t="n">
        <v>45106</v>
      </c>
      <c r="C2186" s="1" t="n">
        <v>45822</v>
      </c>
      <c r="D2186" t="inlineStr">
        <is>
          <t>VÄSTERNORRLANDS LÄN</t>
        </is>
      </c>
      <c r="E2186" t="inlineStr">
        <is>
          <t>SOLLEFTEÅ</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29619-2023</t>
        </is>
      </c>
      <c r="B2187" s="1" t="n">
        <v>45106</v>
      </c>
      <c r="C2187" s="1" t="n">
        <v>45822</v>
      </c>
      <c r="D2187" t="inlineStr">
        <is>
          <t>VÄSTERNORRLANDS LÄN</t>
        </is>
      </c>
      <c r="E2187" t="inlineStr">
        <is>
          <t>SOLLEFTEÅ</t>
        </is>
      </c>
      <c r="F2187" t="inlineStr">
        <is>
          <t>SCA</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29611-2023</t>
        </is>
      </c>
      <c r="B2188" s="1" t="n">
        <v>45106</v>
      </c>
      <c r="C2188" s="1" t="n">
        <v>45822</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29832-2023</t>
        </is>
      </c>
      <c r="B2189" s="1" t="n">
        <v>45107</v>
      </c>
      <c r="C2189" s="1" t="n">
        <v>45822</v>
      </c>
      <c r="D2189" t="inlineStr">
        <is>
          <t>VÄSTERNORRLANDS LÄN</t>
        </is>
      </c>
      <c r="E2189" t="inlineStr">
        <is>
          <t>SOLLEFTEÅ</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29952-2023</t>
        </is>
      </c>
      <c r="B2190" s="1" t="n">
        <v>45107</v>
      </c>
      <c r="C2190" s="1" t="n">
        <v>45822</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29944-2023</t>
        </is>
      </c>
      <c r="B2191" s="1" t="n">
        <v>45108</v>
      </c>
      <c r="C2191" s="1" t="n">
        <v>45822</v>
      </c>
      <c r="D2191" t="inlineStr">
        <is>
          <t>VÄSTERNORRLANDS LÄN</t>
        </is>
      </c>
      <c r="E2191" t="inlineStr">
        <is>
          <t>SOLLEFTEÅ</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29956-2023</t>
        </is>
      </c>
      <c r="B2192" s="1" t="n">
        <v>45107</v>
      </c>
      <c r="C2192" s="1" t="n">
        <v>45822</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29949-2023</t>
        </is>
      </c>
      <c r="B2193" s="1" t="n">
        <v>45107</v>
      </c>
      <c r="C2193" s="1" t="n">
        <v>45822</v>
      </c>
      <c r="D2193" t="inlineStr">
        <is>
          <t>VÄSTERNORRLANDS LÄN</t>
        </is>
      </c>
      <c r="E2193" t="inlineStr">
        <is>
          <t>SOLLEFTEÅ</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29957-2023</t>
        </is>
      </c>
      <c r="B2194" s="1" t="n">
        <v>45107</v>
      </c>
      <c r="C2194" s="1" t="n">
        <v>45822</v>
      </c>
      <c r="D2194" t="inlineStr">
        <is>
          <t>VÄSTERNORRLANDS LÄN</t>
        </is>
      </c>
      <c r="E2194" t="inlineStr">
        <is>
          <t>SOLLEFTEÅ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29946-2023</t>
        </is>
      </c>
      <c r="B2195" s="1" t="n">
        <v>45108</v>
      </c>
      <c r="C2195" s="1" t="n">
        <v>45822</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29964-2023</t>
        </is>
      </c>
      <c r="B2196" s="1" t="n">
        <v>45108</v>
      </c>
      <c r="C2196" s="1" t="n">
        <v>45822</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30295-2023</t>
        </is>
      </c>
      <c r="B2197" s="1" t="n">
        <v>45110</v>
      </c>
      <c r="C2197" s="1" t="n">
        <v>45822</v>
      </c>
      <c r="D2197" t="inlineStr">
        <is>
          <t>VÄSTERNORRLANDS LÄN</t>
        </is>
      </c>
      <c r="E2197" t="inlineStr">
        <is>
          <t>SOLLEFTEÅ</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30567-2023</t>
        </is>
      </c>
      <c r="B2198" s="1" t="n">
        <v>45112</v>
      </c>
      <c r="C2198" s="1" t="n">
        <v>45822</v>
      </c>
      <c r="D2198" t="inlineStr">
        <is>
          <t>VÄSTERNORRLANDS LÄN</t>
        </is>
      </c>
      <c r="E2198" t="inlineStr">
        <is>
          <t>SOLLEFTEÅ</t>
        </is>
      </c>
      <c r="F2198" t="inlineStr">
        <is>
          <t>SCA</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30822-2023</t>
        </is>
      </c>
      <c r="B2199" s="1" t="n">
        <v>45113</v>
      </c>
      <c r="C2199" s="1" t="n">
        <v>45822</v>
      </c>
      <c r="D2199" t="inlineStr">
        <is>
          <t>VÄSTERNORRLANDS LÄN</t>
        </is>
      </c>
      <c r="E2199" t="inlineStr">
        <is>
          <t>SOLLEFTEÅ</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30829-2023</t>
        </is>
      </c>
      <c r="B2200" s="1" t="n">
        <v>45113</v>
      </c>
      <c r="C2200" s="1" t="n">
        <v>45822</v>
      </c>
      <c r="D2200" t="inlineStr">
        <is>
          <t>VÄSTERNORRLANDS LÄN</t>
        </is>
      </c>
      <c r="E2200" t="inlineStr">
        <is>
          <t>SOLLEFTEÅ</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31177-2023</t>
        </is>
      </c>
      <c r="B2201" s="1" t="n">
        <v>45113</v>
      </c>
      <c r="C2201" s="1" t="n">
        <v>45822</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31179-2023</t>
        </is>
      </c>
      <c r="B2202" s="1" t="n">
        <v>45114</v>
      </c>
      <c r="C2202" s="1" t="n">
        <v>45822</v>
      </c>
      <c r="D2202" t="inlineStr">
        <is>
          <t>VÄSTERNORRLANDS LÄN</t>
        </is>
      </c>
      <c r="E2202" t="inlineStr">
        <is>
          <t>SOLLEFTEÅ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31178-2023</t>
        </is>
      </c>
      <c r="B2203" s="1" t="n">
        <v>45114</v>
      </c>
      <c r="C2203" s="1" t="n">
        <v>45822</v>
      </c>
      <c r="D2203" t="inlineStr">
        <is>
          <t>VÄSTERNORRLANDS LÄN</t>
        </is>
      </c>
      <c r="E2203" t="inlineStr">
        <is>
          <t>SOLLEFTEÅ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31387-2023</t>
        </is>
      </c>
      <c r="B2204" s="1" t="n">
        <v>45114</v>
      </c>
      <c r="C2204" s="1" t="n">
        <v>45822</v>
      </c>
      <c r="D2204" t="inlineStr">
        <is>
          <t>VÄSTERNORRLANDS LÄN</t>
        </is>
      </c>
      <c r="E2204" t="inlineStr">
        <is>
          <t>SOLLEFTEÅ</t>
        </is>
      </c>
      <c r="F2204" t="inlineStr">
        <is>
          <t>Övriga statliga verk och myndigheter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33203-2023</t>
        </is>
      </c>
      <c r="B2205" s="1" t="n">
        <v>45114</v>
      </c>
      <c r="C2205" s="1" t="n">
        <v>45822</v>
      </c>
      <c r="D2205" t="inlineStr">
        <is>
          <t>VÄSTERNORRLANDS LÄN</t>
        </is>
      </c>
      <c r="E2205" t="inlineStr">
        <is>
          <t>SOLLEFTEÅ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31913-2023</t>
        </is>
      </c>
      <c r="B2206" s="1" t="n">
        <v>45118</v>
      </c>
      <c r="C2206" s="1" t="n">
        <v>45822</v>
      </c>
      <c r="D2206" t="inlineStr">
        <is>
          <t>VÄSTERNORRLANDS LÄN</t>
        </is>
      </c>
      <c r="E2206" t="inlineStr">
        <is>
          <t>SOLLEFTEÅ</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31917-2023</t>
        </is>
      </c>
      <c r="B2207" s="1" t="n">
        <v>45119</v>
      </c>
      <c r="C2207" s="1" t="n">
        <v>45822</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31915-2023</t>
        </is>
      </c>
      <c r="B2208" s="1" t="n">
        <v>45119</v>
      </c>
      <c r="C2208" s="1" t="n">
        <v>45822</v>
      </c>
      <c r="D2208" t="inlineStr">
        <is>
          <t>VÄSTERNORRLANDS LÄN</t>
        </is>
      </c>
      <c r="E2208" t="inlineStr">
        <is>
          <t>SOLLEFTEÅ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31919-2023</t>
        </is>
      </c>
      <c r="B2209" s="1" t="n">
        <v>45118</v>
      </c>
      <c r="C2209" s="1" t="n">
        <v>45822</v>
      </c>
      <c r="D2209" t="inlineStr">
        <is>
          <t>VÄSTERNORRLANDS LÄN</t>
        </is>
      </c>
      <c r="E2209" t="inlineStr">
        <is>
          <t>SOLLEFTEÅ</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31923-2023</t>
        </is>
      </c>
      <c r="B2210" s="1" t="n">
        <v>45118</v>
      </c>
      <c r="C2210" s="1" t="n">
        <v>45822</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31914-2023</t>
        </is>
      </c>
      <c r="B2211" s="1" t="n">
        <v>45118</v>
      </c>
      <c r="C2211" s="1" t="n">
        <v>45822</v>
      </c>
      <c r="D2211" t="inlineStr">
        <is>
          <t>VÄSTERNORRLANDS LÄN</t>
        </is>
      </c>
      <c r="E2211" t="inlineStr">
        <is>
          <t>SOLLEFTEÅ</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31918-2023</t>
        </is>
      </c>
      <c r="B2212" s="1" t="n">
        <v>45118</v>
      </c>
      <c r="C2212" s="1" t="n">
        <v>45822</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31922-2023</t>
        </is>
      </c>
      <c r="B2213" s="1" t="n">
        <v>45119</v>
      </c>
      <c r="C2213" s="1" t="n">
        <v>45822</v>
      </c>
      <c r="D2213" t="inlineStr">
        <is>
          <t>VÄSTERNORRLANDS LÄN</t>
        </is>
      </c>
      <c r="E2213" t="inlineStr">
        <is>
          <t>SOLLEFTEÅ</t>
        </is>
      </c>
      <c r="F2213" t="inlineStr">
        <is>
          <t>SCA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31916-2023</t>
        </is>
      </c>
      <c r="B2214" s="1" t="n">
        <v>45119</v>
      </c>
      <c r="C2214" s="1" t="n">
        <v>45822</v>
      </c>
      <c r="D2214" t="inlineStr">
        <is>
          <t>VÄSTERNORRLANDS LÄN</t>
        </is>
      </c>
      <c r="E2214" t="inlineStr">
        <is>
          <t>SOLLEFTEÅ</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31924-2023</t>
        </is>
      </c>
      <c r="B2215" s="1" t="n">
        <v>45118</v>
      </c>
      <c r="C2215" s="1" t="n">
        <v>45822</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31921-2023</t>
        </is>
      </c>
      <c r="B2216" s="1" t="n">
        <v>45119</v>
      </c>
      <c r="C2216" s="1" t="n">
        <v>45822</v>
      </c>
      <c r="D2216" t="inlineStr">
        <is>
          <t>VÄSTERNORRLANDS LÄN</t>
        </is>
      </c>
      <c r="E2216" t="inlineStr">
        <is>
          <t>SOLLEFTEÅ</t>
        </is>
      </c>
      <c r="F2216" t="inlineStr">
        <is>
          <t>SCA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31925-2023</t>
        </is>
      </c>
      <c r="B2217" s="1" t="n">
        <v>45118</v>
      </c>
      <c r="C2217" s="1" t="n">
        <v>45822</v>
      </c>
      <c r="D2217" t="inlineStr">
        <is>
          <t>VÄSTERNORRLANDS LÄN</t>
        </is>
      </c>
      <c r="E2217" t="inlineStr">
        <is>
          <t>SOLLEFTEÅ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33642-2023</t>
        </is>
      </c>
      <c r="B2218" s="1" t="n">
        <v>45119</v>
      </c>
      <c r="C2218" s="1" t="n">
        <v>45822</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32466-2023</t>
        </is>
      </c>
      <c r="B2219" s="1" t="n">
        <v>45120</v>
      </c>
      <c r="C2219" s="1" t="n">
        <v>45822</v>
      </c>
      <c r="D2219" t="inlineStr">
        <is>
          <t>VÄSTERNORRLANDS LÄN</t>
        </is>
      </c>
      <c r="E2219" t="inlineStr">
        <is>
          <t>SOLLEFTEÅ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32726-2023</t>
        </is>
      </c>
      <c r="B2220" s="1" t="n">
        <v>45121</v>
      </c>
      <c r="C2220" s="1" t="n">
        <v>45822</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32728-2023</t>
        </is>
      </c>
      <c r="B2221" s="1" t="n">
        <v>45121</v>
      </c>
      <c r="C2221" s="1" t="n">
        <v>45822</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32733-2023</t>
        </is>
      </c>
      <c r="B2222" s="1" t="n">
        <v>45121</v>
      </c>
      <c r="C2222" s="1" t="n">
        <v>45822</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32727-2023</t>
        </is>
      </c>
      <c r="B2223" s="1" t="n">
        <v>45121</v>
      </c>
      <c r="C2223" s="1" t="n">
        <v>45822</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32735-2023</t>
        </is>
      </c>
      <c r="B2224" s="1" t="n">
        <v>45121</v>
      </c>
      <c r="C2224" s="1" t="n">
        <v>45822</v>
      </c>
      <c r="D2224" t="inlineStr">
        <is>
          <t>VÄSTERNORRLANDS LÄN</t>
        </is>
      </c>
      <c r="E2224" t="inlineStr">
        <is>
          <t>SOLLEFTEÅ</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32780-2023</t>
        </is>
      </c>
      <c r="B2225" s="1" t="n">
        <v>45123</v>
      </c>
      <c r="C2225" s="1" t="n">
        <v>45822</v>
      </c>
      <c r="D2225" t="inlineStr">
        <is>
          <t>VÄSTERNORRLANDS LÄN</t>
        </is>
      </c>
      <c r="E2225" t="inlineStr">
        <is>
          <t>SOLLEFTEÅ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33037-2023</t>
        </is>
      </c>
      <c r="B2226" s="1" t="n">
        <v>45126</v>
      </c>
      <c r="C2226" s="1" t="n">
        <v>45822</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34100-2023</t>
        </is>
      </c>
      <c r="B2227" s="1" t="n">
        <v>45125</v>
      </c>
      <c r="C2227" s="1" t="n">
        <v>45822</v>
      </c>
      <c r="D2227" t="inlineStr">
        <is>
          <t>VÄSTERNORRLANDS LÄN</t>
        </is>
      </c>
      <c r="E2227" t="inlineStr">
        <is>
          <t>SOLLEFTEÅ</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33175-2023</t>
        </is>
      </c>
      <c r="B2228" s="1" t="n">
        <v>45126</v>
      </c>
      <c r="C2228" s="1" t="n">
        <v>45822</v>
      </c>
      <c r="D2228" t="inlineStr">
        <is>
          <t>VÄSTERNORRLANDS LÄN</t>
        </is>
      </c>
      <c r="E2228" t="inlineStr">
        <is>
          <t>SOLLEFTEÅ</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33328-2023</t>
        </is>
      </c>
      <c r="B2229" s="1" t="n">
        <v>45127</v>
      </c>
      <c r="C2229" s="1" t="n">
        <v>45822</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34284-2023</t>
        </is>
      </c>
      <c r="B2230" s="1" t="n">
        <v>45128</v>
      </c>
      <c r="C2230" s="1" t="n">
        <v>45822</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33591-2023</t>
        </is>
      </c>
      <c r="B2231" s="1" t="n">
        <v>45131</v>
      </c>
      <c r="C2231" s="1" t="n">
        <v>45822</v>
      </c>
      <c r="D2231" t="inlineStr">
        <is>
          <t>VÄSTERNORRLANDS LÄN</t>
        </is>
      </c>
      <c r="E2231" t="inlineStr">
        <is>
          <t>SOLLEFTEÅ</t>
        </is>
      </c>
      <c r="F2231" t="inlineStr">
        <is>
          <t>SCA</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33709-2023</t>
        </is>
      </c>
      <c r="B2232" s="1" t="n">
        <v>45133</v>
      </c>
      <c r="C2232" s="1" t="n">
        <v>45822</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33713-2023</t>
        </is>
      </c>
      <c r="B2233" s="1" t="n">
        <v>45133</v>
      </c>
      <c r="C2233" s="1" t="n">
        <v>45822</v>
      </c>
      <c r="D2233" t="inlineStr">
        <is>
          <t>VÄSTERNORRLANDS LÄN</t>
        </is>
      </c>
      <c r="E2233" t="inlineStr">
        <is>
          <t>SOLLEFTEÅ</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33999-2023</t>
        </is>
      </c>
      <c r="B2234" s="1" t="n">
        <v>45134</v>
      </c>
      <c r="C2234" s="1" t="n">
        <v>45822</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34309-2023</t>
        </is>
      </c>
      <c r="B2235" s="1" t="n">
        <v>45139</v>
      </c>
      <c r="C2235" s="1" t="n">
        <v>45822</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34306-2023</t>
        </is>
      </c>
      <c r="B2236" s="1" t="n">
        <v>45138</v>
      </c>
      <c r="C2236" s="1" t="n">
        <v>45822</v>
      </c>
      <c r="D2236" t="inlineStr">
        <is>
          <t>VÄSTERNORRLANDS LÄN</t>
        </is>
      </c>
      <c r="E2236" t="inlineStr">
        <is>
          <t>SOLLEFTEÅ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34310-2023</t>
        </is>
      </c>
      <c r="B2237" s="1" t="n">
        <v>45139</v>
      </c>
      <c r="C2237" s="1" t="n">
        <v>45822</v>
      </c>
      <c r="D2237" t="inlineStr">
        <is>
          <t>VÄSTERNORRLANDS LÄN</t>
        </is>
      </c>
      <c r="E2237" t="inlineStr">
        <is>
          <t>SOLLEFTEÅ</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34308-2023</t>
        </is>
      </c>
      <c r="B2238" s="1" t="n">
        <v>45138</v>
      </c>
      <c r="C2238" s="1" t="n">
        <v>45822</v>
      </c>
      <c r="D2238" t="inlineStr">
        <is>
          <t>VÄSTERNORRLANDS LÄN</t>
        </is>
      </c>
      <c r="E2238" t="inlineStr">
        <is>
          <t>SOLLEFTEÅ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34329-2023</t>
        </is>
      </c>
      <c r="B2239" s="1" t="n">
        <v>45139</v>
      </c>
      <c r="C2239" s="1" t="n">
        <v>45822</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34330-2023</t>
        </is>
      </c>
      <c r="B2240" s="1" t="n">
        <v>45138</v>
      </c>
      <c r="C2240" s="1" t="n">
        <v>45822</v>
      </c>
      <c r="D2240" t="inlineStr">
        <is>
          <t>VÄSTERNORRLANDS LÄN</t>
        </is>
      </c>
      <c r="E2240" t="inlineStr">
        <is>
          <t>SOLLEFTEÅ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34328-2023</t>
        </is>
      </c>
      <c r="B2241" s="1" t="n">
        <v>45139</v>
      </c>
      <c r="C2241" s="1" t="n">
        <v>45822</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34307-2023</t>
        </is>
      </c>
      <c r="B2242" s="1" t="n">
        <v>45138</v>
      </c>
      <c r="C2242" s="1" t="n">
        <v>45822</v>
      </c>
      <c r="D2242" t="inlineStr">
        <is>
          <t>VÄSTERNORRLANDS LÄN</t>
        </is>
      </c>
      <c r="E2242" t="inlineStr">
        <is>
          <t>SOLLEFTEÅ</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34311-2023</t>
        </is>
      </c>
      <c r="B2243" s="1" t="n">
        <v>45139</v>
      </c>
      <c r="C2243" s="1" t="n">
        <v>45822</v>
      </c>
      <c r="D2243" t="inlineStr">
        <is>
          <t>VÄSTERNORRLANDS LÄN</t>
        </is>
      </c>
      <c r="E2243" t="inlineStr">
        <is>
          <t>SOLLEFTEÅ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34327-2023</t>
        </is>
      </c>
      <c r="B2244" s="1" t="n">
        <v>45139</v>
      </c>
      <c r="C2244" s="1" t="n">
        <v>45822</v>
      </c>
      <c r="D2244" t="inlineStr">
        <is>
          <t>VÄSTERNORRLANDS LÄN</t>
        </is>
      </c>
      <c r="E2244" t="inlineStr">
        <is>
          <t>SOLLEFTEÅ</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34487-2023</t>
        </is>
      </c>
      <c r="B2245" s="1" t="n">
        <v>45140</v>
      </c>
      <c r="C2245" s="1" t="n">
        <v>45822</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34741-2023</t>
        </is>
      </c>
      <c r="B2246" s="1" t="n">
        <v>45139</v>
      </c>
      <c r="C2246" s="1" t="n">
        <v>45822</v>
      </c>
      <c r="D2246" t="inlineStr">
        <is>
          <t>VÄSTERNORRLANDS LÄN</t>
        </is>
      </c>
      <c r="E2246" t="inlineStr">
        <is>
          <t>SOLLEFTEÅ</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34737-2023</t>
        </is>
      </c>
      <c r="B2247" s="1" t="n">
        <v>45139</v>
      </c>
      <c r="C2247" s="1" t="n">
        <v>45822</v>
      </c>
      <c r="D2247" t="inlineStr">
        <is>
          <t>VÄSTERNORRLANDS LÄN</t>
        </is>
      </c>
      <c r="E2247" t="inlineStr">
        <is>
          <t>SOLLEFTEÅ</t>
        </is>
      </c>
      <c r="F2247" t="inlineStr">
        <is>
          <t>SCA</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34687-2023</t>
        </is>
      </c>
      <c r="B2248" s="1" t="n">
        <v>45141</v>
      </c>
      <c r="C2248" s="1" t="n">
        <v>45822</v>
      </c>
      <c r="D2248" t="inlineStr">
        <is>
          <t>VÄSTERNORRLANDS LÄN</t>
        </is>
      </c>
      <c r="E2248" t="inlineStr">
        <is>
          <t>SOLLEFTEÅ</t>
        </is>
      </c>
      <c r="F2248" t="inlineStr">
        <is>
          <t>SCA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34686-2023</t>
        </is>
      </c>
      <c r="B2249" s="1" t="n">
        <v>45141</v>
      </c>
      <c r="C2249" s="1" t="n">
        <v>45822</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34696-2023</t>
        </is>
      </c>
      <c r="B2250" s="1" t="n">
        <v>45141</v>
      </c>
      <c r="C2250" s="1" t="n">
        <v>45822</v>
      </c>
      <c r="D2250" t="inlineStr">
        <is>
          <t>VÄSTERNORRLANDS LÄN</t>
        </is>
      </c>
      <c r="E2250" t="inlineStr">
        <is>
          <t>SOLLEFTEÅ</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34983-2023</t>
        </is>
      </c>
      <c r="B2251" s="1" t="n">
        <v>45141</v>
      </c>
      <c r="C2251" s="1" t="n">
        <v>45822</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34848-2023</t>
        </is>
      </c>
      <c r="B2252" s="1" t="n">
        <v>45142</v>
      </c>
      <c r="C2252" s="1" t="n">
        <v>45822</v>
      </c>
      <c r="D2252" t="inlineStr">
        <is>
          <t>VÄSTERNORRLANDS LÄN</t>
        </is>
      </c>
      <c r="E2252" t="inlineStr">
        <is>
          <t>SOLLEFTEÅ</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35147-2023</t>
        </is>
      </c>
      <c r="B2253" s="1" t="n">
        <v>45142</v>
      </c>
      <c r="C2253" s="1" t="n">
        <v>45822</v>
      </c>
      <c r="D2253" t="inlineStr">
        <is>
          <t>VÄSTERNORRLANDS LÄN</t>
        </is>
      </c>
      <c r="E2253" t="inlineStr">
        <is>
          <t>SOLLEFTEÅ</t>
        </is>
      </c>
      <c r="F2253" t="inlineStr">
        <is>
          <t>SCA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35276-2023</t>
        </is>
      </c>
      <c r="B2254" s="1" t="n">
        <v>45146</v>
      </c>
      <c r="C2254" s="1" t="n">
        <v>45822</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35277-2023</t>
        </is>
      </c>
      <c r="B2255" s="1" t="n">
        <v>45145</v>
      </c>
      <c r="C2255" s="1" t="n">
        <v>45822</v>
      </c>
      <c r="D2255" t="inlineStr">
        <is>
          <t>VÄSTERNORRLANDS LÄN</t>
        </is>
      </c>
      <c r="E2255" t="inlineStr">
        <is>
          <t>SOLLEFTEÅ</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35352-2023</t>
        </is>
      </c>
      <c r="B2256" s="1" t="n">
        <v>45145</v>
      </c>
      <c r="C2256" s="1" t="n">
        <v>45822</v>
      </c>
      <c r="D2256" t="inlineStr">
        <is>
          <t>VÄSTERNORRLANDS LÄN</t>
        </is>
      </c>
      <c r="E2256" t="inlineStr">
        <is>
          <t>SOLLEFTEÅ</t>
        </is>
      </c>
      <c r="F2256" t="inlineStr">
        <is>
          <t>SCA</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35470-2023</t>
        </is>
      </c>
      <c r="B2257" s="1" t="n">
        <v>45146</v>
      </c>
      <c r="C2257" s="1" t="n">
        <v>45822</v>
      </c>
      <c r="D2257" t="inlineStr">
        <is>
          <t>VÄSTERNORRLANDS LÄN</t>
        </is>
      </c>
      <c r="E2257" t="inlineStr">
        <is>
          <t>SOLLEFTEÅ</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35511-2023</t>
        </is>
      </c>
      <c r="B2258" s="1" t="n">
        <v>45146</v>
      </c>
      <c r="C2258" s="1" t="n">
        <v>45822</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35509-2023</t>
        </is>
      </c>
      <c r="B2259" s="1" t="n">
        <v>45147</v>
      </c>
      <c r="C2259" s="1" t="n">
        <v>45822</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35569-2023</t>
        </is>
      </c>
      <c r="B2260" s="1" t="n">
        <v>45147</v>
      </c>
      <c r="C2260" s="1" t="n">
        <v>45822</v>
      </c>
      <c r="D2260" t="inlineStr">
        <is>
          <t>VÄSTERNORRLANDS LÄN</t>
        </is>
      </c>
      <c r="E2260" t="inlineStr">
        <is>
          <t>SOLLEFTEÅ</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35746-2023</t>
        </is>
      </c>
      <c r="B2261" s="1" t="n">
        <v>45148</v>
      </c>
      <c r="C2261" s="1" t="n">
        <v>45822</v>
      </c>
      <c r="D2261" t="inlineStr">
        <is>
          <t>VÄSTERNORRLANDS LÄN</t>
        </is>
      </c>
      <c r="E2261" t="inlineStr">
        <is>
          <t>SOLLEFTEÅ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35556-2023</t>
        </is>
      </c>
      <c r="B2262" s="1" t="n">
        <v>45147</v>
      </c>
      <c r="C2262" s="1" t="n">
        <v>45822</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35764-2023</t>
        </is>
      </c>
      <c r="B2263" s="1" t="n">
        <v>45147</v>
      </c>
      <c r="C2263" s="1" t="n">
        <v>45822</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35745-2023</t>
        </is>
      </c>
      <c r="B2264" s="1" t="n">
        <v>45148</v>
      </c>
      <c r="C2264" s="1" t="n">
        <v>45822</v>
      </c>
      <c r="D2264" t="inlineStr">
        <is>
          <t>VÄSTERNORRLANDS LÄN</t>
        </is>
      </c>
      <c r="E2264" t="inlineStr">
        <is>
          <t>SOLLEFTEÅ</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35761-2023</t>
        </is>
      </c>
      <c r="B2265" s="1" t="n">
        <v>45148</v>
      </c>
      <c r="C2265" s="1" t="n">
        <v>45822</v>
      </c>
      <c r="D2265" t="inlineStr">
        <is>
          <t>VÄSTERNORRLANDS LÄN</t>
        </is>
      </c>
      <c r="E2265" t="inlineStr">
        <is>
          <t>SOLLEFTEÅ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35945-2023</t>
        </is>
      </c>
      <c r="B2266" s="1" t="n">
        <v>45148</v>
      </c>
      <c r="C2266" s="1" t="n">
        <v>45822</v>
      </c>
      <c r="D2266" t="inlineStr">
        <is>
          <t>VÄSTERNORRLANDS LÄN</t>
        </is>
      </c>
      <c r="E2266" t="inlineStr">
        <is>
          <t>SOLLEFTEÅ</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35980-2023</t>
        </is>
      </c>
      <c r="B2267" s="1" t="n">
        <v>45149</v>
      </c>
      <c r="C2267" s="1" t="n">
        <v>45822</v>
      </c>
      <c r="D2267" t="inlineStr">
        <is>
          <t>VÄSTERNORRLANDS LÄN</t>
        </is>
      </c>
      <c r="E2267" t="inlineStr">
        <is>
          <t>SOLLEFTEÅ</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35975-2023</t>
        </is>
      </c>
      <c r="B2268" s="1" t="n">
        <v>45148</v>
      </c>
      <c r="C2268" s="1" t="n">
        <v>45822</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35974-2023</t>
        </is>
      </c>
      <c r="B2269" s="1" t="n">
        <v>45148</v>
      </c>
      <c r="C2269" s="1" t="n">
        <v>45822</v>
      </c>
      <c r="D2269" t="inlineStr">
        <is>
          <t>VÄSTERNORRLANDS LÄN</t>
        </is>
      </c>
      <c r="E2269" t="inlineStr">
        <is>
          <t>SOLLEFTEÅ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35978-2023</t>
        </is>
      </c>
      <c r="B2270" s="1" t="n">
        <v>45148</v>
      </c>
      <c r="C2270" s="1" t="n">
        <v>45822</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35977-2023</t>
        </is>
      </c>
      <c r="B2271" s="1" t="n">
        <v>45149</v>
      </c>
      <c r="C2271" s="1" t="n">
        <v>45822</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36211-2023</t>
        </is>
      </c>
      <c r="B2272" s="1" t="n">
        <v>45150</v>
      </c>
      <c r="C2272" s="1" t="n">
        <v>45822</v>
      </c>
      <c r="D2272" t="inlineStr">
        <is>
          <t>VÄSTERNORRLANDS LÄN</t>
        </is>
      </c>
      <c r="E2272" t="inlineStr">
        <is>
          <t>SOLLEFTEÅ</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36222-2023</t>
        </is>
      </c>
      <c r="B2273" s="1" t="n">
        <v>45150</v>
      </c>
      <c r="C2273" s="1" t="n">
        <v>45822</v>
      </c>
      <c r="D2273" t="inlineStr">
        <is>
          <t>VÄSTERNORRLANDS LÄN</t>
        </is>
      </c>
      <c r="E2273" t="inlineStr">
        <is>
          <t>SOLLEFTEÅ</t>
        </is>
      </c>
      <c r="F2273" t="inlineStr">
        <is>
          <t>SCA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36511-2023</t>
        </is>
      </c>
      <c r="B2274" s="1" t="n">
        <v>45153</v>
      </c>
      <c r="C2274" s="1" t="n">
        <v>45822</v>
      </c>
      <c r="D2274" t="inlineStr">
        <is>
          <t>VÄSTERNORRLANDS LÄN</t>
        </is>
      </c>
      <c r="E2274" t="inlineStr">
        <is>
          <t>SOLLEFTEÅ</t>
        </is>
      </c>
      <c r="F2274" t="inlineStr">
        <is>
          <t>SCA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36514-2023</t>
        </is>
      </c>
      <c r="B2275" s="1" t="n">
        <v>45153</v>
      </c>
      <c r="C2275" s="1" t="n">
        <v>45822</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36508-2023</t>
        </is>
      </c>
      <c r="B2276" s="1" t="n">
        <v>45153</v>
      </c>
      <c r="C2276" s="1" t="n">
        <v>45822</v>
      </c>
      <c r="D2276" t="inlineStr">
        <is>
          <t>VÄSTERNORRLANDS LÄN</t>
        </is>
      </c>
      <c r="E2276" t="inlineStr">
        <is>
          <t>SOLLEFTEÅ</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36512-2023</t>
        </is>
      </c>
      <c r="B2277" s="1" t="n">
        <v>45152</v>
      </c>
      <c r="C2277" s="1" t="n">
        <v>45822</v>
      </c>
      <c r="D2277" t="inlineStr">
        <is>
          <t>VÄSTERNORRLANDS LÄN</t>
        </is>
      </c>
      <c r="E2277" t="inlineStr">
        <is>
          <t>SOLLEFTEÅ</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36513-2023</t>
        </is>
      </c>
      <c r="B2278" s="1" t="n">
        <v>45153</v>
      </c>
      <c r="C2278" s="1" t="n">
        <v>45822</v>
      </c>
      <c r="D2278" t="inlineStr">
        <is>
          <t>VÄSTERNORRLANDS LÄN</t>
        </is>
      </c>
      <c r="E2278" t="inlineStr">
        <is>
          <t>SOLLEFTEÅ</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36770-2023</t>
        </is>
      </c>
      <c r="B2279" s="1" t="n">
        <v>45153</v>
      </c>
      <c r="C2279" s="1" t="n">
        <v>45822</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36771-2023</t>
        </is>
      </c>
      <c r="B2280" s="1" t="n">
        <v>45153</v>
      </c>
      <c r="C2280" s="1" t="n">
        <v>45822</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36944-2023</t>
        </is>
      </c>
      <c r="B2281" s="1" t="n">
        <v>45154</v>
      </c>
      <c r="C2281" s="1" t="n">
        <v>45822</v>
      </c>
      <c r="D2281" t="inlineStr">
        <is>
          <t>VÄSTERNORRLANDS LÄN</t>
        </is>
      </c>
      <c r="E2281" t="inlineStr">
        <is>
          <t>SOLLEFTEÅ</t>
        </is>
      </c>
      <c r="F2281" t="inlineStr">
        <is>
          <t>Övriga Aktiebolag</t>
        </is>
      </c>
      <c r="G2281" t="n">
        <v>16.9</v>
      </c>
      <c r="H2281" t="n">
        <v>0</v>
      </c>
      <c r="I2281" t="n">
        <v>0</v>
      </c>
      <c r="J2281" t="n">
        <v>0</v>
      </c>
      <c r="K2281" t="n">
        <v>0</v>
      </c>
      <c r="L2281" t="n">
        <v>0</v>
      </c>
      <c r="M2281" t="n">
        <v>0</v>
      </c>
      <c r="N2281" t="n">
        <v>0</v>
      </c>
      <c r="O2281" t="n">
        <v>0</v>
      </c>
      <c r="P2281" t="n">
        <v>0</v>
      </c>
      <c r="Q2281" t="n">
        <v>0</v>
      </c>
      <c r="R2281" s="2" t="inlineStr"/>
    </row>
    <row r="2282" ht="15" customHeight="1">
      <c r="A2282" t="inlineStr">
        <is>
          <t>A 36976-2023</t>
        </is>
      </c>
      <c r="B2282" s="1" t="n">
        <v>45155</v>
      </c>
      <c r="C2282" s="1" t="n">
        <v>45822</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36977-2023</t>
        </is>
      </c>
      <c r="B2283" s="1" t="n">
        <v>45155</v>
      </c>
      <c r="C2283" s="1" t="n">
        <v>45822</v>
      </c>
      <c r="D2283" t="inlineStr">
        <is>
          <t>VÄSTERNORRLANDS LÄN</t>
        </is>
      </c>
      <c r="E2283" t="inlineStr">
        <is>
          <t>SOLLEFTEÅ</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36967-2023</t>
        </is>
      </c>
      <c r="B2284" s="1" t="n">
        <v>45155</v>
      </c>
      <c r="C2284" s="1" t="n">
        <v>45822</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37269-2023</t>
        </is>
      </c>
      <c r="B2285" s="1" t="n">
        <v>45155</v>
      </c>
      <c r="C2285" s="1" t="n">
        <v>45822</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37412-2023</t>
        </is>
      </c>
      <c r="B2286" s="1" t="n">
        <v>45155</v>
      </c>
      <c r="C2286" s="1" t="n">
        <v>45822</v>
      </c>
      <c r="D2286" t="inlineStr">
        <is>
          <t>VÄSTERNORRLANDS LÄN</t>
        </is>
      </c>
      <c r="E2286" t="inlineStr">
        <is>
          <t>SOLLEFTEÅ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37381-2023</t>
        </is>
      </c>
      <c r="B2287" s="1" t="n">
        <v>45155</v>
      </c>
      <c r="C2287" s="1" t="n">
        <v>45822</v>
      </c>
      <c r="D2287" t="inlineStr">
        <is>
          <t>VÄSTERNORRLANDS LÄN</t>
        </is>
      </c>
      <c r="E2287" t="inlineStr">
        <is>
          <t>SOLLEFTEÅ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37484-2023</t>
        </is>
      </c>
      <c r="B2288" s="1" t="n">
        <v>45156</v>
      </c>
      <c r="C2288" s="1" t="n">
        <v>45822</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37615-2023</t>
        </is>
      </c>
      <c r="B2289" s="1" t="n">
        <v>45156</v>
      </c>
      <c r="C2289" s="1" t="n">
        <v>45822</v>
      </c>
      <c r="D2289" t="inlineStr">
        <is>
          <t>VÄSTERNORRLANDS LÄN</t>
        </is>
      </c>
      <c r="E2289" t="inlineStr">
        <is>
          <t>SOLLEFTEÅ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37711-2023</t>
        </is>
      </c>
      <c r="B2290" s="1" t="n">
        <v>45156</v>
      </c>
      <c r="C2290" s="1" t="n">
        <v>45822</v>
      </c>
      <c r="D2290" t="inlineStr">
        <is>
          <t>VÄSTERNORRLANDS LÄN</t>
        </is>
      </c>
      <c r="E2290" t="inlineStr">
        <is>
          <t>SOLLEFTEÅ</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37735-2023</t>
        </is>
      </c>
      <c r="B2291" s="1" t="n">
        <v>45156</v>
      </c>
      <c r="C2291" s="1" t="n">
        <v>45822</v>
      </c>
      <c r="D2291" t="inlineStr">
        <is>
          <t>VÄSTERNORRLANDS LÄN</t>
        </is>
      </c>
      <c r="E2291" t="inlineStr">
        <is>
          <t>SOLLEFTEÅ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37486-2023</t>
        </is>
      </c>
      <c r="B2292" s="1" t="n">
        <v>45157</v>
      </c>
      <c r="C2292" s="1" t="n">
        <v>45822</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37691-2023</t>
        </is>
      </c>
      <c r="B2293" s="1" t="n">
        <v>45156</v>
      </c>
      <c r="C2293" s="1" t="n">
        <v>45822</v>
      </c>
      <c r="D2293" t="inlineStr">
        <is>
          <t>VÄSTERNORRLANDS LÄN</t>
        </is>
      </c>
      <c r="E2293" t="inlineStr">
        <is>
          <t>SOLLEFTEÅ</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37722-2023</t>
        </is>
      </c>
      <c r="B2294" s="1" t="n">
        <v>45156</v>
      </c>
      <c r="C2294" s="1" t="n">
        <v>45822</v>
      </c>
      <c r="D2294" t="inlineStr">
        <is>
          <t>VÄSTERNORRLANDS LÄN</t>
        </is>
      </c>
      <c r="E2294" t="inlineStr">
        <is>
          <t>SOLLEFTEÅ</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37611-2023</t>
        </is>
      </c>
      <c r="B2295" s="1" t="n">
        <v>45156</v>
      </c>
      <c r="C2295" s="1" t="n">
        <v>45822</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37671-2023</t>
        </is>
      </c>
      <c r="B2296" s="1" t="n">
        <v>45156</v>
      </c>
      <c r="C2296" s="1" t="n">
        <v>45822</v>
      </c>
      <c r="D2296" t="inlineStr">
        <is>
          <t>VÄSTERNORRLANDS LÄN</t>
        </is>
      </c>
      <c r="E2296" t="inlineStr">
        <is>
          <t>SOLLEFTEÅ</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37696-2023</t>
        </is>
      </c>
      <c r="B2297" s="1" t="n">
        <v>45156</v>
      </c>
      <c r="C2297" s="1" t="n">
        <v>45822</v>
      </c>
      <c r="D2297" t="inlineStr">
        <is>
          <t>VÄSTERNORRLANDS LÄN</t>
        </is>
      </c>
      <c r="E2297" t="inlineStr">
        <is>
          <t>SOLLEFTEÅ</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37726-2023</t>
        </is>
      </c>
      <c r="B2298" s="1" t="n">
        <v>45156</v>
      </c>
      <c r="C2298" s="1" t="n">
        <v>45822</v>
      </c>
      <c r="D2298" t="inlineStr">
        <is>
          <t>VÄSTERNORRLANDS LÄN</t>
        </is>
      </c>
      <c r="E2298" t="inlineStr">
        <is>
          <t>SOLLEFTEÅ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37483-2023</t>
        </is>
      </c>
      <c r="B2299" s="1" t="n">
        <v>45157</v>
      </c>
      <c r="C2299" s="1" t="n">
        <v>45822</v>
      </c>
      <c r="D2299" t="inlineStr">
        <is>
          <t>VÄSTERNORRLANDS LÄN</t>
        </is>
      </c>
      <c r="E2299" t="inlineStr">
        <is>
          <t>SOLLEFTEÅ</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37487-2023</t>
        </is>
      </c>
      <c r="B2300" s="1" t="n">
        <v>45157</v>
      </c>
      <c r="C2300" s="1" t="n">
        <v>45822</v>
      </c>
      <c r="D2300" t="inlineStr">
        <is>
          <t>VÄSTERNORRLANDS LÄN</t>
        </is>
      </c>
      <c r="E2300" t="inlineStr">
        <is>
          <t>SOLLEFTEÅ</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37699-2023</t>
        </is>
      </c>
      <c r="B2301" s="1" t="n">
        <v>45156</v>
      </c>
      <c r="C2301" s="1" t="n">
        <v>45822</v>
      </c>
      <c r="D2301" t="inlineStr">
        <is>
          <t>VÄSTERNORRLANDS LÄN</t>
        </is>
      </c>
      <c r="E2301" t="inlineStr">
        <is>
          <t>SOLLEFTEÅ</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37731-2023</t>
        </is>
      </c>
      <c r="B2302" s="1" t="n">
        <v>45156</v>
      </c>
      <c r="C2302" s="1" t="n">
        <v>45822</v>
      </c>
      <c r="D2302" t="inlineStr">
        <is>
          <t>VÄSTERNORRLANDS LÄN</t>
        </is>
      </c>
      <c r="E2302" t="inlineStr">
        <is>
          <t>SOLLEFTEÅ</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37807-2023</t>
        </is>
      </c>
      <c r="B2303" s="1" t="n">
        <v>45160</v>
      </c>
      <c r="C2303" s="1" t="n">
        <v>45822</v>
      </c>
      <c r="D2303" t="inlineStr">
        <is>
          <t>VÄSTERNORRLANDS LÄN</t>
        </is>
      </c>
      <c r="E2303" t="inlineStr">
        <is>
          <t>SOLLEFTEÅ</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38093-2023</t>
        </is>
      </c>
      <c r="B2304" s="1" t="n">
        <v>45160</v>
      </c>
      <c r="C2304" s="1" t="n">
        <v>45822</v>
      </c>
      <c r="D2304" t="inlineStr">
        <is>
          <t>VÄSTERNORRLANDS LÄN</t>
        </is>
      </c>
      <c r="E2304" t="inlineStr">
        <is>
          <t>SOLLEFTEÅ</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38097-2023</t>
        </is>
      </c>
      <c r="B2305" s="1" t="n">
        <v>45160</v>
      </c>
      <c r="C2305" s="1" t="n">
        <v>45822</v>
      </c>
      <c r="D2305" t="inlineStr">
        <is>
          <t>VÄSTERNORRLANDS LÄN</t>
        </is>
      </c>
      <c r="E2305" t="inlineStr">
        <is>
          <t>SOLLEFTEÅ</t>
        </is>
      </c>
      <c r="F2305" t="inlineStr">
        <is>
          <t>SCA</t>
        </is>
      </c>
      <c r="G2305" t="n">
        <v>47.1</v>
      </c>
      <c r="H2305" t="n">
        <v>0</v>
      </c>
      <c r="I2305" t="n">
        <v>0</v>
      </c>
      <c r="J2305" t="n">
        <v>0</v>
      </c>
      <c r="K2305" t="n">
        <v>0</v>
      </c>
      <c r="L2305" t="n">
        <v>0</v>
      </c>
      <c r="M2305" t="n">
        <v>0</v>
      </c>
      <c r="N2305" t="n">
        <v>0</v>
      </c>
      <c r="O2305" t="n">
        <v>0</v>
      </c>
      <c r="P2305" t="n">
        <v>0</v>
      </c>
      <c r="Q2305" t="n">
        <v>0</v>
      </c>
      <c r="R2305" s="2" t="inlineStr"/>
    </row>
    <row r="2306" ht="15" customHeight="1">
      <c r="A2306" t="inlineStr">
        <is>
          <t>A 38092-2023</t>
        </is>
      </c>
      <c r="B2306" s="1" t="n">
        <v>45161</v>
      </c>
      <c r="C2306" s="1" t="n">
        <v>45822</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38100-2023</t>
        </is>
      </c>
      <c r="B2307" s="1" t="n">
        <v>45161</v>
      </c>
      <c r="C2307" s="1" t="n">
        <v>45822</v>
      </c>
      <c r="D2307" t="inlineStr">
        <is>
          <t>VÄSTERNORRLANDS LÄN</t>
        </is>
      </c>
      <c r="E2307" t="inlineStr">
        <is>
          <t>SOLLEFTEÅ</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39077-2023</t>
        </is>
      </c>
      <c r="B2308" s="1" t="n">
        <v>45164</v>
      </c>
      <c r="C2308" s="1" t="n">
        <v>45822</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39399-2023</t>
        </is>
      </c>
      <c r="B2309" s="1" t="n">
        <v>45163</v>
      </c>
      <c r="C2309" s="1" t="n">
        <v>45822</v>
      </c>
      <c r="D2309" t="inlineStr">
        <is>
          <t>VÄSTERNORRLANDS LÄN</t>
        </is>
      </c>
      <c r="E2309" t="inlineStr">
        <is>
          <t>SOLLEFTEÅ</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39058-2023</t>
        </is>
      </c>
      <c r="B2310" s="1" t="n">
        <v>45164</v>
      </c>
      <c r="C2310" s="1" t="n">
        <v>45822</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39379-2023</t>
        </is>
      </c>
      <c r="B2311" s="1" t="n">
        <v>45163</v>
      </c>
      <c r="C2311" s="1" t="n">
        <v>45822</v>
      </c>
      <c r="D2311" t="inlineStr">
        <is>
          <t>VÄSTERNORRLANDS LÄN</t>
        </is>
      </c>
      <c r="E2311" t="inlineStr">
        <is>
          <t>SOLLEFTEÅ</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39496-2023</t>
        </is>
      </c>
      <c r="B2312" s="1" t="n">
        <v>45167</v>
      </c>
      <c r="C2312" s="1" t="n">
        <v>45822</v>
      </c>
      <c r="D2312" t="inlineStr">
        <is>
          <t>VÄSTERNORRLANDS LÄN</t>
        </is>
      </c>
      <c r="E2312" t="inlineStr">
        <is>
          <t>SOLLEFTEÅ</t>
        </is>
      </c>
      <c r="F2312" t="inlineStr">
        <is>
          <t>SCA</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39497-2023</t>
        </is>
      </c>
      <c r="B2313" s="1" t="n">
        <v>45167</v>
      </c>
      <c r="C2313" s="1" t="n">
        <v>45822</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39727-2023</t>
        </is>
      </c>
      <c r="B2314" s="1" t="n">
        <v>45166</v>
      </c>
      <c r="C2314" s="1" t="n">
        <v>45822</v>
      </c>
      <c r="D2314" t="inlineStr">
        <is>
          <t>VÄSTERNORRLANDS LÄN</t>
        </is>
      </c>
      <c r="E2314" t="inlineStr">
        <is>
          <t>SOLLEFTEÅ</t>
        </is>
      </c>
      <c r="F2314" t="inlineStr">
        <is>
          <t>SCA</t>
        </is>
      </c>
      <c r="G2314" t="n">
        <v>45.3</v>
      </c>
      <c r="H2314" t="n">
        <v>0</v>
      </c>
      <c r="I2314" t="n">
        <v>0</v>
      </c>
      <c r="J2314" t="n">
        <v>0</v>
      </c>
      <c r="K2314" t="n">
        <v>0</v>
      </c>
      <c r="L2314" t="n">
        <v>0</v>
      </c>
      <c r="M2314" t="n">
        <v>0</v>
      </c>
      <c r="N2314" t="n">
        <v>0</v>
      </c>
      <c r="O2314" t="n">
        <v>0</v>
      </c>
      <c r="P2314" t="n">
        <v>0</v>
      </c>
      <c r="Q2314" t="n">
        <v>0</v>
      </c>
      <c r="R2314" s="2" t="inlineStr"/>
    </row>
    <row r="2315" ht="15" customHeight="1">
      <c r="A2315" t="inlineStr">
        <is>
          <t>A 39495-2023</t>
        </is>
      </c>
      <c r="B2315" s="1" t="n">
        <v>45167</v>
      </c>
      <c r="C2315" s="1" t="n">
        <v>45822</v>
      </c>
      <c r="D2315" t="inlineStr">
        <is>
          <t>VÄSTERNORRLANDS LÄN</t>
        </is>
      </c>
      <c r="E2315" t="inlineStr">
        <is>
          <t>SOLLEFTEÅ</t>
        </is>
      </c>
      <c r="F2315" t="inlineStr">
        <is>
          <t>SCA</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40098-2023</t>
        </is>
      </c>
      <c r="B2316" s="1" t="n">
        <v>45169</v>
      </c>
      <c r="C2316" s="1" t="n">
        <v>45822</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40099-2023</t>
        </is>
      </c>
      <c r="B2317" s="1" t="n">
        <v>45169</v>
      </c>
      <c r="C2317" s="1" t="n">
        <v>45822</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40115-2023</t>
        </is>
      </c>
      <c r="B2318" s="1" t="n">
        <v>45169</v>
      </c>
      <c r="C2318" s="1" t="n">
        <v>45822</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40202-2023</t>
        </is>
      </c>
      <c r="B2319" s="1" t="n">
        <v>45169</v>
      </c>
      <c r="C2319" s="1" t="n">
        <v>45822</v>
      </c>
      <c r="D2319" t="inlineStr">
        <is>
          <t>VÄSTERNORRLANDS LÄN</t>
        </is>
      </c>
      <c r="E2319" t="inlineStr">
        <is>
          <t>SOLLEFTEÅ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40403-2023</t>
        </is>
      </c>
      <c r="B2320" s="1" t="n">
        <v>45170</v>
      </c>
      <c r="C2320" s="1" t="n">
        <v>45822</v>
      </c>
      <c r="D2320" t="inlineStr">
        <is>
          <t>VÄSTERNORRLANDS LÄN</t>
        </is>
      </c>
      <c r="E2320" t="inlineStr">
        <is>
          <t>SOLLEFTEÅ</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40404-2023</t>
        </is>
      </c>
      <c r="B2321" s="1" t="n">
        <v>45170</v>
      </c>
      <c r="C2321" s="1" t="n">
        <v>45822</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40429-2023</t>
        </is>
      </c>
      <c r="B2322" s="1" t="n">
        <v>45169</v>
      </c>
      <c r="C2322" s="1" t="n">
        <v>45822</v>
      </c>
      <c r="D2322" t="inlineStr">
        <is>
          <t>VÄSTERNORRLANDS LÄN</t>
        </is>
      </c>
      <c r="E2322" t="inlineStr">
        <is>
          <t>SOLLEFTEÅ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40421-2023</t>
        </is>
      </c>
      <c r="B2323" s="1" t="n">
        <v>45170</v>
      </c>
      <c r="C2323" s="1" t="n">
        <v>45822</v>
      </c>
      <c r="D2323" t="inlineStr">
        <is>
          <t>VÄSTERNORRLANDS LÄN</t>
        </is>
      </c>
      <c r="E2323" t="inlineStr">
        <is>
          <t>SOLLEFTEÅ</t>
        </is>
      </c>
      <c r="F2323" t="inlineStr">
        <is>
          <t>SCA</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40766-2023</t>
        </is>
      </c>
      <c r="B2324" s="1" t="n">
        <v>45170</v>
      </c>
      <c r="C2324" s="1" t="n">
        <v>45822</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40764-2023</t>
        </is>
      </c>
      <c r="B2325" s="1" t="n">
        <v>45170</v>
      </c>
      <c r="C2325" s="1" t="n">
        <v>45822</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41145-2023</t>
        </is>
      </c>
      <c r="B2326" s="1" t="n">
        <v>45174</v>
      </c>
      <c r="C2326" s="1" t="n">
        <v>45822</v>
      </c>
      <c r="D2326" t="inlineStr">
        <is>
          <t>VÄSTERNORRLANDS LÄN</t>
        </is>
      </c>
      <c r="E2326" t="inlineStr">
        <is>
          <t>SOLLEFTEÅ</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41146-2023</t>
        </is>
      </c>
      <c r="B2327" s="1" t="n">
        <v>45174</v>
      </c>
      <c r="C2327" s="1" t="n">
        <v>45822</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41143-2023</t>
        </is>
      </c>
      <c r="B2328" s="1" t="n">
        <v>45174</v>
      </c>
      <c r="C2328" s="1" t="n">
        <v>45822</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41257-2023</t>
        </is>
      </c>
      <c r="B2329" s="1" t="n">
        <v>45174</v>
      </c>
      <c r="C2329" s="1" t="n">
        <v>45822</v>
      </c>
      <c r="D2329" t="inlineStr">
        <is>
          <t>VÄSTERNORRLANDS LÄN</t>
        </is>
      </c>
      <c r="E2329" t="inlineStr">
        <is>
          <t>SOLLEFTEÅ</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41655-2023</t>
        </is>
      </c>
      <c r="B2330" s="1" t="n">
        <v>45176</v>
      </c>
      <c r="C2330" s="1" t="n">
        <v>45822</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41933-2023</t>
        </is>
      </c>
      <c r="B2331" s="1" t="n">
        <v>45177</v>
      </c>
      <c r="C2331" s="1" t="n">
        <v>45822</v>
      </c>
      <c r="D2331" t="inlineStr">
        <is>
          <t>VÄSTERNORRLANDS LÄN</t>
        </is>
      </c>
      <c r="E2331" t="inlineStr">
        <is>
          <t>SOLLEFTEÅ</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41924-2023</t>
        </is>
      </c>
      <c r="B2332" s="1" t="n">
        <v>45176</v>
      </c>
      <c r="C2332" s="1" t="n">
        <v>45822</v>
      </c>
      <c r="D2332" t="inlineStr">
        <is>
          <t>VÄSTERNORRLANDS LÄN</t>
        </is>
      </c>
      <c r="E2332" t="inlineStr">
        <is>
          <t>SOLLEFTEÅ</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42150-2023</t>
        </is>
      </c>
      <c r="B2333" s="1" t="n">
        <v>45178</v>
      </c>
      <c r="C2333" s="1" t="n">
        <v>45822</v>
      </c>
      <c r="D2333" t="inlineStr">
        <is>
          <t>VÄSTERNORRLANDS LÄN</t>
        </is>
      </c>
      <c r="E2333" t="inlineStr">
        <is>
          <t>SOLLEFTEÅ</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42162-2023</t>
        </is>
      </c>
      <c r="B2334" s="1" t="n">
        <v>45178</v>
      </c>
      <c r="C2334" s="1" t="n">
        <v>45822</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42140-2023</t>
        </is>
      </c>
      <c r="B2335" s="1" t="n">
        <v>45178</v>
      </c>
      <c r="C2335" s="1" t="n">
        <v>45822</v>
      </c>
      <c r="D2335" t="inlineStr">
        <is>
          <t>VÄSTERNORRLANDS LÄN</t>
        </is>
      </c>
      <c r="E2335" t="inlineStr">
        <is>
          <t>SOLLEFTEÅ</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42160-2023</t>
        </is>
      </c>
      <c r="B2336" s="1" t="n">
        <v>45177</v>
      </c>
      <c r="C2336" s="1" t="n">
        <v>45822</v>
      </c>
      <c r="D2336" t="inlineStr">
        <is>
          <t>VÄSTERNORRLANDS LÄN</t>
        </is>
      </c>
      <c r="E2336" t="inlineStr">
        <is>
          <t>SOLLEFTEÅ</t>
        </is>
      </c>
      <c r="F2336" t="inlineStr">
        <is>
          <t>SCA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42164-2023</t>
        </is>
      </c>
      <c r="B2337" s="1" t="n">
        <v>45178</v>
      </c>
      <c r="C2337" s="1" t="n">
        <v>45822</v>
      </c>
      <c r="D2337" t="inlineStr">
        <is>
          <t>VÄSTERNORRLANDS LÄN</t>
        </is>
      </c>
      <c r="E2337" t="inlineStr">
        <is>
          <t>SOLLEFTEÅ</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42147-2023</t>
        </is>
      </c>
      <c r="B2338" s="1" t="n">
        <v>45177</v>
      </c>
      <c r="C2338" s="1" t="n">
        <v>45822</v>
      </c>
      <c r="D2338" t="inlineStr">
        <is>
          <t>VÄSTERNORRLANDS LÄN</t>
        </is>
      </c>
      <c r="E2338" t="inlineStr">
        <is>
          <t>SOLLEFTEÅ</t>
        </is>
      </c>
      <c r="G2338" t="n">
        <v>24.4</v>
      </c>
      <c r="H2338" t="n">
        <v>0</v>
      </c>
      <c r="I2338" t="n">
        <v>0</v>
      </c>
      <c r="J2338" t="n">
        <v>0</v>
      </c>
      <c r="K2338" t="n">
        <v>0</v>
      </c>
      <c r="L2338" t="n">
        <v>0</v>
      </c>
      <c r="M2338" t="n">
        <v>0</v>
      </c>
      <c r="N2338" t="n">
        <v>0</v>
      </c>
      <c r="O2338" t="n">
        <v>0</v>
      </c>
      <c r="P2338" t="n">
        <v>0</v>
      </c>
      <c r="Q2338" t="n">
        <v>0</v>
      </c>
      <c r="R2338" s="2" t="inlineStr"/>
    </row>
    <row r="2339" ht="15" customHeight="1">
      <c r="A2339" t="inlineStr">
        <is>
          <t>A 42440-2023</t>
        </is>
      </c>
      <c r="B2339" s="1" t="n">
        <v>45180</v>
      </c>
      <c r="C2339" s="1" t="n">
        <v>45822</v>
      </c>
      <c r="D2339" t="inlineStr">
        <is>
          <t>VÄSTERNORRLANDS LÄN</t>
        </is>
      </c>
      <c r="E2339" t="inlineStr">
        <is>
          <t>SOLLEFTEÅ</t>
        </is>
      </c>
      <c r="F2339" t="inlineStr">
        <is>
          <t>Holmen skog AB</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42514-2023</t>
        </is>
      </c>
      <c r="B2340" s="1" t="n">
        <v>45181</v>
      </c>
      <c r="C2340" s="1" t="n">
        <v>45822</v>
      </c>
      <c r="D2340" t="inlineStr">
        <is>
          <t>VÄSTERNORRLANDS LÄN</t>
        </is>
      </c>
      <c r="E2340" t="inlineStr">
        <is>
          <t>SOLLEFTEÅ</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42512-2023</t>
        </is>
      </c>
      <c r="B2341" s="1" t="n">
        <v>45181</v>
      </c>
      <c r="C2341" s="1" t="n">
        <v>45822</v>
      </c>
      <c r="D2341" t="inlineStr">
        <is>
          <t>VÄSTERNORRLANDS LÄN</t>
        </is>
      </c>
      <c r="E2341" t="inlineStr">
        <is>
          <t>SOLLEFTEÅ</t>
        </is>
      </c>
      <c r="F2341" t="inlineStr">
        <is>
          <t>SCA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43487-2023</t>
        </is>
      </c>
      <c r="B2342" s="1" t="n">
        <v>45181</v>
      </c>
      <c r="C2342" s="1" t="n">
        <v>45822</v>
      </c>
      <c r="D2342" t="inlineStr">
        <is>
          <t>VÄSTERNORRLANDS LÄN</t>
        </is>
      </c>
      <c r="E2342" t="inlineStr">
        <is>
          <t>SOLLEFTEÅ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43177-2023</t>
        </is>
      </c>
      <c r="B2343" s="1" t="n">
        <v>45181</v>
      </c>
      <c r="C2343" s="1" t="n">
        <v>45822</v>
      </c>
      <c r="D2343" t="inlineStr">
        <is>
          <t>VÄSTERNORRLANDS LÄN</t>
        </is>
      </c>
      <c r="E2343" t="inlineStr">
        <is>
          <t>SOLLEFTEÅ</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43512-2023</t>
        </is>
      </c>
      <c r="B2344" s="1" t="n">
        <v>45181</v>
      </c>
      <c r="C2344" s="1" t="n">
        <v>45822</v>
      </c>
      <c r="D2344" t="inlineStr">
        <is>
          <t>VÄSTERNORRLANDS LÄN</t>
        </is>
      </c>
      <c r="E2344" t="inlineStr">
        <is>
          <t>SOLLEFTEÅ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44533-2023</t>
        </is>
      </c>
      <c r="B2345" s="1" t="n">
        <v>45183</v>
      </c>
      <c r="C2345" s="1" t="n">
        <v>45822</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43531-2023</t>
        </is>
      </c>
      <c r="B2346" s="1" t="n">
        <v>45184</v>
      </c>
      <c r="C2346" s="1" t="n">
        <v>45822</v>
      </c>
      <c r="D2346" t="inlineStr">
        <is>
          <t>VÄSTERNORRLANDS LÄN</t>
        </is>
      </c>
      <c r="E2346" t="inlineStr">
        <is>
          <t>SOLLEFTEÅ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43504-2023</t>
        </is>
      </c>
      <c r="B2347" s="1" t="n">
        <v>45184</v>
      </c>
      <c r="C2347" s="1" t="n">
        <v>45822</v>
      </c>
      <c r="D2347" t="inlineStr">
        <is>
          <t>VÄSTERNORRLANDS LÄN</t>
        </is>
      </c>
      <c r="E2347" t="inlineStr">
        <is>
          <t>SOLLEFTEÅ</t>
        </is>
      </c>
      <c r="F2347" t="inlineStr">
        <is>
          <t>Holmen skog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45193-2023</t>
        </is>
      </c>
      <c r="B2348" s="1" t="n">
        <v>45187</v>
      </c>
      <c r="C2348" s="1" t="n">
        <v>45822</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44389-2023</t>
        </is>
      </c>
      <c r="B2349" s="1" t="n">
        <v>45189</v>
      </c>
      <c r="C2349" s="1" t="n">
        <v>45822</v>
      </c>
      <c r="D2349" t="inlineStr">
        <is>
          <t>VÄSTERNORRLANDS LÄN</t>
        </is>
      </c>
      <c r="E2349" t="inlineStr">
        <is>
          <t>SOLLEFTEÅ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44393-2023</t>
        </is>
      </c>
      <c r="B2350" s="1" t="n">
        <v>45189</v>
      </c>
      <c r="C2350" s="1" t="n">
        <v>45822</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44388-2023</t>
        </is>
      </c>
      <c r="B2351" s="1" t="n">
        <v>45189</v>
      </c>
      <c r="C2351" s="1" t="n">
        <v>45822</v>
      </c>
      <c r="D2351" t="inlineStr">
        <is>
          <t>VÄSTERNORRLANDS LÄN</t>
        </is>
      </c>
      <c r="E2351" t="inlineStr">
        <is>
          <t>SOLLEFTEÅ</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44392-2023</t>
        </is>
      </c>
      <c r="B2352" s="1" t="n">
        <v>45189</v>
      </c>
      <c r="C2352" s="1" t="n">
        <v>45822</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44408-2023</t>
        </is>
      </c>
      <c r="B2353" s="1" t="n">
        <v>45189</v>
      </c>
      <c r="C2353" s="1" t="n">
        <v>45822</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44391-2023</t>
        </is>
      </c>
      <c r="B2354" s="1" t="n">
        <v>45189</v>
      </c>
      <c r="C2354" s="1" t="n">
        <v>45822</v>
      </c>
      <c r="D2354" t="inlineStr">
        <is>
          <t>VÄSTERNORRLANDS LÄN</t>
        </is>
      </c>
      <c r="E2354" t="inlineStr">
        <is>
          <t>SOLLEFTEÅ</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44407-2023</t>
        </is>
      </c>
      <c r="B2355" s="1" t="n">
        <v>45189</v>
      </c>
      <c r="C2355" s="1" t="n">
        <v>45822</v>
      </c>
      <c r="D2355" t="inlineStr">
        <is>
          <t>VÄSTERNORRLANDS LÄN</t>
        </is>
      </c>
      <c r="E2355" t="inlineStr">
        <is>
          <t>SOLLEFTEÅ</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45644-2023</t>
        </is>
      </c>
      <c r="B2356" s="1" t="n">
        <v>45188</v>
      </c>
      <c r="C2356" s="1" t="n">
        <v>45822</v>
      </c>
      <c r="D2356" t="inlineStr">
        <is>
          <t>VÄSTERNORRLANDS LÄN</t>
        </is>
      </c>
      <c r="E2356" t="inlineStr">
        <is>
          <t>SOLLEFTEÅ</t>
        </is>
      </c>
      <c r="F2356" t="inlineStr">
        <is>
          <t>SCA</t>
        </is>
      </c>
      <c r="G2356" t="n">
        <v>1</v>
      </c>
      <c r="H2356" t="n">
        <v>0</v>
      </c>
      <c r="I2356" t="n">
        <v>0</v>
      </c>
      <c r="J2356" t="n">
        <v>0</v>
      </c>
      <c r="K2356" t="n">
        <v>0</v>
      </c>
      <c r="L2356" t="n">
        <v>0</v>
      </c>
      <c r="M2356" t="n">
        <v>0</v>
      </c>
      <c r="N2356" t="n">
        <v>0</v>
      </c>
      <c r="O2356" t="n">
        <v>0</v>
      </c>
      <c r="P2356" t="n">
        <v>0</v>
      </c>
      <c r="Q2356" t="n">
        <v>0</v>
      </c>
      <c r="R2356" s="2" t="inlineStr"/>
      <c r="U2356">
        <f>HYPERLINK("https://klasma.github.io/Logging_2283/knärot/A 45644-2023 karta knärot.png", "A 45644-2023")</f>
        <v/>
      </c>
      <c r="V2356">
        <f>HYPERLINK("https://klasma.github.io/Logging_2283/klagomål/A 45644-2023 FSC-klagomål.docx", "A 45644-2023")</f>
        <v/>
      </c>
      <c r="W2356">
        <f>HYPERLINK("https://klasma.github.io/Logging_2283/klagomålsmail/A 45644-2023 FSC-klagomål mail.docx", "A 45644-2023")</f>
        <v/>
      </c>
      <c r="X2356">
        <f>HYPERLINK("https://klasma.github.io/Logging_2283/tillsyn/A 45644-2023 tillsynsbegäran.docx", "A 45644-2023")</f>
        <v/>
      </c>
      <c r="Y2356">
        <f>HYPERLINK("https://klasma.github.io/Logging_2283/tillsynsmail/A 45644-2023 tillsynsbegäran mail.docx", "A 45644-2023")</f>
        <v/>
      </c>
    </row>
    <row r="2357" ht="15" customHeight="1">
      <c r="A2357" t="inlineStr">
        <is>
          <t>A 44410-2023</t>
        </is>
      </c>
      <c r="B2357" s="1" t="n">
        <v>45189</v>
      </c>
      <c r="C2357" s="1" t="n">
        <v>45822</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44905-2023</t>
        </is>
      </c>
      <c r="B2358" s="1" t="n">
        <v>45189</v>
      </c>
      <c r="C2358" s="1" t="n">
        <v>45822</v>
      </c>
      <c r="D2358" t="inlineStr">
        <is>
          <t>VÄSTERNORRLANDS LÄN</t>
        </is>
      </c>
      <c r="E2358" t="inlineStr">
        <is>
          <t>SOLLEFTEÅ</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44781-2023</t>
        </is>
      </c>
      <c r="B2359" s="1" t="n">
        <v>45190</v>
      </c>
      <c r="C2359" s="1" t="n">
        <v>45822</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45015-2023</t>
        </is>
      </c>
      <c r="B2360" s="1" t="n">
        <v>45191</v>
      </c>
      <c r="C2360" s="1" t="n">
        <v>45822</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44984-2023</t>
        </is>
      </c>
      <c r="B2361" s="1" t="n">
        <v>45191</v>
      </c>
      <c r="C2361" s="1" t="n">
        <v>45822</v>
      </c>
      <c r="D2361" t="inlineStr">
        <is>
          <t>VÄSTERNORRLANDS LÄN</t>
        </is>
      </c>
      <c r="E2361" t="inlineStr">
        <is>
          <t>SOLLEFTEÅ</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44986-2023</t>
        </is>
      </c>
      <c r="B2362" s="1" t="n">
        <v>45190</v>
      </c>
      <c r="C2362" s="1" t="n">
        <v>45822</v>
      </c>
      <c r="D2362" t="inlineStr">
        <is>
          <t>VÄSTERNORRLANDS LÄN</t>
        </is>
      </c>
      <c r="E2362" t="inlineStr">
        <is>
          <t>SOLLEFTEÅ</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44994-2023</t>
        </is>
      </c>
      <c r="B2363" s="1" t="n">
        <v>45190</v>
      </c>
      <c r="C2363" s="1" t="n">
        <v>45822</v>
      </c>
      <c r="D2363" t="inlineStr">
        <is>
          <t>VÄSTERNORRLANDS LÄN</t>
        </is>
      </c>
      <c r="E2363" t="inlineStr">
        <is>
          <t>SOLLEFTEÅ</t>
        </is>
      </c>
      <c r="F2363" t="inlineStr">
        <is>
          <t>SCA</t>
        </is>
      </c>
      <c r="G2363" t="n">
        <v>26.8</v>
      </c>
      <c r="H2363" t="n">
        <v>0</v>
      </c>
      <c r="I2363" t="n">
        <v>0</v>
      </c>
      <c r="J2363" t="n">
        <v>0</v>
      </c>
      <c r="K2363" t="n">
        <v>0</v>
      </c>
      <c r="L2363" t="n">
        <v>0</v>
      </c>
      <c r="M2363" t="n">
        <v>0</v>
      </c>
      <c r="N2363" t="n">
        <v>0</v>
      </c>
      <c r="O2363" t="n">
        <v>0</v>
      </c>
      <c r="P2363" t="n">
        <v>0</v>
      </c>
      <c r="Q2363" t="n">
        <v>0</v>
      </c>
      <c r="R2363" s="2" t="inlineStr"/>
    </row>
    <row r="2364" ht="15" customHeight="1">
      <c r="A2364" t="inlineStr">
        <is>
          <t>A 44998-2023</t>
        </is>
      </c>
      <c r="B2364" s="1" t="n">
        <v>45191</v>
      </c>
      <c r="C2364" s="1" t="n">
        <v>45822</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45014-2023</t>
        </is>
      </c>
      <c r="B2365" s="1" t="n">
        <v>45191</v>
      </c>
      <c r="C2365" s="1" t="n">
        <v>45822</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45017-2023</t>
        </is>
      </c>
      <c r="B2366" s="1" t="n">
        <v>45190</v>
      </c>
      <c r="C2366" s="1" t="n">
        <v>45822</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46212-2023</t>
        </is>
      </c>
      <c r="B2367" s="1" t="n">
        <v>45190</v>
      </c>
      <c r="C2367" s="1" t="n">
        <v>45822</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46207-2023</t>
        </is>
      </c>
      <c r="B2368" s="1" t="n">
        <v>45190</v>
      </c>
      <c r="C2368" s="1" t="n">
        <v>45822</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46357-2023</t>
        </is>
      </c>
      <c r="B2369" s="1" t="n">
        <v>45191</v>
      </c>
      <c r="C2369" s="1" t="n">
        <v>45822</v>
      </c>
      <c r="D2369" t="inlineStr">
        <is>
          <t>VÄSTERNORRLANDS LÄN</t>
        </is>
      </c>
      <c r="E2369" t="inlineStr">
        <is>
          <t>SOLLEFTEÅ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46344-2023</t>
        </is>
      </c>
      <c r="B2370" s="1" t="n">
        <v>45191</v>
      </c>
      <c r="C2370" s="1" t="n">
        <v>45822</v>
      </c>
      <c r="D2370" t="inlineStr">
        <is>
          <t>VÄSTERNORRLANDS LÄN</t>
        </is>
      </c>
      <c r="E2370" t="inlineStr">
        <is>
          <t>SOLLEFTEÅ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45570-2023</t>
        </is>
      </c>
      <c r="B2371" s="1" t="n">
        <v>45194</v>
      </c>
      <c r="C2371" s="1" t="n">
        <v>45822</v>
      </c>
      <c r="D2371" t="inlineStr">
        <is>
          <t>VÄSTERNORRLANDS LÄN</t>
        </is>
      </c>
      <c r="E2371" t="inlineStr">
        <is>
          <t>SOLLEFTEÅ</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45958-2023</t>
        </is>
      </c>
      <c r="B2372" s="1" t="n">
        <v>45195</v>
      </c>
      <c r="C2372" s="1" t="n">
        <v>45822</v>
      </c>
      <c r="D2372" t="inlineStr">
        <is>
          <t>VÄSTERNORRLANDS LÄN</t>
        </is>
      </c>
      <c r="E2372" t="inlineStr">
        <is>
          <t>SOLLEFTEÅ</t>
        </is>
      </c>
      <c r="F2372" t="inlineStr">
        <is>
          <t>SCA</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45973-2023</t>
        </is>
      </c>
      <c r="B2373" s="1" t="n">
        <v>45195</v>
      </c>
      <c r="C2373" s="1" t="n">
        <v>45822</v>
      </c>
      <c r="D2373" t="inlineStr">
        <is>
          <t>VÄSTERNORRLANDS LÄN</t>
        </is>
      </c>
      <c r="E2373" t="inlineStr">
        <is>
          <t>SOLLEFTEÅ</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46256-2023</t>
        </is>
      </c>
      <c r="B2374" s="1" t="n">
        <v>45197</v>
      </c>
      <c r="C2374" s="1" t="n">
        <v>45822</v>
      </c>
      <c r="D2374" t="inlineStr">
        <is>
          <t>VÄSTERNORRLANDS LÄN</t>
        </is>
      </c>
      <c r="E2374" t="inlineStr">
        <is>
          <t>SOLLEFTEÅ</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47329-2023</t>
        </is>
      </c>
      <c r="B2375" s="1" t="n">
        <v>45196</v>
      </c>
      <c r="C2375" s="1" t="n">
        <v>45822</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47327-2023</t>
        </is>
      </c>
      <c r="B2376" s="1" t="n">
        <v>45196</v>
      </c>
      <c r="C2376" s="1" t="n">
        <v>45822</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46553-2023</t>
        </is>
      </c>
      <c r="B2377" s="1" t="n">
        <v>45198</v>
      </c>
      <c r="C2377" s="1" t="n">
        <v>45822</v>
      </c>
      <c r="D2377" t="inlineStr">
        <is>
          <t>VÄSTERNORRLANDS LÄN</t>
        </is>
      </c>
      <c r="E2377" t="inlineStr">
        <is>
          <t>SOLLEFTEÅ</t>
        </is>
      </c>
      <c r="F2377" t="inlineStr">
        <is>
          <t>SCA</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46550-2023</t>
        </is>
      </c>
      <c r="B2378" s="1" t="n">
        <v>45198</v>
      </c>
      <c r="C2378" s="1" t="n">
        <v>45822</v>
      </c>
      <c r="D2378" t="inlineStr">
        <is>
          <t>VÄSTERNORRLANDS LÄN</t>
        </is>
      </c>
      <c r="E2378" t="inlineStr">
        <is>
          <t>SOLLEFTEÅ</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46554-2023</t>
        </is>
      </c>
      <c r="B2379" s="1" t="n">
        <v>45198</v>
      </c>
      <c r="C2379" s="1" t="n">
        <v>45822</v>
      </c>
      <c r="D2379" t="inlineStr">
        <is>
          <t>VÄSTERNORRLANDS LÄN</t>
        </is>
      </c>
      <c r="E2379" t="inlineStr">
        <is>
          <t>SOLLEFTEÅ</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46555-2023</t>
        </is>
      </c>
      <c r="B2380" s="1" t="n">
        <v>45198</v>
      </c>
      <c r="C2380" s="1" t="n">
        <v>45822</v>
      </c>
      <c r="D2380" t="inlineStr">
        <is>
          <t>VÄSTERNORRLANDS LÄN</t>
        </is>
      </c>
      <c r="E2380" t="inlineStr">
        <is>
          <t>SOLLEFTEÅ</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46804-2023</t>
        </is>
      </c>
      <c r="B2381" s="1" t="n">
        <v>45198</v>
      </c>
      <c r="C2381" s="1" t="n">
        <v>45822</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47741-2023</t>
        </is>
      </c>
      <c r="B2382" s="1" t="n">
        <v>45198</v>
      </c>
      <c r="C2382" s="1" t="n">
        <v>45822</v>
      </c>
      <c r="D2382" t="inlineStr">
        <is>
          <t>VÄSTERNORRLANDS LÄN</t>
        </is>
      </c>
      <c r="E2382" t="inlineStr">
        <is>
          <t>SOLLEFTEÅ</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47159-2023</t>
        </is>
      </c>
      <c r="B2383" s="1" t="n">
        <v>45201</v>
      </c>
      <c r="C2383" s="1" t="n">
        <v>45822</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47167-2023</t>
        </is>
      </c>
      <c r="B2384" s="1" t="n">
        <v>45202</v>
      </c>
      <c r="C2384" s="1" t="n">
        <v>45822</v>
      </c>
      <c r="D2384" t="inlineStr">
        <is>
          <t>VÄSTERNORRLANDS LÄN</t>
        </is>
      </c>
      <c r="E2384" t="inlineStr">
        <is>
          <t>SOLLEFTEÅ</t>
        </is>
      </c>
      <c r="F2384" t="inlineStr">
        <is>
          <t>SCA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47175-2023</t>
        </is>
      </c>
      <c r="B2385" s="1" t="n">
        <v>45202</v>
      </c>
      <c r="C2385" s="1" t="n">
        <v>45822</v>
      </c>
      <c r="D2385" t="inlineStr">
        <is>
          <t>VÄSTERNORRLANDS LÄN</t>
        </is>
      </c>
      <c r="E2385" t="inlineStr">
        <is>
          <t>SOLLEFTEÅ</t>
        </is>
      </c>
      <c r="F2385" t="inlineStr">
        <is>
          <t>SCA</t>
        </is>
      </c>
      <c r="G2385" t="n">
        <v>14.7</v>
      </c>
      <c r="H2385" t="n">
        <v>0</v>
      </c>
      <c r="I2385" t="n">
        <v>0</v>
      </c>
      <c r="J2385" t="n">
        <v>0</v>
      </c>
      <c r="K2385" t="n">
        <v>0</v>
      </c>
      <c r="L2385" t="n">
        <v>0</v>
      </c>
      <c r="M2385" t="n">
        <v>0</v>
      </c>
      <c r="N2385" t="n">
        <v>0</v>
      </c>
      <c r="O2385" t="n">
        <v>0</v>
      </c>
      <c r="P2385" t="n">
        <v>0</v>
      </c>
      <c r="Q2385" t="n">
        <v>0</v>
      </c>
      <c r="R2385" s="2" t="inlineStr"/>
    </row>
    <row r="2386" ht="15" customHeight="1">
      <c r="A2386" t="inlineStr">
        <is>
          <t>A 47170-2023</t>
        </is>
      </c>
      <c r="B2386" s="1" t="n">
        <v>45202</v>
      </c>
      <c r="C2386" s="1" t="n">
        <v>45822</v>
      </c>
      <c r="D2386" t="inlineStr">
        <is>
          <t>VÄSTERNORRLANDS LÄN</t>
        </is>
      </c>
      <c r="E2386" t="inlineStr">
        <is>
          <t>SOLLEFTEÅ</t>
        </is>
      </c>
      <c r="F2386" t="inlineStr">
        <is>
          <t>SCA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47174-2023</t>
        </is>
      </c>
      <c r="B2387" s="1" t="n">
        <v>45202</v>
      </c>
      <c r="C2387" s="1" t="n">
        <v>45822</v>
      </c>
      <c r="D2387" t="inlineStr">
        <is>
          <t>VÄSTERNORRLANDS LÄN</t>
        </is>
      </c>
      <c r="E2387" t="inlineStr">
        <is>
          <t>SOLLEFTEÅ</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47177-2023</t>
        </is>
      </c>
      <c r="B2388" s="1" t="n">
        <v>45201</v>
      </c>
      <c r="C2388" s="1" t="n">
        <v>45822</v>
      </c>
      <c r="D2388" t="inlineStr">
        <is>
          <t>VÄSTERNORRLANDS LÄN</t>
        </is>
      </c>
      <c r="E2388" t="inlineStr">
        <is>
          <t>SOLLEFTEÅ</t>
        </is>
      </c>
      <c r="F2388" t="inlineStr">
        <is>
          <t>SCA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47181-2023</t>
        </is>
      </c>
      <c r="B2389" s="1" t="n">
        <v>45202</v>
      </c>
      <c r="C2389" s="1" t="n">
        <v>45822</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47185-2023</t>
        </is>
      </c>
      <c r="B2390" s="1" t="n">
        <v>45201</v>
      </c>
      <c r="C2390" s="1" t="n">
        <v>45822</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47490-2023</t>
        </is>
      </c>
      <c r="B2391" s="1" t="n">
        <v>45203</v>
      </c>
      <c r="C2391" s="1" t="n">
        <v>45822</v>
      </c>
      <c r="D2391" t="inlineStr">
        <is>
          <t>VÄSTERNORRLANDS LÄN</t>
        </is>
      </c>
      <c r="E2391" t="inlineStr">
        <is>
          <t>SOLLEFTEÅ</t>
        </is>
      </c>
      <c r="F2391" t="inlineStr">
        <is>
          <t>SCA</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47457-2023</t>
        </is>
      </c>
      <c r="B2392" s="1" t="n">
        <v>45202</v>
      </c>
      <c r="C2392" s="1" t="n">
        <v>45822</v>
      </c>
      <c r="D2392" t="inlineStr">
        <is>
          <t>VÄSTERNORRLANDS LÄN</t>
        </is>
      </c>
      <c r="E2392" t="inlineStr">
        <is>
          <t>SOLLEFTEÅ</t>
        </is>
      </c>
      <c r="F2392" t="inlineStr">
        <is>
          <t>Holmen skog AB</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47477-2023</t>
        </is>
      </c>
      <c r="B2393" s="1" t="n">
        <v>45203</v>
      </c>
      <c r="C2393" s="1" t="n">
        <v>45822</v>
      </c>
      <c r="D2393" t="inlineStr">
        <is>
          <t>VÄSTERNORRLANDS LÄN</t>
        </is>
      </c>
      <c r="E2393" t="inlineStr">
        <is>
          <t>SOLLEFTEÅ</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47794-2023</t>
        </is>
      </c>
      <c r="B2394" s="1" t="n">
        <v>45204</v>
      </c>
      <c r="C2394" s="1" t="n">
        <v>45822</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48077-2023</t>
        </is>
      </c>
      <c r="B2395" s="1" t="n">
        <v>45205</v>
      </c>
      <c r="C2395" s="1" t="n">
        <v>45822</v>
      </c>
      <c r="D2395" t="inlineStr">
        <is>
          <t>VÄSTERNORRLANDS LÄN</t>
        </is>
      </c>
      <c r="E2395" t="inlineStr">
        <is>
          <t>SOLLEFTEÅ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48085-2023</t>
        </is>
      </c>
      <c r="B2396" s="1" t="n">
        <v>45205</v>
      </c>
      <c r="C2396" s="1" t="n">
        <v>45822</v>
      </c>
      <c r="D2396" t="inlineStr">
        <is>
          <t>VÄSTERNORRLANDS LÄN</t>
        </is>
      </c>
      <c r="E2396" t="inlineStr">
        <is>
          <t>SOLLEFTEÅ</t>
        </is>
      </c>
      <c r="F2396" t="inlineStr">
        <is>
          <t>SCA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48089-2023</t>
        </is>
      </c>
      <c r="B2397" s="1" t="n">
        <v>45204</v>
      </c>
      <c r="C2397" s="1" t="n">
        <v>45822</v>
      </c>
      <c r="D2397" t="inlineStr">
        <is>
          <t>VÄSTERNORRLANDS LÄN</t>
        </is>
      </c>
      <c r="E2397" t="inlineStr">
        <is>
          <t>SOLLEFTEÅ</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48083-2023</t>
        </is>
      </c>
      <c r="B2398" s="1" t="n">
        <v>45204</v>
      </c>
      <c r="C2398" s="1" t="n">
        <v>45822</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48086-2023</t>
        </is>
      </c>
      <c r="B2399" s="1" t="n">
        <v>45205</v>
      </c>
      <c r="C2399" s="1" t="n">
        <v>45822</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48090-2023</t>
        </is>
      </c>
      <c r="B2400" s="1" t="n">
        <v>45205</v>
      </c>
      <c r="C2400" s="1" t="n">
        <v>45822</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48072-2023</t>
        </is>
      </c>
      <c r="B2401" s="1" t="n">
        <v>45205</v>
      </c>
      <c r="C2401" s="1" t="n">
        <v>45822</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48088-2023</t>
        </is>
      </c>
      <c r="B2402" s="1" t="n">
        <v>45205</v>
      </c>
      <c r="C2402" s="1" t="n">
        <v>45822</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48964-2023</t>
        </is>
      </c>
      <c r="B2403" s="1" t="n">
        <v>45204</v>
      </c>
      <c r="C2403" s="1" t="n">
        <v>45822</v>
      </c>
      <c r="D2403" t="inlineStr">
        <is>
          <t>VÄSTERNORRLANDS LÄN</t>
        </is>
      </c>
      <c r="E2403" t="inlineStr">
        <is>
          <t>SOLLEFTEÅ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49417-2023</t>
        </is>
      </c>
      <c r="B2404" s="1" t="n">
        <v>45205</v>
      </c>
      <c r="C2404" s="1" t="n">
        <v>45822</v>
      </c>
      <c r="D2404" t="inlineStr">
        <is>
          <t>VÄSTERNORRLANDS LÄN</t>
        </is>
      </c>
      <c r="E2404" t="inlineStr">
        <is>
          <t>SOLLEFTEÅ</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48767-2023</t>
        </is>
      </c>
      <c r="B2405" s="1" t="n">
        <v>45208</v>
      </c>
      <c r="C2405" s="1" t="n">
        <v>45822</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48528-2023</t>
        </is>
      </c>
      <c r="B2406" s="1" t="n">
        <v>45208</v>
      </c>
      <c r="C2406" s="1" t="n">
        <v>45822</v>
      </c>
      <c r="D2406" t="inlineStr">
        <is>
          <t>VÄSTERNORRLANDS LÄN</t>
        </is>
      </c>
      <c r="E2406" t="inlineStr">
        <is>
          <t>SOLLEFTEÅ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48570-2023</t>
        </is>
      </c>
      <c r="B2407" s="1" t="n">
        <v>45208</v>
      </c>
      <c r="C2407" s="1" t="n">
        <v>45822</v>
      </c>
      <c r="D2407" t="inlineStr">
        <is>
          <t>VÄSTERNORRLANDS LÄN</t>
        </is>
      </c>
      <c r="E2407" t="inlineStr">
        <is>
          <t>SOLLEFTEÅ</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48999-2023</t>
        </is>
      </c>
      <c r="B2408" s="1" t="n">
        <v>45209</v>
      </c>
      <c r="C2408" s="1" t="n">
        <v>45822</v>
      </c>
      <c r="D2408" t="inlineStr">
        <is>
          <t>VÄSTERNORRLANDS LÄN</t>
        </is>
      </c>
      <c r="E2408" t="inlineStr">
        <is>
          <t>SOLLEFTEÅ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49036-2023</t>
        </is>
      </c>
      <c r="B2409" s="1" t="n">
        <v>45210</v>
      </c>
      <c r="C2409" s="1" t="n">
        <v>45822</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50313-2023</t>
        </is>
      </c>
      <c r="B2410" s="1" t="n">
        <v>45209</v>
      </c>
      <c r="C2410" s="1" t="n">
        <v>45822</v>
      </c>
      <c r="D2410" t="inlineStr">
        <is>
          <t>VÄSTERNORRLANDS LÄN</t>
        </is>
      </c>
      <c r="E2410" t="inlineStr">
        <is>
          <t>SOLLEFTEÅ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49313-2023</t>
        </is>
      </c>
      <c r="B2411" s="1" t="n">
        <v>45211</v>
      </c>
      <c r="C2411" s="1" t="n">
        <v>45822</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49317-2023</t>
        </is>
      </c>
      <c r="B2412" s="1" t="n">
        <v>45210</v>
      </c>
      <c r="C2412" s="1" t="n">
        <v>45822</v>
      </c>
      <c r="D2412" t="inlineStr">
        <is>
          <t>VÄSTERNORRLANDS LÄN</t>
        </is>
      </c>
      <c r="E2412" t="inlineStr">
        <is>
          <t>SOLLEFTEÅ</t>
        </is>
      </c>
      <c r="F2412" t="inlineStr">
        <is>
          <t>SCA</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49323-2023</t>
        </is>
      </c>
      <c r="B2413" s="1" t="n">
        <v>45211</v>
      </c>
      <c r="C2413" s="1" t="n">
        <v>45822</v>
      </c>
      <c r="D2413" t="inlineStr">
        <is>
          <t>VÄSTERNORRLANDS LÄN</t>
        </is>
      </c>
      <c r="E2413" t="inlineStr">
        <is>
          <t>SOLLEFTEÅ</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49324-2023</t>
        </is>
      </c>
      <c r="B2414" s="1" t="n">
        <v>45210</v>
      </c>
      <c r="C2414" s="1" t="n">
        <v>45822</v>
      </c>
      <c r="D2414" t="inlineStr">
        <is>
          <t>VÄSTERNORRLANDS LÄN</t>
        </is>
      </c>
      <c r="E2414" t="inlineStr">
        <is>
          <t>SOLLEFTEÅ</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50698-2023</t>
        </is>
      </c>
      <c r="B2415" s="1" t="n">
        <v>45210</v>
      </c>
      <c r="C2415" s="1" t="n">
        <v>45822</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50745-2023</t>
        </is>
      </c>
      <c r="B2416" s="1" t="n">
        <v>45210</v>
      </c>
      <c r="C2416" s="1" t="n">
        <v>45822</v>
      </c>
      <c r="D2416" t="inlineStr">
        <is>
          <t>VÄSTERNORRLANDS LÄN</t>
        </is>
      </c>
      <c r="E2416" t="inlineStr">
        <is>
          <t>SOLLEFTEÅ</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50716-2023</t>
        </is>
      </c>
      <c r="B2417" s="1" t="n">
        <v>45210</v>
      </c>
      <c r="C2417" s="1" t="n">
        <v>45822</v>
      </c>
      <c r="D2417" t="inlineStr">
        <is>
          <t>VÄSTERNORRLANDS LÄN</t>
        </is>
      </c>
      <c r="E2417" t="inlineStr">
        <is>
          <t>SOLLEFTEÅ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50674-2023</t>
        </is>
      </c>
      <c r="B2418" s="1" t="n">
        <v>45210</v>
      </c>
      <c r="C2418" s="1" t="n">
        <v>45822</v>
      </c>
      <c r="D2418" t="inlineStr">
        <is>
          <t>VÄSTERNORRLANDS LÄN</t>
        </is>
      </c>
      <c r="E2418" t="inlineStr">
        <is>
          <t>SOLLEFTEÅ</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50688-2023</t>
        </is>
      </c>
      <c r="B2419" s="1" t="n">
        <v>45210</v>
      </c>
      <c r="C2419" s="1" t="n">
        <v>45822</v>
      </c>
      <c r="D2419" t="inlineStr">
        <is>
          <t>VÄSTERNORRLANDS LÄN</t>
        </is>
      </c>
      <c r="E2419" t="inlineStr">
        <is>
          <t>SOLLEFTEÅ</t>
        </is>
      </c>
      <c r="G2419" t="n">
        <v>15.6</v>
      </c>
      <c r="H2419" t="n">
        <v>0</v>
      </c>
      <c r="I2419" t="n">
        <v>0</v>
      </c>
      <c r="J2419" t="n">
        <v>0</v>
      </c>
      <c r="K2419" t="n">
        <v>0</v>
      </c>
      <c r="L2419" t="n">
        <v>0</v>
      </c>
      <c r="M2419" t="n">
        <v>0</v>
      </c>
      <c r="N2419" t="n">
        <v>0</v>
      </c>
      <c r="O2419" t="n">
        <v>0</v>
      </c>
      <c r="P2419" t="n">
        <v>0</v>
      </c>
      <c r="Q2419" t="n">
        <v>0</v>
      </c>
      <c r="R2419" s="2" t="inlineStr"/>
    </row>
    <row r="2420" ht="15" customHeight="1">
      <c r="A2420" t="inlineStr">
        <is>
          <t>A 50708-2023</t>
        </is>
      </c>
      <c r="B2420" s="1" t="n">
        <v>45210</v>
      </c>
      <c r="C2420" s="1" t="n">
        <v>45822</v>
      </c>
      <c r="D2420" t="inlineStr">
        <is>
          <t>VÄSTERNORRLANDS LÄN</t>
        </is>
      </c>
      <c r="E2420" t="inlineStr">
        <is>
          <t>SOLLEFTEÅ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49649-2023</t>
        </is>
      </c>
      <c r="B2421" s="1" t="n">
        <v>45212</v>
      </c>
      <c r="C2421" s="1" t="n">
        <v>45822</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49810-2023</t>
        </is>
      </c>
      <c r="B2422" s="1" t="n">
        <v>45212</v>
      </c>
      <c r="C2422" s="1" t="n">
        <v>45822</v>
      </c>
      <c r="D2422" t="inlineStr">
        <is>
          <t>VÄSTERNORRLANDS LÄN</t>
        </is>
      </c>
      <c r="E2422" t="inlineStr">
        <is>
          <t>SOLLEFTEÅ</t>
        </is>
      </c>
      <c r="F2422" t="inlineStr">
        <is>
          <t>Holmen skog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50226-2023</t>
        </is>
      </c>
      <c r="B2423" s="1" t="n">
        <v>45216</v>
      </c>
      <c r="C2423" s="1" t="n">
        <v>45822</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51522-2023</t>
        </is>
      </c>
      <c r="B2424" s="1" t="n">
        <v>45215</v>
      </c>
      <c r="C2424" s="1" t="n">
        <v>45822</v>
      </c>
      <c r="D2424" t="inlineStr">
        <is>
          <t>VÄSTERNORRLANDS LÄN</t>
        </is>
      </c>
      <c r="E2424" t="inlineStr">
        <is>
          <t>SOLLEFTEÅ</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51515-2023</t>
        </is>
      </c>
      <c r="B2425" s="1" t="n">
        <v>45215</v>
      </c>
      <c r="C2425" s="1" t="n">
        <v>45822</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51681-2023</t>
        </is>
      </c>
      <c r="B2426" s="1" t="n">
        <v>45215</v>
      </c>
      <c r="C2426" s="1" t="n">
        <v>45822</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51677-2023</t>
        </is>
      </c>
      <c r="B2427" s="1" t="n">
        <v>45215</v>
      </c>
      <c r="C2427" s="1" t="n">
        <v>45822</v>
      </c>
      <c r="D2427" t="inlineStr">
        <is>
          <t>VÄSTERNORRLANDS LÄN</t>
        </is>
      </c>
      <c r="E2427" t="inlineStr">
        <is>
          <t>SOLLEFTEÅ</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51690-2023</t>
        </is>
      </c>
      <c r="B2428" s="1" t="n">
        <v>45215</v>
      </c>
      <c r="C2428" s="1" t="n">
        <v>45822</v>
      </c>
      <c r="D2428" t="inlineStr">
        <is>
          <t>VÄSTERNORRLANDS LÄN</t>
        </is>
      </c>
      <c r="E2428" t="inlineStr">
        <is>
          <t>SOLLEFTEÅ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50507-2023</t>
        </is>
      </c>
      <c r="B2429" s="1" t="n">
        <v>45217</v>
      </c>
      <c r="C2429" s="1" t="n">
        <v>45822</v>
      </c>
      <c r="D2429" t="inlineStr">
        <is>
          <t>VÄSTERNORRLANDS LÄN</t>
        </is>
      </c>
      <c r="E2429" t="inlineStr">
        <is>
          <t>SOLLEFTEÅ</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50767-2023</t>
        </is>
      </c>
      <c r="B2430" s="1" t="n">
        <v>45217</v>
      </c>
      <c r="C2430" s="1" t="n">
        <v>45822</v>
      </c>
      <c r="D2430" t="inlineStr">
        <is>
          <t>VÄSTERNORRLANDS LÄN</t>
        </is>
      </c>
      <c r="E2430" t="inlineStr">
        <is>
          <t>SOLLEFTEÅ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50841-2023</t>
        </is>
      </c>
      <c r="B2431" s="1" t="n">
        <v>45217</v>
      </c>
      <c r="C2431" s="1" t="n">
        <v>45822</v>
      </c>
      <c r="D2431" t="inlineStr">
        <is>
          <t>VÄSTERNORRLANDS LÄN</t>
        </is>
      </c>
      <c r="E2431" t="inlineStr">
        <is>
          <t>SOLLEFTEÅ</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50615-2023</t>
        </is>
      </c>
      <c r="B2432" s="1" t="n">
        <v>45217</v>
      </c>
      <c r="C2432" s="1" t="n">
        <v>45822</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50757-2023</t>
        </is>
      </c>
      <c r="B2433" s="1" t="n">
        <v>45217</v>
      </c>
      <c r="C2433" s="1" t="n">
        <v>45822</v>
      </c>
      <c r="D2433" t="inlineStr">
        <is>
          <t>VÄSTERNORRLANDS LÄN</t>
        </is>
      </c>
      <c r="E2433" t="inlineStr">
        <is>
          <t>SOLLEFTEÅ</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50844-2023</t>
        </is>
      </c>
      <c r="B2434" s="1" t="n">
        <v>45217</v>
      </c>
      <c r="C2434" s="1" t="n">
        <v>45822</v>
      </c>
      <c r="D2434" t="inlineStr">
        <is>
          <t>VÄSTERNORRLANDS LÄN</t>
        </is>
      </c>
      <c r="E2434" t="inlineStr">
        <is>
          <t>SOLLEFTEÅ</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52266-2023</t>
        </is>
      </c>
      <c r="B2435" s="1" t="n">
        <v>45217</v>
      </c>
      <c r="C2435" s="1" t="n">
        <v>45822</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52267-2023</t>
        </is>
      </c>
      <c r="B2436" s="1" t="n">
        <v>45217</v>
      </c>
      <c r="C2436" s="1" t="n">
        <v>45822</v>
      </c>
      <c r="D2436" t="inlineStr">
        <is>
          <t>VÄSTERNORRLANDS LÄN</t>
        </is>
      </c>
      <c r="E2436" t="inlineStr">
        <is>
          <t>SOLLEFTEÅ</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51107-2023</t>
        </is>
      </c>
      <c r="B2437" s="1" t="n">
        <v>45219</v>
      </c>
      <c r="C2437" s="1" t="n">
        <v>45822</v>
      </c>
      <c r="D2437" t="inlineStr">
        <is>
          <t>VÄSTERNORRLANDS LÄN</t>
        </is>
      </c>
      <c r="E2437" t="inlineStr">
        <is>
          <t>SOLLEFTEÅ</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51106-2023</t>
        </is>
      </c>
      <c r="B2438" s="1" t="n">
        <v>45219</v>
      </c>
      <c r="C2438" s="1" t="n">
        <v>45822</v>
      </c>
      <c r="D2438" t="inlineStr">
        <is>
          <t>VÄSTERNORRLANDS LÄN</t>
        </is>
      </c>
      <c r="E2438" t="inlineStr">
        <is>
          <t>SOLLEFTEÅ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51800-2023</t>
        </is>
      </c>
      <c r="B2439" s="1" t="n">
        <v>45222</v>
      </c>
      <c r="C2439" s="1" t="n">
        <v>45822</v>
      </c>
      <c r="D2439" t="inlineStr">
        <is>
          <t>VÄSTERNORRLANDS LÄN</t>
        </is>
      </c>
      <c r="E2439" t="inlineStr">
        <is>
          <t>SOLLEFTEÅ</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51801-2023</t>
        </is>
      </c>
      <c r="B2440" s="1" t="n">
        <v>45222</v>
      </c>
      <c r="C2440" s="1" t="n">
        <v>45822</v>
      </c>
      <c r="D2440" t="inlineStr">
        <is>
          <t>VÄSTERNORRLANDS LÄN</t>
        </is>
      </c>
      <c r="E2440" t="inlineStr">
        <is>
          <t>SOLLEFTEÅ</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53375-2023</t>
        </is>
      </c>
      <c r="B2441" s="1" t="n">
        <v>45222</v>
      </c>
      <c r="C2441" s="1" t="n">
        <v>45822</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53224-2023</t>
        </is>
      </c>
      <c r="B2442" s="1" t="n">
        <v>45222</v>
      </c>
      <c r="C2442" s="1" t="n">
        <v>45822</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53231-2023</t>
        </is>
      </c>
      <c r="B2443" s="1" t="n">
        <v>45222</v>
      </c>
      <c r="C2443" s="1" t="n">
        <v>45822</v>
      </c>
      <c r="D2443" t="inlineStr">
        <is>
          <t>VÄSTERNORRLANDS LÄN</t>
        </is>
      </c>
      <c r="E2443" t="inlineStr">
        <is>
          <t>SOLLEFTEÅ</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53379-2023</t>
        </is>
      </c>
      <c r="B2444" s="1" t="n">
        <v>45222</v>
      </c>
      <c r="C2444" s="1" t="n">
        <v>45822</v>
      </c>
      <c r="D2444" t="inlineStr">
        <is>
          <t>VÄSTERNORRLANDS LÄN</t>
        </is>
      </c>
      <c r="E2444" t="inlineStr">
        <is>
          <t>SOLLEFTEÅ</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51802-2023</t>
        </is>
      </c>
      <c r="B2445" s="1" t="n">
        <v>45223</v>
      </c>
      <c r="C2445" s="1" t="n">
        <v>45822</v>
      </c>
      <c r="D2445" t="inlineStr">
        <is>
          <t>VÄSTERNORRLANDS LÄN</t>
        </is>
      </c>
      <c r="E2445" t="inlineStr">
        <is>
          <t>SOLLEFTEÅ</t>
        </is>
      </c>
      <c r="F2445" t="inlineStr">
        <is>
          <t>SCA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53394-2023</t>
        </is>
      </c>
      <c r="B2446" s="1" t="n">
        <v>45222</v>
      </c>
      <c r="C2446" s="1" t="n">
        <v>45822</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52136-2023</t>
        </is>
      </c>
      <c r="B2447" s="1" t="n">
        <v>45224</v>
      </c>
      <c r="C2447" s="1" t="n">
        <v>45822</v>
      </c>
      <c r="D2447" t="inlineStr">
        <is>
          <t>VÄSTERNORRLANDS LÄN</t>
        </is>
      </c>
      <c r="E2447" t="inlineStr">
        <is>
          <t>SOLLEFTEÅ</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52087-2023</t>
        </is>
      </c>
      <c r="B2448" s="1" t="n">
        <v>45223</v>
      </c>
      <c r="C2448" s="1" t="n">
        <v>45822</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53550-2023</t>
        </is>
      </c>
      <c r="B2449" s="1" t="n">
        <v>45223</v>
      </c>
      <c r="C2449" s="1" t="n">
        <v>45822</v>
      </c>
      <c r="D2449" t="inlineStr">
        <is>
          <t>VÄSTERNORRLANDS LÄN</t>
        </is>
      </c>
      <c r="E2449" t="inlineStr">
        <is>
          <t>SOLLEFTEÅ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53855-2023</t>
        </is>
      </c>
      <c r="B2450" s="1" t="n">
        <v>45224</v>
      </c>
      <c r="C2450" s="1" t="n">
        <v>45822</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53850-2023</t>
        </is>
      </c>
      <c r="B2451" s="1" t="n">
        <v>45224</v>
      </c>
      <c r="C2451" s="1" t="n">
        <v>45822</v>
      </c>
      <c r="D2451" t="inlineStr">
        <is>
          <t>VÄSTERNORRLANDS LÄN</t>
        </is>
      </c>
      <c r="E2451" t="inlineStr">
        <is>
          <t>SOLLEFTEÅ</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53939-2023</t>
        </is>
      </c>
      <c r="B2452" s="1" t="n">
        <v>45224</v>
      </c>
      <c r="C2452" s="1" t="n">
        <v>45822</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52445-2023</t>
        </is>
      </c>
      <c r="B2453" s="1" t="n">
        <v>45225</v>
      </c>
      <c r="C2453" s="1" t="n">
        <v>45822</v>
      </c>
      <c r="D2453" t="inlineStr">
        <is>
          <t>VÄSTERNORRLANDS LÄN</t>
        </is>
      </c>
      <c r="E2453" t="inlineStr">
        <is>
          <t>SOLLEFTEÅ</t>
        </is>
      </c>
      <c r="F2453" t="inlineStr">
        <is>
          <t>Holmen skog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54307-2023</t>
        </is>
      </c>
      <c r="B2454" s="1" t="n">
        <v>45225</v>
      </c>
      <c r="C2454" s="1" t="n">
        <v>45822</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53040-2023</t>
        </is>
      </c>
      <c r="B2455" s="1" t="n">
        <v>45226</v>
      </c>
      <c r="C2455" s="1" t="n">
        <v>45822</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54526-2023</t>
        </is>
      </c>
      <c r="B2456" s="1" t="n">
        <v>45226</v>
      </c>
      <c r="C2456" s="1" t="n">
        <v>45822</v>
      </c>
      <c r="D2456" t="inlineStr">
        <is>
          <t>VÄSTERNORRLANDS LÄN</t>
        </is>
      </c>
      <c r="E2456" t="inlineStr">
        <is>
          <t>SOLLEFTEÅ</t>
        </is>
      </c>
      <c r="G2456" t="n">
        <v>23.8</v>
      </c>
      <c r="H2456" t="n">
        <v>0</v>
      </c>
      <c r="I2456" t="n">
        <v>0</v>
      </c>
      <c r="J2456" t="n">
        <v>0</v>
      </c>
      <c r="K2456" t="n">
        <v>0</v>
      </c>
      <c r="L2456" t="n">
        <v>0</v>
      </c>
      <c r="M2456" t="n">
        <v>0</v>
      </c>
      <c r="N2456" t="n">
        <v>0</v>
      </c>
      <c r="O2456" t="n">
        <v>0</v>
      </c>
      <c r="P2456" t="n">
        <v>0</v>
      </c>
      <c r="Q2456" t="n">
        <v>0</v>
      </c>
      <c r="R2456" s="2" t="inlineStr"/>
    </row>
    <row r="2457" ht="15" customHeight="1">
      <c r="A2457" t="inlineStr">
        <is>
          <t>A 53057-2023</t>
        </is>
      </c>
      <c r="B2457" s="1" t="n">
        <v>45226</v>
      </c>
      <c r="C2457" s="1" t="n">
        <v>45822</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53041-2023</t>
        </is>
      </c>
      <c r="B2458" s="1" t="n">
        <v>45226</v>
      </c>
      <c r="C2458" s="1" t="n">
        <v>45822</v>
      </c>
      <c r="D2458" t="inlineStr">
        <is>
          <t>VÄSTERNORRLANDS LÄN</t>
        </is>
      </c>
      <c r="E2458" t="inlineStr">
        <is>
          <t>SOLLEFTEÅ</t>
        </is>
      </c>
      <c r="F2458" t="inlineStr">
        <is>
          <t>SCA</t>
        </is>
      </c>
      <c r="G2458" t="n">
        <v>50.2</v>
      </c>
      <c r="H2458" t="n">
        <v>0</v>
      </c>
      <c r="I2458" t="n">
        <v>0</v>
      </c>
      <c r="J2458" t="n">
        <v>0</v>
      </c>
      <c r="K2458" t="n">
        <v>0</v>
      </c>
      <c r="L2458" t="n">
        <v>0</v>
      </c>
      <c r="M2458" t="n">
        <v>0</v>
      </c>
      <c r="N2458" t="n">
        <v>0</v>
      </c>
      <c r="O2458" t="n">
        <v>0</v>
      </c>
      <c r="P2458" t="n">
        <v>0</v>
      </c>
      <c r="Q2458" t="n">
        <v>0</v>
      </c>
      <c r="R2458" s="2" t="inlineStr"/>
    </row>
    <row r="2459" ht="15" customHeight="1">
      <c r="A2459" t="inlineStr">
        <is>
          <t>A 53048-2023</t>
        </is>
      </c>
      <c r="B2459" s="1" t="n">
        <v>45226</v>
      </c>
      <c r="C2459" s="1" t="n">
        <v>45822</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53452-2023</t>
        </is>
      </c>
      <c r="B2460" s="1" t="n">
        <v>45229</v>
      </c>
      <c r="C2460" s="1" t="n">
        <v>45822</v>
      </c>
      <c r="D2460" t="inlineStr">
        <is>
          <t>VÄSTERNORRLANDS LÄN</t>
        </is>
      </c>
      <c r="E2460" t="inlineStr">
        <is>
          <t>SOLLEFTEÅ</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53453-2023</t>
        </is>
      </c>
      <c r="B2461" s="1" t="n">
        <v>45230</v>
      </c>
      <c r="C2461" s="1" t="n">
        <v>45822</v>
      </c>
      <c r="D2461" t="inlineStr">
        <is>
          <t>VÄSTERNORRLANDS LÄN</t>
        </is>
      </c>
      <c r="E2461" t="inlineStr">
        <is>
          <t>SOLLEFTEÅ</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53669-2023</t>
        </is>
      </c>
      <c r="B2462" s="1" t="n">
        <v>45230</v>
      </c>
      <c r="C2462" s="1" t="n">
        <v>45822</v>
      </c>
      <c r="D2462" t="inlineStr">
        <is>
          <t>VÄSTERNORRLANDS LÄN</t>
        </is>
      </c>
      <c r="E2462" t="inlineStr">
        <is>
          <t>SOLLEFTEÅ</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54016-2023</t>
        </is>
      </c>
      <c r="B2463" s="1" t="n">
        <v>45231</v>
      </c>
      <c r="C2463" s="1" t="n">
        <v>45822</v>
      </c>
      <c r="D2463" t="inlineStr">
        <is>
          <t>VÄSTERNORRLANDS LÄN</t>
        </is>
      </c>
      <c r="E2463" t="inlineStr">
        <is>
          <t>SOLLEFTEÅ</t>
        </is>
      </c>
      <c r="F2463" t="inlineStr">
        <is>
          <t>Holmen skog AB</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54020-2023</t>
        </is>
      </c>
      <c r="B2464" s="1" t="n">
        <v>45231</v>
      </c>
      <c r="C2464" s="1" t="n">
        <v>45822</v>
      </c>
      <c r="D2464" t="inlineStr">
        <is>
          <t>VÄSTERNORRLANDS LÄN</t>
        </is>
      </c>
      <c r="E2464" t="inlineStr">
        <is>
          <t>SOLLEFTEÅ</t>
        </is>
      </c>
      <c r="F2464" t="inlineStr">
        <is>
          <t>Holmen skog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54034-2023</t>
        </is>
      </c>
      <c r="B2465" s="1" t="n">
        <v>45231</v>
      </c>
      <c r="C2465" s="1" t="n">
        <v>45822</v>
      </c>
      <c r="D2465" t="inlineStr">
        <is>
          <t>VÄSTERNORRLANDS LÄN</t>
        </is>
      </c>
      <c r="E2465" t="inlineStr">
        <is>
          <t>SOLLEFTEÅ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54033-2023</t>
        </is>
      </c>
      <c r="B2466" s="1" t="n">
        <v>45231</v>
      </c>
      <c r="C2466" s="1" t="n">
        <v>45822</v>
      </c>
      <c r="D2466" t="inlineStr">
        <is>
          <t>VÄSTERNORRLANDS LÄN</t>
        </is>
      </c>
      <c r="E2466" t="inlineStr">
        <is>
          <t>SOLLEFTEÅ</t>
        </is>
      </c>
      <c r="G2466" t="n">
        <v>13.2</v>
      </c>
      <c r="H2466" t="n">
        <v>0</v>
      </c>
      <c r="I2466" t="n">
        <v>0</v>
      </c>
      <c r="J2466" t="n">
        <v>0</v>
      </c>
      <c r="K2466" t="n">
        <v>0</v>
      </c>
      <c r="L2466" t="n">
        <v>0</v>
      </c>
      <c r="M2466" t="n">
        <v>0</v>
      </c>
      <c r="N2466" t="n">
        <v>0</v>
      </c>
      <c r="O2466" t="n">
        <v>0</v>
      </c>
      <c r="P2466" t="n">
        <v>0</v>
      </c>
      <c r="Q2466" t="n">
        <v>0</v>
      </c>
      <c r="R2466" s="2" t="inlineStr"/>
    </row>
    <row r="2467" ht="15" customHeight="1">
      <c r="A2467" t="inlineStr">
        <is>
          <t>A 54035-2023</t>
        </is>
      </c>
      <c r="B2467" s="1" t="n">
        <v>45231</v>
      </c>
      <c r="C2467" s="1" t="n">
        <v>45822</v>
      </c>
      <c r="D2467" t="inlineStr">
        <is>
          <t>VÄSTERNORRLANDS LÄN</t>
        </is>
      </c>
      <c r="E2467" t="inlineStr">
        <is>
          <t>SOLLEFTEÅ</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54048-2023</t>
        </is>
      </c>
      <c r="B2468" s="1" t="n">
        <v>45232</v>
      </c>
      <c r="C2468" s="1" t="n">
        <v>45822</v>
      </c>
      <c r="D2468" t="inlineStr">
        <is>
          <t>VÄSTERNORRLANDS LÄN</t>
        </is>
      </c>
      <c r="E2468" t="inlineStr">
        <is>
          <t>SOLLEFTEÅ</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54036-2023</t>
        </is>
      </c>
      <c r="B2469" s="1" t="n">
        <v>45231</v>
      </c>
      <c r="C2469" s="1" t="n">
        <v>45822</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54045-2023</t>
        </is>
      </c>
      <c r="B2470" s="1" t="n">
        <v>45232</v>
      </c>
      <c r="C2470" s="1" t="n">
        <v>45822</v>
      </c>
      <c r="D2470" t="inlineStr">
        <is>
          <t>VÄSTERNORRLANDS LÄN</t>
        </is>
      </c>
      <c r="E2470" t="inlineStr">
        <is>
          <t>SOLLEFTEÅ</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54092-2023</t>
        </is>
      </c>
      <c r="B2471" s="1" t="n">
        <v>45232</v>
      </c>
      <c r="C2471" s="1" t="n">
        <v>45822</v>
      </c>
      <c r="D2471" t="inlineStr">
        <is>
          <t>VÄSTERNORRLANDS LÄN</t>
        </is>
      </c>
      <c r="E2471" t="inlineStr">
        <is>
          <t>SOLLEFTEÅ</t>
        </is>
      </c>
      <c r="F2471" t="inlineStr">
        <is>
          <t>Holmen skog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54088-2023</t>
        </is>
      </c>
      <c r="B2472" s="1" t="n">
        <v>45232</v>
      </c>
      <c r="C2472" s="1" t="n">
        <v>45822</v>
      </c>
      <c r="D2472" t="inlineStr">
        <is>
          <t>VÄSTERNORRLANDS LÄN</t>
        </is>
      </c>
      <c r="E2472" t="inlineStr">
        <is>
          <t>SOLLEFTEÅ</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54198-2023</t>
        </is>
      </c>
      <c r="B2473" s="1" t="n">
        <v>45232</v>
      </c>
      <c r="C2473" s="1" t="n">
        <v>45822</v>
      </c>
      <c r="D2473" t="inlineStr">
        <is>
          <t>VÄSTERNORRLANDS LÄN</t>
        </is>
      </c>
      <c r="E2473" t="inlineStr">
        <is>
          <t>SOLLEFTEÅ</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54330-2023</t>
        </is>
      </c>
      <c r="B2474" s="1" t="n">
        <v>45232</v>
      </c>
      <c r="C2474" s="1" t="n">
        <v>45822</v>
      </c>
      <c r="D2474" t="inlineStr">
        <is>
          <t>VÄSTERNORRLANDS LÄN</t>
        </is>
      </c>
      <c r="E2474" t="inlineStr">
        <is>
          <t>SOLLEFTEÅ</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54351-2023</t>
        </is>
      </c>
      <c r="B2475" s="1" t="n">
        <v>45232</v>
      </c>
      <c r="C2475" s="1" t="n">
        <v>45822</v>
      </c>
      <c r="D2475" t="inlineStr">
        <is>
          <t>VÄSTERNORRLANDS LÄN</t>
        </is>
      </c>
      <c r="E2475" t="inlineStr">
        <is>
          <t>SOLLEFTEÅ</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54195-2023</t>
        </is>
      </c>
      <c r="B2476" s="1" t="n">
        <v>45232</v>
      </c>
      <c r="C2476" s="1" t="n">
        <v>45822</v>
      </c>
      <c r="D2476" t="inlineStr">
        <is>
          <t>VÄSTERNORRLANDS LÄN</t>
        </is>
      </c>
      <c r="E2476" t="inlineStr">
        <is>
          <t>SOLLEFTEÅ</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54620-2023</t>
        </is>
      </c>
      <c r="B2477" s="1" t="n">
        <v>45233</v>
      </c>
      <c r="C2477" s="1" t="n">
        <v>45822</v>
      </c>
      <c r="D2477" t="inlineStr">
        <is>
          <t>VÄSTERNORRLANDS LÄN</t>
        </is>
      </c>
      <c r="E2477" t="inlineStr">
        <is>
          <t>SOLLEFTEÅ</t>
        </is>
      </c>
      <c r="F2477" t="inlineStr">
        <is>
          <t>SCA</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54617-2023</t>
        </is>
      </c>
      <c r="B2478" s="1" t="n">
        <v>45234</v>
      </c>
      <c r="C2478" s="1" t="n">
        <v>45822</v>
      </c>
      <c r="D2478" t="inlineStr">
        <is>
          <t>VÄSTERNORRLANDS LÄN</t>
        </is>
      </c>
      <c r="E2478" t="inlineStr">
        <is>
          <t>SOLLEFTEÅ</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54607-2023</t>
        </is>
      </c>
      <c r="B2479" s="1" t="n">
        <v>45233</v>
      </c>
      <c r="C2479" s="1" t="n">
        <v>45822</v>
      </c>
      <c r="D2479" t="inlineStr">
        <is>
          <t>VÄSTERNORRLANDS LÄN</t>
        </is>
      </c>
      <c r="E2479" t="inlineStr">
        <is>
          <t>SOLLEFTEÅ</t>
        </is>
      </c>
      <c r="F2479" t="inlineStr">
        <is>
          <t>SCA</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54622-2023</t>
        </is>
      </c>
      <c r="B2480" s="1" t="n">
        <v>45233</v>
      </c>
      <c r="C2480" s="1" t="n">
        <v>45822</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54618-2023</t>
        </is>
      </c>
      <c r="B2481" s="1" t="n">
        <v>45233</v>
      </c>
      <c r="C2481" s="1" t="n">
        <v>45822</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54642-2023</t>
        </is>
      </c>
      <c r="B2482" s="1" t="n">
        <v>45234</v>
      </c>
      <c r="C2482" s="1" t="n">
        <v>45822</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54641-2023</t>
        </is>
      </c>
      <c r="B2483" s="1" t="n">
        <v>45234</v>
      </c>
      <c r="C2483" s="1" t="n">
        <v>45822</v>
      </c>
      <c r="D2483" t="inlineStr">
        <is>
          <t>VÄSTERNORRLANDS LÄN</t>
        </is>
      </c>
      <c r="E2483" t="inlineStr">
        <is>
          <t>SOLLEFTEÅ</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54979-2023</t>
        </is>
      </c>
      <c r="B2484" s="1" t="n">
        <v>45236</v>
      </c>
      <c r="C2484" s="1" t="n">
        <v>45822</v>
      </c>
      <c r="D2484" t="inlineStr">
        <is>
          <t>VÄSTERNORRLANDS LÄN</t>
        </is>
      </c>
      <c r="E2484" t="inlineStr">
        <is>
          <t>SOLLEFTEÅ</t>
        </is>
      </c>
      <c r="F2484" t="inlineStr">
        <is>
          <t>SCA</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56148-2023</t>
        </is>
      </c>
      <c r="B2485" s="1" t="n">
        <v>45236</v>
      </c>
      <c r="C2485" s="1" t="n">
        <v>45822</v>
      </c>
      <c r="D2485" t="inlineStr">
        <is>
          <t>VÄSTERNORRLANDS LÄN</t>
        </is>
      </c>
      <c r="E2485" t="inlineStr">
        <is>
          <t>SOLLEFTEÅ</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54978-2023</t>
        </is>
      </c>
      <c r="B2486" s="1" t="n">
        <v>45237</v>
      </c>
      <c r="C2486" s="1" t="n">
        <v>45822</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55005-2023</t>
        </is>
      </c>
      <c r="B2487" s="1" t="n">
        <v>45236</v>
      </c>
      <c r="C2487" s="1" t="n">
        <v>45822</v>
      </c>
      <c r="D2487" t="inlineStr">
        <is>
          <t>VÄSTERNORRLANDS LÄN</t>
        </is>
      </c>
      <c r="E2487" t="inlineStr">
        <is>
          <t>SOLLEFTEÅ</t>
        </is>
      </c>
      <c r="F2487" t="inlineStr">
        <is>
          <t>SCA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56356-2023</t>
        </is>
      </c>
      <c r="B2488" s="1" t="n">
        <v>45236</v>
      </c>
      <c r="C2488" s="1" t="n">
        <v>45822</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56416-2023</t>
        </is>
      </c>
      <c r="B2489" s="1" t="n">
        <v>45237</v>
      </c>
      <c r="C2489" s="1" t="n">
        <v>45822</v>
      </c>
      <c r="D2489" t="inlineStr">
        <is>
          <t>VÄSTERNORRLANDS LÄN</t>
        </is>
      </c>
      <c r="E2489" t="inlineStr">
        <is>
          <t>SOLLEFTEÅ</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56431-2023</t>
        </is>
      </c>
      <c r="B2490" s="1" t="n">
        <v>45237</v>
      </c>
      <c r="C2490" s="1" t="n">
        <v>45822</v>
      </c>
      <c r="D2490" t="inlineStr">
        <is>
          <t>VÄSTERNORRLANDS LÄN</t>
        </is>
      </c>
      <c r="E2490" t="inlineStr">
        <is>
          <t>SOLLEFTEÅ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55338-2023</t>
        </is>
      </c>
      <c r="B2491" s="1" t="n">
        <v>45238</v>
      </c>
      <c r="C2491" s="1" t="n">
        <v>45822</v>
      </c>
      <c r="D2491" t="inlineStr">
        <is>
          <t>VÄSTERNORRLANDS LÄN</t>
        </is>
      </c>
      <c r="E2491" t="inlineStr">
        <is>
          <t>SOLLEFTEÅ</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56424-2023</t>
        </is>
      </c>
      <c r="B2492" s="1" t="n">
        <v>45237</v>
      </c>
      <c r="C2492" s="1" t="n">
        <v>45822</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55637-2023</t>
        </is>
      </c>
      <c r="B2493" s="1" t="n">
        <v>45238</v>
      </c>
      <c r="C2493" s="1" t="n">
        <v>45822</v>
      </c>
      <c r="D2493" t="inlineStr">
        <is>
          <t>VÄSTERNORRLANDS LÄN</t>
        </is>
      </c>
      <c r="E2493" t="inlineStr">
        <is>
          <t>SOLLEFTEÅ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55653-2023</t>
        </is>
      </c>
      <c r="B2494" s="1" t="n">
        <v>45239</v>
      </c>
      <c r="C2494" s="1" t="n">
        <v>45822</v>
      </c>
      <c r="D2494" t="inlineStr">
        <is>
          <t>VÄSTERNORRLANDS LÄN</t>
        </is>
      </c>
      <c r="E2494" t="inlineStr">
        <is>
          <t>SOLLEFTEÅ</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55622-2023</t>
        </is>
      </c>
      <c r="B2495" s="1" t="n">
        <v>45238</v>
      </c>
      <c r="C2495" s="1" t="n">
        <v>45822</v>
      </c>
      <c r="D2495" t="inlineStr">
        <is>
          <t>VÄSTERNORRLANDS LÄN</t>
        </is>
      </c>
      <c r="E2495" t="inlineStr">
        <is>
          <t>SOLLEFTEÅ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55638-2023</t>
        </is>
      </c>
      <c r="B2496" s="1" t="n">
        <v>45238</v>
      </c>
      <c r="C2496" s="1" t="n">
        <v>45822</v>
      </c>
      <c r="D2496" t="inlineStr">
        <is>
          <t>VÄSTERNORRLANDS LÄN</t>
        </is>
      </c>
      <c r="E2496" t="inlineStr">
        <is>
          <t>SOLLEFTEÅ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55650-2023</t>
        </is>
      </c>
      <c r="B2497" s="1" t="n">
        <v>45239</v>
      </c>
      <c r="C2497" s="1" t="n">
        <v>45822</v>
      </c>
      <c r="D2497" t="inlineStr">
        <is>
          <t>VÄSTERNORRLANDS LÄN</t>
        </is>
      </c>
      <c r="E2497" t="inlineStr">
        <is>
          <t>SOLLEFTEÅ</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55654-2023</t>
        </is>
      </c>
      <c r="B2498" s="1" t="n">
        <v>45239</v>
      </c>
      <c r="C2498" s="1" t="n">
        <v>45822</v>
      </c>
      <c r="D2498" t="inlineStr">
        <is>
          <t>VÄSTERNORRLANDS LÄN</t>
        </is>
      </c>
      <c r="E2498" t="inlineStr">
        <is>
          <t>SOLLEFTEÅ</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55652-2023</t>
        </is>
      </c>
      <c r="B2499" s="1" t="n">
        <v>45238</v>
      </c>
      <c r="C2499" s="1" t="n">
        <v>45822</v>
      </c>
      <c r="D2499" t="inlineStr">
        <is>
          <t>VÄSTERNORRLANDS LÄN</t>
        </is>
      </c>
      <c r="E2499" t="inlineStr">
        <is>
          <t>SOLLEFTEÅ</t>
        </is>
      </c>
      <c r="F2499" t="inlineStr">
        <is>
          <t>SCA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55651-2023</t>
        </is>
      </c>
      <c r="B2500" s="1" t="n">
        <v>45238</v>
      </c>
      <c r="C2500" s="1" t="n">
        <v>45822</v>
      </c>
      <c r="D2500" t="inlineStr">
        <is>
          <t>VÄSTERNORRLANDS LÄN</t>
        </is>
      </c>
      <c r="E2500" t="inlineStr">
        <is>
          <t>SOLLEFTEÅ</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55687-2023</t>
        </is>
      </c>
      <c r="B2501" s="1" t="n">
        <v>45239</v>
      </c>
      <c r="C2501" s="1" t="n">
        <v>45822</v>
      </c>
      <c r="D2501" t="inlineStr">
        <is>
          <t>VÄSTERNORRLANDS LÄN</t>
        </is>
      </c>
      <c r="E2501" t="inlineStr">
        <is>
          <t>SOLLEFTEÅ</t>
        </is>
      </c>
      <c r="F2501" t="inlineStr">
        <is>
          <t>Holmen skog AB</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55859-2023</t>
        </is>
      </c>
      <c r="B2502" s="1" t="n">
        <v>45239</v>
      </c>
      <c r="C2502" s="1" t="n">
        <v>45822</v>
      </c>
      <c r="D2502" t="inlineStr">
        <is>
          <t>VÄSTERNORRLANDS LÄN</t>
        </is>
      </c>
      <c r="E2502" t="inlineStr">
        <is>
          <t>SOLLEFTEÅ</t>
        </is>
      </c>
      <c r="F2502" t="inlineStr">
        <is>
          <t>Kommuner</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55910-2023</t>
        </is>
      </c>
      <c r="B2503" s="1" t="n">
        <v>45239</v>
      </c>
      <c r="C2503" s="1" t="n">
        <v>45822</v>
      </c>
      <c r="D2503" t="inlineStr">
        <is>
          <t>VÄSTERNORRLANDS LÄN</t>
        </is>
      </c>
      <c r="E2503" t="inlineStr">
        <is>
          <t>SOLLEFTEÅ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55912-2023</t>
        </is>
      </c>
      <c r="B2504" s="1" t="n">
        <v>45239</v>
      </c>
      <c r="C2504" s="1" t="n">
        <v>45822</v>
      </c>
      <c r="D2504" t="inlineStr">
        <is>
          <t>VÄSTERNORRLANDS LÄN</t>
        </is>
      </c>
      <c r="E2504" t="inlineStr">
        <is>
          <t>SOLLEFTEÅ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55929-2023</t>
        </is>
      </c>
      <c r="B2505" s="1" t="n">
        <v>45239</v>
      </c>
      <c r="C2505" s="1" t="n">
        <v>45822</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57010-2023</t>
        </is>
      </c>
      <c r="B2506" s="1" t="n">
        <v>45239</v>
      </c>
      <c r="C2506" s="1" t="n">
        <v>45822</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c r="U2506">
        <f>HYPERLINK("https://klasma.github.io/Logging_2283/knärot/A 57010-2023 karta knärot.png", "A 57010-2023")</f>
        <v/>
      </c>
      <c r="V2506">
        <f>HYPERLINK("https://klasma.github.io/Logging_2283/klagomål/A 57010-2023 FSC-klagomål.docx", "A 57010-2023")</f>
        <v/>
      </c>
      <c r="W2506">
        <f>HYPERLINK("https://klasma.github.io/Logging_2283/klagomålsmail/A 57010-2023 FSC-klagomål mail.docx", "A 57010-2023")</f>
        <v/>
      </c>
      <c r="X2506">
        <f>HYPERLINK("https://klasma.github.io/Logging_2283/tillsyn/A 57010-2023 tillsynsbegäran.docx", "A 57010-2023")</f>
        <v/>
      </c>
      <c r="Y2506">
        <f>HYPERLINK("https://klasma.github.io/Logging_2283/tillsynsmail/A 57010-2023 tillsynsbegäran mail.docx", "A 57010-2023")</f>
        <v/>
      </c>
    </row>
    <row r="2507" ht="15" customHeight="1">
      <c r="A2507" t="inlineStr">
        <is>
          <t>A 56261-2023</t>
        </is>
      </c>
      <c r="B2507" s="1" t="n">
        <v>45240</v>
      </c>
      <c r="C2507" s="1" t="n">
        <v>45822</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56249-2023</t>
        </is>
      </c>
      <c r="B2508" s="1" t="n">
        <v>45240</v>
      </c>
      <c r="C2508" s="1" t="n">
        <v>45822</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56201-2023</t>
        </is>
      </c>
      <c r="B2509" s="1" t="n">
        <v>45240</v>
      </c>
      <c r="C2509" s="1" t="n">
        <v>45822</v>
      </c>
      <c r="D2509" t="inlineStr">
        <is>
          <t>VÄSTERNORRLANDS LÄN</t>
        </is>
      </c>
      <c r="E2509" t="inlineStr">
        <is>
          <t>SOLLEFTEÅ</t>
        </is>
      </c>
      <c r="G2509" t="n">
        <v>43.3</v>
      </c>
      <c r="H2509" t="n">
        <v>0</v>
      </c>
      <c r="I2509" t="n">
        <v>0</v>
      </c>
      <c r="J2509" t="n">
        <v>0</v>
      </c>
      <c r="K2509" t="n">
        <v>0</v>
      </c>
      <c r="L2509" t="n">
        <v>0</v>
      </c>
      <c r="M2509" t="n">
        <v>0</v>
      </c>
      <c r="N2509" t="n">
        <v>0</v>
      </c>
      <c r="O2509" t="n">
        <v>0</v>
      </c>
      <c r="P2509" t="n">
        <v>0</v>
      </c>
      <c r="Q2509" t="n">
        <v>0</v>
      </c>
      <c r="R2509" s="2" t="inlineStr"/>
    </row>
    <row r="2510" ht="15" customHeight="1">
      <c r="A2510" t="inlineStr">
        <is>
          <t>A 56262-2023</t>
        </is>
      </c>
      <c r="B2510" s="1" t="n">
        <v>45240</v>
      </c>
      <c r="C2510" s="1" t="n">
        <v>45822</v>
      </c>
      <c r="D2510" t="inlineStr">
        <is>
          <t>VÄSTERNORRLANDS LÄN</t>
        </is>
      </c>
      <c r="E2510" t="inlineStr">
        <is>
          <t>SOLLEFTEÅ</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56234-2023</t>
        </is>
      </c>
      <c r="B2511" s="1" t="n">
        <v>45240</v>
      </c>
      <c r="C2511" s="1" t="n">
        <v>45822</v>
      </c>
      <c r="D2511" t="inlineStr">
        <is>
          <t>VÄSTERNORRLANDS LÄN</t>
        </is>
      </c>
      <c r="E2511" t="inlineStr">
        <is>
          <t>SOLLEFTEÅ</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56260-2023</t>
        </is>
      </c>
      <c r="B2512" s="1" t="n">
        <v>45240</v>
      </c>
      <c r="C2512" s="1" t="n">
        <v>45822</v>
      </c>
      <c r="D2512" t="inlineStr">
        <is>
          <t>VÄSTERNORRLANDS LÄN</t>
        </is>
      </c>
      <c r="E2512" t="inlineStr">
        <is>
          <t>SOLLEFTEÅ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56256-2023</t>
        </is>
      </c>
      <c r="B2513" s="1" t="n">
        <v>45240</v>
      </c>
      <c r="C2513" s="1" t="n">
        <v>45822</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56244-2023</t>
        </is>
      </c>
      <c r="B2514" s="1" t="n">
        <v>45240</v>
      </c>
      <c r="C2514" s="1" t="n">
        <v>45822</v>
      </c>
      <c r="D2514" t="inlineStr">
        <is>
          <t>VÄSTERNORRLANDS LÄN</t>
        </is>
      </c>
      <c r="E2514" t="inlineStr">
        <is>
          <t>SOLLEFTEÅ</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56134-2023</t>
        </is>
      </c>
      <c r="B2515" s="1" t="n">
        <v>45240</v>
      </c>
      <c r="C2515" s="1" t="n">
        <v>45822</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56137-2023</t>
        </is>
      </c>
      <c r="B2516" s="1" t="n">
        <v>45240</v>
      </c>
      <c r="C2516" s="1" t="n">
        <v>45822</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56139-2023</t>
        </is>
      </c>
      <c r="B2517" s="1" t="n">
        <v>45240</v>
      </c>
      <c r="C2517" s="1" t="n">
        <v>45822</v>
      </c>
      <c r="D2517" t="inlineStr">
        <is>
          <t>VÄSTERNORRLANDS LÄN</t>
        </is>
      </c>
      <c r="E2517" t="inlineStr">
        <is>
          <t>SOLLEFTEÅ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56310-2023</t>
        </is>
      </c>
      <c r="B2518" s="1" t="n">
        <v>45242</v>
      </c>
      <c r="C2518" s="1" t="n">
        <v>45822</v>
      </c>
      <c r="D2518" t="inlineStr">
        <is>
          <t>VÄSTERNORRLANDS LÄN</t>
        </is>
      </c>
      <c r="E2518" t="inlineStr">
        <is>
          <t>SOLLEFTEÅ</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57518-2023</t>
        </is>
      </c>
      <c r="B2519" s="1" t="n">
        <v>45242</v>
      </c>
      <c r="C2519" s="1" t="n">
        <v>45822</v>
      </c>
      <c r="D2519" t="inlineStr">
        <is>
          <t>VÄSTERNORRLANDS LÄN</t>
        </is>
      </c>
      <c r="E2519" t="inlineStr">
        <is>
          <t>SOLLEFTEÅ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56311-2023</t>
        </is>
      </c>
      <c r="B2520" s="1" t="n">
        <v>45242</v>
      </c>
      <c r="C2520" s="1" t="n">
        <v>45822</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56684-2023</t>
        </is>
      </c>
      <c r="B2521" s="1" t="n">
        <v>45244</v>
      </c>
      <c r="C2521" s="1" t="n">
        <v>45822</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56685-2023</t>
        </is>
      </c>
      <c r="B2522" s="1" t="n">
        <v>45244</v>
      </c>
      <c r="C2522" s="1" t="n">
        <v>45822</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57080-2023</t>
        </is>
      </c>
      <c r="B2523" s="1" t="n">
        <v>45244</v>
      </c>
      <c r="C2523" s="1" t="n">
        <v>45822</v>
      </c>
      <c r="D2523" t="inlineStr">
        <is>
          <t>VÄSTERNORRLANDS LÄN</t>
        </is>
      </c>
      <c r="E2523" t="inlineStr">
        <is>
          <t>SOLLEFTEÅ</t>
        </is>
      </c>
      <c r="F2523" t="inlineStr">
        <is>
          <t>SCA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57066-2023</t>
        </is>
      </c>
      <c r="B2524" s="1" t="n">
        <v>45245</v>
      </c>
      <c r="C2524" s="1" t="n">
        <v>45822</v>
      </c>
      <c r="D2524" t="inlineStr">
        <is>
          <t>VÄSTERNORRLANDS LÄN</t>
        </is>
      </c>
      <c r="E2524" t="inlineStr">
        <is>
          <t>SOLLEFTEÅ</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57837-2023</t>
        </is>
      </c>
      <c r="B2525" s="1" t="n">
        <v>45244</v>
      </c>
      <c r="C2525" s="1" t="n">
        <v>45822</v>
      </c>
      <c r="D2525" t="inlineStr">
        <is>
          <t>VÄSTERNORRLANDS LÄN</t>
        </is>
      </c>
      <c r="E2525" t="inlineStr">
        <is>
          <t>SOLLEFTEÅ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57384-2023</t>
        </is>
      </c>
      <c r="B2526" s="1" t="n">
        <v>45245</v>
      </c>
      <c r="C2526" s="1" t="n">
        <v>45822</v>
      </c>
      <c r="D2526" t="inlineStr">
        <is>
          <t>VÄSTERNORRLANDS LÄN</t>
        </is>
      </c>
      <c r="E2526" t="inlineStr">
        <is>
          <t>SOLLEFTEÅ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57394-2023</t>
        </is>
      </c>
      <c r="B2527" s="1" t="n">
        <v>45246</v>
      </c>
      <c r="C2527" s="1" t="n">
        <v>45822</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57395-2023</t>
        </is>
      </c>
      <c r="B2528" s="1" t="n">
        <v>45246</v>
      </c>
      <c r="C2528" s="1" t="n">
        <v>45822</v>
      </c>
      <c r="D2528" t="inlineStr">
        <is>
          <t>VÄSTERNORRLANDS LÄN</t>
        </is>
      </c>
      <c r="E2528" t="inlineStr">
        <is>
          <t>SOLLEFTEÅ</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57411-2023</t>
        </is>
      </c>
      <c r="B2529" s="1" t="n">
        <v>45245</v>
      </c>
      <c r="C2529" s="1" t="n">
        <v>45822</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58298-2023</t>
        </is>
      </c>
      <c r="B2530" s="1" t="n">
        <v>45245</v>
      </c>
      <c r="C2530" s="1" t="n">
        <v>45822</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57655-2023</t>
        </is>
      </c>
      <c r="B2531" s="1" t="n">
        <v>45246</v>
      </c>
      <c r="C2531" s="1" t="n">
        <v>45822</v>
      </c>
      <c r="D2531" t="inlineStr">
        <is>
          <t>VÄSTERNORRLANDS LÄN</t>
        </is>
      </c>
      <c r="E2531" t="inlineStr">
        <is>
          <t>SOLLEFTEÅ</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58085-2023</t>
        </is>
      </c>
      <c r="B2532" s="1" t="n">
        <v>45247</v>
      </c>
      <c r="C2532" s="1" t="n">
        <v>45822</v>
      </c>
      <c r="D2532" t="inlineStr">
        <is>
          <t>VÄSTERNORRLANDS LÄN</t>
        </is>
      </c>
      <c r="E2532" t="inlineStr">
        <is>
          <t>SOLLEFTEÅ</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58155-2023</t>
        </is>
      </c>
      <c r="B2533" s="1" t="n">
        <v>45250</v>
      </c>
      <c r="C2533" s="1" t="n">
        <v>45822</v>
      </c>
      <c r="D2533" t="inlineStr">
        <is>
          <t>VÄSTERNORRLANDS LÄN</t>
        </is>
      </c>
      <c r="E2533" t="inlineStr">
        <is>
          <t>SOLLEFTEÅ</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58923-2023</t>
        </is>
      </c>
      <c r="B2534" s="1" t="n">
        <v>45250</v>
      </c>
      <c r="C2534" s="1" t="n">
        <v>45822</v>
      </c>
      <c r="D2534" t="inlineStr">
        <is>
          <t>VÄSTERNORRLANDS LÄN</t>
        </is>
      </c>
      <c r="E2534" t="inlineStr">
        <is>
          <t>SOLLEFTEÅ</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58938-2023</t>
        </is>
      </c>
      <c r="B2535" s="1" t="n">
        <v>45250</v>
      </c>
      <c r="C2535" s="1" t="n">
        <v>45822</v>
      </c>
      <c r="D2535" t="inlineStr">
        <is>
          <t>VÄSTERNORRLANDS LÄN</t>
        </is>
      </c>
      <c r="E2535" t="inlineStr">
        <is>
          <t>SOLLEFTEÅ</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58427-2023</t>
        </is>
      </c>
      <c r="B2536" s="1" t="n">
        <v>45250</v>
      </c>
      <c r="C2536" s="1" t="n">
        <v>45822</v>
      </c>
      <c r="D2536" t="inlineStr">
        <is>
          <t>VÄSTERNORRLANDS LÄN</t>
        </is>
      </c>
      <c r="E2536" t="inlineStr">
        <is>
          <t>SOLLEFTEÅ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58891-2023</t>
        </is>
      </c>
      <c r="B2537" s="1" t="n">
        <v>45250</v>
      </c>
      <c r="C2537" s="1" t="n">
        <v>45822</v>
      </c>
      <c r="D2537" t="inlineStr">
        <is>
          <t>VÄSTERNORRLANDS LÄN</t>
        </is>
      </c>
      <c r="E2537" t="inlineStr">
        <is>
          <t>SOLLEFTEÅ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58933-2023</t>
        </is>
      </c>
      <c r="B2538" s="1" t="n">
        <v>45250</v>
      </c>
      <c r="C2538" s="1" t="n">
        <v>45822</v>
      </c>
      <c r="D2538" t="inlineStr">
        <is>
          <t>VÄSTERNORRLANDS LÄN</t>
        </is>
      </c>
      <c r="E2538" t="inlineStr">
        <is>
          <t>SOLLEFTEÅ</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59098-2023</t>
        </is>
      </c>
      <c r="B2539" s="1" t="n">
        <v>45253</v>
      </c>
      <c r="C2539" s="1" t="n">
        <v>45822</v>
      </c>
      <c r="D2539" t="inlineStr">
        <is>
          <t>VÄSTERNORRLANDS LÄN</t>
        </is>
      </c>
      <c r="E2539" t="inlineStr">
        <is>
          <t>SOLLEFTEÅ</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59339-2023</t>
        </is>
      </c>
      <c r="B2540" s="1" t="n">
        <v>45253</v>
      </c>
      <c r="C2540" s="1" t="n">
        <v>45822</v>
      </c>
      <c r="D2540" t="inlineStr">
        <is>
          <t>VÄSTERNORRLANDS LÄN</t>
        </is>
      </c>
      <c r="E2540" t="inlineStr">
        <is>
          <t>SOLLEFTEÅ</t>
        </is>
      </c>
      <c r="F2540" t="inlineStr">
        <is>
          <t>Holmen skog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59346-2023</t>
        </is>
      </c>
      <c r="B2541" s="1" t="n">
        <v>45253</v>
      </c>
      <c r="C2541" s="1" t="n">
        <v>45822</v>
      </c>
      <c r="D2541" t="inlineStr">
        <is>
          <t>VÄSTERNORRLANDS LÄN</t>
        </is>
      </c>
      <c r="E2541" t="inlineStr">
        <is>
          <t>SOLLEFTEÅ</t>
        </is>
      </c>
      <c r="F2541" t="inlineStr">
        <is>
          <t>Holmen skog AB</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59461-2023</t>
        </is>
      </c>
      <c r="B2542" s="1" t="n">
        <v>45253</v>
      </c>
      <c r="C2542" s="1" t="n">
        <v>45822</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59579-2023</t>
        </is>
      </c>
      <c r="B2543" s="1" t="n">
        <v>45253</v>
      </c>
      <c r="C2543" s="1" t="n">
        <v>45822</v>
      </c>
      <c r="D2543" t="inlineStr">
        <is>
          <t>VÄSTERNORRLANDS LÄN</t>
        </is>
      </c>
      <c r="E2543" t="inlineStr">
        <is>
          <t>SOLLEFTEÅ</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59501-2023</t>
        </is>
      </c>
      <c r="B2544" s="1" t="n">
        <v>45254</v>
      </c>
      <c r="C2544" s="1" t="n">
        <v>45822</v>
      </c>
      <c r="D2544" t="inlineStr">
        <is>
          <t>VÄSTERNORRLANDS LÄN</t>
        </is>
      </c>
      <c r="E2544" t="inlineStr">
        <is>
          <t>SOLLEFTEÅ</t>
        </is>
      </c>
      <c r="F2544" t="inlineStr">
        <is>
          <t>Holmen skog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59583-2023</t>
        </is>
      </c>
      <c r="B2545" s="1" t="n">
        <v>45254</v>
      </c>
      <c r="C2545" s="1" t="n">
        <v>45822</v>
      </c>
      <c r="D2545" t="inlineStr">
        <is>
          <t>VÄSTERNORRLANDS LÄN</t>
        </is>
      </c>
      <c r="E2545" t="inlineStr">
        <is>
          <t>SOLLEFTEÅ</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59657-2023</t>
        </is>
      </c>
      <c r="B2546" s="1" t="n">
        <v>45255</v>
      </c>
      <c r="C2546" s="1" t="n">
        <v>45822</v>
      </c>
      <c r="D2546" t="inlineStr">
        <is>
          <t>VÄSTERNORRLANDS LÄN</t>
        </is>
      </c>
      <c r="E2546" t="inlineStr">
        <is>
          <t>SOLLEFTEÅ</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59593-2023</t>
        </is>
      </c>
      <c r="B2547" s="1" t="n">
        <v>45254</v>
      </c>
      <c r="C2547" s="1" t="n">
        <v>45822</v>
      </c>
      <c r="D2547" t="inlineStr">
        <is>
          <t>VÄSTERNORRLANDS LÄN</t>
        </is>
      </c>
      <c r="E2547" t="inlineStr">
        <is>
          <t>SOLLEFTEÅ</t>
        </is>
      </c>
      <c r="F2547" t="inlineStr">
        <is>
          <t>Holmen skog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59879-2023</t>
        </is>
      </c>
      <c r="B2548" s="1" t="n">
        <v>45254</v>
      </c>
      <c r="C2548" s="1" t="n">
        <v>45822</v>
      </c>
      <c r="D2548" t="inlineStr">
        <is>
          <t>VÄSTERNORRLANDS LÄN</t>
        </is>
      </c>
      <c r="E2548" t="inlineStr">
        <is>
          <t>SOLLEFTEÅ</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60039-2023</t>
        </is>
      </c>
      <c r="B2549" s="1" t="n">
        <v>45254</v>
      </c>
      <c r="C2549" s="1" t="n">
        <v>45822</v>
      </c>
      <c r="D2549" t="inlineStr">
        <is>
          <t>VÄSTERNORRLANDS LÄN</t>
        </is>
      </c>
      <c r="E2549" t="inlineStr">
        <is>
          <t>SOLLEFTEÅ</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59794-2023</t>
        </is>
      </c>
      <c r="B2550" s="1" t="n">
        <v>45257</v>
      </c>
      <c r="C2550" s="1" t="n">
        <v>45822</v>
      </c>
      <c r="D2550" t="inlineStr">
        <is>
          <t>VÄSTERNORRLANDS LÄN</t>
        </is>
      </c>
      <c r="E2550" t="inlineStr">
        <is>
          <t>SOLLEFTEÅ</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60099-2023</t>
        </is>
      </c>
      <c r="B2551" s="1" t="n">
        <v>45257</v>
      </c>
      <c r="C2551" s="1" t="n">
        <v>45822</v>
      </c>
      <c r="D2551" t="inlineStr">
        <is>
          <t>VÄSTERNORRLANDS LÄN</t>
        </is>
      </c>
      <c r="E2551" t="inlineStr">
        <is>
          <t>SOLLEFTEÅ</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60329-2023</t>
        </is>
      </c>
      <c r="B2552" s="1" t="n">
        <v>45258</v>
      </c>
      <c r="C2552" s="1" t="n">
        <v>45822</v>
      </c>
      <c r="D2552" t="inlineStr">
        <is>
          <t>VÄSTERNORRLANDS LÄN</t>
        </is>
      </c>
      <c r="E2552" t="inlineStr">
        <is>
          <t>SOLLEFTEÅ</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60328-2023</t>
        </is>
      </c>
      <c r="B2553" s="1" t="n">
        <v>45258</v>
      </c>
      <c r="C2553" s="1" t="n">
        <v>45822</v>
      </c>
      <c r="D2553" t="inlineStr">
        <is>
          <t>VÄSTERNORRLANDS LÄN</t>
        </is>
      </c>
      <c r="E2553" t="inlineStr">
        <is>
          <t>SOLLEFTEÅ</t>
        </is>
      </c>
      <c r="F2553" t="inlineStr">
        <is>
          <t>SCA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60462-2023</t>
        </is>
      </c>
      <c r="B2554" s="1" t="n">
        <v>45258</v>
      </c>
      <c r="C2554" s="1" t="n">
        <v>45822</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60480-2023</t>
        </is>
      </c>
      <c r="B2555" s="1" t="n">
        <v>45258</v>
      </c>
      <c r="C2555" s="1" t="n">
        <v>45822</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60883-2023</t>
        </is>
      </c>
      <c r="B2556" s="1" t="n">
        <v>45259</v>
      </c>
      <c r="C2556" s="1" t="n">
        <v>45822</v>
      </c>
      <c r="D2556" t="inlineStr">
        <is>
          <t>VÄSTERNORRLANDS LÄN</t>
        </is>
      </c>
      <c r="E2556" t="inlineStr">
        <is>
          <t>SOLLEFTEÅ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61028-2023</t>
        </is>
      </c>
      <c r="B2557" s="1" t="n">
        <v>45259</v>
      </c>
      <c r="C2557" s="1" t="n">
        <v>45822</v>
      </c>
      <c r="D2557" t="inlineStr">
        <is>
          <t>VÄSTERNORRLANDS LÄN</t>
        </is>
      </c>
      <c r="E2557" t="inlineStr">
        <is>
          <t>SOLLEFTEÅ</t>
        </is>
      </c>
      <c r="G2557" t="n">
        <v>10.6</v>
      </c>
      <c r="H2557" t="n">
        <v>0</v>
      </c>
      <c r="I2557" t="n">
        <v>0</v>
      </c>
      <c r="J2557" t="n">
        <v>0</v>
      </c>
      <c r="K2557" t="n">
        <v>0</v>
      </c>
      <c r="L2557" t="n">
        <v>0</v>
      </c>
      <c r="M2557" t="n">
        <v>0</v>
      </c>
      <c r="N2557" t="n">
        <v>0</v>
      </c>
      <c r="O2557" t="n">
        <v>0</v>
      </c>
      <c r="P2557" t="n">
        <v>0</v>
      </c>
      <c r="Q2557" t="n">
        <v>0</v>
      </c>
      <c r="R2557" s="2" t="inlineStr"/>
    </row>
    <row r="2558" ht="15" customHeight="1">
      <c r="A2558" t="inlineStr">
        <is>
          <t>A 61034-2023</t>
        </is>
      </c>
      <c r="B2558" s="1" t="n">
        <v>45259</v>
      </c>
      <c r="C2558" s="1" t="n">
        <v>45822</v>
      </c>
      <c r="D2558" t="inlineStr">
        <is>
          <t>VÄSTERNORRLANDS LÄN</t>
        </is>
      </c>
      <c r="E2558" t="inlineStr">
        <is>
          <t>SOLLEFTEÅ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60861-2023</t>
        </is>
      </c>
      <c r="B2559" s="1" t="n">
        <v>45260</v>
      </c>
      <c r="C2559" s="1" t="n">
        <v>45822</v>
      </c>
      <c r="D2559" t="inlineStr">
        <is>
          <t>VÄSTERNORRLANDS LÄN</t>
        </is>
      </c>
      <c r="E2559" t="inlineStr">
        <is>
          <t>SOLLEFTEÅ</t>
        </is>
      </c>
      <c r="F2559" t="inlineStr">
        <is>
          <t>SCA</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61213-2023</t>
        </is>
      </c>
      <c r="B2560" s="1" t="n">
        <v>45260</v>
      </c>
      <c r="C2560" s="1" t="n">
        <v>45822</v>
      </c>
      <c r="D2560" t="inlineStr">
        <is>
          <t>VÄSTERNORRLANDS LÄN</t>
        </is>
      </c>
      <c r="E2560" t="inlineStr">
        <is>
          <t>SOLLEFTEÅ</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61081-2023</t>
        </is>
      </c>
      <c r="B2561" s="1" t="n">
        <v>45261</v>
      </c>
      <c r="C2561" s="1" t="n">
        <v>45822</v>
      </c>
      <c r="D2561" t="inlineStr">
        <is>
          <t>VÄSTERNORRLANDS LÄN</t>
        </is>
      </c>
      <c r="E2561" t="inlineStr">
        <is>
          <t>SOLLEFTEÅ</t>
        </is>
      </c>
      <c r="F2561" t="inlineStr">
        <is>
          <t>Holmen skog AB</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61137-2023</t>
        </is>
      </c>
      <c r="B2562" s="1" t="n">
        <v>45261</v>
      </c>
      <c r="C2562" s="1" t="n">
        <v>45822</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61138-2023</t>
        </is>
      </c>
      <c r="B2563" s="1" t="n">
        <v>45261</v>
      </c>
      <c r="C2563" s="1" t="n">
        <v>45822</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61469-2023</t>
        </is>
      </c>
      <c r="B2564" s="1" t="n">
        <v>45264</v>
      </c>
      <c r="C2564" s="1" t="n">
        <v>45822</v>
      </c>
      <c r="D2564" t="inlineStr">
        <is>
          <t>VÄSTERNORRLANDS LÄN</t>
        </is>
      </c>
      <c r="E2564" t="inlineStr">
        <is>
          <t>SOLLEFTEÅ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61473-2023</t>
        </is>
      </c>
      <c r="B2565" s="1" t="n">
        <v>45264</v>
      </c>
      <c r="C2565" s="1" t="n">
        <v>45822</v>
      </c>
      <c r="D2565" t="inlineStr">
        <is>
          <t>VÄSTERNORRLANDS LÄN</t>
        </is>
      </c>
      <c r="E2565" t="inlineStr">
        <is>
          <t>SOLLEFTEÅ</t>
        </is>
      </c>
      <c r="G2565" t="n">
        <v>18.8</v>
      </c>
      <c r="H2565" t="n">
        <v>0</v>
      </c>
      <c r="I2565" t="n">
        <v>0</v>
      </c>
      <c r="J2565" t="n">
        <v>0</v>
      </c>
      <c r="K2565" t="n">
        <v>0</v>
      </c>
      <c r="L2565" t="n">
        <v>0</v>
      </c>
      <c r="M2565" t="n">
        <v>0</v>
      </c>
      <c r="N2565" t="n">
        <v>0</v>
      </c>
      <c r="O2565" t="n">
        <v>0</v>
      </c>
      <c r="P2565" t="n">
        <v>0</v>
      </c>
      <c r="Q2565" t="n">
        <v>0</v>
      </c>
      <c r="R2565" s="2" t="inlineStr"/>
    </row>
    <row r="2566" ht="15" customHeight="1">
      <c r="A2566" t="inlineStr">
        <is>
          <t>A 61462-2023</t>
        </is>
      </c>
      <c r="B2566" s="1" t="n">
        <v>45264</v>
      </c>
      <c r="C2566" s="1" t="n">
        <v>45822</v>
      </c>
      <c r="D2566" t="inlineStr">
        <is>
          <t>VÄSTERNORRLANDS LÄN</t>
        </is>
      </c>
      <c r="E2566" t="inlineStr">
        <is>
          <t>SOLLEFTEÅ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61470-2023</t>
        </is>
      </c>
      <c r="B2567" s="1" t="n">
        <v>45264</v>
      </c>
      <c r="C2567" s="1" t="n">
        <v>45822</v>
      </c>
      <c r="D2567" t="inlineStr">
        <is>
          <t>VÄSTERNORRLANDS LÄN</t>
        </is>
      </c>
      <c r="E2567" t="inlineStr">
        <is>
          <t>SOLLEFTEÅ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61809-2023</t>
        </is>
      </c>
      <c r="B2568" s="1" t="n">
        <v>45264</v>
      </c>
      <c r="C2568" s="1" t="n">
        <v>45822</v>
      </c>
      <c r="D2568" t="inlineStr">
        <is>
          <t>VÄSTERNORRLANDS LÄN</t>
        </is>
      </c>
      <c r="E2568" t="inlineStr">
        <is>
          <t>SOLLEFTEÅ</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61805-2023</t>
        </is>
      </c>
      <c r="B2569" s="1" t="n">
        <v>45264</v>
      </c>
      <c r="C2569" s="1" t="n">
        <v>45822</v>
      </c>
      <c r="D2569" t="inlineStr">
        <is>
          <t>VÄSTERNORRLANDS LÄN</t>
        </is>
      </c>
      <c r="E2569" t="inlineStr">
        <is>
          <t>SOLLEFTEÅ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61485-2023</t>
        </is>
      </c>
      <c r="B2570" s="1" t="n">
        <v>45264</v>
      </c>
      <c r="C2570" s="1" t="n">
        <v>45822</v>
      </c>
      <c r="D2570" t="inlineStr">
        <is>
          <t>VÄSTERNORRLANDS LÄN</t>
        </is>
      </c>
      <c r="E2570" t="inlineStr">
        <is>
          <t>SOLLEFTEÅ</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61784-2023</t>
        </is>
      </c>
      <c r="B2571" s="1" t="n">
        <v>45265</v>
      </c>
      <c r="C2571" s="1" t="n">
        <v>45822</v>
      </c>
      <c r="D2571" t="inlineStr">
        <is>
          <t>VÄSTERNORRLANDS LÄN</t>
        </is>
      </c>
      <c r="E2571" t="inlineStr">
        <is>
          <t>SOLLEFTEÅ</t>
        </is>
      </c>
      <c r="F2571" t="inlineStr">
        <is>
          <t>SCA</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62099-2023</t>
        </is>
      </c>
      <c r="B2572" s="1" t="n">
        <v>45266</v>
      </c>
      <c r="C2572" s="1" t="n">
        <v>45822</v>
      </c>
      <c r="D2572" t="inlineStr">
        <is>
          <t>VÄSTERNORRLANDS LÄN</t>
        </is>
      </c>
      <c r="E2572" t="inlineStr">
        <is>
          <t>SOLLEFTEÅ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62098-2023</t>
        </is>
      </c>
      <c r="B2573" s="1" t="n">
        <v>45266</v>
      </c>
      <c r="C2573" s="1" t="n">
        <v>45822</v>
      </c>
      <c r="D2573" t="inlineStr">
        <is>
          <t>VÄSTERNORRLANDS LÄN</t>
        </is>
      </c>
      <c r="E2573" t="inlineStr">
        <is>
          <t>SOLLEFTEÅ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62096-2023</t>
        </is>
      </c>
      <c r="B2574" s="1" t="n">
        <v>45266</v>
      </c>
      <c r="C2574" s="1" t="n">
        <v>45822</v>
      </c>
      <c r="D2574" t="inlineStr">
        <is>
          <t>VÄSTERNORRLANDS LÄN</t>
        </is>
      </c>
      <c r="E2574" t="inlineStr">
        <is>
          <t>SOLLEFTEÅ</t>
        </is>
      </c>
      <c r="F2574" t="inlineStr">
        <is>
          <t>Kyrkan</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62100-2023</t>
        </is>
      </c>
      <c r="B2575" s="1" t="n">
        <v>45266</v>
      </c>
      <c r="C2575" s="1" t="n">
        <v>45822</v>
      </c>
      <c r="D2575" t="inlineStr">
        <is>
          <t>VÄSTERNORRLANDS LÄN</t>
        </is>
      </c>
      <c r="E2575" t="inlineStr">
        <is>
          <t>SOLLEFTEÅ</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62115-2023</t>
        </is>
      </c>
      <c r="B2576" s="1" t="n">
        <v>45266</v>
      </c>
      <c r="C2576" s="1" t="n">
        <v>45822</v>
      </c>
      <c r="D2576" t="inlineStr">
        <is>
          <t>VÄSTERNORRLANDS LÄN</t>
        </is>
      </c>
      <c r="E2576" t="inlineStr">
        <is>
          <t>SOLLEFTEÅ</t>
        </is>
      </c>
      <c r="F2576" t="inlineStr">
        <is>
          <t>SCA</t>
        </is>
      </c>
      <c r="G2576" t="n">
        <v>43.1</v>
      </c>
      <c r="H2576" t="n">
        <v>0</v>
      </c>
      <c r="I2576" t="n">
        <v>0</v>
      </c>
      <c r="J2576" t="n">
        <v>0</v>
      </c>
      <c r="K2576" t="n">
        <v>0</v>
      </c>
      <c r="L2576" t="n">
        <v>0</v>
      </c>
      <c r="M2576" t="n">
        <v>0</v>
      </c>
      <c r="N2576" t="n">
        <v>0</v>
      </c>
      <c r="O2576" t="n">
        <v>0</v>
      </c>
      <c r="P2576" t="n">
        <v>0</v>
      </c>
      <c r="Q2576" t="n">
        <v>0</v>
      </c>
      <c r="R2576" s="2" t="inlineStr"/>
    </row>
    <row r="2577" ht="15" customHeight="1">
      <c r="A2577" t="inlineStr">
        <is>
          <t>A 62097-2023</t>
        </is>
      </c>
      <c r="B2577" s="1" t="n">
        <v>45266</v>
      </c>
      <c r="C2577" s="1" t="n">
        <v>45822</v>
      </c>
      <c r="D2577" t="inlineStr">
        <is>
          <t>VÄSTERNORRLANDS LÄN</t>
        </is>
      </c>
      <c r="E2577" t="inlineStr">
        <is>
          <t>SOLLEFTEÅ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62093-2023</t>
        </is>
      </c>
      <c r="B2578" s="1" t="n">
        <v>45266</v>
      </c>
      <c r="C2578" s="1" t="n">
        <v>45822</v>
      </c>
      <c r="D2578" t="inlineStr">
        <is>
          <t>VÄSTERNORRLANDS LÄN</t>
        </is>
      </c>
      <c r="E2578" t="inlineStr">
        <is>
          <t>SOLLEFTEÅ</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62343-2023</t>
        </is>
      </c>
      <c r="B2579" s="1" t="n">
        <v>45267</v>
      </c>
      <c r="C2579" s="1" t="n">
        <v>45822</v>
      </c>
      <c r="D2579" t="inlineStr">
        <is>
          <t>VÄSTERNORRLANDS LÄN</t>
        </is>
      </c>
      <c r="E2579" t="inlineStr">
        <is>
          <t>SOLLEFTEÅ</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62363-2023</t>
        </is>
      </c>
      <c r="B2580" s="1" t="n">
        <v>45267</v>
      </c>
      <c r="C2580" s="1" t="n">
        <v>45822</v>
      </c>
      <c r="D2580" t="inlineStr">
        <is>
          <t>VÄSTERNORRLANDS LÄN</t>
        </is>
      </c>
      <c r="E2580" t="inlineStr">
        <is>
          <t>SOLLEFTEÅ</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62523-2023</t>
        </is>
      </c>
      <c r="B2581" s="1" t="n">
        <v>45267</v>
      </c>
      <c r="C2581" s="1" t="n">
        <v>45822</v>
      </c>
      <c r="D2581" t="inlineStr">
        <is>
          <t>VÄSTERNORRLANDS LÄN</t>
        </is>
      </c>
      <c r="E2581" t="inlineStr">
        <is>
          <t>SOLLEFTEÅ</t>
        </is>
      </c>
      <c r="G2581" t="n">
        <v>33.6</v>
      </c>
      <c r="H2581" t="n">
        <v>0</v>
      </c>
      <c r="I2581" t="n">
        <v>0</v>
      </c>
      <c r="J2581" t="n">
        <v>0</v>
      </c>
      <c r="K2581" t="n">
        <v>0</v>
      </c>
      <c r="L2581" t="n">
        <v>0</v>
      </c>
      <c r="M2581" t="n">
        <v>0</v>
      </c>
      <c r="N2581" t="n">
        <v>0</v>
      </c>
      <c r="O2581" t="n">
        <v>0</v>
      </c>
      <c r="P2581" t="n">
        <v>0</v>
      </c>
      <c r="Q2581" t="n">
        <v>0</v>
      </c>
      <c r="R2581" s="2" t="inlineStr"/>
    </row>
    <row r="2582" ht="15" customHeight="1">
      <c r="A2582" t="inlineStr">
        <is>
          <t>A 62357-2023</t>
        </is>
      </c>
      <c r="B2582" s="1" t="n">
        <v>45267</v>
      </c>
      <c r="C2582" s="1" t="n">
        <v>45822</v>
      </c>
      <c r="D2582" t="inlineStr">
        <is>
          <t>VÄSTERNORRLANDS LÄN</t>
        </is>
      </c>
      <c r="E2582" t="inlineStr">
        <is>
          <t>SOLLEFTEÅ</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62527-2023</t>
        </is>
      </c>
      <c r="B2583" s="1" t="n">
        <v>45267</v>
      </c>
      <c r="C2583" s="1" t="n">
        <v>45822</v>
      </c>
      <c r="D2583" t="inlineStr">
        <is>
          <t>VÄSTERNORRLANDS LÄN</t>
        </is>
      </c>
      <c r="E2583" t="inlineStr">
        <is>
          <t>SOLLEFTEÅ</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62827-2023</t>
        </is>
      </c>
      <c r="B2584" s="1" t="n">
        <v>45271</v>
      </c>
      <c r="C2584" s="1" t="n">
        <v>45822</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63138-2023</t>
        </is>
      </c>
      <c r="B2585" s="1" t="n">
        <v>45272</v>
      </c>
      <c r="C2585" s="1" t="n">
        <v>45822</v>
      </c>
      <c r="D2585" t="inlineStr">
        <is>
          <t>VÄSTERNORRLANDS LÄN</t>
        </is>
      </c>
      <c r="E2585" t="inlineStr">
        <is>
          <t>SOLLEFTEÅ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63144-2023</t>
        </is>
      </c>
      <c r="B2586" s="1" t="n">
        <v>45272</v>
      </c>
      <c r="C2586" s="1" t="n">
        <v>45822</v>
      </c>
      <c r="D2586" t="inlineStr">
        <is>
          <t>VÄSTERNORRLANDS LÄN</t>
        </is>
      </c>
      <c r="E2586" t="inlineStr">
        <is>
          <t>SOLLEFTEÅ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63261-2023</t>
        </is>
      </c>
      <c r="B2587" s="1" t="n">
        <v>45273</v>
      </c>
      <c r="C2587" s="1" t="n">
        <v>45822</v>
      </c>
      <c r="D2587" t="inlineStr">
        <is>
          <t>VÄSTERNORRLANDS LÄN</t>
        </is>
      </c>
      <c r="E2587" t="inlineStr">
        <is>
          <t>SOLLEFTEÅ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63259-2023</t>
        </is>
      </c>
      <c r="B2588" s="1" t="n">
        <v>45273</v>
      </c>
      <c r="C2588" s="1" t="n">
        <v>45822</v>
      </c>
      <c r="D2588" t="inlineStr">
        <is>
          <t>VÄSTERNORRLANDS LÄN</t>
        </is>
      </c>
      <c r="E2588" t="inlineStr">
        <is>
          <t>SOLLEFTEÅ</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63529-2023</t>
        </is>
      </c>
      <c r="B2589" s="1" t="n">
        <v>45274</v>
      </c>
      <c r="C2589" s="1" t="n">
        <v>45822</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63422-2023</t>
        </is>
      </c>
      <c r="B2590" s="1" t="n">
        <v>45274</v>
      </c>
      <c r="C2590" s="1" t="n">
        <v>45822</v>
      </c>
      <c r="D2590" t="inlineStr">
        <is>
          <t>VÄSTERNORRLANDS LÄN</t>
        </is>
      </c>
      <c r="E2590" t="inlineStr">
        <is>
          <t>SOLLEFTEÅ</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63462-2023</t>
        </is>
      </c>
      <c r="B2591" s="1" t="n">
        <v>45274</v>
      </c>
      <c r="C2591" s="1" t="n">
        <v>45822</v>
      </c>
      <c r="D2591" t="inlineStr">
        <is>
          <t>VÄSTERNORRLANDS LÄN</t>
        </is>
      </c>
      <c r="E2591" t="inlineStr">
        <is>
          <t>SOLLEFTEÅ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63413-2023</t>
        </is>
      </c>
      <c r="B2592" s="1" t="n">
        <v>45274</v>
      </c>
      <c r="C2592" s="1" t="n">
        <v>45822</v>
      </c>
      <c r="D2592" t="inlineStr">
        <is>
          <t>VÄSTERNORRLANDS LÄN</t>
        </is>
      </c>
      <c r="E2592" t="inlineStr">
        <is>
          <t>SOLLEFTEÅ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63547-2023</t>
        </is>
      </c>
      <c r="B2593" s="1" t="n">
        <v>45274</v>
      </c>
      <c r="C2593" s="1" t="n">
        <v>45822</v>
      </c>
      <c r="D2593" t="inlineStr">
        <is>
          <t>VÄSTERNORRLANDS LÄN</t>
        </is>
      </c>
      <c r="E2593" t="inlineStr">
        <is>
          <t>SOLLEFTEÅ</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63652-2023</t>
        </is>
      </c>
      <c r="B2594" s="1" t="n">
        <v>45275</v>
      </c>
      <c r="C2594" s="1" t="n">
        <v>45822</v>
      </c>
      <c r="D2594" t="inlineStr">
        <is>
          <t>VÄSTERNORRLANDS LÄN</t>
        </is>
      </c>
      <c r="E2594" t="inlineStr">
        <is>
          <t>SOLLEFTEÅ</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63712-2023</t>
        </is>
      </c>
      <c r="B2595" s="1" t="n">
        <v>45275</v>
      </c>
      <c r="C2595" s="1" t="n">
        <v>45822</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63707-2023</t>
        </is>
      </c>
      <c r="B2596" s="1" t="n">
        <v>45275</v>
      </c>
      <c r="C2596" s="1" t="n">
        <v>45822</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64013-2023</t>
        </is>
      </c>
      <c r="B2597" s="1" t="n">
        <v>45278</v>
      </c>
      <c r="C2597" s="1" t="n">
        <v>45822</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64014-2023</t>
        </is>
      </c>
      <c r="B2598" s="1" t="n">
        <v>45278</v>
      </c>
      <c r="C2598" s="1" t="n">
        <v>45822</v>
      </c>
      <c r="D2598" t="inlineStr">
        <is>
          <t>VÄSTERNORRLANDS LÄN</t>
        </is>
      </c>
      <c r="E2598" t="inlineStr">
        <is>
          <t>SOLLEFTEÅ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63979-2023</t>
        </is>
      </c>
      <c r="B2599" s="1" t="n">
        <v>45278</v>
      </c>
      <c r="C2599" s="1" t="n">
        <v>45822</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64111-2023</t>
        </is>
      </c>
      <c r="B2600" s="1" t="n">
        <v>45279</v>
      </c>
      <c r="C2600" s="1" t="n">
        <v>45822</v>
      </c>
      <c r="D2600" t="inlineStr">
        <is>
          <t>VÄSTERNORRLANDS LÄN</t>
        </is>
      </c>
      <c r="E2600" t="inlineStr">
        <is>
          <t>SOLLEFTEÅ</t>
        </is>
      </c>
      <c r="G2600" t="n">
        <v>19.9</v>
      </c>
      <c r="H2600" t="n">
        <v>0</v>
      </c>
      <c r="I2600" t="n">
        <v>0</v>
      </c>
      <c r="J2600" t="n">
        <v>0</v>
      </c>
      <c r="K2600" t="n">
        <v>0</v>
      </c>
      <c r="L2600" t="n">
        <v>0</v>
      </c>
      <c r="M2600" t="n">
        <v>0</v>
      </c>
      <c r="N2600" t="n">
        <v>0</v>
      </c>
      <c r="O2600" t="n">
        <v>0</v>
      </c>
      <c r="P2600" t="n">
        <v>0</v>
      </c>
      <c r="Q2600" t="n">
        <v>0</v>
      </c>
      <c r="R2600" s="2" t="inlineStr"/>
    </row>
    <row r="2601" ht="15" customHeight="1">
      <c r="A2601" t="inlineStr">
        <is>
          <t>A 64115-2023</t>
        </is>
      </c>
      <c r="B2601" s="1" t="n">
        <v>45279</v>
      </c>
      <c r="C2601" s="1" t="n">
        <v>45822</v>
      </c>
      <c r="D2601" t="inlineStr">
        <is>
          <t>VÄSTERNORRLANDS LÄN</t>
        </is>
      </c>
      <c r="E2601" t="inlineStr">
        <is>
          <t>SOLLEFTEÅ</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64120-2023</t>
        </is>
      </c>
      <c r="B2602" s="1" t="n">
        <v>45279</v>
      </c>
      <c r="C2602" s="1" t="n">
        <v>45822</v>
      </c>
      <c r="D2602" t="inlineStr">
        <is>
          <t>VÄSTERNORRLANDS LÄN</t>
        </is>
      </c>
      <c r="E2602" t="inlineStr">
        <is>
          <t>SOLLEFTEÅ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64133-2023</t>
        </is>
      </c>
      <c r="B2603" s="1" t="n">
        <v>45279</v>
      </c>
      <c r="C2603" s="1" t="n">
        <v>45822</v>
      </c>
      <c r="D2603" t="inlineStr">
        <is>
          <t>VÄSTERNORRLANDS LÄN</t>
        </is>
      </c>
      <c r="E2603" t="inlineStr">
        <is>
          <t>SOLLEFTEÅ</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64502-2023</t>
        </is>
      </c>
      <c r="B2604" s="1" t="n">
        <v>45280</v>
      </c>
      <c r="C2604" s="1" t="n">
        <v>45822</v>
      </c>
      <c r="D2604" t="inlineStr">
        <is>
          <t>VÄSTERNORRLANDS LÄN</t>
        </is>
      </c>
      <c r="E2604" t="inlineStr">
        <is>
          <t>SOLLEFTEÅ</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64617-2023</t>
        </is>
      </c>
      <c r="B2605" s="1" t="n">
        <v>45281</v>
      </c>
      <c r="C2605" s="1" t="n">
        <v>45822</v>
      </c>
      <c r="D2605" t="inlineStr">
        <is>
          <t>VÄSTERNORRLANDS LÄN</t>
        </is>
      </c>
      <c r="E2605" t="inlineStr">
        <is>
          <t>SOLLEFTEÅ</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64891-2023</t>
        </is>
      </c>
      <c r="B2606" s="1" t="n">
        <v>45282</v>
      </c>
      <c r="C2606" s="1" t="n">
        <v>45822</v>
      </c>
      <c r="D2606" t="inlineStr">
        <is>
          <t>VÄSTERNORRLANDS LÄN</t>
        </is>
      </c>
      <c r="E2606" t="inlineStr">
        <is>
          <t>SOLLEFTEÅ</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64961-2023</t>
        </is>
      </c>
      <c r="B2607" s="1" t="n">
        <v>45282</v>
      </c>
      <c r="C2607" s="1" t="n">
        <v>45822</v>
      </c>
      <c r="D2607" t="inlineStr">
        <is>
          <t>VÄSTERNORRLANDS LÄN</t>
        </is>
      </c>
      <c r="E2607" t="inlineStr">
        <is>
          <t>SOLLEFTEÅ</t>
        </is>
      </c>
      <c r="F2607" t="inlineStr">
        <is>
          <t>SCA</t>
        </is>
      </c>
      <c r="G2607" t="n">
        <v>10.9</v>
      </c>
      <c r="H2607" t="n">
        <v>0</v>
      </c>
      <c r="I2607" t="n">
        <v>0</v>
      </c>
      <c r="J2607" t="n">
        <v>0</v>
      </c>
      <c r="K2607" t="n">
        <v>0</v>
      </c>
      <c r="L2607" t="n">
        <v>0</v>
      </c>
      <c r="M2607" t="n">
        <v>0</v>
      </c>
      <c r="N2607" t="n">
        <v>0</v>
      </c>
      <c r="O2607" t="n">
        <v>0</v>
      </c>
      <c r="P2607" t="n">
        <v>0</v>
      </c>
      <c r="Q2607" t="n">
        <v>0</v>
      </c>
      <c r="R2607" s="2" t="inlineStr"/>
    </row>
    <row r="2608" ht="15" customHeight="1">
      <c r="A2608" t="inlineStr">
        <is>
          <t>A 64959-2023</t>
        </is>
      </c>
      <c r="B2608" s="1" t="n">
        <v>45282</v>
      </c>
      <c r="C2608" s="1" t="n">
        <v>45822</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65148-2023</t>
        </is>
      </c>
      <c r="B2609" s="1" t="n">
        <v>45288</v>
      </c>
      <c r="C2609" s="1" t="n">
        <v>45822</v>
      </c>
      <c r="D2609" t="inlineStr">
        <is>
          <t>VÄSTERNORRLANDS LÄN</t>
        </is>
      </c>
      <c r="E2609" t="inlineStr">
        <is>
          <t>SOLLEFTEÅ</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388-2024</t>
        </is>
      </c>
      <c r="B2610" s="1" t="n">
        <v>45296</v>
      </c>
      <c r="C2610" s="1" t="n">
        <v>45822</v>
      </c>
      <c r="D2610" t="inlineStr">
        <is>
          <t>VÄSTERNORRLANDS LÄN</t>
        </is>
      </c>
      <c r="E2610" t="inlineStr">
        <is>
          <t>SOLLEFTEÅ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394-2024</t>
        </is>
      </c>
      <c r="B2611" s="1" t="n">
        <v>45296</v>
      </c>
      <c r="C2611" s="1" t="n">
        <v>45822</v>
      </c>
      <c r="D2611" t="inlineStr">
        <is>
          <t>VÄSTERNORRLANDS LÄN</t>
        </is>
      </c>
      <c r="E2611" t="inlineStr">
        <is>
          <t>SOLLEFTEÅ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457-2024</t>
        </is>
      </c>
      <c r="B2612" s="1" t="n">
        <v>45297</v>
      </c>
      <c r="C2612" s="1" t="n">
        <v>45822</v>
      </c>
      <c r="D2612" t="inlineStr">
        <is>
          <t>VÄSTERNORRLANDS LÄN</t>
        </is>
      </c>
      <c r="E2612" t="inlineStr">
        <is>
          <t>SOLLEFTEÅ</t>
        </is>
      </c>
      <c r="F2612" t="inlineStr">
        <is>
          <t>SCA</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656-2024</t>
        </is>
      </c>
      <c r="B2613" s="1" t="n">
        <v>45299</v>
      </c>
      <c r="C2613" s="1" t="n">
        <v>45822</v>
      </c>
      <c r="D2613" t="inlineStr">
        <is>
          <t>VÄSTERNORRLANDS LÄN</t>
        </is>
      </c>
      <c r="E2613" t="inlineStr">
        <is>
          <t>SOLLEFTEÅ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858-2024</t>
        </is>
      </c>
      <c r="B2614" s="1" t="n">
        <v>45301</v>
      </c>
      <c r="C2614" s="1" t="n">
        <v>45822</v>
      </c>
      <c r="D2614" t="inlineStr">
        <is>
          <t>VÄSTERNORRLANDS LÄN</t>
        </is>
      </c>
      <c r="E2614" t="inlineStr">
        <is>
          <t>SOLLEFTEÅ</t>
        </is>
      </c>
      <c r="F2614" t="inlineStr">
        <is>
          <t>SCA</t>
        </is>
      </c>
      <c r="G2614" t="n">
        <v>56.2</v>
      </c>
      <c r="H2614" t="n">
        <v>0</v>
      </c>
      <c r="I2614" t="n">
        <v>0</v>
      </c>
      <c r="J2614" t="n">
        <v>0</v>
      </c>
      <c r="K2614" t="n">
        <v>0</v>
      </c>
      <c r="L2614" t="n">
        <v>0</v>
      </c>
      <c r="M2614" t="n">
        <v>0</v>
      </c>
      <c r="N2614" t="n">
        <v>0</v>
      </c>
      <c r="O2614" t="n">
        <v>0</v>
      </c>
      <c r="P2614" t="n">
        <v>0</v>
      </c>
      <c r="Q2614" t="n">
        <v>0</v>
      </c>
      <c r="R2614" s="2" t="inlineStr"/>
    </row>
    <row r="2615" ht="15" customHeight="1">
      <c r="A2615" t="inlineStr">
        <is>
          <t>A 1006-2024</t>
        </is>
      </c>
      <c r="B2615" s="1" t="n">
        <v>45301</v>
      </c>
      <c r="C2615" s="1" t="n">
        <v>45822</v>
      </c>
      <c r="D2615" t="inlineStr">
        <is>
          <t>VÄSTERNORRLANDS LÄN</t>
        </is>
      </c>
      <c r="E2615" t="inlineStr">
        <is>
          <t>SOLLEFTEÅ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1047-2024</t>
        </is>
      </c>
      <c r="B2616" s="1" t="n">
        <v>45301</v>
      </c>
      <c r="C2616" s="1" t="n">
        <v>45822</v>
      </c>
      <c r="D2616" t="inlineStr">
        <is>
          <t>VÄSTERNORRLANDS LÄN</t>
        </is>
      </c>
      <c r="E2616" t="inlineStr">
        <is>
          <t>SOLLEFTEÅ</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1054-2024</t>
        </is>
      </c>
      <c r="B2617" s="1" t="n">
        <v>45302</v>
      </c>
      <c r="C2617" s="1" t="n">
        <v>45822</v>
      </c>
      <c r="D2617" t="inlineStr">
        <is>
          <t>VÄSTERNORRLANDS LÄN</t>
        </is>
      </c>
      <c r="E2617" t="inlineStr">
        <is>
          <t>SOLLEFTEÅ</t>
        </is>
      </c>
      <c r="F2617" t="inlineStr">
        <is>
          <t>SCA</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1269-2024</t>
        </is>
      </c>
      <c r="B2618" s="1" t="n">
        <v>45302</v>
      </c>
      <c r="C2618" s="1" t="n">
        <v>45822</v>
      </c>
      <c r="D2618" t="inlineStr">
        <is>
          <t>VÄSTERNORRLANDS LÄN</t>
        </is>
      </c>
      <c r="E2618" t="inlineStr">
        <is>
          <t>SOLLEFTEÅ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1173-2024</t>
        </is>
      </c>
      <c r="B2619" s="1" t="n">
        <v>45302</v>
      </c>
      <c r="C2619" s="1" t="n">
        <v>45822</v>
      </c>
      <c r="D2619" t="inlineStr">
        <is>
          <t>VÄSTERNORRLANDS LÄN</t>
        </is>
      </c>
      <c r="E2619" t="inlineStr">
        <is>
          <t>SOLLEFTEÅ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1268-2024</t>
        </is>
      </c>
      <c r="B2620" s="1" t="n">
        <v>45302</v>
      </c>
      <c r="C2620" s="1" t="n">
        <v>45822</v>
      </c>
      <c r="D2620" t="inlineStr">
        <is>
          <t>VÄSTERNORRLANDS LÄN</t>
        </is>
      </c>
      <c r="E2620" t="inlineStr">
        <is>
          <t>SOLLEFTEÅ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1459-2024</t>
        </is>
      </c>
      <c r="B2621" s="1" t="n">
        <v>45303</v>
      </c>
      <c r="C2621" s="1" t="n">
        <v>45822</v>
      </c>
      <c r="D2621" t="inlineStr">
        <is>
          <t>VÄSTERNORRLANDS LÄN</t>
        </is>
      </c>
      <c r="E2621" t="inlineStr">
        <is>
          <t>SOLLEFTEÅ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1678-2024</t>
        </is>
      </c>
      <c r="B2622" s="1" t="n">
        <v>45307</v>
      </c>
      <c r="C2622" s="1" t="n">
        <v>45822</v>
      </c>
      <c r="D2622" t="inlineStr">
        <is>
          <t>VÄSTERNORRLANDS LÄN</t>
        </is>
      </c>
      <c r="E2622" t="inlineStr">
        <is>
          <t>SOLLEFTEÅ</t>
        </is>
      </c>
      <c r="F2622" t="inlineStr">
        <is>
          <t>SCA</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1679-2024</t>
        </is>
      </c>
      <c r="B2623" s="1" t="n">
        <v>45306</v>
      </c>
      <c r="C2623" s="1" t="n">
        <v>45822</v>
      </c>
      <c r="D2623" t="inlineStr">
        <is>
          <t>VÄSTERNORRLANDS LÄN</t>
        </is>
      </c>
      <c r="E2623" t="inlineStr">
        <is>
          <t>SOLLEFTEÅ</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1840-2024</t>
        </is>
      </c>
      <c r="B2624" s="1" t="n">
        <v>45307</v>
      </c>
      <c r="C2624" s="1" t="n">
        <v>45822</v>
      </c>
      <c r="D2624" t="inlineStr">
        <is>
          <t>VÄSTERNORRLANDS LÄN</t>
        </is>
      </c>
      <c r="E2624" t="inlineStr">
        <is>
          <t>SOLLEFTEÅ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1844-2024</t>
        </is>
      </c>
      <c r="B2625" s="1" t="n">
        <v>45307</v>
      </c>
      <c r="C2625" s="1" t="n">
        <v>45822</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1848-2024</t>
        </is>
      </c>
      <c r="B2626" s="1" t="n">
        <v>45307</v>
      </c>
      <c r="C2626" s="1" t="n">
        <v>45822</v>
      </c>
      <c r="D2626" t="inlineStr">
        <is>
          <t>VÄSTERNORRLANDS LÄN</t>
        </is>
      </c>
      <c r="E2626" t="inlineStr">
        <is>
          <t>SOLLEFTEÅ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1880-2024</t>
        </is>
      </c>
      <c r="B2627" s="1" t="n">
        <v>45307</v>
      </c>
      <c r="C2627" s="1" t="n">
        <v>45822</v>
      </c>
      <c r="D2627" t="inlineStr">
        <is>
          <t>VÄSTERNORRLANDS LÄN</t>
        </is>
      </c>
      <c r="E2627" t="inlineStr">
        <is>
          <t>SOLLEFTEÅ</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1878-2024</t>
        </is>
      </c>
      <c r="B2628" s="1" t="n">
        <v>45307</v>
      </c>
      <c r="C2628" s="1" t="n">
        <v>45822</v>
      </c>
      <c r="D2628" t="inlineStr">
        <is>
          <t>VÄSTERNORRLANDS LÄN</t>
        </is>
      </c>
      <c r="E2628" t="inlineStr">
        <is>
          <t>SOLLEFTEÅ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2223-2024</t>
        </is>
      </c>
      <c r="B2629" s="1" t="n">
        <v>45309</v>
      </c>
      <c r="C2629" s="1" t="n">
        <v>45822</v>
      </c>
      <c r="D2629" t="inlineStr">
        <is>
          <t>VÄSTERNORRLANDS LÄN</t>
        </is>
      </c>
      <c r="E2629" t="inlineStr">
        <is>
          <t>SOLLEFTEÅ</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2232-2024</t>
        </is>
      </c>
      <c r="B2630" s="1" t="n">
        <v>45309</v>
      </c>
      <c r="C2630" s="1" t="n">
        <v>45822</v>
      </c>
      <c r="D2630" t="inlineStr">
        <is>
          <t>VÄSTERNORRLANDS LÄN</t>
        </is>
      </c>
      <c r="E2630" t="inlineStr">
        <is>
          <t>SOLLEFTEÅ</t>
        </is>
      </c>
      <c r="F2630" t="inlineStr">
        <is>
          <t>SCA</t>
        </is>
      </c>
      <c r="G2630" t="n">
        <v>58.3</v>
      </c>
      <c r="H2630" t="n">
        <v>0</v>
      </c>
      <c r="I2630" t="n">
        <v>0</v>
      </c>
      <c r="J2630" t="n">
        <v>0</v>
      </c>
      <c r="K2630" t="n">
        <v>0</v>
      </c>
      <c r="L2630" t="n">
        <v>0</v>
      </c>
      <c r="M2630" t="n">
        <v>0</v>
      </c>
      <c r="N2630" t="n">
        <v>0</v>
      </c>
      <c r="O2630" t="n">
        <v>0</v>
      </c>
      <c r="P2630" t="n">
        <v>0</v>
      </c>
      <c r="Q2630" t="n">
        <v>0</v>
      </c>
      <c r="R2630" s="2" t="inlineStr"/>
    </row>
    <row r="2631" ht="15" customHeight="1">
      <c r="A2631" t="inlineStr">
        <is>
          <t>A 2229-2024</t>
        </is>
      </c>
      <c r="B2631" s="1" t="n">
        <v>45309</v>
      </c>
      <c r="C2631" s="1" t="n">
        <v>45822</v>
      </c>
      <c r="D2631" t="inlineStr">
        <is>
          <t>VÄSTERNORRLANDS LÄN</t>
        </is>
      </c>
      <c r="E2631" t="inlineStr">
        <is>
          <t>SOLLEFTEÅ</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2233-2024</t>
        </is>
      </c>
      <c r="B2632" s="1" t="n">
        <v>45309</v>
      </c>
      <c r="C2632" s="1" t="n">
        <v>45822</v>
      </c>
      <c r="D2632" t="inlineStr">
        <is>
          <t>VÄSTERNORRLANDS LÄN</t>
        </is>
      </c>
      <c r="E2632" t="inlineStr">
        <is>
          <t>SOLLEFTEÅ</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2425-2024</t>
        </is>
      </c>
      <c r="B2633" s="1" t="n">
        <v>45310</v>
      </c>
      <c r="C2633" s="1" t="n">
        <v>45822</v>
      </c>
      <c r="D2633" t="inlineStr">
        <is>
          <t>VÄSTERNORRLANDS LÄN</t>
        </is>
      </c>
      <c r="E2633" t="inlineStr">
        <is>
          <t>SOLLEFTEÅ</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2703-2024</t>
        </is>
      </c>
      <c r="B2634" s="1" t="n">
        <v>45314</v>
      </c>
      <c r="C2634" s="1" t="n">
        <v>45822</v>
      </c>
      <c r="D2634" t="inlineStr">
        <is>
          <t>VÄSTERNORRLANDS LÄN</t>
        </is>
      </c>
      <c r="E2634" t="inlineStr">
        <is>
          <t>SOLLEFTEÅ</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2816-2024</t>
        </is>
      </c>
      <c r="B2635" s="1" t="n">
        <v>45314</v>
      </c>
      <c r="C2635" s="1" t="n">
        <v>45822</v>
      </c>
      <c r="D2635" t="inlineStr">
        <is>
          <t>VÄSTERNORRLANDS LÄN</t>
        </is>
      </c>
      <c r="E2635" t="inlineStr">
        <is>
          <t>SOLLEFTEÅ</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2850-2024</t>
        </is>
      </c>
      <c r="B2636" s="1" t="n">
        <v>45315</v>
      </c>
      <c r="C2636" s="1" t="n">
        <v>45822</v>
      </c>
      <c r="D2636" t="inlineStr">
        <is>
          <t>VÄSTERNORRLANDS LÄN</t>
        </is>
      </c>
      <c r="E2636" t="inlineStr">
        <is>
          <t>SOLLEFTEÅ</t>
        </is>
      </c>
      <c r="G2636" t="n">
        <v>15.1</v>
      </c>
      <c r="H2636" t="n">
        <v>0</v>
      </c>
      <c r="I2636" t="n">
        <v>0</v>
      </c>
      <c r="J2636" t="n">
        <v>0</v>
      </c>
      <c r="K2636" t="n">
        <v>0</v>
      </c>
      <c r="L2636" t="n">
        <v>0</v>
      </c>
      <c r="M2636" t="n">
        <v>0</v>
      </c>
      <c r="N2636" t="n">
        <v>0</v>
      </c>
      <c r="O2636" t="n">
        <v>0</v>
      </c>
      <c r="P2636" t="n">
        <v>0</v>
      </c>
      <c r="Q2636" t="n">
        <v>0</v>
      </c>
      <c r="R2636" s="2" t="inlineStr"/>
    </row>
    <row r="2637" ht="15" customHeight="1">
      <c r="A2637" t="inlineStr">
        <is>
          <t>A 3211-2024</t>
        </is>
      </c>
      <c r="B2637" s="1" t="n">
        <v>45316</v>
      </c>
      <c r="C2637" s="1" t="n">
        <v>45822</v>
      </c>
      <c r="D2637" t="inlineStr">
        <is>
          <t>VÄSTERNORRLANDS LÄN</t>
        </is>
      </c>
      <c r="E2637" t="inlineStr">
        <is>
          <t>SOLLEFTEÅ</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3231-2024</t>
        </is>
      </c>
      <c r="B2638" s="1" t="n">
        <v>45316</v>
      </c>
      <c r="C2638" s="1" t="n">
        <v>45822</v>
      </c>
      <c r="D2638" t="inlineStr">
        <is>
          <t>VÄSTERNORRLANDS LÄN</t>
        </is>
      </c>
      <c r="E2638" t="inlineStr">
        <is>
          <t>SOLLEFTEÅ</t>
        </is>
      </c>
      <c r="F2638" t="inlineStr">
        <is>
          <t>SCA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3234-2024</t>
        </is>
      </c>
      <c r="B2639" s="1" t="n">
        <v>45316</v>
      </c>
      <c r="C2639" s="1" t="n">
        <v>45822</v>
      </c>
      <c r="D2639" t="inlineStr">
        <is>
          <t>VÄSTERNORRLANDS LÄN</t>
        </is>
      </c>
      <c r="E2639" t="inlineStr">
        <is>
          <t>SOLLEFTEÅ</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3241-2024</t>
        </is>
      </c>
      <c r="B2640" s="1" t="n">
        <v>45316</v>
      </c>
      <c r="C2640" s="1" t="n">
        <v>45822</v>
      </c>
      <c r="D2640" t="inlineStr">
        <is>
          <t>VÄSTERNORRLANDS LÄN</t>
        </is>
      </c>
      <c r="E2640" t="inlineStr">
        <is>
          <t>SOLLEFTEÅ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3252-2024</t>
        </is>
      </c>
      <c r="B2641" s="1" t="n">
        <v>45316</v>
      </c>
      <c r="C2641" s="1" t="n">
        <v>45822</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3388-2024</t>
        </is>
      </c>
      <c r="B2642" s="1" t="n">
        <v>45317</v>
      </c>
      <c r="C2642" s="1" t="n">
        <v>45822</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3621-2024</t>
        </is>
      </c>
      <c r="B2643" s="1" t="n">
        <v>45320</v>
      </c>
      <c r="C2643" s="1" t="n">
        <v>45822</v>
      </c>
      <c r="D2643" t="inlineStr">
        <is>
          <t>VÄSTERNORRLANDS LÄN</t>
        </is>
      </c>
      <c r="E2643" t="inlineStr">
        <is>
          <t>SOLLEFTEÅ</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3633-2024</t>
        </is>
      </c>
      <c r="B2644" s="1" t="n">
        <v>45320</v>
      </c>
      <c r="C2644" s="1" t="n">
        <v>45822</v>
      </c>
      <c r="D2644" t="inlineStr">
        <is>
          <t>VÄSTERNORRLANDS LÄN</t>
        </is>
      </c>
      <c r="E2644" t="inlineStr">
        <is>
          <t>SOLLEFTEÅ</t>
        </is>
      </c>
      <c r="F2644" t="inlineStr">
        <is>
          <t>SCA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3832-2024</t>
        </is>
      </c>
      <c r="B2645" s="1" t="n">
        <v>45321</v>
      </c>
      <c r="C2645" s="1" t="n">
        <v>45822</v>
      </c>
      <c r="D2645" t="inlineStr">
        <is>
          <t>VÄSTERNORRLANDS LÄN</t>
        </is>
      </c>
      <c r="E2645" t="inlineStr">
        <is>
          <t>SOLLEFTEÅ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3847-2024</t>
        </is>
      </c>
      <c r="B2646" s="1" t="n">
        <v>45322</v>
      </c>
      <c r="C2646" s="1" t="n">
        <v>45822</v>
      </c>
      <c r="D2646" t="inlineStr">
        <is>
          <t>VÄSTERNORRLANDS LÄN</t>
        </is>
      </c>
      <c r="E2646" t="inlineStr">
        <is>
          <t>SOLLEFTEÅ</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3990-2024</t>
        </is>
      </c>
      <c r="B2647" s="1" t="n">
        <v>45322</v>
      </c>
      <c r="C2647" s="1" t="n">
        <v>45822</v>
      </c>
      <c r="D2647" t="inlineStr">
        <is>
          <t>VÄSTERNORRLANDS LÄN</t>
        </is>
      </c>
      <c r="E2647" t="inlineStr">
        <is>
          <t>SOLLEFTEÅ</t>
        </is>
      </c>
      <c r="F2647" t="inlineStr">
        <is>
          <t>SCA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3998-2024</t>
        </is>
      </c>
      <c r="B2648" s="1" t="n">
        <v>45322</v>
      </c>
      <c r="C2648" s="1" t="n">
        <v>45822</v>
      </c>
      <c r="D2648" t="inlineStr">
        <is>
          <t>VÄSTERNORRLANDS LÄN</t>
        </is>
      </c>
      <c r="E2648" t="inlineStr">
        <is>
          <t>SOLLEFTEÅ</t>
        </is>
      </c>
      <c r="F2648" t="inlineStr">
        <is>
          <t>SCA</t>
        </is>
      </c>
      <c r="G2648" t="n">
        <v>23.9</v>
      </c>
      <c r="H2648" t="n">
        <v>0</v>
      </c>
      <c r="I2648" t="n">
        <v>0</v>
      </c>
      <c r="J2648" t="n">
        <v>0</v>
      </c>
      <c r="K2648" t="n">
        <v>0</v>
      </c>
      <c r="L2648" t="n">
        <v>0</v>
      </c>
      <c r="M2648" t="n">
        <v>0</v>
      </c>
      <c r="N2648" t="n">
        <v>0</v>
      </c>
      <c r="O2648" t="n">
        <v>0</v>
      </c>
      <c r="P2648" t="n">
        <v>0</v>
      </c>
      <c r="Q2648" t="n">
        <v>0</v>
      </c>
      <c r="R2648" s="2" t="inlineStr"/>
    </row>
    <row r="2649" ht="15" customHeight="1">
      <c r="A2649" t="inlineStr">
        <is>
          <t>A 3991-2024</t>
        </is>
      </c>
      <c r="B2649" s="1" t="n">
        <v>45322</v>
      </c>
      <c r="C2649" s="1" t="n">
        <v>45822</v>
      </c>
      <c r="D2649" t="inlineStr">
        <is>
          <t>VÄSTERNORRLANDS LÄN</t>
        </is>
      </c>
      <c r="E2649" t="inlineStr">
        <is>
          <t>SOLLEFTEÅ</t>
        </is>
      </c>
      <c r="F2649" t="inlineStr">
        <is>
          <t>SCA</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4061-2024</t>
        </is>
      </c>
      <c r="B2650" s="1" t="n">
        <v>45323</v>
      </c>
      <c r="C2650" s="1" t="n">
        <v>45822</v>
      </c>
      <c r="D2650" t="inlineStr">
        <is>
          <t>VÄSTERNORRLANDS LÄN</t>
        </is>
      </c>
      <c r="E2650" t="inlineStr">
        <is>
          <t>SOLLEFTEÅ</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4064-2024</t>
        </is>
      </c>
      <c r="B2651" s="1" t="n">
        <v>45323</v>
      </c>
      <c r="C2651" s="1" t="n">
        <v>45822</v>
      </c>
      <c r="D2651" t="inlineStr">
        <is>
          <t>VÄSTERNORRLANDS LÄN</t>
        </is>
      </c>
      <c r="E2651" t="inlineStr">
        <is>
          <t>SOLLEFTEÅ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4167-2024</t>
        </is>
      </c>
      <c r="B2652" s="1" t="n">
        <v>45323</v>
      </c>
      <c r="C2652" s="1" t="n">
        <v>45822</v>
      </c>
      <c r="D2652" t="inlineStr">
        <is>
          <t>VÄSTERNORRLANDS LÄN</t>
        </is>
      </c>
      <c r="E2652" t="inlineStr">
        <is>
          <t>SOLLEFTEÅ</t>
        </is>
      </c>
      <c r="F2652" t="inlineStr">
        <is>
          <t>SCA</t>
        </is>
      </c>
      <c r="G2652" t="n">
        <v>13.7</v>
      </c>
      <c r="H2652" t="n">
        <v>0</v>
      </c>
      <c r="I2652" t="n">
        <v>0</v>
      </c>
      <c r="J2652" t="n">
        <v>0</v>
      </c>
      <c r="K2652" t="n">
        <v>0</v>
      </c>
      <c r="L2652" t="n">
        <v>0</v>
      </c>
      <c r="M2652" t="n">
        <v>0</v>
      </c>
      <c r="N2652" t="n">
        <v>0</v>
      </c>
      <c r="O2652" t="n">
        <v>0</v>
      </c>
      <c r="P2652" t="n">
        <v>0</v>
      </c>
      <c r="Q2652" t="n">
        <v>0</v>
      </c>
      <c r="R2652" s="2" t="inlineStr"/>
    </row>
    <row r="2653" ht="15" customHeight="1">
      <c r="A2653" t="inlineStr">
        <is>
          <t>A 4168-2024</t>
        </is>
      </c>
      <c r="B2653" s="1" t="n">
        <v>45323</v>
      </c>
      <c r="C2653" s="1" t="n">
        <v>45822</v>
      </c>
      <c r="D2653" t="inlineStr">
        <is>
          <t>VÄSTERNORRLANDS LÄN</t>
        </is>
      </c>
      <c r="E2653" t="inlineStr">
        <is>
          <t>SOLLEFTEÅ</t>
        </is>
      </c>
      <c r="F2653" t="inlineStr">
        <is>
          <t>SCA</t>
        </is>
      </c>
      <c r="G2653" t="n">
        <v>22.1</v>
      </c>
      <c r="H2653" t="n">
        <v>0</v>
      </c>
      <c r="I2653" t="n">
        <v>0</v>
      </c>
      <c r="J2653" t="n">
        <v>0</v>
      </c>
      <c r="K2653" t="n">
        <v>0</v>
      </c>
      <c r="L2653" t="n">
        <v>0</v>
      </c>
      <c r="M2653" t="n">
        <v>0</v>
      </c>
      <c r="N2653" t="n">
        <v>0</v>
      </c>
      <c r="O2653" t="n">
        <v>0</v>
      </c>
      <c r="P2653" t="n">
        <v>0</v>
      </c>
      <c r="Q2653" t="n">
        <v>0</v>
      </c>
      <c r="R2653" s="2" t="inlineStr"/>
    </row>
    <row r="2654" ht="15" customHeight="1">
      <c r="A2654" t="inlineStr">
        <is>
          <t>A 4348-2024</t>
        </is>
      </c>
      <c r="B2654" s="1" t="n">
        <v>45324</v>
      </c>
      <c r="C2654" s="1" t="n">
        <v>45822</v>
      </c>
      <c r="D2654" t="inlineStr">
        <is>
          <t>VÄSTERNORRLANDS LÄN</t>
        </is>
      </c>
      <c r="E2654" t="inlineStr">
        <is>
          <t>SOLLEFTEÅ</t>
        </is>
      </c>
      <c r="F2654" t="inlineStr">
        <is>
          <t>SCA</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4352-2024</t>
        </is>
      </c>
      <c r="B2655" s="1" t="n">
        <v>45324</v>
      </c>
      <c r="C2655" s="1" t="n">
        <v>45822</v>
      </c>
      <c r="D2655" t="inlineStr">
        <is>
          <t>VÄSTERNORRLANDS LÄN</t>
        </is>
      </c>
      <c r="E2655" t="inlineStr">
        <is>
          <t>SOLLEFTEÅ</t>
        </is>
      </c>
      <c r="F2655" t="inlineStr">
        <is>
          <t>SCA</t>
        </is>
      </c>
      <c r="G2655" t="n">
        <v>24.7</v>
      </c>
      <c r="H2655" t="n">
        <v>0</v>
      </c>
      <c r="I2655" t="n">
        <v>0</v>
      </c>
      <c r="J2655" t="n">
        <v>0</v>
      </c>
      <c r="K2655" t="n">
        <v>0</v>
      </c>
      <c r="L2655" t="n">
        <v>0</v>
      </c>
      <c r="M2655" t="n">
        <v>0</v>
      </c>
      <c r="N2655" t="n">
        <v>0</v>
      </c>
      <c r="O2655" t="n">
        <v>0</v>
      </c>
      <c r="P2655" t="n">
        <v>0</v>
      </c>
      <c r="Q2655" t="n">
        <v>0</v>
      </c>
      <c r="R2655" s="2" t="inlineStr"/>
    </row>
    <row r="2656" ht="15" customHeight="1">
      <c r="A2656" t="inlineStr">
        <is>
          <t>A 4347-2024</t>
        </is>
      </c>
      <c r="B2656" s="1" t="n">
        <v>45324</v>
      </c>
      <c r="C2656" s="1" t="n">
        <v>45822</v>
      </c>
      <c r="D2656" t="inlineStr">
        <is>
          <t>VÄSTERNORRLANDS LÄN</t>
        </is>
      </c>
      <c r="E2656" t="inlineStr">
        <is>
          <t>SOLLEFTEÅ</t>
        </is>
      </c>
      <c r="F2656" t="inlineStr">
        <is>
          <t>SCA</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4349-2024</t>
        </is>
      </c>
      <c r="B2657" s="1" t="n">
        <v>45324</v>
      </c>
      <c r="C2657" s="1" t="n">
        <v>45822</v>
      </c>
      <c r="D2657" t="inlineStr">
        <is>
          <t>VÄSTERNORRLANDS LÄN</t>
        </is>
      </c>
      <c r="E2657" t="inlineStr">
        <is>
          <t>SOLLEFTEÅ</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4546-2024</t>
        </is>
      </c>
      <c r="B2658" s="1" t="n">
        <v>45327</v>
      </c>
      <c r="C2658" s="1" t="n">
        <v>45822</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4595-2024</t>
        </is>
      </c>
      <c r="B2659" s="1" t="n">
        <v>45327</v>
      </c>
      <c r="C2659" s="1" t="n">
        <v>45822</v>
      </c>
      <c r="D2659" t="inlineStr">
        <is>
          <t>VÄSTERNORRLANDS LÄN</t>
        </is>
      </c>
      <c r="E2659" t="inlineStr">
        <is>
          <t>SOLLEFTEÅ</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4809-2024</t>
        </is>
      </c>
      <c r="B2660" s="1" t="n">
        <v>45328</v>
      </c>
      <c r="C2660" s="1" t="n">
        <v>45822</v>
      </c>
      <c r="D2660" t="inlineStr">
        <is>
          <t>VÄSTERNORRLANDS LÄN</t>
        </is>
      </c>
      <c r="E2660" t="inlineStr">
        <is>
          <t>SOLLEFTEÅ</t>
        </is>
      </c>
      <c r="F2660" t="inlineStr">
        <is>
          <t>SCA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4813-2024</t>
        </is>
      </c>
      <c r="B2661" s="1" t="n">
        <v>45328</v>
      </c>
      <c r="C2661" s="1" t="n">
        <v>45822</v>
      </c>
      <c r="D2661" t="inlineStr">
        <is>
          <t>VÄSTERNORRLANDS LÄN</t>
        </is>
      </c>
      <c r="E2661" t="inlineStr">
        <is>
          <t>SOLLEFTEÅ</t>
        </is>
      </c>
      <c r="F2661" t="inlineStr">
        <is>
          <t>SCA</t>
        </is>
      </c>
      <c r="G2661" t="n">
        <v>26.6</v>
      </c>
      <c r="H2661" t="n">
        <v>0</v>
      </c>
      <c r="I2661" t="n">
        <v>0</v>
      </c>
      <c r="J2661" t="n">
        <v>0</v>
      </c>
      <c r="K2661" t="n">
        <v>0</v>
      </c>
      <c r="L2661" t="n">
        <v>0</v>
      </c>
      <c r="M2661" t="n">
        <v>0</v>
      </c>
      <c r="N2661" t="n">
        <v>0</v>
      </c>
      <c r="O2661" t="n">
        <v>0</v>
      </c>
      <c r="P2661" t="n">
        <v>0</v>
      </c>
      <c r="Q2661" t="n">
        <v>0</v>
      </c>
      <c r="R2661" s="2" t="inlineStr"/>
    </row>
    <row r="2662" ht="15" customHeight="1">
      <c r="A2662" t="inlineStr">
        <is>
          <t>A 4808-2024</t>
        </is>
      </c>
      <c r="B2662" s="1" t="n">
        <v>45328</v>
      </c>
      <c r="C2662" s="1" t="n">
        <v>45822</v>
      </c>
      <c r="D2662" t="inlineStr">
        <is>
          <t>VÄSTERNORRLANDS LÄN</t>
        </is>
      </c>
      <c r="E2662" t="inlineStr">
        <is>
          <t>SOLLEFTEÅ</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4812-2024</t>
        </is>
      </c>
      <c r="B2663" s="1" t="n">
        <v>45328</v>
      </c>
      <c r="C2663" s="1" t="n">
        <v>45822</v>
      </c>
      <c r="D2663" t="inlineStr">
        <is>
          <t>VÄSTERNORRLANDS LÄN</t>
        </is>
      </c>
      <c r="E2663" t="inlineStr">
        <is>
          <t>SOLLEFTEÅ</t>
        </is>
      </c>
      <c r="F2663" t="inlineStr">
        <is>
          <t>SCA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4857-2024</t>
        </is>
      </c>
      <c r="B2664" s="1" t="n">
        <v>45329</v>
      </c>
      <c r="C2664" s="1" t="n">
        <v>45822</v>
      </c>
      <c r="D2664" t="inlineStr">
        <is>
          <t>VÄSTERNORRLANDS LÄN</t>
        </is>
      </c>
      <c r="E2664" t="inlineStr">
        <is>
          <t>SOLLEFTEÅ</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5035-2024</t>
        </is>
      </c>
      <c r="B2665" s="1" t="n">
        <v>45329</v>
      </c>
      <c r="C2665" s="1" t="n">
        <v>45822</v>
      </c>
      <c r="D2665" t="inlineStr">
        <is>
          <t>VÄSTERNORRLANDS LÄN</t>
        </is>
      </c>
      <c r="E2665" t="inlineStr">
        <is>
          <t>SOLLEFTEÅ</t>
        </is>
      </c>
      <c r="F2665" t="inlineStr">
        <is>
          <t>Övriga Aktiebolag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5057-2024</t>
        </is>
      </c>
      <c r="B2666" s="1" t="n">
        <v>45329</v>
      </c>
      <c r="C2666" s="1" t="n">
        <v>45822</v>
      </c>
      <c r="D2666" t="inlineStr">
        <is>
          <t>VÄSTERNORRLANDS LÄN</t>
        </is>
      </c>
      <c r="E2666" t="inlineStr">
        <is>
          <t>SOLLEFTEÅ</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5036-2024</t>
        </is>
      </c>
      <c r="B2667" s="1" t="n">
        <v>45329</v>
      </c>
      <c r="C2667" s="1" t="n">
        <v>45822</v>
      </c>
      <c r="D2667" t="inlineStr">
        <is>
          <t>VÄSTERNORRLANDS LÄN</t>
        </is>
      </c>
      <c r="E2667" t="inlineStr">
        <is>
          <t>SOLLEFTEÅ</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5040-2024</t>
        </is>
      </c>
      <c r="B2668" s="1" t="n">
        <v>45329</v>
      </c>
      <c r="C2668" s="1" t="n">
        <v>45822</v>
      </c>
      <c r="D2668" t="inlineStr">
        <is>
          <t>VÄSTERNORRLANDS LÄN</t>
        </is>
      </c>
      <c r="E2668" t="inlineStr">
        <is>
          <t>SOLLEFTEÅ</t>
        </is>
      </c>
      <c r="F2668" t="inlineStr">
        <is>
          <t>Övriga Aktiebolag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5072-2024</t>
        </is>
      </c>
      <c r="B2669" s="1" t="n">
        <v>45330</v>
      </c>
      <c r="C2669" s="1" t="n">
        <v>45822</v>
      </c>
      <c r="D2669" t="inlineStr">
        <is>
          <t>VÄSTERNORRLANDS LÄN</t>
        </is>
      </c>
      <c r="E2669" t="inlineStr">
        <is>
          <t>SOLLEFTEÅ</t>
        </is>
      </c>
      <c r="F2669" t="inlineStr">
        <is>
          <t>Övriga Aktiebolag</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5064-2024</t>
        </is>
      </c>
      <c r="B2670" s="1" t="n">
        <v>45329</v>
      </c>
      <c r="C2670" s="1" t="n">
        <v>45822</v>
      </c>
      <c r="D2670" t="inlineStr">
        <is>
          <t>VÄSTERNORRLANDS LÄN</t>
        </is>
      </c>
      <c r="E2670" t="inlineStr">
        <is>
          <t>SOLLEFTEÅ</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5061-2024</t>
        </is>
      </c>
      <c r="B2671" s="1" t="n">
        <v>45329</v>
      </c>
      <c r="C2671" s="1" t="n">
        <v>45822</v>
      </c>
      <c r="D2671" t="inlineStr">
        <is>
          <t>VÄSTERNORRLANDS LÄN</t>
        </is>
      </c>
      <c r="E2671" t="inlineStr">
        <is>
          <t>SOLLEFTEÅ</t>
        </is>
      </c>
      <c r="F2671" t="inlineStr">
        <is>
          <t>SCA</t>
        </is>
      </c>
      <c r="G2671" t="n">
        <v>34.1</v>
      </c>
      <c r="H2671" t="n">
        <v>0</v>
      </c>
      <c r="I2671" t="n">
        <v>0</v>
      </c>
      <c r="J2671" t="n">
        <v>0</v>
      </c>
      <c r="K2671" t="n">
        <v>0</v>
      </c>
      <c r="L2671" t="n">
        <v>0</v>
      </c>
      <c r="M2671" t="n">
        <v>0</v>
      </c>
      <c r="N2671" t="n">
        <v>0</v>
      </c>
      <c r="O2671" t="n">
        <v>0</v>
      </c>
      <c r="P2671" t="n">
        <v>0</v>
      </c>
      <c r="Q2671" t="n">
        <v>0</v>
      </c>
      <c r="R2671" s="2" t="inlineStr"/>
    </row>
    <row r="2672" ht="15" customHeight="1">
      <c r="A2672" t="inlineStr">
        <is>
          <t>A 5073-2024</t>
        </is>
      </c>
      <c r="B2672" s="1" t="n">
        <v>45330</v>
      </c>
      <c r="C2672" s="1" t="n">
        <v>45822</v>
      </c>
      <c r="D2672" t="inlineStr">
        <is>
          <t>VÄSTERNORRLANDS LÄN</t>
        </is>
      </c>
      <c r="E2672" t="inlineStr">
        <is>
          <t>SOLLEFTEÅ</t>
        </is>
      </c>
      <c r="F2672" t="inlineStr">
        <is>
          <t>Övriga Aktiebolag</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5034-2024</t>
        </is>
      </c>
      <c r="B2673" s="1" t="n">
        <v>45329</v>
      </c>
      <c r="C2673" s="1" t="n">
        <v>45822</v>
      </c>
      <c r="D2673" t="inlineStr">
        <is>
          <t>VÄSTERNORRLANDS LÄN</t>
        </is>
      </c>
      <c r="E2673" t="inlineStr">
        <is>
          <t>SOLLEFTEÅ</t>
        </is>
      </c>
      <c r="F2673" t="inlineStr">
        <is>
          <t>Övriga Aktiebolag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5038-2024</t>
        </is>
      </c>
      <c r="B2674" s="1" t="n">
        <v>45329</v>
      </c>
      <c r="C2674" s="1" t="n">
        <v>45822</v>
      </c>
      <c r="D2674" t="inlineStr">
        <is>
          <t>VÄSTERNORRLANDS LÄN</t>
        </is>
      </c>
      <c r="E2674" t="inlineStr">
        <is>
          <t>SOLLEFTEÅ</t>
        </is>
      </c>
      <c r="F2674" t="inlineStr">
        <is>
          <t>Övriga Aktiebolag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5062-2024</t>
        </is>
      </c>
      <c r="B2675" s="1" t="n">
        <v>45329</v>
      </c>
      <c r="C2675" s="1" t="n">
        <v>45822</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5058-2024</t>
        </is>
      </c>
      <c r="B2676" s="1" t="n">
        <v>45329</v>
      </c>
      <c r="C2676" s="1" t="n">
        <v>45822</v>
      </c>
      <c r="D2676" t="inlineStr">
        <is>
          <t>VÄSTERNORRLANDS LÄN</t>
        </is>
      </c>
      <c r="E2676" t="inlineStr">
        <is>
          <t>SOLLEFTEÅ</t>
        </is>
      </c>
      <c r="F2676" t="inlineStr">
        <is>
          <t>SCA</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5074-2024</t>
        </is>
      </c>
      <c r="B2677" s="1" t="n">
        <v>45330</v>
      </c>
      <c r="C2677" s="1" t="n">
        <v>45822</v>
      </c>
      <c r="D2677" t="inlineStr">
        <is>
          <t>VÄSTERNORRLANDS LÄN</t>
        </is>
      </c>
      <c r="E2677" t="inlineStr">
        <is>
          <t>SOLLEFTEÅ</t>
        </is>
      </c>
      <c r="F2677" t="inlineStr">
        <is>
          <t>Övriga Aktiebolag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5059-2024</t>
        </is>
      </c>
      <c r="B2678" s="1" t="n">
        <v>45329</v>
      </c>
      <c r="C2678" s="1" t="n">
        <v>45822</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5075-2024</t>
        </is>
      </c>
      <c r="B2679" s="1" t="n">
        <v>45329</v>
      </c>
      <c r="C2679" s="1" t="n">
        <v>45822</v>
      </c>
      <c r="D2679" t="inlineStr">
        <is>
          <t>VÄSTERNORRLANDS LÄN</t>
        </is>
      </c>
      <c r="E2679" t="inlineStr">
        <is>
          <t>SOLLEFTEÅ</t>
        </is>
      </c>
      <c r="F2679" t="inlineStr">
        <is>
          <t>Övriga Aktiebolag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5063-2024</t>
        </is>
      </c>
      <c r="B2680" s="1" t="n">
        <v>45329</v>
      </c>
      <c r="C2680" s="1" t="n">
        <v>45822</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5256-2024</t>
        </is>
      </c>
      <c r="B2681" s="1" t="n">
        <v>45330</v>
      </c>
      <c r="C2681" s="1" t="n">
        <v>45822</v>
      </c>
      <c r="D2681" t="inlineStr">
        <is>
          <t>VÄSTERNORRLANDS LÄN</t>
        </is>
      </c>
      <c r="E2681" t="inlineStr">
        <is>
          <t>SOLLEFTEÅ</t>
        </is>
      </c>
      <c r="F2681" t="inlineStr">
        <is>
          <t>SCA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5255-2024</t>
        </is>
      </c>
      <c r="B2682" s="1" t="n">
        <v>45330</v>
      </c>
      <c r="C2682" s="1" t="n">
        <v>45822</v>
      </c>
      <c r="D2682" t="inlineStr">
        <is>
          <t>VÄSTERNORRLANDS LÄN</t>
        </is>
      </c>
      <c r="E2682" t="inlineStr">
        <is>
          <t>SOLLEFTEÅ</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5254-2024</t>
        </is>
      </c>
      <c r="B2683" s="1" t="n">
        <v>45330</v>
      </c>
      <c r="C2683" s="1" t="n">
        <v>45822</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5253-2024</t>
        </is>
      </c>
      <c r="B2684" s="1" t="n">
        <v>45330</v>
      </c>
      <c r="C2684" s="1" t="n">
        <v>45822</v>
      </c>
      <c r="D2684" t="inlineStr">
        <is>
          <t>VÄSTERNORRLANDS LÄN</t>
        </is>
      </c>
      <c r="E2684" t="inlineStr">
        <is>
          <t>SOLLEFTEÅ</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5446-2024</t>
        </is>
      </c>
      <c r="B2685" s="1" t="n">
        <v>45331</v>
      </c>
      <c r="C2685" s="1" t="n">
        <v>45822</v>
      </c>
      <c r="D2685" t="inlineStr">
        <is>
          <t>VÄSTERNORRLANDS LÄN</t>
        </is>
      </c>
      <c r="E2685" t="inlineStr">
        <is>
          <t>SOLLEFTEÅ</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5452-2024</t>
        </is>
      </c>
      <c r="B2686" s="1" t="n">
        <v>45331</v>
      </c>
      <c r="C2686" s="1" t="n">
        <v>45822</v>
      </c>
      <c r="D2686" t="inlineStr">
        <is>
          <t>VÄSTERNORRLANDS LÄN</t>
        </is>
      </c>
      <c r="E2686" t="inlineStr">
        <is>
          <t>SOLLEFTEÅ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5854-2024</t>
        </is>
      </c>
      <c r="B2687" s="1" t="n">
        <v>45335</v>
      </c>
      <c r="C2687" s="1" t="n">
        <v>45822</v>
      </c>
      <c r="D2687" t="inlineStr">
        <is>
          <t>VÄSTERNORRLANDS LÄN</t>
        </is>
      </c>
      <c r="E2687" t="inlineStr">
        <is>
          <t>SOLLEFTEÅ</t>
        </is>
      </c>
      <c r="F2687" t="inlineStr">
        <is>
          <t>Övriga Aktiebolag</t>
        </is>
      </c>
      <c r="G2687" t="n">
        <v>24.9</v>
      </c>
      <c r="H2687" t="n">
        <v>0</v>
      </c>
      <c r="I2687" t="n">
        <v>0</v>
      </c>
      <c r="J2687" t="n">
        <v>0</v>
      </c>
      <c r="K2687" t="n">
        <v>0</v>
      </c>
      <c r="L2687" t="n">
        <v>0</v>
      </c>
      <c r="M2687" t="n">
        <v>0</v>
      </c>
      <c r="N2687" t="n">
        <v>0</v>
      </c>
      <c r="O2687" t="n">
        <v>0</v>
      </c>
      <c r="P2687" t="n">
        <v>0</v>
      </c>
      <c r="Q2687" t="n">
        <v>0</v>
      </c>
      <c r="R2687" s="2" t="inlineStr"/>
    </row>
    <row r="2688" ht="15" customHeight="1">
      <c r="A2688" t="inlineStr">
        <is>
          <t>A 5874-2024</t>
        </is>
      </c>
      <c r="B2688" s="1" t="n">
        <v>45335</v>
      </c>
      <c r="C2688" s="1" t="n">
        <v>45822</v>
      </c>
      <c r="D2688" t="inlineStr">
        <is>
          <t>VÄSTERNORRLANDS LÄN</t>
        </is>
      </c>
      <c r="E2688" t="inlineStr">
        <is>
          <t>SOLLEFTEÅ</t>
        </is>
      </c>
      <c r="F2688" t="inlineStr">
        <is>
          <t>Övriga Aktiebolag</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5867-2024</t>
        </is>
      </c>
      <c r="B2689" s="1" t="n">
        <v>45335</v>
      </c>
      <c r="C2689" s="1" t="n">
        <v>45822</v>
      </c>
      <c r="D2689" t="inlineStr">
        <is>
          <t>VÄSTERNORRLANDS LÄN</t>
        </is>
      </c>
      <c r="E2689" t="inlineStr">
        <is>
          <t>SOLLEFTEÅ</t>
        </is>
      </c>
      <c r="F2689" t="inlineStr">
        <is>
          <t>Övriga Aktiebolag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5871-2024</t>
        </is>
      </c>
      <c r="B2690" s="1" t="n">
        <v>45335</v>
      </c>
      <c r="C2690" s="1" t="n">
        <v>45822</v>
      </c>
      <c r="D2690" t="inlineStr">
        <is>
          <t>VÄSTERNORRLANDS LÄN</t>
        </is>
      </c>
      <c r="E2690" t="inlineStr">
        <is>
          <t>SOLLEFTEÅ</t>
        </is>
      </c>
      <c r="F2690" t="inlineStr">
        <is>
          <t>Övriga Aktiebolag</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5882-2024</t>
        </is>
      </c>
      <c r="B2691" s="1" t="n">
        <v>45335</v>
      </c>
      <c r="C2691" s="1" t="n">
        <v>45822</v>
      </c>
      <c r="D2691" t="inlineStr">
        <is>
          <t>VÄSTERNORRLANDS LÄN</t>
        </is>
      </c>
      <c r="E2691" t="inlineStr">
        <is>
          <t>SOLLEFTEÅ</t>
        </is>
      </c>
      <c r="F2691" t="inlineStr">
        <is>
          <t>Övriga Aktiebolag</t>
        </is>
      </c>
      <c r="G2691" t="n">
        <v>13.2</v>
      </c>
      <c r="H2691" t="n">
        <v>0</v>
      </c>
      <c r="I2691" t="n">
        <v>0</v>
      </c>
      <c r="J2691" t="n">
        <v>0</v>
      </c>
      <c r="K2691" t="n">
        <v>0</v>
      </c>
      <c r="L2691" t="n">
        <v>0</v>
      </c>
      <c r="M2691" t="n">
        <v>0</v>
      </c>
      <c r="N2691" t="n">
        <v>0</v>
      </c>
      <c r="O2691" t="n">
        <v>0</v>
      </c>
      <c r="P2691" t="n">
        <v>0</v>
      </c>
      <c r="Q2691" t="n">
        <v>0</v>
      </c>
      <c r="R2691" s="2" t="inlineStr"/>
    </row>
    <row r="2692" ht="15" customHeight="1">
      <c r="A2692" t="inlineStr">
        <is>
          <t>A 5919-2024</t>
        </is>
      </c>
      <c r="B2692" s="1" t="n">
        <v>45335</v>
      </c>
      <c r="C2692" s="1" t="n">
        <v>45822</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5909-2024</t>
        </is>
      </c>
      <c r="B2693" s="1" t="n">
        <v>45335</v>
      </c>
      <c r="C2693" s="1" t="n">
        <v>45822</v>
      </c>
      <c r="D2693" t="inlineStr">
        <is>
          <t>VÄSTERNORRLANDS LÄN</t>
        </is>
      </c>
      <c r="E2693" t="inlineStr">
        <is>
          <t>SOLLEFTEÅ</t>
        </is>
      </c>
      <c r="F2693" t="inlineStr">
        <is>
          <t>SCA</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5917-2024</t>
        </is>
      </c>
      <c r="B2694" s="1" t="n">
        <v>45335</v>
      </c>
      <c r="C2694" s="1" t="n">
        <v>45822</v>
      </c>
      <c r="D2694" t="inlineStr">
        <is>
          <t>VÄSTERNORRLANDS LÄN</t>
        </is>
      </c>
      <c r="E2694" t="inlineStr">
        <is>
          <t>SOLLEFTEÅ</t>
        </is>
      </c>
      <c r="F2694" t="inlineStr">
        <is>
          <t>SCA</t>
        </is>
      </c>
      <c r="G2694" t="n">
        <v>21.2</v>
      </c>
      <c r="H2694" t="n">
        <v>0</v>
      </c>
      <c r="I2694" t="n">
        <v>0</v>
      </c>
      <c r="J2694" t="n">
        <v>0</v>
      </c>
      <c r="K2694" t="n">
        <v>0</v>
      </c>
      <c r="L2694" t="n">
        <v>0</v>
      </c>
      <c r="M2694" t="n">
        <v>0</v>
      </c>
      <c r="N2694" t="n">
        <v>0</v>
      </c>
      <c r="O2694" t="n">
        <v>0</v>
      </c>
      <c r="P2694" t="n">
        <v>0</v>
      </c>
      <c r="Q2694" t="n">
        <v>0</v>
      </c>
      <c r="R2694" s="2" t="inlineStr"/>
    </row>
    <row r="2695" ht="15" customHeight="1">
      <c r="A2695" t="inlineStr">
        <is>
          <t>A 5934-2024</t>
        </is>
      </c>
      <c r="B2695" s="1" t="n">
        <v>45336</v>
      </c>
      <c r="C2695" s="1" t="n">
        <v>45822</v>
      </c>
      <c r="D2695" t="inlineStr">
        <is>
          <t>VÄSTERNORRLANDS LÄN</t>
        </is>
      </c>
      <c r="E2695" t="inlineStr">
        <is>
          <t>SOLLEFTEÅ</t>
        </is>
      </c>
      <c r="F2695" t="inlineStr">
        <is>
          <t>Holmen skog AB</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6059-2024</t>
        </is>
      </c>
      <c r="B2696" s="1" t="n">
        <v>45336</v>
      </c>
      <c r="C2696" s="1" t="n">
        <v>45822</v>
      </c>
      <c r="D2696" t="inlineStr">
        <is>
          <t>VÄSTERNORRLANDS LÄN</t>
        </is>
      </c>
      <c r="E2696" t="inlineStr">
        <is>
          <t>SOLLEFTEÅ</t>
        </is>
      </c>
      <c r="F2696" t="inlineStr">
        <is>
          <t>Övriga Aktiebolag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6063-2024</t>
        </is>
      </c>
      <c r="B2697" s="1" t="n">
        <v>45336</v>
      </c>
      <c r="C2697" s="1" t="n">
        <v>45822</v>
      </c>
      <c r="D2697" t="inlineStr">
        <is>
          <t>VÄSTERNORRLANDS LÄN</t>
        </is>
      </c>
      <c r="E2697" t="inlineStr">
        <is>
          <t>SOLLEFTEÅ</t>
        </is>
      </c>
      <c r="F2697" t="inlineStr">
        <is>
          <t>Övriga Aktiebolag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6067-2024</t>
        </is>
      </c>
      <c r="B2698" s="1" t="n">
        <v>45336</v>
      </c>
      <c r="C2698" s="1" t="n">
        <v>45822</v>
      </c>
      <c r="D2698" t="inlineStr">
        <is>
          <t>VÄSTERNORRLANDS LÄN</t>
        </is>
      </c>
      <c r="E2698" t="inlineStr">
        <is>
          <t>SOLLEFTEÅ</t>
        </is>
      </c>
      <c r="F2698" t="inlineStr">
        <is>
          <t>Övriga Aktiebolag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6058-2024</t>
        </is>
      </c>
      <c r="B2699" s="1" t="n">
        <v>45336</v>
      </c>
      <c r="C2699" s="1" t="n">
        <v>45822</v>
      </c>
      <c r="D2699" t="inlineStr">
        <is>
          <t>VÄSTERNORRLANDS LÄN</t>
        </is>
      </c>
      <c r="E2699" t="inlineStr">
        <is>
          <t>SOLLEFTEÅ</t>
        </is>
      </c>
      <c r="F2699" t="inlineStr">
        <is>
          <t>Övriga Aktiebolag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6064-2024</t>
        </is>
      </c>
      <c r="B2700" s="1" t="n">
        <v>45336</v>
      </c>
      <c r="C2700" s="1" t="n">
        <v>45822</v>
      </c>
      <c r="D2700" t="inlineStr">
        <is>
          <t>VÄSTERNORRLANDS LÄN</t>
        </is>
      </c>
      <c r="E2700" t="inlineStr">
        <is>
          <t>SOLLEFTEÅ</t>
        </is>
      </c>
      <c r="F2700" t="inlineStr">
        <is>
          <t>Övriga Aktiebolag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6066-2024</t>
        </is>
      </c>
      <c r="B2701" s="1" t="n">
        <v>45336</v>
      </c>
      <c r="C2701" s="1" t="n">
        <v>45822</v>
      </c>
      <c r="D2701" t="inlineStr">
        <is>
          <t>VÄSTERNORRLANDS LÄN</t>
        </is>
      </c>
      <c r="E2701" t="inlineStr">
        <is>
          <t>SOLLEFTEÅ</t>
        </is>
      </c>
      <c r="F2701" t="inlineStr">
        <is>
          <t>Övriga Aktiebolag</t>
        </is>
      </c>
      <c r="G2701" t="n">
        <v>14.8</v>
      </c>
      <c r="H2701" t="n">
        <v>0</v>
      </c>
      <c r="I2701" t="n">
        <v>0</v>
      </c>
      <c r="J2701" t="n">
        <v>0</v>
      </c>
      <c r="K2701" t="n">
        <v>0</v>
      </c>
      <c r="L2701" t="n">
        <v>0</v>
      </c>
      <c r="M2701" t="n">
        <v>0</v>
      </c>
      <c r="N2701" t="n">
        <v>0</v>
      </c>
      <c r="O2701" t="n">
        <v>0</v>
      </c>
      <c r="P2701" t="n">
        <v>0</v>
      </c>
      <c r="Q2701" t="n">
        <v>0</v>
      </c>
      <c r="R2701" s="2" t="inlineStr"/>
    </row>
    <row r="2702" ht="15" customHeight="1">
      <c r="A2702" t="inlineStr">
        <is>
          <t>A 6068-2024</t>
        </is>
      </c>
      <c r="B2702" s="1" t="n">
        <v>45336</v>
      </c>
      <c r="C2702" s="1" t="n">
        <v>45822</v>
      </c>
      <c r="D2702" t="inlineStr">
        <is>
          <t>VÄSTERNORRLANDS LÄN</t>
        </is>
      </c>
      <c r="E2702" t="inlineStr">
        <is>
          <t>SOLLEFTEÅ</t>
        </is>
      </c>
      <c r="F2702" t="inlineStr">
        <is>
          <t>Övriga Aktiebolag</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6057-2024</t>
        </is>
      </c>
      <c r="B2703" s="1" t="n">
        <v>45336</v>
      </c>
      <c r="C2703" s="1" t="n">
        <v>45822</v>
      </c>
      <c r="D2703" t="inlineStr">
        <is>
          <t>VÄSTERNORRLANDS LÄN</t>
        </is>
      </c>
      <c r="E2703" t="inlineStr">
        <is>
          <t>SOLLEFTEÅ</t>
        </is>
      </c>
      <c r="F2703" t="inlineStr">
        <is>
          <t>Övriga Aktiebolag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6065-2024</t>
        </is>
      </c>
      <c r="B2704" s="1" t="n">
        <v>45336</v>
      </c>
      <c r="C2704" s="1" t="n">
        <v>45822</v>
      </c>
      <c r="D2704" t="inlineStr">
        <is>
          <t>VÄSTERNORRLANDS LÄN</t>
        </is>
      </c>
      <c r="E2704" t="inlineStr">
        <is>
          <t>SOLLEFTEÅ</t>
        </is>
      </c>
      <c r="F2704" t="inlineStr">
        <is>
          <t>Övriga Aktiebolag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6139-2024</t>
        </is>
      </c>
      <c r="B2705" s="1" t="n">
        <v>45337</v>
      </c>
      <c r="C2705" s="1" t="n">
        <v>45822</v>
      </c>
      <c r="D2705" t="inlineStr">
        <is>
          <t>VÄSTERNORRLANDS LÄN</t>
        </is>
      </c>
      <c r="E2705" t="inlineStr">
        <is>
          <t>SOLLEFTEÅ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6279-2024</t>
        </is>
      </c>
      <c r="B2706" s="1" t="n">
        <v>45337</v>
      </c>
      <c r="C2706" s="1" t="n">
        <v>45822</v>
      </c>
      <c r="D2706" t="inlineStr">
        <is>
          <t>VÄSTERNORRLANDS LÄN</t>
        </is>
      </c>
      <c r="E2706" t="inlineStr">
        <is>
          <t>SOLLEFTEÅ</t>
        </is>
      </c>
      <c r="F2706" t="inlineStr">
        <is>
          <t>SCA</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6125-2024</t>
        </is>
      </c>
      <c r="B2707" s="1" t="n">
        <v>45337</v>
      </c>
      <c r="C2707" s="1" t="n">
        <v>45822</v>
      </c>
      <c r="D2707" t="inlineStr">
        <is>
          <t>VÄSTERNORRLANDS LÄN</t>
        </is>
      </c>
      <c r="E2707" t="inlineStr">
        <is>
          <t>SOLLEFTEÅ</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6282-2024</t>
        </is>
      </c>
      <c r="B2708" s="1" t="n">
        <v>45337</v>
      </c>
      <c r="C2708" s="1" t="n">
        <v>45822</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6352-2024</t>
        </is>
      </c>
      <c r="B2709" s="1" t="n">
        <v>45338</v>
      </c>
      <c r="C2709" s="1" t="n">
        <v>45822</v>
      </c>
      <c r="D2709" t="inlineStr">
        <is>
          <t>VÄSTERNORRLANDS LÄN</t>
        </is>
      </c>
      <c r="E2709" t="inlineStr">
        <is>
          <t>SOLLEFTEÅ</t>
        </is>
      </c>
      <c r="F2709" t="inlineStr">
        <is>
          <t>Holmen skog AB</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6480-2024</t>
        </is>
      </c>
      <c r="B2710" s="1" t="n">
        <v>45338</v>
      </c>
      <c r="C2710" s="1" t="n">
        <v>45822</v>
      </c>
      <c r="D2710" t="inlineStr">
        <is>
          <t>VÄSTERNORRLANDS LÄN</t>
        </is>
      </c>
      <c r="E2710" t="inlineStr">
        <is>
          <t>SOLLEFTEÅ</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6633-2024</t>
        </is>
      </c>
      <c r="B2711" s="1" t="n">
        <v>45341</v>
      </c>
      <c r="C2711" s="1" t="n">
        <v>45822</v>
      </c>
      <c r="D2711" t="inlineStr">
        <is>
          <t>VÄSTERNORRLANDS LÄN</t>
        </is>
      </c>
      <c r="E2711" t="inlineStr">
        <is>
          <t>SOLLEFTEÅ</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6692-2024</t>
        </is>
      </c>
      <c r="B2712" s="1" t="n">
        <v>45341</v>
      </c>
      <c r="C2712" s="1" t="n">
        <v>45822</v>
      </c>
      <c r="D2712" t="inlineStr">
        <is>
          <t>VÄSTERNORRLANDS LÄN</t>
        </is>
      </c>
      <c r="E2712" t="inlineStr">
        <is>
          <t>SOLLEFTEÅ</t>
        </is>
      </c>
      <c r="F2712" t="inlineStr">
        <is>
          <t>SCA</t>
        </is>
      </c>
      <c r="G2712" t="n">
        <v>15.4</v>
      </c>
      <c r="H2712" t="n">
        <v>0</v>
      </c>
      <c r="I2712" t="n">
        <v>0</v>
      </c>
      <c r="J2712" t="n">
        <v>0</v>
      </c>
      <c r="K2712" t="n">
        <v>0</v>
      </c>
      <c r="L2712" t="n">
        <v>0</v>
      </c>
      <c r="M2712" t="n">
        <v>0</v>
      </c>
      <c r="N2712" t="n">
        <v>0</v>
      </c>
      <c r="O2712" t="n">
        <v>0</v>
      </c>
      <c r="P2712" t="n">
        <v>0</v>
      </c>
      <c r="Q2712" t="n">
        <v>0</v>
      </c>
      <c r="R2712" s="2" t="inlineStr"/>
    </row>
    <row r="2713" ht="15" customHeight="1">
      <c r="A2713" t="inlineStr">
        <is>
          <t>A 6700-2024</t>
        </is>
      </c>
      <c r="B2713" s="1" t="n">
        <v>45341</v>
      </c>
      <c r="C2713" s="1" t="n">
        <v>45822</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6799-2024</t>
        </is>
      </c>
      <c r="B2714" s="1" t="n">
        <v>45342</v>
      </c>
      <c r="C2714" s="1" t="n">
        <v>45822</v>
      </c>
      <c r="D2714" t="inlineStr">
        <is>
          <t>VÄSTERNORRLANDS LÄN</t>
        </is>
      </c>
      <c r="E2714" t="inlineStr">
        <is>
          <t>SOLLEFTEÅ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6857-2024</t>
        </is>
      </c>
      <c r="B2715" s="1" t="n">
        <v>45342</v>
      </c>
      <c r="C2715" s="1" t="n">
        <v>45822</v>
      </c>
      <c r="D2715" t="inlineStr">
        <is>
          <t>VÄSTERNORRLANDS LÄN</t>
        </is>
      </c>
      <c r="E2715" t="inlineStr">
        <is>
          <t>SOLLEFTEÅ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6816-2024</t>
        </is>
      </c>
      <c r="B2716" s="1" t="n">
        <v>45342</v>
      </c>
      <c r="C2716" s="1" t="n">
        <v>45822</v>
      </c>
      <c r="D2716" t="inlineStr">
        <is>
          <t>VÄSTERNORRLANDS LÄN</t>
        </is>
      </c>
      <c r="E2716" t="inlineStr">
        <is>
          <t>SOLLEFTEÅ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6891-2024</t>
        </is>
      </c>
      <c r="B2717" s="1" t="n">
        <v>45342</v>
      </c>
      <c r="C2717" s="1" t="n">
        <v>45822</v>
      </c>
      <c r="D2717" t="inlineStr">
        <is>
          <t>VÄSTERNORRLANDS LÄN</t>
        </is>
      </c>
      <c r="E2717" t="inlineStr">
        <is>
          <t>SOLLEFTEÅ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6909-2024</t>
        </is>
      </c>
      <c r="B2718" s="1" t="n">
        <v>45342</v>
      </c>
      <c r="C2718" s="1" t="n">
        <v>45822</v>
      </c>
      <c r="D2718" t="inlineStr">
        <is>
          <t>VÄSTERNORRLANDS LÄN</t>
        </is>
      </c>
      <c r="E2718" t="inlineStr">
        <is>
          <t>SOLLEFTEÅ</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6932-2024</t>
        </is>
      </c>
      <c r="B2719" s="1" t="n">
        <v>45343</v>
      </c>
      <c r="C2719" s="1" t="n">
        <v>45822</v>
      </c>
      <c r="D2719" t="inlineStr">
        <is>
          <t>VÄSTERNORRLANDS LÄN</t>
        </is>
      </c>
      <c r="E2719" t="inlineStr">
        <is>
          <t>SOLLEFTEÅ</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6934-2024</t>
        </is>
      </c>
      <c r="B2720" s="1" t="n">
        <v>45343</v>
      </c>
      <c r="C2720" s="1" t="n">
        <v>45822</v>
      </c>
      <c r="D2720" t="inlineStr">
        <is>
          <t>VÄSTERNORRLANDS LÄN</t>
        </is>
      </c>
      <c r="E2720" t="inlineStr">
        <is>
          <t>SOLLEFTEÅ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7001-2024</t>
        </is>
      </c>
      <c r="B2721" s="1" t="n">
        <v>45343</v>
      </c>
      <c r="C2721" s="1" t="n">
        <v>45822</v>
      </c>
      <c r="D2721" t="inlineStr">
        <is>
          <t>VÄSTERNORRLANDS LÄN</t>
        </is>
      </c>
      <c r="E2721" t="inlineStr">
        <is>
          <t>SOLLEFTEÅ</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7107-2024</t>
        </is>
      </c>
      <c r="B2722" s="1" t="n">
        <v>45343</v>
      </c>
      <c r="C2722" s="1" t="n">
        <v>45822</v>
      </c>
      <c r="D2722" t="inlineStr">
        <is>
          <t>VÄSTERNORRLANDS LÄN</t>
        </is>
      </c>
      <c r="E2722" t="inlineStr">
        <is>
          <t>SOLLEFTEÅ</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7113-2024</t>
        </is>
      </c>
      <c r="B2723" s="1" t="n">
        <v>45343</v>
      </c>
      <c r="C2723" s="1" t="n">
        <v>45822</v>
      </c>
      <c r="D2723" t="inlineStr">
        <is>
          <t>VÄSTERNORRLANDS LÄN</t>
        </is>
      </c>
      <c r="E2723" t="inlineStr">
        <is>
          <t>SOLLEFTEÅ</t>
        </is>
      </c>
      <c r="F2723" t="inlineStr">
        <is>
          <t>SCA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7106-2024</t>
        </is>
      </c>
      <c r="B2724" s="1" t="n">
        <v>45343</v>
      </c>
      <c r="C2724" s="1" t="n">
        <v>45822</v>
      </c>
      <c r="D2724" t="inlineStr">
        <is>
          <t>VÄSTERNORRLANDS LÄN</t>
        </is>
      </c>
      <c r="E2724" t="inlineStr">
        <is>
          <t>SOLLEFTEÅ</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7257-2024</t>
        </is>
      </c>
      <c r="B2725" s="1" t="n">
        <v>45344</v>
      </c>
      <c r="C2725" s="1" t="n">
        <v>45822</v>
      </c>
      <c r="D2725" t="inlineStr">
        <is>
          <t>VÄSTERNORRLANDS LÄN</t>
        </is>
      </c>
      <c r="E2725" t="inlineStr">
        <is>
          <t>SOLLEFTEÅ</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7261-2024</t>
        </is>
      </c>
      <c r="B2726" s="1" t="n">
        <v>45344</v>
      </c>
      <c r="C2726" s="1" t="n">
        <v>45822</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7295-2024</t>
        </is>
      </c>
      <c r="B2727" s="1" t="n">
        <v>45344</v>
      </c>
      <c r="C2727" s="1" t="n">
        <v>45822</v>
      </c>
      <c r="D2727" t="inlineStr">
        <is>
          <t>VÄSTERNORRLANDS LÄN</t>
        </is>
      </c>
      <c r="E2727" t="inlineStr">
        <is>
          <t>SOLLEFTEÅ</t>
        </is>
      </c>
      <c r="F2727" t="inlineStr">
        <is>
          <t>SCA</t>
        </is>
      </c>
      <c r="G2727" t="n">
        <v>16.7</v>
      </c>
      <c r="H2727" t="n">
        <v>0</v>
      </c>
      <c r="I2727" t="n">
        <v>0</v>
      </c>
      <c r="J2727" t="n">
        <v>0</v>
      </c>
      <c r="K2727" t="n">
        <v>0</v>
      </c>
      <c r="L2727" t="n">
        <v>0</v>
      </c>
      <c r="M2727" t="n">
        <v>0</v>
      </c>
      <c r="N2727" t="n">
        <v>0</v>
      </c>
      <c r="O2727" t="n">
        <v>0</v>
      </c>
      <c r="P2727" t="n">
        <v>0</v>
      </c>
      <c r="Q2727" t="n">
        <v>0</v>
      </c>
      <c r="R2727" s="2" t="inlineStr"/>
    </row>
    <row r="2728" ht="15" customHeight="1">
      <c r="A2728" t="inlineStr">
        <is>
          <t>A 7234-2024</t>
        </is>
      </c>
      <c r="B2728" s="1" t="n">
        <v>45344</v>
      </c>
      <c r="C2728" s="1" t="n">
        <v>45822</v>
      </c>
      <c r="D2728" t="inlineStr">
        <is>
          <t>VÄSTERNORRLANDS LÄN</t>
        </is>
      </c>
      <c r="E2728" t="inlineStr">
        <is>
          <t>SOLLEFTEÅ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7258-2024</t>
        </is>
      </c>
      <c r="B2729" s="1" t="n">
        <v>45344</v>
      </c>
      <c r="C2729" s="1" t="n">
        <v>45822</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7294-2024</t>
        </is>
      </c>
      <c r="B2730" s="1" t="n">
        <v>45344</v>
      </c>
      <c r="C2730" s="1" t="n">
        <v>45822</v>
      </c>
      <c r="D2730" t="inlineStr">
        <is>
          <t>VÄSTERNORRLANDS LÄN</t>
        </is>
      </c>
      <c r="E2730" t="inlineStr">
        <is>
          <t>SOLLEFTEÅ</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7463-2024</t>
        </is>
      </c>
      <c r="B2731" s="1" t="n">
        <v>45345</v>
      </c>
      <c r="C2731" s="1" t="n">
        <v>45822</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7467-2024</t>
        </is>
      </c>
      <c r="B2732" s="1" t="n">
        <v>45345</v>
      </c>
      <c r="C2732" s="1" t="n">
        <v>45822</v>
      </c>
      <c r="D2732" t="inlineStr">
        <is>
          <t>VÄSTERNORRLANDS LÄN</t>
        </is>
      </c>
      <c r="E2732" t="inlineStr">
        <is>
          <t>SOLLEFTEÅ</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7464-2024</t>
        </is>
      </c>
      <c r="B2733" s="1" t="n">
        <v>45345</v>
      </c>
      <c r="C2733" s="1" t="n">
        <v>45822</v>
      </c>
      <c r="D2733" t="inlineStr">
        <is>
          <t>VÄSTERNORRLANDS LÄN</t>
        </is>
      </c>
      <c r="E2733" t="inlineStr">
        <is>
          <t>SOLLEFTEÅ</t>
        </is>
      </c>
      <c r="F2733" t="inlineStr">
        <is>
          <t>SCA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7475-2024</t>
        </is>
      </c>
      <c r="B2734" s="1" t="n">
        <v>45345</v>
      </c>
      <c r="C2734" s="1" t="n">
        <v>45822</v>
      </c>
      <c r="D2734" t="inlineStr">
        <is>
          <t>VÄSTERNORRLANDS LÄN</t>
        </is>
      </c>
      <c r="E2734" t="inlineStr">
        <is>
          <t>SOLLEFTEÅ</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7462-2024</t>
        </is>
      </c>
      <c r="B2735" s="1" t="n">
        <v>45345</v>
      </c>
      <c r="C2735" s="1" t="n">
        <v>45822</v>
      </c>
      <c r="D2735" t="inlineStr">
        <is>
          <t>VÄSTERNORRLANDS LÄN</t>
        </is>
      </c>
      <c r="E2735" t="inlineStr">
        <is>
          <t>SOLLEFTEÅ</t>
        </is>
      </c>
      <c r="F2735" t="inlineStr">
        <is>
          <t>SCA</t>
        </is>
      </c>
      <c r="G2735" t="n">
        <v>42.1</v>
      </c>
      <c r="H2735" t="n">
        <v>0</v>
      </c>
      <c r="I2735" t="n">
        <v>0</v>
      </c>
      <c r="J2735" t="n">
        <v>0</v>
      </c>
      <c r="K2735" t="n">
        <v>0</v>
      </c>
      <c r="L2735" t="n">
        <v>0</v>
      </c>
      <c r="M2735" t="n">
        <v>0</v>
      </c>
      <c r="N2735" t="n">
        <v>0</v>
      </c>
      <c r="O2735" t="n">
        <v>0</v>
      </c>
      <c r="P2735" t="n">
        <v>0</v>
      </c>
      <c r="Q2735" t="n">
        <v>0</v>
      </c>
      <c r="R2735" s="2" t="inlineStr"/>
    </row>
    <row r="2736" ht="15" customHeight="1">
      <c r="A2736" t="inlineStr">
        <is>
          <t>A 7585-2024</t>
        </is>
      </c>
      <c r="B2736" s="1" t="n">
        <v>45348</v>
      </c>
      <c r="C2736" s="1" t="n">
        <v>45822</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7704-2024</t>
        </is>
      </c>
      <c r="B2737" s="1" t="n">
        <v>45349</v>
      </c>
      <c r="C2737" s="1" t="n">
        <v>45822</v>
      </c>
      <c r="D2737" t="inlineStr">
        <is>
          <t>VÄSTERNORRLANDS LÄN</t>
        </is>
      </c>
      <c r="E2737" t="inlineStr">
        <is>
          <t>SOLLEFTEÅ</t>
        </is>
      </c>
      <c r="G2737" t="n">
        <v>12.2</v>
      </c>
      <c r="H2737" t="n">
        <v>0</v>
      </c>
      <c r="I2737" t="n">
        <v>0</v>
      </c>
      <c r="J2737" t="n">
        <v>0</v>
      </c>
      <c r="K2737" t="n">
        <v>0</v>
      </c>
      <c r="L2737" t="n">
        <v>0</v>
      </c>
      <c r="M2737" t="n">
        <v>0</v>
      </c>
      <c r="N2737" t="n">
        <v>0</v>
      </c>
      <c r="O2737" t="n">
        <v>0</v>
      </c>
      <c r="P2737" t="n">
        <v>0</v>
      </c>
      <c r="Q2737" t="n">
        <v>0</v>
      </c>
      <c r="R2737" s="2" t="inlineStr"/>
    </row>
    <row r="2738" ht="15" customHeight="1">
      <c r="A2738" t="inlineStr">
        <is>
          <t>A 7809-2024</t>
        </is>
      </c>
      <c r="B2738" s="1" t="n">
        <v>45349</v>
      </c>
      <c r="C2738" s="1" t="n">
        <v>45822</v>
      </c>
      <c r="D2738" t="inlineStr">
        <is>
          <t>VÄSTERNORRLANDS LÄN</t>
        </is>
      </c>
      <c r="E2738" t="inlineStr">
        <is>
          <t>SOLLEFTEÅ</t>
        </is>
      </c>
      <c r="G2738" t="n">
        <v>23.2</v>
      </c>
      <c r="H2738" t="n">
        <v>0</v>
      </c>
      <c r="I2738" t="n">
        <v>0</v>
      </c>
      <c r="J2738" t="n">
        <v>0</v>
      </c>
      <c r="K2738" t="n">
        <v>0</v>
      </c>
      <c r="L2738" t="n">
        <v>0</v>
      </c>
      <c r="M2738" t="n">
        <v>0</v>
      </c>
      <c r="N2738" t="n">
        <v>0</v>
      </c>
      <c r="O2738" t="n">
        <v>0</v>
      </c>
      <c r="P2738" t="n">
        <v>0</v>
      </c>
      <c r="Q2738" t="n">
        <v>0</v>
      </c>
      <c r="R2738" s="2" t="inlineStr"/>
    </row>
    <row r="2739" ht="15" customHeight="1">
      <c r="A2739" t="inlineStr">
        <is>
          <t>A 7825-2024</t>
        </is>
      </c>
      <c r="B2739" s="1" t="n">
        <v>45349</v>
      </c>
      <c r="C2739" s="1" t="n">
        <v>45822</v>
      </c>
      <c r="D2739" t="inlineStr">
        <is>
          <t>VÄSTERNORRLANDS LÄN</t>
        </is>
      </c>
      <c r="E2739" t="inlineStr">
        <is>
          <t>SOLLEFTEÅ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7810-2024</t>
        </is>
      </c>
      <c r="B2740" s="1" t="n">
        <v>45349</v>
      </c>
      <c r="C2740" s="1" t="n">
        <v>45822</v>
      </c>
      <c r="D2740" t="inlineStr">
        <is>
          <t>VÄSTERNORRLANDS LÄN</t>
        </is>
      </c>
      <c r="E2740" t="inlineStr">
        <is>
          <t>SOLLEFTEÅ</t>
        </is>
      </c>
      <c r="F2740" t="inlineStr">
        <is>
          <t>Övriga Aktiebolag</t>
        </is>
      </c>
      <c r="G2740" t="n">
        <v>23.6</v>
      </c>
      <c r="H2740" t="n">
        <v>0</v>
      </c>
      <c r="I2740" t="n">
        <v>0</v>
      </c>
      <c r="J2740" t="n">
        <v>0</v>
      </c>
      <c r="K2740" t="n">
        <v>0</v>
      </c>
      <c r="L2740" t="n">
        <v>0</v>
      </c>
      <c r="M2740" t="n">
        <v>0</v>
      </c>
      <c r="N2740" t="n">
        <v>0</v>
      </c>
      <c r="O2740" t="n">
        <v>0</v>
      </c>
      <c r="P2740" t="n">
        <v>0</v>
      </c>
      <c r="Q2740" t="n">
        <v>0</v>
      </c>
      <c r="R2740" s="2" t="inlineStr"/>
    </row>
    <row r="2741" ht="15" customHeight="1">
      <c r="A2741" t="inlineStr">
        <is>
          <t>A 7858-2024</t>
        </is>
      </c>
      <c r="B2741" s="1" t="n">
        <v>45350</v>
      </c>
      <c r="C2741" s="1" t="n">
        <v>45822</v>
      </c>
      <c r="D2741" t="inlineStr">
        <is>
          <t>VÄSTERNORRLANDS LÄN</t>
        </is>
      </c>
      <c r="E2741" t="inlineStr">
        <is>
          <t>SOLLEFTEÅ</t>
        </is>
      </c>
      <c r="F2741" t="inlineStr">
        <is>
          <t>SCA</t>
        </is>
      </c>
      <c r="G2741" t="n">
        <v>38.8</v>
      </c>
      <c r="H2741" t="n">
        <v>0</v>
      </c>
      <c r="I2741" t="n">
        <v>0</v>
      </c>
      <c r="J2741" t="n">
        <v>0</v>
      </c>
      <c r="K2741" t="n">
        <v>0</v>
      </c>
      <c r="L2741" t="n">
        <v>0</v>
      </c>
      <c r="M2741" t="n">
        <v>0</v>
      </c>
      <c r="N2741" t="n">
        <v>0</v>
      </c>
      <c r="O2741" t="n">
        <v>0</v>
      </c>
      <c r="P2741" t="n">
        <v>0</v>
      </c>
      <c r="Q2741" t="n">
        <v>0</v>
      </c>
      <c r="R2741" s="2" t="inlineStr"/>
    </row>
    <row r="2742" ht="15" customHeight="1">
      <c r="A2742" t="inlineStr">
        <is>
          <t>A 8033-2024</t>
        </is>
      </c>
      <c r="B2742" s="1" t="n">
        <v>45350</v>
      </c>
      <c r="C2742" s="1" t="n">
        <v>45822</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8038-2024</t>
        </is>
      </c>
      <c r="B2743" s="1" t="n">
        <v>45350</v>
      </c>
      <c r="C2743" s="1" t="n">
        <v>45822</v>
      </c>
      <c r="D2743" t="inlineStr">
        <is>
          <t>VÄSTERNORRLANDS LÄN</t>
        </is>
      </c>
      <c r="E2743" t="inlineStr">
        <is>
          <t>SOLLEFTEÅ</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8039-2024</t>
        </is>
      </c>
      <c r="B2744" s="1" t="n">
        <v>45350</v>
      </c>
      <c r="C2744" s="1" t="n">
        <v>45822</v>
      </c>
      <c r="D2744" t="inlineStr">
        <is>
          <t>VÄSTERNORRLANDS LÄN</t>
        </is>
      </c>
      <c r="E2744" t="inlineStr">
        <is>
          <t>SOLLEFTEÅ</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8236-2024</t>
        </is>
      </c>
      <c r="B2745" s="1" t="n">
        <v>45352</v>
      </c>
      <c r="C2745" s="1" t="n">
        <v>45822</v>
      </c>
      <c r="D2745" t="inlineStr">
        <is>
          <t>VÄSTERNORRLANDS LÄN</t>
        </is>
      </c>
      <c r="E2745" t="inlineStr">
        <is>
          <t>SOLLEFTEÅ</t>
        </is>
      </c>
      <c r="F2745" t="inlineStr">
        <is>
          <t>SCA</t>
        </is>
      </c>
      <c r="G2745" t="n">
        <v>13.6</v>
      </c>
      <c r="H2745" t="n">
        <v>0</v>
      </c>
      <c r="I2745" t="n">
        <v>0</v>
      </c>
      <c r="J2745" t="n">
        <v>0</v>
      </c>
      <c r="K2745" t="n">
        <v>0</v>
      </c>
      <c r="L2745" t="n">
        <v>0</v>
      </c>
      <c r="M2745" t="n">
        <v>0</v>
      </c>
      <c r="N2745" t="n">
        <v>0</v>
      </c>
      <c r="O2745" t="n">
        <v>0</v>
      </c>
      <c r="P2745" t="n">
        <v>0</v>
      </c>
      <c r="Q2745" t="n">
        <v>0</v>
      </c>
      <c r="R2745" s="2" t="inlineStr"/>
    </row>
    <row r="2746" ht="15" customHeight="1">
      <c r="A2746" t="inlineStr">
        <is>
          <t>A 8244-2024</t>
        </is>
      </c>
      <c r="B2746" s="1" t="n">
        <v>45351</v>
      </c>
      <c r="C2746" s="1" t="n">
        <v>45822</v>
      </c>
      <c r="D2746" t="inlineStr">
        <is>
          <t>VÄSTERNORRLANDS LÄN</t>
        </is>
      </c>
      <c r="E2746" t="inlineStr">
        <is>
          <t>SOLLEFTEÅ</t>
        </is>
      </c>
      <c r="F2746" t="inlineStr">
        <is>
          <t>SCA</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8234-2024</t>
        </is>
      </c>
      <c r="B2747" s="1" t="n">
        <v>45352</v>
      </c>
      <c r="C2747" s="1" t="n">
        <v>45822</v>
      </c>
      <c r="D2747" t="inlineStr">
        <is>
          <t>VÄSTERNORRLANDS LÄN</t>
        </is>
      </c>
      <c r="E2747" t="inlineStr">
        <is>
          <t>SOLLEFTEÅ</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8235-2024</t>
        </is>
      </c>
      <c r="B2748" s="1" t="n">
        <v>45352</v>
      </c>
      <c r="C2748" s="1" t="n">
        <v>45822</v>
      </c>
      <c r="D2748" t="inlineStr">
        <is>
          <t>VÄSTERNORRLANDS LÄN</t>
        </is>
      </c>
      <c r="E2748" t="inlineStr">
        <is>
          <t>SOLLEFTEÅ</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8414-2024</t>
        </is>
      </c>
      <c r="B2749" s="1" t="n">
        <v>45352</v>
      </c>
      <c r="C2749" s="1" t="n">
        <v>45822</v>
      </c>
      <c r="D2749" t="inlineStr">
        <is>
          <t>VÄSTERNORRLANDS LÄN</t>
        </is>
      </c>
      <c r="E2749" t="inlineStr">
        <is>
          <t>SOLLEFTEÅ</t>
        </is>
      </c>
      <c r="F2749" t="inlineStr">
        <is>
          <t>SCA</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8608-2024</t>
        </is>
      </c>
      <c r="B2750" s="1" t="n">
        <v>45355</v>
      </c>
      <c r="C2750" s="1" t="n">
        <v>45822</v>
      </c>
      <c r="D2750" t="inlineStr">
        <is>
          <t>VÄSTERNORRLANDS LÄN</t>
        </is>
      </c>
      <c r="E2750" t="inlineStr">
        <is>
          <t>SOLLEFTEÅ</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8918-2024</t>
        </is>
      </c>
      <c r="B2751" s="1" t="n">
        <v>45355</v>
      </c>
      <c r="C2751" s="1" t="n">
        <v>45822</v>
      </c>
      <c r="D2751" t="inlineStr">
        <is>
          <t>VÄSTERNORRLANDS LÄN</t>
        </is>
      </c>
      <c r="E2751" t="inlineStr">
        <is>
          <t>SOLLEFTEÅ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8653-2024</t>
        </is>
      </c>
      <c r="B2752" s="1" t="n">
        <v>45356</v>
      </c>
      <c r="C2752" s="1" t="n">
        <v>45822</v>
      </c>
      <c r="D2752" t="inlineStr">
        <is>
          <t>VÄSTERNORRLANDS LÄN</t>
        </is>
      </c>
      <c r="E2752" t="inlineStr">
        <is>
          <t>SOLLEFTEÅ</t>
        </is>
      </c>
      <c r="F2752" t="inlineStr">
        <is>
          <t>SCA</t>
        </is>
      </c>
      <c r="G2752" t="n">
        <v>67.8</v>
      </c>
      <c r="H2752" t="n">
        <v>0</v>
      </c>
      <c r="I2752" t="n">
        <v>0</v>
      </c>
      <c r="J2752" t="n">
        <v>0</v>
      </c>
      <c r="K2752" t="n">
        <v>0</v>
      </c>
      <c r="L2752" t="n">
        <v>0</v>
      </c>
      <c r="M2752" t="n">
        <v>0</v>
      </c>
      <c r="N2752" t="n">
        <v>0</v>
      </c>
      <c r="O2752" t="n">
        <v>0</v>
      </c>
      <c r="P2752" t="n">
        <v>0</v>
      </c>
      <c r="Q2752" t="n">
        <v>0</v>
      </c>
      <c r="R2752" s="2" t="inlineStr"/>
    </row>
    <row r="2753" ht="15" customHeight="1">
      <c r="A2753" t="inlineStr">
        <is>
          <t>A 8636-2024</t>
        </is>
      </c>
      <c r="B2753" s="1" t="n">
        <v>45356</v>
      </c>
      <c r="C2753" s="1" t="n">
        <v>45822</v>
      </c>
      <c r="D2753" t="inlineStr">
        <is>
          <t>VÄSTERNORRLANDS LÄN</t>
        </is>
      </c>
      <c r="E2753" t="inlineStr">
        <is>
          <t>SOLLEFTEÅ</t>
        </is>
      </c>
      <c r="F2753" t="inlineStr">
        <is>
          <t>SCA</t>
        </is>
      </c>
      <c r="G2753" t="n">
        <v>31.3</v>
      </c>
      <c r="H2753" t="n">
        <v>0</v>
      </c>
      <c r="I2753" t="n">
        <v>0</v>
      </c>
      <c r="J2753" t="n">
        <v>0</v>
      </c>
      <c r="K2753" t="n">
        <v>0</v>
      </c>
      <c r="L2753" t="n">
        <v>0</v>
      </c>
      <c r="M2753" t="n">
        <v>0</v>
      </c>
      <c r="N2753" t="n">
        <v>0</v>
      </c>
      <c r="O2753" t="n">
        <v>0</v>
      </c>
      <c r="P2753" t="n">
        <v>0</v>
      </c>
      <c r="Q2753" t="n">
        <v>0</v>
      </c>
      <c r="R2753" s="2" t="inlineStr"/>
    </row>
    <row r="2754" ht="15" customHeight="1">
      <c r="A2754" t="inlineStr">
        <is>
          <t>A 8729-2024</t>
        </is>
      </c>
      <c r="B2754" s="1" t="n">
        <v>45356</v>
      </c>
      <c r="C2754" s="1" t="n">
        <v>45822</v>
      </c>
      <c r="D2754" t="inlineStr">
        <is>
          <t>VÄSTERNORRLANDS LÄN</t>
        </is>
      </c>
      <c r="E2754" t="inlineStr">
        <is>
          <t>SOLLEFTEÅ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8652-2024</t>
        </is>
      </c>
      <c r="B2755" s="1" t="n">
        <v>45356</v>
      </c>
      <c r="C2755" s="1" t="n">
        <v>45822</v>
      </c>
      <c r="D2755" t="inlineStr">
        <is>
          <t>VÄSTERNORRLANDS LÄN</t>
        </is>
      </c>
      <c r="E2755" t="inlineStr">
        <is>
          <t>SOLLEFTEÅ</t>
        </is>
      </c>
      <c r="F2755" t="inlineStr">
        <is>
          <t>SCA</t>
        </is>
      </c>
      <c r="G2755" t="n">
        <v>38.6</v>
      </c>
      <c r="H2755" t="n">
        <v>0</v>
      </c>
      <c r="I2755" t="n">
        <v>0</v>
      </c>
      <c r="J2755" t="n">
        <v>0</v>
      </c>
      <c r="K2755" t="n">
        <v>0</v>
      </c>
      <c r="L2755" t="n">
        <v>0</v>
      </c>
      <c r="M2755" t="n">
        <v>0</v>
      </c>
      <c r="N2755" t="n">
        <v>0</v>
      </c>
      <c r="O2755" t="n">
        <v>0</v>
      </c>
      <c r="P2755" t="n">
        <v>0</v>
      </c>
      <c r="Q2755" t="n">
        <v>0</v>
      </c>
      <c r="R2755" s="2" t="inlineStr"/>
    </row>
    <row r="2756" ht="15" customHeight="1">
      <c r="A2756" t="inlineStr">
        <is>
          <t>A 8656-2024</t>
        </is>
      </c>
      <c r="B2756" s="1" t="n">
        <v>45356</v>
      </c>
      <c r="C2756" s="1" t="n">
        <v>45822</v>
      </c>
      <c r="D2756" t="inlineStr">
        <is>
          <t>VÄSTERNORRLANDS LÄN</t>
        </is>
      </c>
      <c r="E2756" t="inlineStr">
        <is>
          <t>SOLLEFTEÅ</t>
        </is>
      </c>
      <c r="F2756" t="inlineStr">
        <is>
          <t>SCA</t>
        </is>
      </c>
      <c r="G2756" t="n">
        <v>18.4</v>
      </c>
      <c r="H2756" t="n">
        <v>0</v>
      </c>
      <c r="I2756" t="n">
        <v>0</v>
      </c>
      <c r="J2756" t="n">
        <v>0</v>
      </c>
      <c r="K2756" t="n">
        <v>0</v>
      </c>
      <c r="L2756" t="n">
        <v>0</v>
      </c>
      <c r="M2756" t="n">
        <v>0</v>
      </c>
      <c r="N2756" t="n">
        <v>0</v>
      </c>
      <c r="O2756" t="n">
        <v>0</v>
      </c>
      <c r="P2756" t="n">
        <v>0</v>
      </c>
      <c r="Q2756" t="n">
        <v>0</v>
      </c>
      <c r="R2756" s="2" t="inlineStr"/>
    </row>
    <row r="2757" ht="15" customHeight="1">
      <c r="A2757" t="inlineStr">
        <is>
          <t>A 8885-2024</t>
        </is>
      </c>
      <c r="B2757" s="1" t="n">
        <v>45357</v>
      </c>
      <c r="C2757" s="1" t="n">
        <v>45822</v>
      </c>
      <c r="D2757" t="inlineStr">
        <is>
          <t>VÄSTERNORRLANDS LÄN</t>
        </is>
      </c>
      <c r="E2757" t="inlineStr">
        <is>
          <t>SOLLEFTEÅ</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9145-2024</t>
        </is>
      </c>
      <c r="B2758" s="1" t="n">
        <v>45357</v>
      </c>
      <c r="C2758" s="1" t="n">
        <v>45822</v>
      </c>
      <c r="D2758" t="inlineStr">
        <is>
          <t>VÄSTERNORRLANDS LÄN</t>
        </is>
      </c>
      <c r="E2758" t="inlineStr">
        <is>
          <t>SOLLEFTEÅ</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9120-2024</t>
        </is>
      </c>
      <c r="B2759" s="1" t="n">
        <v>45358</v>
      </c>
      <c r="C2759" s="1" t="n">
        <v>45822</v>
      </c>
      <c r="D2759" t="inlineStr">
        <is>
          <t>VÄSTERNORRLANDS LÄN</t>
        </is>
      </c>
      <c r="E2759" t="inlineStr">
        <is>
          <t>SOLLEFTEÅ</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9121-2024</t>
        </is>
      </c>
      <c r="B2760" s="1" t="n">
        <v>45358</v>
      </c>
      <c r="C2760" s="1" t="n">
        <v>45822</v>
      </c>
      <c r="D2760" t="inlineStr">
        <is>
          <t>VÄSTERNORRLANDS LÄN</t>
        </is>
      </c>
      <c r="E2760" t="inlineStr">
        <is>
          <t>SOLLEFTEÅ</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9122-2024</t>
        </is>
      </c>
      <c r="B2761" s="1" t="n">
        <v>45358</v>
      </c>
      <c r="C2761" s="1" t="n">
        <v>45822</v>
      </c>
      <c r="D2761" t="inlineStr">
        <is>
          <t>VÄSTERNORRLANDS LÄN</t>
        </is>
      </c>
      <c r="E2761" t="inlineStr">
        <is>
          <t>SOLLEFTEÅ</t>
        </is>
      </c>
      <c r="F2761" t="inlineStr">
        <is>
          <t>SCA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9306-2024</t>
        </is>
      </c>
      <c r="B2762" s="1" t="n">
        <v>45358</v>
      </c>
      <c r="C2762" s="1" t="n">
        <v>45822</v>
      </c>
      <c r="D2762" t="inlineStr">
        <is>
          <t>VÄSTERNORRLANDS LÄN</t>
        </is>
      </c>
      <c r="E2762" t="inlineStr">
        <is>
          <t>SOLLEFTEÅ</t>
        </is>
      </c>
      <c r="G2762" t="n">
        <v>19.6</v>
      </c>
      <c r="H2762" t="n">
        <v>0</v>
      </c>
      <c r="I2762" t="n">
        <v>0</v>
      </c>
      <c r="J2762" t="n">
        <v>0</v>
      </c>
      <c r="K2762" t="n">
        <v>0</v>
      </c>
      <c r="L2762" t="n">
        <v>0</v>
      </c>
      <c r="M2762" t="n">
        <v>0</v>
      </c>
      <c r="N2762" t="n">
        <v>0</v>
      </c>
      <c r="O2762" t="n">
        <v>0</v>
      </c>
      <c r="P2762" t="n">
        <v>0</v>
      </c>
      <c r="Q2762" t="n">
        <v>0</v>
      </c>
      <c r="R2762" s="2" t="inlineStr"/>
    </row>
    <row r="2763" ht="15" customHeight="1">
      <c r="A2763" t="inlineStr">
        <is>
          <t>A 9342-2024</t>
        </is>
      </c>
      <c r="B2763" s="1" t="n">
        <v>45359</v>
      </c>
      <c r="C2763" s="1" t="n">
        <v>45822</v>
      </c>
      <c r="D2763" t="inlineStr">
        <is>
          <t>VÄSTERNORRLANDS LÄN</t>
        </is>
      </c>
      <c r="E2763" t="inlineStr">
        <is>
          <t>SOLLEFTEÅ</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9346-2024</t>
        </is>
      </c>
      <c r="B2764" s="1" t="n">
        <v>45359</v>
      </c>
      <c r="C2764" s="1" t="n">
        <v>45822</v>
      </c>
      <c r="D2764" t="inlineStr">
        <is>
          <t>VÄSTERNORRLANDS LÄN</t>
        </is>
      </c>
      <c r="E2764" t="inlineStr">
        <is>
          <t>SOLLEFTEÅ</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9304-2024</t>
        </is>
      </c>
      <c r="B2765" s="1" t="n">
        <v>45358</v>
      </c>
      <c r="C2765" s="1" t="n">
        <v>45822</v>
      </c>
      <c r="D2765" t="inlineStr">
        <is>
          <t>VÄSTERNORRLANDS LÄN</t>
        </is>
      </c>
      <c r="E2765" t="inlineStr">
        <is>
          <t>SOLLEFTEÅ</t>
        </is>
      </c>
      <c r="G2765" t="n">
        <v>30.7</v>
      </c>
      <c r="H2765" t="n">
        <v>0</v>
      </c>
      <c r="I2765" t="n">
        <v>0</v>
      </c>
      <c r="J2765" t="n">
        <v>0</v>
      </c>
      <c r="K2765" t="n">
        <v>0</v>
      </c>
      <c r="L2765" t="n">
        <v>0</v>
      </c>
      <c r="M2765" t="n">
        <v>0</v>
      </c>
      <c r="N2765" t="n">
        <v>0</v>
      </c>
      <c r="O2765" t="n">
        <v>0</v>
      </c>
      <c r="P2765" t="n">
        <v>0</v>
      </c>
      <c r="Q2765" t="n">
        <v>0</v>
      </c>
      <c r="R2765" s="2" t="inlineStr"/>
    </row>
    <row r="2766" ht="15" customHeight="1">
      <c r="A2766" t="inlineStr">
        <is>
          <t>A 9328-2024</t>
        </is>
      </c>
      <c r="B2766" s="1" t="n">
        <v>45359</v>
      </c>
      <c r="C2766" s="1" t="n">
        <v>45822</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9309-2024</t>
        </is>
      </c>
      <c r="B2767" s="1" t="n">
        <v>45358</v>
      </c>
      <c r="C2767" s="1" t="n">
        <v>45822</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9339-2024</t>
        </is>
      </c>
      <c r="B2768" s="1" t="n">
        <v>45358</v>
      </c>
      <c r="C2768" s="1" t="n">
        <v>45822</v>
      </c>
      <c r="D2768" t="inlineStr">
        <is>
          <t>VÄSTERNORRLANDS LÄN</t>
        </is>
      </c>
      <c r="E2768" t="inlineStr">
        <is>
          <t>SOLLEFTEÅ</t>
        </is>
      </c>
      <c r="F2768" t="inlineStr">
        <is>
          <t>SCA</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9341-2024</t>
        </is>
      </c>
      <c r="B2769" s="1" t="n">
        <v>45358</v>
      </c>
      <c r="C2769" s="1" t="n">
        <v>45822</v>
      </c>
      <c r="D2769" t="inlineStr">
        <is>
          <t>VÄSTERNORRLANDS LÄN</t>
        </is>
      </c>
      <c r="E2769" t="inlineStr">
        <is>
          <t>SOLLEFTEÅ</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9340-2024</t>
        </is>
      </c>
      <c r="B2770" s="1" t="n">
        <v>45359</v>
      </c>
      <c r="C2770" s="1" t="n">
        <v>45822</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9555-2024</t>
        </is>
      </c>
      <c r="B2771" s="1" t="n">
        <v>45360</v>
      </c>
      <c r="C2771" s="1" t="n">
        <v>45822</v>
      </c>
      <c r="D2771" t="inlineStr">
        <is>
          <t>VÄSTERNORRLANDS LÄN</t>
        </is>
      </c>
      <c r="E2771" t="inlineStr">
        <is>
          <t>SOLLEFTEÅ</t>
        </is>
      </c>
      <c r="F2771" t="inlineStr">
        <is>
          <t>SCA</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9557-2024</t>
        </is>
      </c>
      <c r="B2772" s="1" t="n">
        <v>45360</v>
      </c>
      <c r="C2772" s="1" t="n">
        <v>45822</v>
      </c>
      <c r="D2772" t="inlineStr">
        <is>
          <t>VÄSTERNORRLANDS LÄN</t>
        </is>
      </c>
      <c r="E2772" t="inlineStr">
        <is>
          <t>SOLLEFTEÅ</t>
        </is>
      </c>
      <c r="F2772" t="inlineStr">
        <is>
          <t>SCA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9558-2024</t>
        </is>
      </c>
      <c r="B2773" s="1" t="n">
        <v>45360</v>
      </c>
      <c r="C2773" s="1" t="n">
        <v>45822</v>
      </c>
      <c r="D2773" t="inlineStr">
        <is>
          <t>VÄSTERNORRLANDS LÄN</t>
        </is>
      </c>
      <c r="E2773" t="inlineStr">
        <is>
          <t>SOLLEFTEÅ</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9689-2024</t>
        </is>
      </c>
      <c r="B2774" s="1" t="n">
        <v>45362</v>
      </c>
      <c r="C2774" s="1" t="n">
        <v>45822</v>
      </c>
      <c r="D2774" t="inlineStr">
        <is>
          <t>VÄSTERNORRLANDS LÄN</t>
        </is>
      </c>
      <c r="E2774" t="inlineStr">
        <is>
          <t>SOLLEFTEÅ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9820-2024</t>
        </is>
      </c>
      <c r="B2775" s="1" t="n">
        <v>45363</v>
      </c>
      <c r="C2775" s="1" t="n">
        <v>45822</v>
      </c>
      <c r="D2775" t="inlineStr">
        <is>
          <t>VÄSTERNORRLANDS LÄN</t>
        </is>
      </c>
      <c r="E2775" t="inlineStr">
        <is>
          <t>SOLLEFTEÅ</t>
        </is>
      </c>
      <c r="F2775" t="inlineStr">
        <is>
          <t>Kyrkan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9828-2024</t>
        </is>
      </c>
      <c r="B2776" s="1" t="n">
        <v>45363</v>
      </c>
      <c r="C2776" s="1" t="n">
        <v>45822</v>
      </c>
      <c r="D2776" t="inlineStr">
        <is>
          <t>VÄSTERNORRLANDS LÄN</t>
        </is>
      </c>
      <c r="E2776" t="inlineStr">
        <is>
          <t>SOLLEFTEÅ</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9822-2024</t>
        </is>
      </c>
      <c r="B2777" s="1" t="n">
        <v>45363</v>
      </c>
      <c r="C2777" s="1" t="n">
        <v>45822</v>
      </c>
      <c r="D2777" t="inlineStr">
        <is>
          <t>VÄSTERNORRLANDS LÄN</t>
        </is>
      </c>
      <c r="E2777" t="inlineStr">
        <is>
          <t>SOLLEFTEÅ</t>
        </is>
      </c>
      <c r="F2777" t="inlineStr">
        <is>
          <t>SCA</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9831-2024</t>
        </is>
      </c>
      <c r="B2778" s="1" t="n">
        <v>45363</v>
      </c>
      <c r="C2778" s="1" t="n">
        <v>45822</v>
      </c>
      <c r="D2778" t="inlineStr">
        <is>
          <t>VÄSTERNORRLANDS LÄN</t>
        </is>
      </c>
      <c r="E2778" t="inlineStr">
        <is>
          <t>SOLLEFTEÅ</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10038-2024</t>
        </is>
      </c>
      <c r="B2779" s="1" t="n">
        <v>45364</v>
      </c>
      <c r="C2779" s="1" t="n">
        <v>45822</v>
      </c>
      <c r="D2779" t="inlineStr">
        <is>
          <t>VÄSTERNORRLANDS LÄN</t>
        </is>
      </c>
      <c r="E2779" t="inlineStr">
        <is>
          <t>SOLLEFTEÅ</t>
        </is>
      </c>
      <c r="F2779" t="inlineStr">
        <is>
          <t>SCA</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10415-2024</t>
        </is>
      </c>
      <c r="B2780" s="1" t="n">
        <v>45365</v>
      </c>
      <c r="C2780" s="1" t="n">
        <v>45822</v>
      </c>
      <c r="D2780" t="inlineStr">
        <is>
          <t>VÄSTERNORRLANDS LÄN</t>
        </is>
      </c>
      <c r="E2780" t="inlineStr">
        <is>
          <t>SOLLEFTEÅ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10526-2024</t>
        </is>
      </c>
      <c r="B2781" s="1" t="n">
        <v>45366</v>
      </c>
      <c r="C2781" s="1" t="n">
        <v>45822</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10532-2024</t>
        </is>
      </c>
      <c r="B2782" s="1" t="n">
        <v>45366</v>
      </c>
      <c r="C2782" s="1" t="n">
        <v>45822</v>
      </c>
      <c r="D2782" t="inlineStr">
        <is>
          <t>VÄSTERNORRLANDS LÄN</t>
        </is>
      </c>
      <c r="E2782" t="inlineStr">
        <is>
          <t>SOLLEFTEÅ</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10539-2024</t>
        </is>
      </c>
      <c r="B2783" s="1" t="n">
        <v>45366</v>
      </c>
      <c r="C2783" s="1" t="n">
        <v>45822</v>
      </c>
      <c r="D2783" t="inlineStr">
        <is>
          <t>VÄSTERNORRLANDS LÄN</t>
        </is>
      </c>
      <c r="E2783" t="inlineStr">
        <is>
          <t>SOLLEFTEÅ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10537-2024</t>
        </is>
      </c>
      <c r="B2784" s="1" t="n">
        <v>45366</v>
      </c>
      <c r="C2784" s="1" t="n">
        <v>45822</v>
      </c>
      <c r="D2784" t="inlineStr">
        <is>
          <t>VÄSTERNORRLANDS LÄN</t>
        </is>
      </c>
      <c r="E2784" t="inlineStr">
        <is>
          <t>SOLLEFTEÅ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10569-2024</t>
        </is>
      </c>
      <c r="B2785" s="1" t="n">
        <v>45366</v>
      </c>
      <c r="C2785" s="1" t="n">
        <v>45822</v>
      </c>
      <c r="D2785" t="inlineStr">
        <is>
          <t>VÄSTERNORRLANDS LÄN</t>
        </is>
      </c>
      <c r="E2785" t="inlineStr">
        <is>
          <t>SOLLEFTEÅ</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10618-2024</t>
        </is>
      </c>
      <c r="B2786" s="1" t="n">
        <v>45367</v>
      </c>
      <c r="C2786" s="1" t="n">
        <v>45822</v>
      </c>
      <c r="D2786" t="inlineStr">
        <is>
          <t>VÄSTERNORRLANDS LÄN</t>
        </is>
      </c>
      <c r="E2786" t="inlineStr">
        <is>
          <t>SOLLEFTEÅ</t>
        </is>
      </c>
      <c r="F2786" t="inlineStr">
        <is>
          <t>SCA</t>
        </is>
      </c>
      <c r="G2786" t="n">
        <v>21.1</v>
      </c>
      <c r="H2786" t="n">
        <v>0</v>
      </c>
      <c r="I2786" t="n">
        <v>0</v>
      </c>
      <c r="J2786" t="n">
        <v>0</v>
      </c>
      <c r="K2786" t="n">
        <v>0</v>
      </c>
      <c r="L2786" t="n">
        <v>0</v>
      </c>
      <c r="M2786" t="n">
        <v>0</v>
      </c>
      <c r="N2786" t="n">
        <v>0</v>
      </c>
      <c r="O2786" t="n">
        <v>0</v>
      </c>
      <c r="P2786" t="n">
        <v>0</v>
      </c>
      <c r="Q2786" t="n">
        <v>0</v>
      </c>
      <c r="R2786" s="2" t="inlineStr"/>
    </row>
    <row r="2787" ht="15" customHeight="1">
      <c r="A2787" t="inlineStr">
        <is>
          <t>A 10687-2024</t>
        </is>
      </c>
      <c r="B2787" s="1" t="n">
        <v>45369</v>
      </c>
      <c r="C2787" s="1" t="n">
        <v>45822</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10870-2024</t>
        </is>
      </c>
      <c r="B2788" s="1" t="n">
        <v>45370</v>
      </c>
      <c r="C2788" s="1" t="n">
        <v>45822</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10853-2024</t>
        </is>
      </c>
      <c r="B2789" s="1" t="n">
        <v>45370</v>
      </c>
      <c r="C2789" s="1" t="n">
        <v>45822</v>
      </c>
      <c r="D2789" t="inlineStr">
        <is>
          <t>VÄSTERNORRLANDS LÄN</t>
        </is>
      </c>
      <c r="E2789" t="inlineStr">
        <is>
          <t>SOLLEFTEÅ</t>
        </is>
      </c>
      <c r="F2789" t="inlineStr">
        <is>
          <t>SCA</t>
        </is>
      </c>
      <c r="G2789" t="n">
        <v>37.7</v>
      </c>
      <c r="H2789" t="n">
        <v>0</v>
      </c>
      <c r="I2789" t="n">
        <v>0</v>
      </c>
      <c r="J2789" t="n">
        <v>0</v>
      </c>
      <c r="K2789" t="n">
        <v>0</v>
      </c>
      <c r="L2789" t="n">
        <v>0</v>
      </c>
      <c r="M2789" t="n">
        <v>0</v>
      </c>
      <c r="N2789" t="n">
        <v>0</v>
      </c>
      <c r="O2789" t="n">
        <v>0</v>
      </c>
      <c r="P2789" t="n">
        <v>0</v>
      </c>
      <c r="Q2789" t="n">
        <v>0</v>
      </c>
      <c r="R2789" s="2" t="inlineStr"/>
    </row>
    <row r="2790" ht="15" customHeight="1">
      <c r="A2790" t="inlineStr">
        <is>
          <t>A 10869-2024</t>
        </is>
      </c>
      <c r="B2790" s="1" t="n">
        <v>45370</v>
      </c>
      <c r="C2790" s="1" t="n">
        <v>45822</v>
      </c>
      <c r="D2790" t="inlineStr">
        <is>
          <t>VÄSTERNORRLANDS LÄN</t>
        </is>
      </c>
      <c r="E2790" t="inlineStr">
        <is>
          <t>SOLLEFTEÅ</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11009-2024</t>
        </is>
      </c>
      <c r="B2791" s="1" t="n">
        <v>45370</v>
      </c>
      <c r="C2791" s="1" t="n">
        <v>45822</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11090-2024</t>
        </is>
      </c>
      <c r="B2792" s="1" t="n">
        <v>45370</v>
      </c>
      <c r="C2792" s="1" t="n">
        <v>45822</v>
      </c>
      <c r="D2792" t="inlineStr">
        <is>
          <t>VÄSTERNORRLANDS LÄN</t>
        </is>
      </c>
      <c r="E2792" t="inlineStr">
        <is>
          <t>SOLLEFTEÅ</t>
        </is>
      </c>
      <c r="F2792" t="inlineStr">
        <is>
          <t>SCA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11083-2024</t>
        </is>
      </c>
      <c r="B2793" s="1" t="n">
        <v>45370</v>
      </c>
      <c r="C2793" s="1" t="n">
        <v>45822</v>
      </c>
      <c r="D2793" t="inlineStr">
        <is>
          <t>VÄSTERNORRLANDS LÄN</t>
        </is>
      </c>
      <c r="E2793" t="inlineStr">
        <is>
          <t>SOLLEFTEÅ</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11087-2024</t>
        </is>
      </c>
      <c r="B2794" s="1" t="n">
        <v>45370</v>
      </c>
      <c r="C2794" s="1" t="n">
        <v>45822</v>
      </c>
      <c r="D2794" t="inlineStr">
        <is>
          <t>VÄSTERNORRLANDS LÄN</t>
        </is>
      </c>
      <c r="E2794" t="inlineStr">
        <is>
          <t>SOLLEFTEÅ</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11089-2024</t>
        </is>
      </c>
      <c r="B2795" s="1" t="n">
        <v>45370</v>
      </c>
      <c r="C2795" s="1" t="n">
        <v>45822</v>
      </c>
      <c r="D2795" t="inlineStr">
        <is>
          <t>VÄSTERNORRLANDS LÄN</t>
        </is>
      </c>
      <c r="E2795" t="inlineStr">
        <is>
          <t>SOLLEFTEÅ</t>
        </is>
      </c>
      <c r="F2795" t="inlineStr">
        <is>
          <t>SCA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11334-2024</t>
        </is>
      </c>
      <c r="B2796" s="1" t="n">
        <v>45372</v>
      </c>
      <c r="C2796" s="1" t="n">
        <v>45822</v>
      </c>
      <c r="D2796" t="inlineStr">
        <is>
          <t>VÄSTERNORRLANDS LÄN</t>
        </is>
      </c>
      <c r="E2796" t="inlineStr">
        <is>
          <t>SOLLEFTEÅ</t>
        </is>
      </c>
      <c r="F2796" t="inlineStr">
        <is>
          <t>SCA</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11332-2024</t>
        </is>
      </c>
      <c r="B2797" s="1" t="n">
        <v>45372</v>
      </c>
      <c r="C2797" s="1" t="n">
        <v>45822</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11333-2024</t>
        </is>
      </c>
      <c r="B2798" s="1" t="n">
        <v>45372</v>
      </c>
      <c r="C2798" s="1" t="n">
        <v>45822</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11394-2024</t>
        </is>
      </c>
      <c r="B2799" s="1" t="n">
        <v>45372</v>
      </c>
      <c r="C2799" s="1" t="n">
        <v>45822</v>
      </c>
      <c r="D2799" t="inlineStr">
        <is>
          <t>VÄSTERNORRLANDS LÄN</t>
        </is>
      </c>
      <c r="E2799" t="inlineStr">
        <is>
          <t>SOLLEFTEÅ</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11539-2024</t>
        </is>
      </c>
      <c r="B2800" s="1" t="n">
        <v>45372</v>
      </c>
      <c r="C2800" s="1" t="n">
        <v>45822</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11542-2024</t>
        </is>
      </c>
      <c r="B2801" s="1" t="n">
        <v>45372</v>
      </c>
      <c r="C2801" s="1" t="n">
        <v>45822</v>
      </c>
      <c r="D2801" t="inlineStr">
        <is>
          <t>VÄSTERNORRLANDS LÄN</t>
        </is>
      </c>
      <c r="E2801" t="inlineStr">
        <is>
          <t>SOLLEFTEÅ</t>
        </is>
      </c>
      <c r="F2801" t="inlineStr">
        <is>
          <t>SCA</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11767-2024</t>
        </is>
      </c>
      <c r="B2802" s="1" t="n">
        <v>45373</v>
      </c>
      <c r="C2802" s="1" t="n">
        <v>45822</v>
      </c>
      <c r="D2802" t="inlineStr">
        <is>
          <t>VÄSTERNORRLANDS LÄN</t>
        </is>
      </c>
      <c r="E2802" t="inlineStr">
        <is>
          <t>SOLLEFTEÅ</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11749-2024</t>
        </is>
      </c>
      <c r="B2803" s="1" t="n">
        <v>45373</v>
      </c>
      <c r="C2803" s="1" t="n">
        <v>45822</v>
      </c>
      <c r="D2803" t="inlineStr">
        <is>
          <t>VÄSTERNORRLANDS LÄN</t>
        </is>
      </c>
      <c r="E2803" t="inlineStr">
        <is>
          <t>SOLLEFTEÅ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11976-2024</t>
        </is>
      </c>
      <c r="B2804" s="1" t="n">
        <v>45376</v>
      </c>
      <c r="C2804" s="1" t="n">
        <v>45822</v>
      </c>
      <c r="D2804" t="inlineStr">
        <is>
          <t>VÄSTERNORRLANDS LÄN</t>
        </is>
      </c>
      <c r="E2804" t="inlineStr">
        <is>
          <t>SOLLEFTEÅ</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11988-2024</t>
        </is>
      </c>
      <c r="B2805" s="1" t="n">
        <v>45376</v>
      </c>
      <c r="C2805" s="1" t="n">
        <v>45822</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12184-2024</t>
        </is>
      </c>
      <c r="B2806" s="1" t="n">
        <v>45377</v>
      </c>
      <c r="C2806" s="1" t="n">
        <v>45822</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12186-2024</t>
        </is>
      </c>
      <c r="B2807" s="1" t="n">
        <v>45377</v>
      </c>
      <c r="C2807" s="1" t="n">
        <v>45822</v>
      </c>
      <c r="D2807" t="inlineStr">
        <is>
          <t>VÄSTERNORRLANDS LÄN</t>
        </is>
      </c>
      <c r="E2807" t="inlineStr">
        <is>
          <t>SOLLEFTEÅ</t>
        </is>
      </c>
      <c r="F2807" t="inlineStr">
        <is>
          <t>SCA</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12187-2024</t>
        </is>
      </c>
      <c r="B2808" s="1" t="n">
        <v>45377</v>
      </c>
      <c r="C2808" s="1" t="n">
        <v>45822</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12354-2024</t>
        </is>
      </c>
      <c r="B2809" s="1" t="n">
        <v>45378</v>
      </c>
      <c r="C2809" s="1" t="n">
        <v>45822</v>
      </c>
      <c r="D2809" t="inlineStr">
        <is>
          <t>VÄSTERNORRLANDS LÄN</t>
        </is>
      </c>
      <c r="E2809" t="inlineStr">
        <is>
          <t>SOLLEFTEÅ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12368-2024</t>
        </is>
      </c>
      <c r="B2810" s="1" t="n">
        <v>45378</v>
      </c>
      <c r="C2810" s="1" t="n">
        <v>45822</v>
      </c>
      <c r="D2810" t="inlineStr">
        <is>
          <t>VÄSTERNORRLANDS LÄN</t>
        </is>
      </c>
      <c r="E2810" t="inlineStr">
        <is>
          <t>SOLLEFTEÅ</t>
        </is>
      </c>
      <c r="F2810" t="inlineStr">
        <is>
          <t>SCA</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12351-2024</t>
        </is>
      </c>
      <c r="B2811" s="1" t="n">
        <v>45378</v>
      </c>
      <c r="C2811" s="1" t="n">
        <v>45822</v>
      </c>
      <c r="D2811" t="inlineStr">
        <is>
          <t>VÄSTERNORRLANDS LÄN</t>
        </is>
      </c>
      <c r="E2811" t="inlineStr">
        <is>
          <t>SOLLEFTEÅ</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12355-2024</t>
        </is>
      </c>
      <c r="B2812" s="1" t="n">
        <v>45378</v>
      </c>
      <c r="C2812" s="1" t="n">
        <v>45822</v>
      </c>
      <c r="D2812" t="inlineStr">
        <is>
          <t>VÄSTERNORRLANDS LÄN</t>
        </is>
      </c>
      <c r="E2812" t="inlineStr">
        <is>
          <t>SOLLEFTEÅ</t>
        </is>
      </c>
      <c r="F2812" t="inlineStr">
        <is>
          <t>SCA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12363-2024</t>
        </is>
      </c>
      <c r="B2813" s="1" t="n">
        <v>45378</v>
      </c>
      <c r="C2813" s="1" t="n">
        <v>45822</v>
      </c>
      <c r="D2813" t="inlineStr">
        <is>
          <t>VÄSTERNORRLANDS LÄN</t>
        </is>
      </c>
      <c r="E2813" t="inlineStr">
        <is>
          <t>SOLLEFTEÅ</t>
        </is>
      </c>
      <c r="F2813" t="inlineStr">
        <is>
          <t>SCA</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12590-2024</t>
        </is>
      </c>
      <c r="B2814" s="1" t="n">
        <v>45379</v>
      </c>
      <c r="C2814" s="1" t="n">
        <v>45822</v>
      </c>
      <c r="D2814" t="inlineStr">
        <is>
          <t>VÄSTERNORRLANDS LÄN</t>
        </is>
      </c>
      <c r="E2814" t="inlineStr">
        <is>
          <t>SOLLEFTEÅ</t>
        </is>
      </c>
      <c r="F2814" t="inlineStr">
        <is>
          <t>SCA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12582-2024</t>
        </is>
      </c>
      <c r="B2815" s="1" t="n">
        <v>45379</v>
      </c>
      <c r="C2815" s="1" t="n">
        <v>45822</v>
      </c>
      <c r="D2815" t="inlineStr">
        <is>
          <t>VÄSTERNORRLANDS LÄN</t>
        </is>
      </c>
      <c r="E2815" t="inlineStr">
        <is>
          <t>SOLLEFTEÅ</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12865-2024</t>
        </is>
      </c>
      <c r="B2816" s="1" t="n">
        <v>45384</v>
      </c>
      <c r="C2816" s="1" t="n">
        <v>45822</v>
      </c>
      <c r="D2816" t="inlineStr">
        <is>
          <t>VÄSTERNORRLANDS LÄN</t>
        </is>
      </c>
      <c r="E2816" t="inlineStr">
        <is>
          <t>SOLLEFTEÅ</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13138-2024</t>
        </is>
      </c>
      <c r="B2817" s="1" t="n">
        <v>45386</v>
      </c>
      <c r="C2817" s="1" t="n">
        <v>45822</v>
      </c>
      <c r="D2817" t="inlineStr">
        <is>
          <t>VÄSTERNORRLANDS LÄN</t>
        </is>
      </c>
      <c r="E2817" t="inlineStr">
        <is>
          <t>SOLLEFTEÅ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13154-2024</t>
        </is>
      </c>
      <c r="B2818" s="1" t="n">
        <v>45386</v>
      </c>
      <c r="C2818" s="1" t="n">
        <v>45822</v>
      </c>
      <c r="D2818" t="inlineStr">
        <is>
          <t>VÄSTERNORRLANDS LÄN</t>
        </is>
      </c>
      <c r="E2818" t="inlineStr">
        <is>
          <t>SOLLEFTEÅ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13546-2024</t>
        </is>
      </c>
      <c r="B2819" s="1" t="n">
        <v>45388</v>
      </c>
      <c r="C2819" s="1" t="n">
        <v>45822</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13539-2024</t>
        </is>
      </c>
      <c r="B2820" s="1" t="n">
        <v>45388</v>
      </c>
      <c r="C2820" s="1" t="n">
        <v>45822</v>
      </c>
      <c r="D2820" t="inlineStr">
        <is>
          <t>VÄSTERNORRLANDS LÄN</t>
        </is>
      </c>
      <c r="E2820" t="inlineStr">
        <is>
          <t>SOLLEFTEÅ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13942-2024</t>
        </is>
      </c>
      <c r="B2821" s="1" t="n">
        <v>45392</v>
      </c>
      <c r="C2821" s="1" t="n">
        <v>45822</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14109-2024</t>
        </is>
      </c>
      <c r="B2822" s="1" t="n">
        <v>45392</v>
      </c>
      <c r="C2822" s="1" t="n">
        <v>45822</v>
      </c>
      <c r="D2822" t="inlineStr">
        <is>
          <t>VÄSTERNORRLANDS LÄN</t>
        </is>
      </c>
      <c r="E2822" t="inlineStr">
        <is>
          <t>SOLLEFTEÅ</t>
        </is>
      </c>
      <c r="F2822" t="inlineStr">
        <is>
          <t>Övriga Aktiebolag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14110-2024</t>
        </is>
      </c>
      <c r="B2823" s="1" t="n">
        <v>45392</v>
      </c>
      <c r="C2823" s="1" t="n">
        <v>45822</v>
      </c>
      <c r="D2823" t="inlineStr">
        <is>
          <t>VÄSTERNORRLANDS LÄN</t>
        </is>
      </c>
      <c r="E2823" t="inlineStr">
        <is>
          <t>SOLLEFTEÅ</t>
        </is>
      </c>
      <c r="F2823" t="inlineStr">
        <is>
          <t>Övriga Aktiebolag</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14087-2024</t>
        </is>
      </c>
      <c r="B2824" s="1" t="n">
        <v>45392</v>
      </c>
      <c r="C2824" s="1" t="n">
        <v>45822</v>
      </c>
      <c r="D2824" t="inlineStr">
        <is>
          <t>VÄSTERNORRLANDS LÄN</t>
        </is>
      </c>
      <c r="E2824" t="inlineStr">
        <is>
          <t>SOLLEFTEÅ</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14165-2024</t>
        </is>
      </c>
      <c r="B2825" s="1" t="n">
        <v>45393</v>
      </c>
      <c r="C2825" s="1" t="n">
        <v>45822</v>
      </c>
      <c r="D2825" t="inlineStr">
        <is>
          <t>VÄSTERNORRLANDS LÄN</t>
        </is>
      </c>
      <c r="E2825" t="inlineStr">
        <is>
          <t>SOLLEFTEÅ</t>
        </is>
      </c>
      <c r="F2825" t="inlineStr">
        <is>
          <t>SCA</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14169-2024</t>
        </is>
      </c>
      <c r="B2826" s="1" t="n">
        <v>45393</v>
      </c>
      <c r="C2826" s="1" t="n">
        <v>45822</v>
      </c>
      <c r="D2826" t="inlineStr">
        <is>
          <t>VÄSTERNORRLANDS LÄN</t>
        </is>
      </c>
      <c r="E2826" t="inlineStr">
        <is>
          <t>SOLLEFTEÅ</t>
        </is>
      </c>
      <c r="F2826" t="inlineStr">
        <is>
          <t>SCA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14344-2024</t>
        </is>
      </c>
      <c r="B2827" s="1" t="n">
        <v>45393</v>
      </c>
      <c r="C2827" s="1" t="n">
        <v>45822</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14365-2024</t>
        </is>
      </c>
      <c r="B2828" s="1" t="n">
        <v>45394</v>
      </c>
      <c r="C2828" s="1" t="n">
        <v>45822</v>
      </c>
      <c r="D2828" t="inlineStr">
        <is>
          <t>VÄSTERNORRLANDS LÄN</t>
        </is>
      </c>
      <c r="E2828" t="inlineStr">
        <is>
          <t>SOLLEFTEÅ</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14554-2024</t>
        </is>
      </c>
      <c r="B2829" s="1" t="n">
        <v>45394</v>
      </c>
      <c r="C2829" s="1" t="n">
        <v>45822</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14581-2024</t>
        </is>
      </c>
      <c r="B2830" s="1" t="n">
        <v>45395</v>
      </c>
      <c r="C2830" s="1" t="n">
        <v>45822</v>
      </c>
      <c r="D2830" t="inlineStr">
        <is>
          <t>VÄSTERNORRLANDS LÄN</t>
        </is>
      </c>
      <c r="E2830" t="inlineStr">
        <is>
          <t>SOLLEFTEÅ</t>
        </is>
      </c>
      <c r="F2830" t="inlineStr">
        <is>
          <t>SCA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14571-2024</t>
        </is>
      </c>
      <c r="B2831" s="1" t="n">
        <v>45394</v>
      </c>
      <c r="C2831" s="1" t="n">
        <v>45822</v>
      </c>
      <c r="D2831" t="inlineStr">
        <is>
          <t>VÄSTERNORRLANDS LÄN</t>
        </is>
      </c>
      <c r="E2831" t="inlineStr">
        <is>
          <t>SOLLEFTEÅ</t>
        </is>
      </c>
      <c r="F2831" t="inlineStr">
        <is>
          <t>SCA</t>
        </is>
      </c>
      <c r="G2831" t="n">
        <v>20.8</v>
      </c>
      <c r="H2831" t="n">
        <v>0</v>
      </c>
      <c r="I2831" t="n">
        <v>0</v>
      </c>
      <c r="J2831" t="n">
        <v>0</v>
      </c>
      <c r="K2831" t="n">
        <v>0</v>
      </c>
      <c r="L2831" t="n">
        <v>0</v>
      </c>
      <c r="M2831" t="n">
        <v>0</v>
      </c>
      <c r="N2831" t="n">
        <v>0</v>
      </c>
      <c r="O2831" t="n">
        <v>0</v>
      </c>
      <c r="P2831" t="n">
        <v>0</v>
      </c>
      <c r="Q2831" t="n">
        <v>0</v>
      </c>
      <c r="R2831" s="2" t="inlineStr"/>
    </row>
    <row r="2832" ht="15" customHeight="1">
      <c r="A2832" t="inlineStr">
        <is>
          <t>A 14577-2024</t>
        </is>
      </c>
      <c r="B2832" s="1" t="n">
        <v>45395</v>
      </c>
      <c r="C2832" s="1" t="n">
        <v>45822</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14819-2024</t>
        </is>
      </c>
      <c r="B2833" s="1" t="n">
        <v>45397</v>
      </c>
      <c r="C2833" s="1" t="n">
        <v>45822</v>
      </c>
      <c r="D2833" t="inlineStr">
        <is>
          <t>VÄSTERNORRLANDS LÄN</t>
        </is>
      </c>
      <c r="E2833" t="inlineStr">
        <is>
          <t>SOLLEFTEÅ</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14970-2024</t>
        </is>
      </c>
      <c r="B2834" s="1" t="n">
        <v>45398</v>
      </c>
      <c r="C2834" s="1" t="n">
        <v>45822</v>
      </c>
      <c r="D2834" t="inlineStr">
        <is>
          <t>VÄSTERNORRLANDS LÄN</t>
        </is>
      </c>
      <c r="E2834" t="inlineStr">
        <is>
          <t>SOLLEFTEÅ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14982-2024</t>
        </is>
      </c>
      <c r="B2835" s="1" t="n">
        <v>45399</v>
      </c>
      <c r="C2835" s="1" t="n">
        <v>45822</v>
      </c>
      <c r="D2835" t="inlineStr">
        <is>
          <t>VÄSTERNORRLANDS LÄN</t>
        </is>
      </c>
      <c r="E2835" t="inlineStr">
        <is>
          <t>SOLLEFTEÅ</t>
        </is>
      </c>
      <c r="F2835" t="inlineStr">
        <is>
          <t>SCA</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14971-2024</t>
        </is>
      </c>
      <c r="B2836" s="1" t="n">
        <v>45399</v>
      </c>
      <c r="C2836" s="1" t="n">
        <v>45822</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14975-2024</t>
        </is>
      </c>
      <c r="B2837" s="1" t="n">
        <v>45399</v>
      </c>
      <c r="C2837" s="1" t="n">
        <v>45822</v>
      </c>
      <c r="D2837" t="inlineStr">
        <is>
          <t>VÄSTERNORRLANDS LÄN</t>
        </is>
      </c>
      <c r="E2837" t="inlineStr">
        <is>
          <t>SOLLEFTEÅ</t>
        </is>
      </c>
      <c r="F2837" t="inlineStr">
        <is>
          <t>SCA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14983-2024</t>
        </is>
      </c>
      <c r="B2838" s="1" t="n">
        <v>45399</v>
      </c>
      <c r="C2838" s="1" t="n">
        <v>45822</v>
      </c>
      <c r="D2838" t="inlineStr">
        <is>
          <t>VÄSTERNORRLANDS LÄN</t>
        </is>
      </c>
      <c r="E2838" t="inlineStr">
        <is>
          <t>SOLLEFTEÅ</t>
        </is>
      </c>
      <c r="F2838" t="inlineStr">
        <is>
          <t>SCA</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15154-2024</t>
        </is>
      </c>
      <c r="B2839" s="1" t="n">
        <v>45400</v>
      </c>
      <c r="C2839" s="1" t="n">
        <v>45822</v>
      </c>
      <c r="D2839" t="inlineStr">
        <is>
          <t>VÄSTERNORRLANDS LÄN</t>
        </is>
      </c>
      <c r="E2839" t="inlineStr">
        <is>
          <t>SOLLEFTEÅ</t>
        </is>
      </c>
      <c r="F2839" t="inlineStr">
        <is>
          <t>SCA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15147-2024</t>
        </is>
      </c>
      <c r="B2840" s="1" t="n">
        <v>45400</v>
      </c>
      <c r="C2840" s="1" t="n">
        <v>45822</v>
      </c>
      <c r="D2840" t="inlineStr">
        <is>
          <t>VÄSTERNORRLANDS LÄN</t>
        </is>
      </c>
      <c r="E2840" t="inlineStr">
        <is>
          <t>SOLLEFTEÅ</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15380-2024</t>
        </is>
      </c>
      <c r="B2841" s="1" t="n">
        <v>45401</v>
      </c>
      <c r="C2841" s="1" t="n">
        <v>45822</v>
      </c>
      <c r="D2841" t="inlineStr">
        <is>
          <t>VÄSTERNORRLANDS LÄN</t>
        </is>
      </c>
      <c r="E2841" t="inlineStr">
        <is>
          <t>SOLLEFTEÅ</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15377-2024</t>
        </is>
      </c>
      <c r="B2842" s="1" t="n">
        <v>45400</v>
      </c>
      <c r="C2842" s="1" t="n">
        <v>45822</v>
      </c>
      <c r="D2842" t="inlineStr">
        <is>
          <t>VÄSTERNORRLANDS LÄN</t>
        </is>
      </c>
      <c r="E2842" t="inlineStr">
        <is>
          <t>SOLLEFTEÅ</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15616-2024</t>
        </is>
      </c>
      <c r="B2843" s="1" t="n">
        <v>45402</v>
      </c>
      <c r="C2843" s="1" t="n">
        <v>45822</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15614-2024</t>
        </is>
      </c>
      <c r="B2844" s="1" t="n">
        <v>45402</v>
      </c>
      <c r="C2844" s="1" t="n">
        <v>45822</v>
      </c>
      <c r="D2844" t="inlineStr">
        <is>
          <t>VÄSTERNORRLANDS LÄN</t>
        </is>
      </c>
      <c r="E2844" t="inlineStr">
        <is>
          <t>SOLLEFTEÅ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15613-2024</t>
        </is>
      </c>
      <c r="B2845" s="1" t="n">
        <v>45402</v>
      </c>
      <c r="C2845" s="1" t="n">
        <v>45822</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15859-2024</t>
        </is>
      </c>
      <c r="B2846" s="1" t="n">
        <v>45405</v>
      </c>
      <c r="C2846" s="1" t="n">
        <v>45822</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15863-2024</t>
        </is>
      </c>
      <c r="B2847" s="1" t="n">
        <v>45405</v>
      </c>
      <c r="C2847" s="1" t="n">
        <v>45822</v>
      </c>
      <c r="D2847" t="inlineStr">
        <is>
          <t>VÄSTERNORRLANDS LÄN</t>
        </is>
      </c>
      <c r="E2847" t="inlineStr">
        <is>
          <t>SOLLEFTEÅ</t>
        </is>
      </c>
      <c r="F2847" t="inlineStr">
        <is>
          <t>SCA</t>
        </is>
      </c>
      <c r="G2847" t="n">
        <v>32.2</v>
      </c>
      <c r="H2847" t="n">
        <v>0</v>
      </c>
      <c r="I2847" t="n">
        <v>0</v>
      </c>
      <c r="J2847" t="n">
        <v>0</v>
      </c>
      <c r="K2847" t="n">
        <v>0</v>
      </c>
      <c r="L2847" t="n">
        <v>0</v>
      </c>
      <c r="M2847" t="n">
        <v>0</v>
      </c>
      <c r="N2847" t="n">
        <v>0</v>
      </c>
      <c r="O2847" t="n">
        <v>0</v>
      </c>
      <c r="P2847" t="n">
        <v>0</v>
      </c>
      <c r="Q2847" t="n">
        <v>0</v>
      </c>
      <c r="R2847" s="2" t="inlineStr"/>
    </row>
    <row r="2848" ht="15" customHeight="1">
      <c r="A2848" t="inlineStr">
        <is>
          <t>A 15872-2024</t>
        </is>
      </c>
      <c r="B2848" s="1" t="n">
        <v>45405</v>
      </c>
      <c r="C2848" s="1" t="n">
        <v>45822</v>
      </c>
      <c r="D2848" t="inlineStr">
        <is>
          <t>VÄSTERNORRLANDS LÄN</t>
        </is>
      </c>
      <c r="E2848" t="inlineStr">
        <is>
          <t>SOLLEFTEÅ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15875-2024</t>
        </is>
      </c>
      <c r="B2849" s="1" t="n">
        <v>45405</v>
      </c>
      <c r="C2849" s="1" t="n">
        <v>45822</v>
      </c>
      <c r="D2849" t="inlineStr">
        <is>
          <t>VÄSTERNORRLANDS LÄN</t>
        </is>
      </c>
      <c r="E2849" t="inlineStr">
        <is>
          <t>SOLLEFTEÅ</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15983-2024</t>
        </is>
      </c>
      <c r="B2850" s="1" t="n">
        <v>45405</v>
      </c>
      <c r="C2850" s="1" t="n">
        <v>45822</v>
      </c>
      <c r="D2850" t="inlineStr">
        <is>
          <t>VÄSTERNORRLANDS LÄN</t>
        </is>
      </c>
      <c r="E2850" t="inlineStr">
        <is>
          <t>SOLLEFTEÅ</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16052-2024</t>
        </is>
      </c>
      <c r="B2851" s="1" t="n">
        <v>45406</v>
      </c>
      <c r="C2851" s="1" t="n">
        <v>45822</v>
      </c>
      <c r="D2851" t="inlineStr">
        <is>
          <t>VÄSTERNORRLANDS LÄN</t>
        </is>
      </c>
      <c r="E2851" t="inlineStr">
        <is>
          <t>SOLLEFTEÅ</t>
        </is>
      </c>
      <c r="F2851" t="inlineStr">
        <is>
          <t>SCA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16051-2024</t>
        </is>
      </c>
      <c r="B2852" s="1" t="n">
        <v>45406</v>
      </c>
      <c r="C2852" s="1" t="n">
        <v>45822</v>
      </c>
      <c r="D2852" t="inlineStr">
        <is>
          <t>VÄSTERNORRLANDS LÄN</t>
        </is>
      </c>
      <c r="E2852" t="inlineStr">
        <is>
          <t>SOLLEFTEÅ</t>
        </is>
      </c>
      <c r="F2852" t="inlineStr">
        <is>
          <t>SCA</t>
        </is>
      </c>
      <c r="G2852" t="n">
        <v>15.7</v>
      </c>
      <c r="H2852" t="n">
        <v>0</v>
      </c>
      <c r="I2852" t="n">
        <v>0</v>
      </c>
      <c r="J2852" t="n">
        <v>0</v>
      </c>
      <c r="K2852" t="n">
        <v>0</v>
      </c>
      <c r="L2852" t="n">
        <v>0</v>
      </c>
      <c r="M2852" t="n">
        <v>0</v>
      </c>
      <c r="N2852" t="n">
        <v>0</v>
      </c>
      <c r="O2852" t="n">
        <v>0</v>
      </c>
      <c r="P2852" t="n">
        <v>0</v>
      </c>
      <c r="Q2852" t="n">
        <v>0</v>
      </c>
      <c r="R2852" s="2" t="inlineStr"/>
    </row>
    <row r="2853" ht="15" customHeight="1">
      <c r="A2853" t="inlineStr">
        <is>
          <t>A 16165-2024</t>
        </is>
      </c>
      <c r="B2853" s="1" t="n">
        <v>45406</v>
      </c>
      <c r="C2853" s="1" t="n">
        <v>45822</v>
      </c>
      <c r="D2853" t="inlineStr">
        <is>
          <t>VÄSTERNORRLANDS LÄN</t>
        </is>
      </c>
      <c r="E2853" t="inlineStr">
        <is>
          <t>SOLLEFTEÅ</t>
        </is>
      </c>
      <c r="G2853" t="n">
        <v>15.2</v>
      </c>
      <c r="H2853" t="n">
        <v>0</v>
      </c>
      <c r="I2853" t="n">
        <v>0</v>
      </c>
      <c r="J2853" t="n">
        <v>0</v>
      </c>
      <c r="K2853" t="n">
        <v>0</v>
      </c>
      <c r="L2853" t="n">
        <v>0</v>
      </c>
      <c r="M2853" t="n">
        <v>0</v>
      </c>
      <c r="N2853" t="n">
        <v>0</v>
      </c>
      <c r="O2853" t="n">
        <v>0</v>
      </c>
      <c r="P2853" t="n">
        <v>0</v>
      </c>
      <c r="Q2853" t="n">
        <v>0</v>
      </c>
      <c r="R2853" s="2" t="inlineStr"/>
    </row>
    <row r="2854" ht="15" customHeight="1">
      <c r="A2854" t="inlineStr">
        <is>
          <t>A 16061-2024</t>
        </is>
      </c>
      <c r="B2854" s="1" t="n">
        <v>45406</v>
      </c>
      <c r="C2854" s="1" t="n">
        <v>45822</v>
      </c>
      <c r="D2854" t="inlineStr">
        <is>
          <t>VÄSTERNORRLANDS LÄN</t>
        </is>
      </c>
      <c r="E2854" t="inlineStr">
        <is>
          <t>SOLLEFTEÅ</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16086-2024</t>
        </is>
      </c>
      <c r="B2855" s="1" t="n">
        <v>45406</v>
      </c>
      <c r="C2855" s="1" t="n">
        <v>45822</v>
      </c>
      <c r="D2855" t="inlineStr">
        <is>
          <t>VÄSTERNORRLANDS LÄN</t>
        </is>
      </c>
      <c r="E2855" t="inlineStr">
        <is>
          <t>SOLLEFTEÅ</t>
        </is>
      </c>
      <c r="G2855" t="n">
        <v>15.9</v>
      </c>
      <c r="H2855" t="n">
        <v>0</v>
      </c>
      <c r="I2855" t="n">
        <v>0</v>
      </c>
      <c r="J2855" t="n">
        <v>0</v>
      </c>
      <c r="K2855" t="n">
        <v>0</v>
      </c>
      <c r="L2855" t="n">
        <v>0</v>
      </c>
      <c r="M2855" t="n">
        <v>0</v>
      </c>
      <c r="N2855" t="n">
        <v>0</v>
      </c>
      <c r="O2855" t="n">
        <v>0</v>
      </c>
      <c r="P2855" t="n">
        <v>0</v>
      </c>
      <c r="Q2855" t="n">
        <v>0</v>
      </c>
      <c r="R2855" s="2" t="inlineStr"/>
    </row>
    <row r="2856" ht="15" customHeight="1">
      <c r="A2856" t="inlineStr">
        <is>
          <t>A 16238-2024</t>
        </is>
      </c>
      <c r="B2856" s="1" t="n">
        <v>45407</v>
      </c>
      <c r="C2856" s="1" t="n">
        <v>45822</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16239-2024</t>
        </is>
      </c>
      <c r="B2857" s="1" t="n">
        <v>45407</v>
      </c>
      <c r="C2857" s="1" t="n">
        <v>45822</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16237-2024</t>
        </is>
      </c>
      <c r="B2858" s="1" t="n">
        <v>45407</v>
      </c>
      <c r="C2858" s="1" t="n">
        <v>45822</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16241-2024</t>
        </is>
      </c>
      <c r="B2859" s="1" t="n">
        <v>45407</v>
      </c>
      <c r="C2859" s="1" t="n">
        <v>45822</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16253-2024</t>
        </is>
      </c>
      <c r="B2860" s="1" t="n">
        <v>45407</v>
      </c>
      <c r="C2860" s="1" t="n">
        <v>45822</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16468-2024</t>
        </is>
      </c>
      <c r="B2861" s="1" t="n">
        <v>45408</v>
      </c>
      <c r="C2861" s="1" t="n">
        <v>45822</v>
      </c>
      <c r="D2861" t="inlineStr">
        <is>
          <t>VÄSTERNORRLANDS LÄN</t>
        </is>
      </c>
      <c r="E2861" t="inlineStr">
        <is>
          <t>SOLLEFTEÅ</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16463-2024</t>
        </is>
      </c>
      <c r="B2862" s="1" t="n">
        <v>45408</v>
      </c>
      <c r="C2862" s="1" t="n">
        <v>45822</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16467-2024</t>
        </is>
      </c>
      <c r="B2863" s="1" t="n">
        <v>45408</v>
      </c>
      <c r="C2863" s="1" t="n">
        <v>45822</v>
      </c>
      <c r="D2863" t="inlineStr">
        <is>
          <t>VÄSTERNORRLANDS LÄN</t>
        </is>
      </c>
      <c r="E2863" t="inlineStr">
        <is>
          <t>SOLLEFTEÅ</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16470-2024</t>
        </is>
      </c>
      <c r="B2864" s="1" t="n">
        <v>45408</v>
      </c>
      <c r="C2864" s="1" t="n">
        <v>45822</v>
      </c>
      <c r="D2864" t="inlineStr">
        <is>
          <t>VÄSTERNORRLANDS LÄN</t>
        </is>
      </c>
      <c r="E2864" t="inlineStr">
        <is>
          <t>SOLLEFTEÅ</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16691-2024</t>
        </is>
      </c>
      <c r="B2865" s="1" t="n">
        <v>45408</v>
      </c>
      <c r="C2865" s="1" t="n">
        <v>45822</v>
      </c>
      <c r="D2865" t="inlineStr">
        <is>
          <t>VÄSTERNORRLANDS LÄN</t>
        </is>
      </c>
      <c r="E2865" t="inlineStr">
        <is>
          <t>SOLLEFTEÅ</t>
        </is>
      </c>
      <c r="G2865" t="n">
        <v>12.3</v>
      </c>
      <c r="H2865" t="n">
        <v>0</v>
      </c>
      <c r="I2865" t="n">
        <v>0</v>
      </c>
      <c r="J2865" t="n">
        <v>0</v>
      </c>
      <c r="K2865" t="n">
        <v>0</v>
      </c>
      <c r="L2865" t="n">
        <v>0</v>
      </c>
      <c r="M2865" t="n">
        <v>0</v>
      </c>
      <c r="N2865" t="n">
        <v>0</v>
      </c>
      <c r="O2865" t="n">
        <v>0</v>
      </c>
      <c r="P2865" t="n">
        <v>0</v>
      </c>
      <c r="Q2865" t="n">
        <v>0</v>
      </c>
      <c r="R2865" s="2" t="inlineStr"/>
    </row>
    <row r="2866" ht="15" customHeight="1">
      <c r="A2866" t="inlineStr">
        <is>
          <t>A 16693-2024</t>
        </is>
      </c>
      <c r="B2866" s="1" t="n">
        <v>45408</v>
      </c>
      <c r="C2866" s="1" t="n">
        <v>45822</v>
      </c>
      <c r="D2866" t="inlineStr">
        <is>
          <t>VÄSTERNORRLANDS LÄN</t>
        </is>
      </c>
      <c r="E2866" t="inlineStr">
        <is>
          <t>SOLLEFTEÅ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16710-2024</t>
        </is>
      </c>
      <c r="B2867" s="1" t="n">
        <v>45409</v>
      </c>
      <c r="C2867" s="1" t="n">
        <v>45822</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16703-2024</t>
        </is>
      </c>
      <c r="B2868" s="1" t="n">
        <v>45409</v>
      </c>
      <c r="C2868" s="1" t="n">
        <v>45822</v>
      </c>
      <c r="D2868" t="inlineStr">
        <is>
          <t>VÄSTERNORRLANDS LÄN</t>
        </is>
      </c>
      <c r="E2868" t="inlineStr">
        <is>
          <t>SOLLEFTEÅ</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16701-2024</t>
        </is>
      </c>
      <c r="B2869" s="1" t="n">
        <v>45409</v>
      </c>
      <c r="C2869" s="1" t="n">
        <v>45822</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16709-2024</t>
        </is>
      </c>
      <c r="B2870" s="1" t="n">
        <v>45409</v>
      </c>
      <c r="C2870" s="1" t="n">
        <v>45822</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16717-2024</t>
        </is>
      </c>
      <c r="B2871" s="1" t="n">
        <v>45409</v>
      </c>
      <c r="C2871" s="1" t="n">
        <v>45822</v>
      </c>
      <c r="D2871" t="inlineStr">
        <is>
          <t>VÄSTERNORRLANDS LÄN</t>
        </is>
      </c>
      <c r="E2871" t="inlineStr">
        <is>
          <t>SOLLEFTEÅ</t>
        </is>
      </c>
      <c r="F2871" t="inlineStr">
        <is>
          <t>SCA</t>
        </is>
      </c>
      <c r="G2871" t="n">
        <v>10.6</v>
      </c>
      <c r="H2871" t="n">
        <v>0</v>
      </c>
      <c r="I2871" t="n">
        <v>0</v>
      </c>
      <c r="J2871" t="n">
        <v>0</v>
      </c>
      <c r="K2871" t="n">
        <v>0</v>
      </c>
      <c r="L2871" t="n">
        <v>0</v>
      </c>
      <c r="M2871" t="n">
        <v>0</v>
      </c>
      <c r="N2871" t="n">
        <v>0</v>
      </c>
      <c r="O2871" t="n">
        <v>0</v>
      </c>
      <c r="P2871" t="n">
        <v>0</v>
      </c>
      <c r="Q2871" t="n">
        <v>0</v>
      </c>
      <c r="R2871" s="2" t="inlineStr"/>
    </row>
    <row r="2872" ht="15" customHeight="1">
      <c r="A2872" t="inlineStr">
        <is>
          <t>A 16726-2024</t>
        </is>
      </c>
      <c r="B2872" s="1" t="n">
        <v>45410</v>
      </c>
      <c r="C2872" s="1" t="n">
        <v>45822</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17172-2024</t>
        </is>
      </c>
      <c r="B2873" s="1" t="n">
        <v>45413</v>
      </c>
      <c r="C2873" s="1" t="n">
        <v>45822</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17120-2024</t>
        </is>
      </c>
      <c r="B2874" s="1" t="n">
        <v>45412</v>
      </c>
      <c r="C2874" s="1" t="n">
        <v>45822</v>
      </c>
      <c r="D2874" t="inlineStr">
        <is>
          <t>VÄSTERNORRLANDS LÄN</t>
        </is>
      </c>
      <c r="E2874" t="inlineStr">
        <is>
          <t>SOLLEFTEÅ</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17173-2024</t>
        </is>
      </c>
      <c r="B2875" s="1" t="n">
        <v>45413</v>
      </c>
      <c r="C2875" s="1" t="n">
        <v>45822</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17111-2024</t>
        </is>
      </c>
      <c r="B2876" s="1" t="n">
        <v>45412</v>
      </c>
      <c r="C2876" s="1" t="n">
        <v>45822</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17170-2024</t>
        </is>
      </c>
      <c r="B2877" s="1" t="n">
        <v>45413</v>
      </c>
      <c r="C2877" s="1" t="n">
        <v>45822</v>
      </c>
      <c r="D2877" t="inlineStr">
        <is>
          <t>VÄSTERNORRLANDS LÄN</t>
        </is>
      </c>
      <c r="E2877" t="inlineStr">
        <is>
          <t>SOLLEFTEÅ</t>
        </is>
      </c>
      <c r="F2877" t="inlineStr">
        <is>
          <t>SCA</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17209-2024</t>
        </is>
      </c>
      <c r="B2878" s="1" t="n">
        <v>45414</v>
      </c>
      <c r="C2878" s="1" t="n">
        <v>45822</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17263-2024</t>
        </is>
      </c>
      <c r="B2879" s="1" t="n">
        <v>45414</v>
      </c>
      <c r="C2879" s="1" t="n">
        <v>45822</v>
      </c>
      <c r="D2879" t="inlineStr">
        <is>
          <t>VÄSTERNORRLANDS LÄN</t>
        </is>
      </c>
      <c r="E2879" t="inlineStr">
        <is>
          <t>SOLLEFTEÅ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17585-2024</t>
        </is>
      </c>
      <c r="B2880" s="1" t="n">
        <v>45416</v>
      </c>
      <c r="C2880" s="1" t="n">
        <v>45822</v>
      </c>
      <c r="D2880" t="inlineStr">
        <is>
          <t>VÄSTERNORRLANDS LÄN</t>
        </is>
      </c>
      <c r="E2880" t="inlineStr">
        <is>
          <t>SOLLEFTEÅ</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17512-2024</t>
        </is>
      </c>
      <c r="B2881" s="1" t="n">
        <v>45415</v>
      </c>
      <c r="C2881" s="1" t="n">
        <v>45822</v>
      </c>
      <c r="D2881" t="inlineStr">
        <is>
          <t>VÄSTERNORRLANDS LÄN</t>
        </is>
      </c>
      <c r="E2881" t="inlineStr">
        <is>
          <t>SOLLEFTEÅ</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17822-2024</t>
        </is>
      </c>
      <c r="B2882" s="1" t="n">
        <v>45419</v>
      </c>
      <c r="C2882" s="1" t="n">
        <v>45822</v>
      </c>
      <c r="D2882" t="inlineStr">
        <is>
          <t>VÄSTERNORRLANDS LÄN</t>
        </is>
      </c>
      <c r="E2882" t="inlineStr">
        <is>
          <t>SOLLEFTEÅ</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17826-2024</t>
        </is>
      </c>
      <c r="B2883" s="1" t="n">
        <v>45419</v>
      </c>
      <c r="C2883" s="1" t="n">
        <v>45822</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18003-2024</t>
        </is>
      </c>
      <c r="B2884" s="1" t="n">
        <v>45420</v>
      </c>
      <c r="C2884" s="1" t="n">
        <v>45822</v>
      </c>
      <c r="D2884" t="inlineStr">
        <is>
          <t>VÄSTERNORRLANDS LÄN</t>
        </is>
      </c>
      <c r="E2884" t="inlineStr">
        <is>
          <t>SOLLEFTEÅ</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18226-2024</t>
        </is>
      </c>
      <c r="B2885" s="1" t="n">
        <v>45420</v>
      </c>
      <c r="C2885" s="1" t="n">
        <v>45822</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18220-2024</t>
        </is>
      </c>
      <c r="B2886" s="1" t="n">
        <v>45420</v>
      </c>
      <c r="C2886" s="1" t="n">
        <v>45822</v>
      </c>
      <c r="D2886" t="inlineStr">
        <is>
          <t>VÄSTERNORRLANDS LÄN</t>
        </is>
      </c>
      <c r="E2886" t="inlineStr">
        <is>
          <t>SOLLEFTEÅ</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18224-2024</t>
        </is>
      </c>
      <c r="B2887" s="1" t="n">
        <v>45421</v>
      </c>
      <c r="C2887" s="1" t="n">
        <v>45822</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18362-2024</t>
        </is>
      </c>
      <c r="B2888" s="1" t="n">
        <v>45422</v>
      </c>
      <c r="C2888" s="1" t="n">
        <v>45822</v>
      </c>
      <c r="D2888" t="inlineStr">
        <is>
          <t>VÄSTERNORRLANDS LÄN</t>
        </is>
      </c>
      <c r="E2888" t="inlineStr">
        <is>
          <t>SOLLEFTEÅ</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18366-2024</t>
        </is>
      </c>
      <c r="B2889" s="1" t="n">
        <v>45422</v>
      </c>
      <c r="C2889" s="1" t="n">
        <v>45822</v>
      </c>
      <c r="D2889" t="inlineStr">
        <is>
          <t>VÄSTERNORRLANDS LÄN</t>
        </is>
      </c>
      <c r="E2889" t="inlineStr">
        <is>
          <t>SOLLEFTEÅ</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18363-2024</t>
        </is>
      </c>
      <c r="B2890" s="1" t="n">
        <v>45422</v>
      </c>
      <c r="C2890" s="1" t="n">
        <v>45822</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18299-2024</t>
        </is>
      </c>
      <c r="B2891" s="1" t="n">
        <v>45422</v>
      </c>
      <c r="C2891" s="1" t="n">
        <v>45822</v>
      </c>
      <c r="D2891" t="inlineStr">
        <is>
          <t>VÄSTERNORRLANDS LÄN</t>
        </is>
      </c>
      <c r="E2891" t="inlineStr">
        <is>
          <t>SOLLEFTEÅ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18365-2024</t>
        </is>
      </c>
      <c r="B2892" s="1" t="n">
        <v>45422</v>
      </c>
      <c r="C2892" s="1" t="n">
        <v>45822</v>
      </c>
      <c r="D2892" t="inlineStr">
        <is>
          <t>VÄSTERNORRLANDS LÄN</t>
        </is>
      </c>
      <c r="E2892" t="inlineStr">
        <is>
          <t>SOLLEFTEÅ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18364-2024</t>
        </is>
      </c>
      <c r="B2893" s="1" t="n">
        <v>45422</v>
      </c>
      <c r="C2893" s="1" t="n">
        <v>45822</v>
      </c>
      <c r="D2893" t="inlineStr">
        <is>
          <t>VÄSTERNORRLANDS LÄN</t>
        </is>
      </c>
      <c r="E2893" t="inlineStr">
        <is>
          <t>SOLLEFTEÅ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18623-2024</t>
        </is>
      </c>
      <c r="B2894" s="1" t="n">
        <v>45426</v>
      </c>
      <c r="C2894" s="1" t="n">
        <v>45822</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18436-2024</t>
        </is>
      </c>
      <c r="B2895" s="1" t="n">
        <v>45425</v>
      </c>
      <c r="C2895" s="1" t="n">
        <v>45822</v>
      </c>
      <c r="D2895" t="inlineStr">
        <is>
          <t>VÄSTERNORRLANDS LÄN</t>
        </is>
      </c>
      <c r="E2895" t="inlineStr">
        <is>
          <t>SOLLEFTEÅ</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18587-2024</t>
        </is>
      </c>
      <c r="B2896" s="1" t="n">
        <v>45425</v>
      </c>
      <c r="C2896" s="1" t="n">
        <v>45822</v>
      </c>
      <c r="D2896" t="inlineStr">
        <is>
          <t>VÄSTERNORRLANDS LÄN</t>
        </is>
      </c>
      <c r="E2896" t="inlineStr">
        <is>
          <t>SOLLEFTEÅ</t>
        </is>
      </c>
      <c r="G2896" t="n">
        <v>15.7</v>
      </c>
      <c r="H2896" t="n">
        <v>0</v>
      </c>
      <c r="I2896" t="n">
        <v>0</v>
      </c>
      <c r="J2896" t="n">
        <v>0</v>
      </c>
      <c r="K2896" t="n">
        <v>0</v>
      </c>
      <c r="L2896" t="n">
        <v>0</v>
      </c>
      <c r="M2896" t="n">
        <v>0</v>
      </c>
      <c r="N2896" t="n">
        <v>0</v>
      </c>
      <c r="O2896" t="n">
        <v>0</v>
      </c>
      <c r="P2896" t="n">
        <v>0</v>
      </c>
      <c r="Q2896" t="n">
        <v>0</v>
      </c>
      <c r="R2896" s="2" t="inlineStr"/>
    </row>
    <row r="2897" ht="15" customHeight="1">
      <c r="A2897" t="inlineStr">
        <is>
          <t>A 18620-2024</t>
        </is>
      </c>
      <c r="B2897" s="1" t="n">
        <v>45425</v>
      </c>
      <c r="C2897" s="1" t="n">
        <v>45822</v>
      </c>
      <c r="D2897" t="inlineStr">
        <is>
          <t>VÄSTERNORRLANDS LÄN</t>
        </is>
      </c>
      <c r="E2897" t="inlineStr">
        <is>
          <t>SOLLEFTEÅ</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18648-2024</t>
        </is>
      </c>
      <c r="B2898" s="1" t="n">
        <v>45426</v>
      </c>
      <c r="C2898" s="1" t="n">
        <v>45822</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18621-2024</t>
        </is>
      </c>
      <c r="B2899" s="1" t="n">
        <v>45425</v>
      </c>
      <c r="C2899" s="1" t="n">
        <v>45822</v>
      </c>
      <c r="D2899" t="inlineStr">
        <is>
          <t>VÄSTERNORRLANDS LÄN</t>
        </is>
      </c>
      <c r="E2899" t="inlineStr">
        <is>
          <t>SOLLEFTEÅ</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18649-2024</t>
        </is>
      </c>
      <c r="B2900" s="1" t="n">
        <v>45426</v>
      </c>
      <c r="C2900" s="1" t="n">
        <v>45822</v>
      </c>
      <c r="D2900" t="inlineStr">
        <is>
          <t>VÄSTERNORRLANDS LÄN</t>
        </is>
      </c>
      <c r="E2900" t="inlineStr">
        <is>
          <t>SOLLEFTEÅ</t>
        </is>
      </c>
      <c r="F2900" t="inlineStr">
        <is>
          <t>SCA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18622-2024</t>
        </is>
      </c>
      <c r="B2901" s="1" t="n">
        <v>45426</v>
      </c>
      <c r="C2901" s="1" t="n">
        <v>45822</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18672-2024</t>
        </is>
      </c>
      <c r="B2902" s="1" t="n">
        <v>45425</v>
      </c>
      <c r="C2902" s="1" t="n">
        <v>45822</v>
      </c>
      <c r="D2902" t="inlineStr">
        <is>
          <t>VÄSTERNORRLANDS LÄN</t>
        </is>
      </c>
      <c r="E2902" t="inlineStr">
        <is>
          <t>SOLLEFTEÅ</t>
        </is>
      </c>
      <c r="G2902" t="n">
        <v>22.8</v>
      </c>
      <c r="H2902" t="n">
        <v>0</v>
      </c>
      <c r="I2902" t="n">
        <v>0</v>
      </c>
      <c r="J2902" t="n">
        <v>0</v>
      </c>
      <c r="K2902" t="n">
        <v>0</v>
      </c>
      <c r="L2902" t="n">
        <v>0</v>
      </c>
      <c r="M2902" t="n">
        <v>0</v>
      </c>
      <c r="N2902" t="n">
        <v>0</v>
      </c>
      <c r="O2902" t="n">
        <v>0</v>
      </c>
      <c r="P2902" t="n">
        <v>0</v>
      </c>
      <c r="Q2902" t="n">
        <v>0</v>
      </c>
      <c r="R2902" s="2" t="inlineStr"/>
    </row>
    <row r="2903" ht="15" customHeight="1">
      <c r="A2903" t="inlineStr">
        <is>
          <t>A 19067-2024</t>
        </is>
      </c>
      <c r="B2903" s="1" t="n">
        <v>45427</v>
      </c>
      <c r="C2903" s="1" t="n">
        <v>45822</v>
      </c>
      <c r="D2903" t="inlineStr">
        <is>
          <t>VÄSTERNORRLANDS LÄN</t>
        </is>
      </c>
      <c r="E2903" t="inlineStr">
        <is>
          <t>SOLLEFTEÅ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19064-2024</t>
        </is>
      </c>
      <c r="B2904" s="1" t="n">
        <v>45427</v>
      </c>
      <c r="C2904" s="1" t="n">
        <v>45822</v>
      </c>
      <c r="D2904" t="inlineStr">
        <is>
          <t>VÄSTERNORRLANDS LÄN</t>
        </is>
      </c>
      <c r="E2904" t="inlineStr">
        <is>
          <t>SOLLEFTEÅ</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19065-2024</t>
        </is>
      </c>
      <c r="B2905" s="1" t="n">
        <v>45427</v>
      </c>
      <c r="C2905" s="1" t="n">
        <v>45822</v>
      </c>
      <c r="D2905" t="inlineStr">
        <is>
          <t>VÄSTERNORRLANDS LÄN</t>
        </is>
      </c>
      <c r="E2905" t="inlineStr">
        <is>
          <t>SOLLEFTEÅ</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19082-2024</t>
        </is>
      </c>
      <c r="B2906" s="1" t="n">
        <v>45428</v>
      </c>
      <c r="C2906" s="1" t="n">
        <v>45822</v>
      </c>
      <c r="D2906" t="inlineStr">
        <is>
          <t>VÄSTERNORRLANDS LÄN</t>
        </is>
      </c>
      <c r="E2906" t="inlineStr">
        <is>
          <t>SOLLEFTEÅ</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19207-2024</t>
        </is>
      </c>
      <c r="B2907" s="1" t="n">
        <v>45428</v>
      </c>
      <c r="C2907" s="1" t="n">
        <v>45822</v>
      </c>
      <c r="D2907" t="inlineStr">
        <is>
          <t>VÄSTERNORRLANDS LÄN</t>
        </is>
      </c>
      <c r="E2907" t="inlineStr">
        <is>
          <t>SOLLEFTEÅ</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19326-2024</t>
        </is>
      </c>
      <c r="B2908" s="1" t="n">
        <v>45428</v>
      </c>
      <c r="C2908" s="1" t="n">
        <v>45822</v>
      </c>
      <c r="D2908" t="inlineStr">
        <is>
          <t>VÄSTERNORRLANDS LÄN</t>
        </is>
      </c>
      <c r="E2908" t="inlineStr">
        <is>
          <t>SOLLEFTEÅ</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19429-2024</t>
        </is>
      </c>
      <c r="B2909" s="1" t="n">
        <v>45429</v>
      </c>
      <c r="C2909" s="1" t="n">
        <v>45822</v>
      </c>
      <c r="D2909" t="inlineStr">
        <is>
          <t>VÄSTERNORRLANDS LÄN</t>
        </is>
      </c>
      <c r="E2909" t="inlineStr">
        <is>
          <t>SOLLEFTEÅ</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19577-2024</t>
        </is>
      </c>
      <c r="B2910" s="1" t="n">
        <v>45429</v>
      </c>
      <c r="C2910" s="1" t="n">
        <v>45822</v>
      </c>
      <c r="D2910" t="inlineStr">
        <is>
          <t>VÄSTERNORRLANDS LÄN</t>
        </is>
      </c>
      <c r="E2910" t="inlineStr">
        <is>
          <t>SOLLEFTEÅ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19556-2024</t>
        </is>
      </c>
      <c r="B2911" s="1" t="n">
        <v>45429</v>
      </c>
      <c r="C2911" s="1" t="n">
        <v>45822</v>
      </c>
      <c r="D2911" t="inlineStr">
        <is>
          <t>VÄSTERNORRLANDS LÄN</t>
        </is>
      </c>
      <c r="E2911" t="inlineStr">
        <is>
          <t>SOLLEFTEÅ</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19580-2024</t>
        </is>
      </c>
      <c r="B2912" s="1" t="n">
        <v>45429</v>
      </c>
      <c r="C2912" s="1" t="n">
        <v>45822</v>
      </c>
      <c r="D2912" t="inlineStr">
        <is>
          <t>VÄSTERNORRLANDS LÄN</t>
        </is>
      </c>
      <c r="E2912" t="inlineStr">
        <is>
          <t>SOLLEFTEÅ</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19571-2024</t>
        </is>
      </c>
      <c r="B2913" s="1" t="n">
        <v>45429</v>
      </c>
      <c r="C2913" s="1" t="n">
        <v>45822</v>
      </c>
      <c r="D2913" t="inlineStr">
        <is>
          <t>VÄSTERNORRLANDS LÄN</t>
        </is>
      </c>
      <c r="E2913" t="inlineStr">
        <is>
          <t>SOLLEFTEÅ</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19602-2024</t>
        </is>
      </c>
      <c r="B2914" s="1" t="n">
        <v>45431</v>
      </c>
      <c r="C2914" s="1" t="n">
        <v>45822</v>
      </c>
      <c r="D2914" t="inlineStr">
        <is>
          <t>VÄSTERNORRLANDS LÄN</t>
        </is>
      </c>
      <c r="E2914" t="inlineStr">
        <is>
          <t>SOLLEFTEÅ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20002-2024</t>
        </is>
      </c>
      <c r="B2915" s="1" t="n">
        <v>45433</v>
      </c>
      <c r="C2915" s="1" t="n">
        <v>45822</v>
      </c>
      <c r="D2915" t="inlineStr">
        <is>
          <t>VÄSTERNORRLANDS LÄN</t>
        </is>
      </c>
      <c r="E2915" t="inlineStr">
        <is>
          <t>SOLLEFTEÅ</t>
        </is>
      </c>
      <c r="F2915" t="inlineStr">
        <is>
          <t>SCA</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20022-2024</t>
        </is>
      </c>
      <c r="B2916" s="1" t="n">
        <v>45434</v>
      </c>
      <c r="C2916" s="1" t="n">
        <v>45822</v>
      </c>
      <c r="D2916" t="inlineStr">
        <is>
          <t>VÄSTERNORRLANDS LÄN</t>
        </is>
      </c>
      <c r="E2916" t="inlineStr">
        <is>
          <t>SOLLEFTEÅ</t>
        </is>
      </c>
      <c r="F2916" t="inlineStr">
        <is>
          <t>Holmen skog AB</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20025-2024</t>
        </is>
      </c>
      <c r="B2917" s="1" t="n">
        <v>45434</v>
      </c>
      <c r="C2917" s="1" t="n">
        <v>45822</v>
      </c>
      <c r="D2917" t="inlineStr">
        <is>
          <t>VÄSTERNORRLANDS LÄN</t>
        </is>
      </c>
      <c r="E2917" t="inlineStr">
        <is>
          <t>SOLLEFTEÅ</t>
        </is>
      </c>
      <c r="F2917" t="inlineStr">
        <is>
          <t>Holmen skog AB</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20066-2024</t>
        </is>
      </c>
      <c r="B2918" s="1" t="n">
        <v>45434</v>
      </c>
      <c r="C2918" s="1" t="n">
        <v>45822</v>
      </c>
      <c r="D2918" t="inlineStr">
        <is>
          <t>VÄSTERNORRLANDS LÄN</t>
        </is>
      </c>
      <c r="E2918" t="inlineStr">
        <is>
          <t>SOLLEFTEÅ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20223-2024</t>
        </is>
      </c>
      <c r="B2919" s="1" t="n">
        <v>45434</v>
      </c>
      <c r="C2919" s="1" t="n">
        <v>45822</v>
      </c>
      <c r="D2919" t="inlineStr">
        <is>
          <t>VÄSTERNORRLANDS LÄN</t>
        </is>
      </c>
      <c r="E2919" t="inlineStr">
        <is>
          <t>SOLLEFTEÅ</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20281-2024</t>
        </is>
      </c>
      <c r="B2920" s="1" t="n">
        <v>45435</v>
      </c>
      <c r="C2920" s="1" t="n">
        <v>45822</v>
      </c>
      <c r="D2920" t="inlineStr">
        <is>
          <t>VÄSTERNORRLANDS LÄN</t>
        </is>
      </c>
      <c r="E2920" t="inlineStr">
        <is>
          <t>SOLLEFTEÅ</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20280-2024</t>
        </is>
      </c>
      <c r="B2921" s="1" t="n">
        <v>45435</v>
      </c>
      <c r="C2921" s="1" t="n">
        <v>45822</v>
      </c>
      <c r="D2921" t="inlineStr">
        <is>
          <t>VÄSTERNORRLANDS LÄN</t>
        </is>
      </c>
      <c r="E2921" t="inlineStr">
        <is>
          <t>SOLLEFTEÅ</t>
        </is>
      </c>
      <c r="F2921" t="inlineStr">
        <is>
          <t>SCA</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20506-2024</t>
        </is>
      </c>
      <c r="B2922" s="1" t="n">
        <v>45436</v>
      </c>
      <c r="C2922" s="1" t="n">
        <v>45822</v>
      </c>
      <c r="D2922" t="inlineStr">
        <is>
          <t>VÄSTERNORRLANDS LÄN</t>
        </is>
      </c>
      <c r="E2922" t="inlineStr">
        <is>
          <t>SOLLEFTEÅ</t>
        </is>
      </c>
      <c r="F2922" t="inlineStr">
        <is>
          <t>SCA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20354-2024</t>
        </is>
      </c>
      <c r="B2923" s="1" t="n">
        <v>45435</v>
      </c>
      <c r="C2923" s="1" t="n">
        <v>45822</v>
      </c>
      <c r="D2923" t="inlineStr">
        <is>
          <t>VÄSTERNORRLANDS LÄN</t>
        </is>
      </c>
      <c r="E2923" t="inlineStr">
        <is>
          <t>SOLLEFTEÅ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20516-2024</t>
        </is>
      </c>
      <c r="B2924" s="1" t="n">
        <v>45435</v>
      </c>
      <c r="C2924" s="1" t="n">
        <v>45822</v>
      </c>
      <c r="D2924" t="inlineStr">
        <is>
          <t>VÄSTERNORRLANDS LÄN</t>
        </is>
      </c>
      <c r="E2924" t="inlineStr">
        <is>
          <t>SOLLEFTEÅ</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20507-2024</t>
        </is>
      </c>
      <c r="B2925" s="1" t="n">
        <v>45435</v>
      </c>
      <c r="C2925" s="1" t="n">
        <v>45822</v>
      </c>
      <c r="D2925" t="inlineStr">
        <is>
          <t>VÄSTERNORRLANDS LÄN</t>
        </is>
      </c>
      <c r="E2925" t="inlineStr">
        <is>
          <t>SOLLEFTEÅ</t>
        </is>
      </c>
      <c r="F2925" t="inlineStr">
        <is>
          <t>SCA</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20515-2024</t>
        </is>
      </c>
      <c r="B2926" s="1" t="n">
        <v>45435</v>
      </c>
      <c r="C2926" s="1" t="n">
        <v>45822</v>
      </c>
      <c r="D2926" t="inlineStr">
        <is>
          <t>VÄSTERNORRLANDS LÄN</t>
        </is>
      </c>
      <c r="E2926" t="inlineStr">
        <is>
          <t>SOLLEFTEÅ</t>
        </is>
      </c>
      <c r="F2926" t="inlineStr">
        <is>
          <t>SCA</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20520-2024</t>
        </is>
      </c>
      <c r="B2927" s="1" t="n">
        <v>45435</v>
      </c>
      <c r="C2927" s="1" t="n">
        <v>45822</v>
      </c>
      <c r="D2927" t="inlineStr">
        <is>
          <t>VÄSTERNORRLANDS LÄN</t>
        </is>
      </c>
      <c r="E2927" t="inlineStr">
        <is>
          <t>SOLLEFTEÅ</t>
        </is>
      </c>
      <c r="F2927" t="inlineStr">
        <is>
          <t>SCA</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20604-2024</t>
        </is>
      </c>
      <c r="B2928" s="1" t="n">
        <v>45436</v>
      </c>
      <c r="C2928" s="1" t="n">
        <v>45822</v>
      </c>
      <c r="D2928" t="inlineStr">
        <is>
          <t>VÄSTERNORRLANDS LÄN</t>
        </is>
      </c>
      <c r="E2928" t="inlineStr">
        <is>
          <t>SOLLEFTEÅ</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20764-2024</t>
        </is>
      </c>
      <c r="B2929" s="1" t="n">
        <v>45436</v>
      </c>
      <c r="C2929" s="1" t="n">
        <v>45822</v>
      </c>
      <c r="D2929" t="inlineStr">
        <is>
          <t>VÄSTERNORRLANDS LÄN</t>
        </is>
      </c>
      <c r="E2929" t="inlineStr">
        <is>
          <t>SOLLEFTEÅ</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20799-2024</t>
        </is>
      </c>
      <c r="B2930" s="1" t="n">
        <v>45438</v>
      </c>
      <c r="C2930" s="1" t="n">
        <v>45822</v>
      </c>
      <c r="D2930" t="inlineStr">
        <is>
          <t>VÄSTERNORRLANDS LÄN</t>
        </is>
      </c>
      <c r="E2930" t="inlineStr">
        <is>
          <t>SOLLEFTEÅ</t>
        </is>
      </c>
      <c r="F2930" t="inlineStr">
        <is>
          <t>SCA</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21031-2024</t>
        </is>
      </c>
      <c r="B2931" s="1" t="n">
        <v>45439</v>
      </c>
      <c r="C2931" s="1" t="n">
        <v>45822</v>
      </c>
      <c r="D2931" t="inlineStr">
        <is>
          <t>VÄSTERNORRLANDS LÄN</t>
        </is>
      </c>
      <c r="E2931" t="inlineStr">
        <is>
          <t>SOLLEFTEÅ</t>
        </is>
      </c>
      <c r="F2931" t="inlineStr">
        <is>
          <t>Holmen skog AB</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21098-2024</t>
        </is>
      </c>
      <c r="B2932" s="1" t="n">
        <v>45440</v>
      </c>
      <c r="C2932" s="1" t="n">
        <v>45822</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21106-2024</t>
        </is>
      </c>
      <c r="B2933" s="1" t="n">
        <v>45440</v>
      </c>
      <c r="C2933" s="1" t="n">
        <v>45822</v>
      </c>
      <c r="D2933" t="inlineStr">
        <is>
          <t>VÄSTERNORRLANDS LÄN</t>
        </is>
      </c>
      <c r="E2933" t="inlineStr">
        <is>
          <t>SOLLEFTEÅ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21096-2024</t>
        </is>
      </c>
      <c r="B2934" s="1" t="n">
        <v>45440</v>
      </c>
      <c r="C2934" s="1" t="n">
        <v>45822</v>
      </c>
      <c r="D2934" t="inlineStr">
        <is>
          <t>VÄSTERNORRLANDS LÄN</t>
        </is>
      </c>
      <c r="E2934" t="inlineStr">
        <is>
          <t>SOLLEFTEÅ</t>
        </is>
      </c>
      <c r="F2934" t="inlineStr">
        <is>
          <t>SCA</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21100-2024</t>
        </is>
      </c>
      <c r="B2935" s="1" t="n">
        <v>45440</v>
      </c>
      <c r="C2935" s="1" t="n">
        <v>45822</v>
      </c>
      <c r="D2935" t="inlineStr">
        <is>
          <t>VÄSTERNORRLANDS LÄN</t>
        </is>
      </c>
      <c r="E2935" t="inlineStr">
        <is>
          <t>SOLLEFTEÅ</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21092-2024</t>
        </is>
      </c>
      <c r="B2936" s="1" t="n">
        <v>45440</v>
      </c>
      <c r="C2936" s="1" t="n">
        <v>45822</v>
      </c>
      <c r="D2936" t="inlineStr">
        <is>
          <t>VÄSTERNORRLANDS LÄN</t>
        </is>
      </c>
      <c r="E2936" t="inlineStr">
        <is>
          <t>SOLLEFTEÅ</t>
        </is>
      </c>
      <c r="F2936" t="inlineStr">
        <is>
          <t>SCA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21099-2024</t>
        </is>
      </c>
      <c r="B2937" s="1" t="n">
        <v>45439</v>
      </c>
      <c r="C2937" s="1" t="n">
        <v>45822</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21095-2024</t>
        </is>
      </c>
      <c r="B2938" s="1" t="n">
        <v>45440</v>
      </c>
      <c r="C2938" s="1" t="n">
        <v>45822</v>
      </c>
      <c r="D2938" t="inlineStr">
        <is>
          <t>VÄSTERNORRLANDS LÄN</t>
        </is>
      </c>
      <c r="E2938" t="inlineStr">
        <is>
          <t>SOLLEFTEÅ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21087-2024</t>
        </is>
      </c>
      <c r="B2939" s="1" t="n">
        <v>45440</v>
      </c>
      <c r="C2939" s="1" t="n">
        <v>45822</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21101-2024</t>
        </is>
      </c>
      <c r="B2940" s="1" t="n">
        <v>45439</v>
      </c>
      <c r="C2940" s="1" t="n">
        <v>45822</v>
      </c>
      <c r="D2940" t="inlineStr">
        <is>
          <t>VÄSTERNORRLANDS LÄN</t>
        </is>
      </c>
      <c r="E2940" t="inlineStr">
        <is>
          <t>SOLLEFTEÅ</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21137-2024</t>
        </is>
      </c>
      <c r="B2941" s="1" t="n">
        <v>45440</v>
      </c>
      <c r="C2941" s="1" t="n">
        <v>45822</v>
      </c>
      <c r="D2941" t="inlineStr">
        <is>
          <t>VÄSTERNORRLANDS LÄN</t>
        </is>
      </c>
      <c r="E2941" t="inlineStr">
        <is>
          <t>SOLLEFTEÅ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21364-2024</t>
        </is>
      </c>
      <c r="B2942" s="1" t="n">
        <v>45441</v>
      </c>
      <c r="C2942" s="1" t="n">
        <v>45822</v>
      </c>
      <c r="D2942" t="inlineStr">
        <is>
          <t>VÄSTERNORRLANDS LÄN</t>
        </is>
      </c>
      <c r="E2942" t="inlineStr">
        <is>
          <t>SOLLEFTEÅ</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21363-2024</t>
        </is>
      </c>
      <c r="B2943" s="1" t="n">
        <v>45441</v>
      </c>
      <c r="C2943" s="1" t="n">
        <v>45822</v>
      </c>
      <c r="D2943" t="inlineStr">
        <is>
          <t>VÄSTERNORRLANDS LÄN</t>
        </is>
      </c>
      <c r="E2943" t="inlineStr">
        <is>
          <t>SOLLEFTEÅ</t>
        </is>
      </c>
      <c r="F2943" t="inlineStr">
        <is>
          <t>SCA</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21384-2024</t>
        </is>
      </c>
      <c r="B2944" s="1" t="n">
        <v>45440</v>
      </c>
      <c r="C2944" s="1" t="n">
        <v>45822</v>
      </c>
      <c r="D2944" t="inlineStr">
        <is>
          <t>VÄSTERNORRLANDS LÄN</t>
        </is>
      </c>
      <c r="E2944" t="inlineStr">
        <is>
          <t>SOLLEFTEÅ</t>
        </is>
      </c>
      <c r="F2944" t="inlineStr">
        <is>
          <t>SCA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21852-2024</t>
        </is>
      </c>
      <c r="B2945" s="1" t="n">
        <v>45443</v>
      </c>
      <c r="C2945" s="1" t="n">
        <v>45822</v>
      </c>
      <c r="D2945" t="inlineStr">
        <is>
          <t>VÄSTERNORRLANDS LÄN</t>
        </is>
      </c>
      <c r="E2945" t="inlineStr">
        <is>
          <t>SOLLEFTEÅ</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22100-2024</t>
        </is>
      </c>
      <c r="B2946" s="1" t="n">
        <v>45444</v>
      </c>
      <c r="C2946" s="1" t="n">
        <v>45822</v>
      </c>
      <c r="D2946" t="inlineStr">
        <is>
          <t>VÄSTERNORRLANDS LÄN</t>
        </is>
      </c>
      <c r="E2946" t="inlineStr">
        <is>
          <t>SOLLEFTEÅ</t>
        </is>
      </c>
      <c r="F2946" t="inlineStr">
        <is>
          <t>SCA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22118-2024</t>
        </is>
      </c>
      <c r="B2947" s="1" t="n">
        <v>45443</v>
      </c>
      <c r="C2947" s="1" t="n">
        <v>45822</v>
      </c>
      <c r="D2947" t="inlineStr">
        <is>
          <t>VÄSTERNORRLANDS LÄN</t>
        </is>
      </c>
      <c r="E2947" t="inlineStr">
        <is>
          <t>SOLLEFTEÅ</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22471-2024</t>
        </is>
      </c>
      <c r="B2948" s="1" t="n">
        <v>45446</v>
      </c>
      <c r="C2948" s="1" t="n">
        <v>45822</v>
      </c>
      <c r="D2948" t="inlineStr">
        <is>
          <t>VÄSTERNORRLANDS LÄN</t>
        </is>
      </c>
      <c r="E2948" t="inlineStr">
        <is>
          <t>SOLLEFTEÅ</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22475-2024</t>
        </is>
      </c>
      <c r="B2949" s="1" t="n">
        <v>45447</v>
      </c>
      <c r="C2949" s="1" t="n">
        <v>45822</v>
      </c>
      <c r="D2949" t="inlineStr">
        <is>
          <t>VÄSTERNORRLANDS LÄN</t>
        </is>
      </c>
      <c r="E2949" t="inlineStr">
        <is>
          <t>SOLLEFTEÅ</t>
        </is>
      </c>
      <c r="F2949" t="inlineStr">
        <is>
          <t>SCA</t>
        </is>
      </c>
      <c r="G2949" t="n">
        <v>18.5</v>
      </c>
      <c r="H2949" t="n">
        <v>0</v>
      </c>
      <c r="I2949" t="n">
        <v>0</v>
      </c>
      <c r="J2949" t="n">
        <v>0</v>
      </c>
      <c r="K2949" t="n">
        <v>0</v>
      </c>
      <c r="L2949" t="n">
        <v>0</v>
      </c>
      <c r="M2949" t="n">
        <v>0</v>
      </c>
      <c r="N2949" t="n">
        <v>0</v>
      </c>
      <c r="O2949" t="n">
        <v>0</v>
      </c>
      <c r="P2949" t="n">
        <v>0</v>
      </c>
      <c r="Q2949" t="n">
        <v>0</v>
      </c>
      <c r="R2949" s="2" t="inlineStr"/>
    </row>
    <row r="2950" ht="15" customHeight="1">
      <c r="A2950" t="inlineStr">
        <is>
          <t>A 22473-2024</t>
        </is>
      </c>
      <c r="B2950" s="1" t="n">
        <v>45446</v>
      </c>
      <c r="C2950" s="1" t="n">
        <v>45822</v>
      </c>
      <c r="D2950" t="inlineStr">
        <is>
          <t>VÄSTERNORRLANDS LÄN</t>
        </is>
      </c>
      <c r="E2950" t="inlineStr">
        <is>
          <t>SOLLEFTEÅ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22457-2024</t>
        </is>
      </c>
      <c r="B2951" s="1" t="n">
        <v>45446</v>
      </c>
      <c r="C2951" s="1" t="n">
        <v>45822</v>
      </c>
      <c r="D2951" t="inlineStr">
        <is>
          <t>VÄSTERNORRLANDS LÄN</t>
        </is>
      </c>
      <c r="E2951" t="inlineStr">
        <is>
          <t>SOLLEFTEÅ</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22208-2024</t>
        </is>
      </c>
      <c r="B2952" s="1" t="n">
        <v>45446</v>
      </c>
      <c r="C2952" s="1" t="n">
        <v>45822</v>
      </c>
      <c r="D2952" t="inlineStr">
        <is>
          <t>VÄSTERNORRLANDS LÄN</t>
        </is>
      </c>
      <c r="E2952" t="inlineStr">
        <is>
          <t>SOLLEFTEÅ</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22456-2024</t>
        </is>
      </c>
      <c r="B2953" s="1" t="n">
        <v>45447</v>
      </c>
      <c r="C2953" s="1" t="n">
        <v>45822</v>
      </c>
      <c r="D2953" t="inlineStr">
        <is>
          <t>VÄSTERNORRLANDS LÄN</t>
        </is>
      </c>
      <c r="E2953" t="inlineStr">
        <is>
          <t>SOLLEFTEÅ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22468-2024</t>
        </is>
      </c>
      <c r="B2954" s="1" t="n">
        <v>45447</v>
      </c>
      <c r="C2954" s="1" t="n">
        <v>45822</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22472-2024</t>
        </is>
      </c>
      <c r="B2955" s="1" t="n">
        <v>45447</v>
      </c>
      <c r="C2955" s="1" t="n">
        <v>45822</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22476-2024</t>
        </is>
      </c>
      <c r="B2956" s="1" t="n">
        <v>45446</v>
      </c>
      <c r="C2956" s="1" t="n">
        <v>45822</v>
      </c>
      <c r="D2956" t="inlineStr">
        <is>
          <t>VÄSTERNORRLANDS LÄN</t>
        </is>
      </c>
      <c r="E2956" t="inlineStr">
        <is>
          <t>SOLLEFTEÅ</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22462-2024</t>
        </is>
      </c>
      <c r="B2957" s="1" t="n">
        <v>45446</v>
      </c>
      <c r="C2957" s="1" t="n">
        <v>45822</v>
      </c>
      <c r="D2957" t="inlineStr">
        <is>
          <t>VÄSTERNORRLANDS LÄN</t>
        </is>
      </c>
      <c r="E2957" t="inlineStr">
        <is>
          <t>SOLLEFTEÅ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22243-2024</t>
        </is>
      </c>
      <c r="B2958" s="1" t="n">
        <v>45446</v>
      </c>
      <c r="C2958" s="1" t="n">
        <v>45822</v>
      </c>
      <c r="D2958" t="inlineStr">
        <is>
          <t>VÄSTERNORRLANDS LÄN</t>
        </is>
      </c>
      <c r="E2958" t="inlineStr">
        <is>
          <t>SOLLEFTEÅ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22235-2024</t>
        </is>
      </c>
      <c r="B2959" s="1" t="n">
        <v>45446</v>
      </c>
      <c r="C2959" s="1" t="n">
        <v>45822</v>
      </c>
      <c r="D2959" t="inlineStr">
        <is>
          <t>VÄSTERNORRLANDS LÄN</t>
        </is>
      </c>
      <c r="E2959" t="inlineStr">
        <is>
          <t>SOLLEFTEÅ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22671-2024</t>
        </is>
      </c>
      <c r="B2960" s="1" t="n">
        <v>45448</v>
      </c>
      <c r="C2960" s="1" t="n">
        <v>45822</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22675-2024</t>
        </is>
      </c>
      <c r="B2961" s="1" t="n">
        <v>45448</v>
      </c>
      <c r="C2961" s="1" t="n">
        <v>45822</v>
      </c>
      <c r="D2961" t="inlineStr">
        <is>
          <t>VÄSTERNORRLANDS LÄN</t>
        </is>
      </c>
      <c r="E2961" t="inlineStr">
        <is>
          <t>SOLLEFTEÅ</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22666-2024</t>
        </is>
      </c>
      <c r="B2962" s="1" t="n">
        <v>45447</v>
      </c>
      <c r="C2962" s="1" t="n">
        <v>45822</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22661-2024</t>
        </is>
      </c>
      <c r="B2963" s="1" t="n">
        <v>45448</v>
      </c>
      <c r="C2963" s="1" t="n">
        <v>45822</v>
      </c>
      <c r="D2963" t="inlineStr">
        <is>
          <t>VÄSTERNORRLANDS LÄN</t>
        </is>
      </c>
      <c r="E2963" t="inlineStr">
        <is>
          <t>SOLLEFTEÅ</t>
        </is>
      </c>
      <c r="F2963" t="inlineStr">
        <is>
          <t>SCA</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22665-2024</t>
        </is>
      </c>
      <c r="B2964" s="1" t="n">
        <v>45448</v>
      </c>
      <c r="C2964" s="1" t="n">
        <v>45822</v>
      </c>
      <c r="D2964" t="inlineStr">
        <is>
          <t>VÄSTERNORRLANDS LÄN</t>
        </is>
      </c>
      <c r="E2964" t="inlineStr">
        <is>
          <t>SOLLEFTEÅ</t>
        </is>
      </c>
      <c r="F2964" t="inlineStr">
        <is>
          <t>SCA</t>
        </is>
      </c>
      <c r="G2964" t="n">
        <v>35.6</v>
      </c>
      <c r="H2964" t="n">
        <v>0</v>
      </c>
      <c r="I2964" t="n">
        <v>0</v>
      </c>
      <c r="J2964" t="n">
        <v>0</v>
      </c>
      <c r="K2964" t="n">
        <v>0</v>
      </c>
      <c r="L2964" t="n">
        <v>0</v>
      </c>
      <c r="M2964" t="n">
        <v>0</v>
      </c>
      <c r="N2964" t="n">
        <v>0</v>
      </c>
      <c r="O2964" t="n">
        <v>0</v>
      </c>
      <c r="P2964" t="n">
        <v>0</v>
      </c>
      <c r="Q2964" t="n">
        <v>0</v>
      </c>
      <c r="R2964" s="2" t="inlineStr"/>
    </row>
    <row r="2965" ht="15" customHeight="1">
      <c r="A2965" t="inlineStr">
        <is>
          <t>A 22664-2024</t>
        </is>
      </c>
      <c r="B2965" s="1" t="n">
        <v>45448</v>
      </c>
      <c r="C2965" s="1" t="n">
        <v>45822</v>
      </c>
      <c r="D2965" t="inlineStr">
        <is>
          <t>VÄSTERNORRLANDS LÄN</t>
        </is>
      </c>
      <c r="E2965" t="inlineStr">
        <is>
          <t>SOLLEFTEÅ</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22668-2024</t>
        </is>
      </c>
      <c r="B2966" s="1" t="n">
        <v>45448</v>
      </c>
      <c r="C2966" s="1" t="n">
        <v>45822</v>
      </c>
      <c r="D2966" t="inlineStr">
        <is>
          <t>VÄSTERNORRLANDS LÄN</t>
        </is>
      </c>
      <c r="E2966" t="inlineStr">
        <is>
          <t>SOLLEFTEÅ</t>
        </is>
      </c>
      <c r="F2966" t="inlineStr">
        <is>
          <t>SCA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22673-2024</t>
        </is>
      </c>
      <c r="B2967" s="1" t="n">
        <v>45448</v>
      </c>
      <c r="C2967" s="1" t="n">
        <v>45822</v>
      </c>
      <c r="D2967" t="inlineStr">
        <is>
          <t>VÄSTERNORRLANDS LÄN</t>
        </is>
      </c>
      <c r="E2967" t="inlineStr">
        <is>
          <t>SOLLEFTEÅ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22682-2024</t>
        </is>
      </c>
      <c r="B2968" s="1" t="n">
        <v>45447</v>
      </c>
      <c r="C2968" s="1" t="n">
        <v>45822</v>
      </c>
      <c r="D2968" t="inlineStr">
        <is>
          <t>VÄSTERNORRLANDS LÄN</t>
        </is>
      </c>
      <c r="E2968" t="inlineStr">
        <is>
          <t>SOLLEFTEÅ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22672-2024</t>
        </is>
      </c>
      <c r="B2969" s="1" t="n">
        <v>45448</v>
      </c>
      <c r="C2969" s="1" t="n">
        <v>45822</v>
      </c>
      <c r="D2969" t="inlineStr">
        <is>
          <t>VÄSTERNORRLANDS LÄN</t>
        </is>
      </c>
      <c r="E2969" t="inlineStr">
        <is>
          <t>SOLLEFTEÅ</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22690-2024</t>
        </is>
      </c>
      <c r="B2970" s="1" t="n">
        <v>45448</v>
      </c>
      <c r="C2970" s="1" t="n">
        <v>45822</v>
      </c>
      <c r="D2970" t="inlineStr">
        <is>
          <t>VÄSTERNORRLANDS LÄN</t>
        </is>
      </c>
      <c r="E2970" t="inlineStr">
        <is>
          <t>SOLLEFTEÅ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22938-2024</t>
        </is>
      </c>
      <c r="B2971" s="1" t="n">
        <v>45448</v>
      </c>
      <c r="C2971" s="1" t="n">
        <v>45822</v>
      </c>
      <c r="D2971" t="inlineStr">
        <is>
          <t>VÄSTERNORRLANDS LÄN</t>
        </is>
      </c>
      <c r="E2971" t="inlineStr">
        <is>
          <t>SOLLEFTEÅ</t>
        </is>
      </c>
      <c r="F2971" t="inlineStr">
        <is>
          <t>SCA</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22939-2024</t>
        </is>
      </c>
      <c r="B2972" s="1" t="n">
        <v>45449</v>
      </c>
      <c r="C2972" s="1" t="n">
        <v>45822</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23021-2024</t>
        </is>
      </c>
      <c r="B2973" s="1" t="n">
        <v>45450</v>
      </c>
      <c r="C2973" s="1" t="n">
        <v>45822</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23025-2024</t>
        </is>
      </c>
      <c r="B2974" s="1" t="n">
        <v>45450</v>
      </c>
      <c r="C2974" s="1" t="n">
        <v>45822</v>
      </c>
      <c r="D2974" t="inlineStr">
        <is>
          <t>VÄSTERNORRLANDS LÄN</t>
        </is>
      </c>
      <c r="E2974" t="inlineStr">
        <is>
          <t>SOLLEFTEÅ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23542-2024</t>
        </is>
      </c>
      <c r="B2975" s="1" t="n">
        <v>45454</v>
      </c>
      <c r="C2975" s="1" t="n">
        <v>45822</v>
      </c>
      <c r="D2975" t="inlineStr">
        <is>
          <t>VÄSTERNORRLANDS LÄN</t>
        </is>
      </c>
      <c r="E2975" t="inlineStr">
        <is>
          <t>SOLLEFTEÅ</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23530-2024</t>
        </is>
      </c>
      <c r="B2976" s="1" t="n">
        <v>45454</v>
      </c>
      <c r="C2976" s="1" t="n">
        <v>45822</v>
      </c>
      <c r="D2976" t="inlineStr">
        <is>
          <t>VÄSTERNORRLANDS LÄN</t>
        </is>
      </c>
      <c r="E2976" t="inlineStr">
        <is>
          <t>SOLLEFTEÅ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23540-2024</t>
        </is>
      </c>
      <c r="B2977" s="1" t="n">
        <v>45454</v>
      </c>
      <c r="C2977" s="1" t="n">
        <v>45822</v>
      </c>
      <c r="D2977" t="inlineStr">
        <is>
          <t>VÄSTERNORRLANDS LÄN</t>
        </is>
      </c>
      <c r="E2977" t="inlineStr">
        <is>
          <t>SOLLEFTEÅ</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23532-2024</t>
        </is>
      </c>
      <c r="B2978" s="1" t="n">
        <v>45454</v>
      </c>
      <c r="C2978" s="1" t="n">
        <v>45822</v>
      </c>
      <c r="D2978" t="inlineStr">
        <is>
          <t>VÄSTERNORRLANDS LÄN</t>
        </is>
      </c>
      <c r="E2978" t="inlineStr">
        <is>
          <t>SOLLEFTEÅ</t>
        </is>
      </c>
      <c r="F2978" t="inlineStr">
        <is>
          <t>SCA</t>
        </is>
      </c>
      <c r="G2978" t="n">
        <v>15.6</v>
      </c>
      <c r="H2978" t="n">
        <v>0</v>
      </c>
      <c r="I2978" t="n">
        <v>0</v>
      </c>
      <c r="J2978" t="n">
        <v>0</v>
      </c>
      <c r="K2978" t="n">
        <v>0</v>
      </c>
      <c r="L2978" t="n">
        <v>0</v>
      </c>
      <c r="M2978" t="n">
        <v>0</v>
      </c>
      <c r="N2978" t="n">
        <v>0</v>
      </c>
      <c r="O2978" t="n">
        <v>0</v>
      </c>
      <c r="P2978" t="n">
        <v>0</v>
      </c>
      <c r="Q2978" t="n">
        <v>0</v>
      </c>
      <c r="R2978" s="2" t="inlineStr"/>
    </row>
    <row r="2979" ht="15" customHeight="1">
      <c r="A2979" t="inlineStr">
        <is>
          <t>A 23547-2024</t>
        </is>
      </c>
      <c r="B2979" s="1" t="n">
        <v>45454</v>
      </c>
      <c r="C2979" s="1" t="n">
        <v>45822</v>
      </c>
      <c r="D2979" t="inlineStr">
        <is>
          <t>VÄSTERNORRLANDS LÄN</t>
        </is>
      </c>
      <c r="E2979" t="inlineStr">
        <is>
          <t>SOLLEFTEÅ</t>
        </is>
      </c>
      <c r="F2979" t="inlineStr">
        <is>
          <t>SCA</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23529-2024</t>
        </is>
      </c>
      <c r="B2980" s="1" t="n">
        <v>45454</v>
      </c>
      <c r="C2980" s="1" t="n">
        <v>45822</v>
      </c>
      <c r="D2980" t="inlineStr">
        <is>
          <t>VÄSTERNORRLANDS LÄN</t>
        </is>
      </c>
      <c r="E2980" t="inlineStr">
        <is>
          <t>SOLLEFTEÅ</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23541-2024</t>
        </is>
      </c>
      <c r="B2981" s="1" t="n">
        <v>45454</v>
      </c>
      <c r="C2981" s="1" t="n">
        <v>45822</v>
      </c>
      <c r="D2981" t="inlineStr">
        <is>
          <t>VÄSTERNORRLANDS LÄN</t>
        </is>
      </c>
      <c r="E2981" t="inlineStr">
        <is>
          <t>SOLLEFTEÅ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23731-2024</t>
        </is>
      </c>
      <c r="B2982" s="1" t="n">
        <v>45455</v>
      </c>
      <c r="C2982" s="1" t="n">
        <v>45822</v>
      </c>
      <c r="D2982" t="inlineStr">
        <is>
          <t>VÄSTERNORRLANDS LÄN</t>
        </is>
      </c>
      <c r="E2982" t="inlineStr">
        <is>
          <t>SOLLEFTEÅ</t>
        </is>
      </c>
      <c r="F2982" t="inlineStr">
        <is>
          <t>SCA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23730-2024</t>
        </is>
      </c>
      <c r="B2983" s="1" t="n">
        <v>45455</v>
      </c>
      <c r="C2983" s="1" t="n">
        <v>45822</v>
      </c>
      <c r="D2983" t="inlineStr">
        <is>
          <t>VÄSTERNORRLANDS LÄN</t>
        </is>
      </c>
      <c r="E2983" t="inlineStr">
        <is>
          <t>SOLLEFTEÅ</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23936-2024</t>
        </is>
      </c>
      <c r="B2984" s="1" t="n">
        <v>45456</v>
      </c>
      <c r="C2984" s="1" t="n">
        <v>45822</v>
      </c>
      <c r="D2984" t="inlineStr">
        <is>
          <t>VÄSTERNORRLANDS LÄN</t>
        </is>
      </c>
      <c r="E2984" t="inlineStr">
        <is>
          <t>SOLLEFTEÅ</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23969-2024</t>
        </is>
      </c>
      <c r="B2985" s="1" t="n">
        <v>45456</v>
      </c>
      <c r="C2985" s="1" t="n">
        <v>45822</v>
      </c>
      <c r="D2985" t="inlineStr">
        <is>
          <t>VÄSTERNORRLANDS LÄN</t>
        </is>
      </c>
      <c r="E2985" t="inlineStr">
        <is>
          <t>SOLLEFTEÅ</t>
        </is>
      </c>
      <c r="F2985" t="inlineStr">
        <is>
          <t>SCA</t>
        </is>
      </c>
      <c r="G2985" t="n">
        <v>16.7</v>
      </c>
      <c r="H2985" t="n">
        <v>0</v>
      </c>
      <c r="I2985" t="n">
        <v>0</v>
      </c>
      <c r="J2985" t="n">
        <v>0</v>
      </c>
      <c r="K2985" t="n">
        <v>0</v>
      </c>
      <c r="L2985" t="n">
        <v>0</v>
      </c>
      <c r="M2985" t="n">
        <v>0</v>
      </c>
      <c r="N2985" t="n">
        <v>0</v>
      </c>
      <c r="O2985" t="n">
        <v>0</v>
      </c>
      <c r="P2985" t="n">
        <v>0</v>
      </c>
      <c r="Q2985" t="n">
        <v>0</v>
      </c>
      <c r="R2985" s="2" t="inlineStr"/>
    </row>
    <row r="2986" ht="15" customHeight="1">
      <c r="A2986" t="inlineStr">
        <is>
          <t>A 23935-2024</t>
        </is>
      </c>
      <c r="B2986" s="1" t="n">
        <v>45456</v>
      </c>
      <c r="C2986" s="1" t="n">
        <v>45822</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23968-2024</t>
        </is>
      </c>
      <c r="B2987" s="1" t="n">
        <v>45456</v>
      </c>
      <c r="C2987" s="1" t="n">
        <v>45822</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24199-2024</t>
        </is>
      </c>
      <c r="B2988" s="1" t="n">
        <v>45457</v>
      </c>
      <c r="C2988" s="1" t="n">
        <v>45822</v>
      </c>
      <c r="D2988" t="inlineStr">
        <is>
          <t>VÄSTERNORRLANDS LÄN</t>
        </is>
      </c>
      <c r="E2988" t="inlineStr">
        <is>
          <t>SOLLEFTEÅ</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24211-2024</t>
        </is>
      </c>
      <c r="B2989" s="1" t="n">
        <v>45457</v>
      </c>
      <c r="C2989" s="1" t="n">
        <v>45822</v>
      </c>
      <c r="D2989" t="inlineStr">
        <is>
          <t>VÄSTERNORRLANDS LÄN</t>
        </is>
      </c>
      <c r="E2989" t="inlineStr">
        <is>
          <t>SOLLEFTEÅ</t>
        </is>
      </c>
      <c r="F2989" t="inlineStr">
        <is>
          <t>SCA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24209-2024</t>
        </is>
      </c>
      <c r="B2990" s="1" t="n">
        <v>45457</v>
      </c>
      <c r="C2990" s="1" t="n">
        <v>45822</v>
      </c>
      <c r="D2990" t="inlineStr">
        <is>
          <t>VÄSTERNORRLANDS LÄN</t>
        </is>
      </c>
      <c r="E2990" t="inlineStr">
        <is>
          <t>SOLLEFTEÅ</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24210-2024</t>
        </is>
      </c>
      <c r="B2991" s="1" t="n">
        <v>45457</v>
      </c>
      <c r="C2991" s="1" t="n">
        <v>45822</v>
      </c>
      <c r="D2991" t="inlineStr">
        <is>
          <t>VÄSTERNORRLANDS LÄN</t>
        </is>
      </c>
      <c r="E2991" t="inlineStr">
        <is>
          <t>SOLLEFTEÅ</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24208-2024</t>
        </is>
      </c>
      <c r="B2992" s="1" t="n">
        <v>45457</v>
      </c>
      <c r="C2992" s="1" t="n">
        <v>45822</v>
      </c>
      <c r="D2992" t="inlineStr">
        <is>
          <t>VÄSTERNORRLANDS LÄN</t>
        </is>
      </c>
      <c r="E2992" t="inlineStr">
        <is>
          <t>SOLLEFTEÅ</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24461-2024</t>
        </is>
      </c>
      <c r="B2993" s="1" t="n">
        <v>45458</v>
      </c>
      <c r="C2993" s="1" t="n">
        <v>45822</v>
      </c>
      <c r="D2993" t="inlineStr">
        <is>
          <t>VÄSTERNORRLANDS LÄN</t>
        </is>
      </c>
      <c r="E2993" t="inlineStr">
        <is>
          <t>SOLLEFTEÅ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24239-2024</t>
        </is>
      </c>
      <c r="B2994" s="1" t="n">
        <v>45457</v>
      </c>
      <c r="C2994" s="1" t="n">
        <v>45822</v>
      </c>
      <c r="D2994" t="inlineStr">
        <is>
          <t>VÄSTERNORRLANDS LÄN</t>
        </is>
      </c>
      <c r="E2994" t="inlineStr">
        <is>
          <t>SOLLEFTEÅ</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24777-2024</t>
        </is>
      </c>
      <c r="B2995" s="1" t="n">
        <v>45460</v>
      </c>
      <c r="C2995" s="1" t="n">
        <v>45822</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25023-2024</t>
        </is>
      </c>
      <c r="B2996" s="1" t="n">
        <v>45462</v>
      </c>
      <c r="C2996" s="1" t="n">
        <v>45822</v>
      </c>
      <c r="D2996" t="inlineStr">
        <is>
          <t>VÄSTERNORRLANDS LÄN</t>
        </is>
      </c>
      <c r="E2996" t="inlineStr">
        <is>
          <t>SOLLEFTEÅ</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25035-2024</t>
        </is>
      </c>
      <c r="B2997" s="1" t="n">
        <v>45462</v>
      </c>
      <c r="C2997" s="1" t="n">
        <v>45822</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25026-2024</t>
        </is>
      </c>
      <c r="B2998" s="1" t="n">
        <v>45462</v>
      </c>
      <c r="C2998" s="1" t="n">
        <v>45822</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25356-2024</t>
        </is>
      </c>
      <c r="B2999" s="1" t="n">
        <v>45463</v>
      </c>
      <c r="C2999" s="1" t="n">
        <v>45822</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25364-2024</t>
        </is>
      </c>
      <c r="B3000" s="1" t="n">
        <v>45463</v>
      </c>
      <c r="C3000" s="1" t="n">
        <v>45822</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25363-2024</t>
        </is>
      </c>
      <c r="B3001" s="1" t="n">
        <v>45463</v>
      </c>
      <c r="C3001" s="1" t="n">
        <v>45822</v>
      </c>
      <c r="D3001" t="inlineStr">
        <is>
          <t>VÄSTERNORRLANDS LÄN</t>
        </is>
      </c>
      <c r="E3001" t="inlineStr">
        <is>
          <t>SOLLEFTEÅ</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25384-2024</t>
        </is>
      </c>
      <c r="B3002" s="1" t="n">
        <v>45463</v>
      </c>
      <c r="C3002" s="1" t="n">
        <v>45822</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25334-2024</t>
        </is>
      </c>
      <c r="B3003" s="1" t="n">
        <v>45462</v>
      </c>
      <c r="C3003" s="1" t="n">
        <v>45822</v>
      </c>
      <c r="D3003" t="inlineStr">
        <is>
          <t>VÄSTERNORRLANDS LÄN</t>
        </is>
      </c>
      <c r="E3003" t="inlineStr">
        <is>
          <t>SOLLEFTEÅ</t>
        </is>
      </c>
      <c r="G3003" t="n">
        <v>11.1</v>
      </c>
      <c r="H3003" t="n">
        <v>0</v>
      </c>
      <c r="I3003" t="n">
        <v>0</v>
      </c>
      <c r="J3003" t="n">
        <v>0</v>
      </c>
      <c r="K3003" t="n">
        <v>0</v>
      </c>
      <c r="L3003" t="n">
        <v>0</v>
      </c>
      <c r="M3003" t="n">
        <v>0</v>
      </c>
      <c r="N3003" t="n">
        <v>0</v>
      </c>
      <c r="O3003" t="n">
        <v>0</v>
      </c>
      <c r="P3003" t="n">
        <v>0</v>
      </c>
      <c r="Q3003" t="n">
        <v>0</v>
      </c>
      <c r="R3003" s="2" t="inlineStr"/>
    </row>
    <row r="3004" ht="15" customHeight="1">
      <c r="A3004" t="inlineStr">
        <is>
          <t>A 25357-2024</t>
        </is>
      </c>
      <c r="B3004" s="1" t="n">
        <v>45462</v>
      </c>
      <c r="C3004" s="1" t="n">
        <v>45822</v>
      </c>
      <c r="D3004" t="inlineStr">
        <is>
          <t>VÄSTERNORRLANDS LÄN</t>
        </is>
      </c>
      <c r="E3004" t="inlineStr">
        <is>
          <t>SOLLEFTEÅ</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25139-2024</t>
        </is>
      </c>
      <c r="B3005" s="1" t="n">
        <v>45462</v>
      </c>
      <c r="C3005" s="1" t="n">
        <v>45822</v>
      </c>
      <c r="D3005" t="inlineStr">
        <is>
          <t>VÄSTERNORRLANDS LÄN</t>
        </is>
      </c>
      <c r="E3005" t="inlineStr">
        <is>
          <t>SOLLEFTEÅ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25131-2024</t>
        </is>
      </c>
      <c r="B3006" s="1" t="n">
        <v>45462</v>
      </c>
      <c r="C3006" s="1" t="n">
        <v>45822</v>
      </c>
      <c r="D3006" t="inlineStr">
        <is>
          <t>VÄSTERNORRLANDS LÄN</t>
        </is>
      </c>
      <c r="E3006" t="inlineStr">
        <is>
          <t>SOLLEFTEÅ</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25703-2024</t>
        </is>
      </c>
      <c r="B3007" s="1" t="n">
        <v>45463</v>
      </c>
      <c r="C3007" s="1" t="n">
        <v>45822</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25711-2024</t>
        </is>
      </c>
      <c r="B3008" s="1" t="n">
        <v>45463</v>
      </c>
      <c r="C3008" s="1" t="n">
        <v>45822</v>
      </c>
      <c r="D3008" t="inlineStr">
        <is>
          <t>VÄSTERNORRLANDS LÄN</t>
        </is>
      </c>
      <c r="E3008" t="inlineStr">
        <is>
          <t>SOLLEFTEÅ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25704-2024</t>
        </is>
      </c>
      <c r="B3009" s="1" t="n">
        <v>45464</v>
      </c>
      <c r="C3009" s="1" t="n">
        <v>45822</v>
      </c>
      <c r="D3009" t="inlineStr">
        <is>
          <t>VÄSTERNORRLANDS LÄN</t>
        </is>
      </c>
      <c r="E3009" t="inlineStr">
        <is>
          <t>SOLLEFTEÅ</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25702-2024</t>
        </is>
      </c>
      <c r="B3010" s="1" t="n">
        <v>45463</v>
      </c>
      <c r="C3010" s="1" t="n">
        <v>45822</v>
      </c>
      <c r="D3010" t="inlineStr">
        <is>
          <t>VÄSTERNORRLANDS LÄN</t>
        </is>
      </c>
      <c r="E3010" t="inlineStr">
        <is>
          <t>SOLLEFTEÅ</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25514-2024</t>
        </is>
      </c>
      <c r="B3011" s="1" t="n">
        <v>45463</v>
      </c>
      <c r="C3011" s="1" t="n">
        <v>45822</v>
      </c>
      <c r="D3011" t="inlineStr">
        <is>
          <t>VÄSTERNORRLANDS LÄN</t>
        </is>
      </c>
      <c r="E3011" t="inlineStr">
        <is>
          <t>SOLLEFTEÅ</t>
        </is>
      </c>
      <c r="F3011" t="inlineStr">
        <is>
          <t>Kyrkan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25799-2024</t>
        </is>
      </c>
      <c r="B3012" s="1" t="n">
        <v>45463</v>
      </c>
      <c r="C3012" s="1" t="n">
        <v>45822</v>
      </c>
      <c r="D3012" t="inlineStr">
        <is>
          <t>VÄSTERNORRLANDS LÄN</t>
        </is>
      </c>
      <c r="E3012" t="inlineStr">
        <is>
          <t>SOLLEFTEÅ</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25847-2024</t>
        </is>
      </c>
      <c r="B3013" s="1" t="n">
        <v>45467</v>
      </c>
      <c r="C3013" s="1" t="n">
        <v>45822</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25851-2024</t>
        </is>
      </c>
      <c r="B3014" s="1" t="n">
        <v>45467</v>
      </c>
      <c r="C3014" s="1" t="n">
        <v>45822</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25907-2024</t>
        </is>
      </c>
      <c r="B3015" s="1" t="n">
        <v>45467</v>
      </c>
      <c r="C3015" s="1" t="n">
        <v>45822</v>
      </c>
      <c r="D3015" t="inlineStr">
        <is>
          <t>VÄSTERNORRLANDS LÄN</t>
        </is>
      </c>
      <c r="E3015" t="inlineStr">
        <is>
          <t>SOLLEFTEÅ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26005-2024</t>
        </is>
      </c>
      <c r="B3016" s="1" t="n">
        <v>45468</v>
      </c>
      <c r="C3016" s="1" t="n">
        <v>45822</v>
      </c>
      <c r="D3016" t="inlineStr">
        <is>
          <t>VÄSTERNORRLANDS LÄN</t>
        </is>
      </c>
      <c r="E3016" t="inlineStr">
        <is>
          <t>SOLLEFTEÅ</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26022-2024</t>
        </is>
      </c>
      <c r="B3017" s="1" t="n">
        <v>45467</v>
      </c>
      <c r="C3017" s="1" t="n">
        <v>45822</v>
      </c>
      <c r="D3017" t="inlineStr">
        <is>
          <t>VÄSTERNORRLANDS LÄN</t>
        </is>
      </c>
      <c r="E3017" t="inlineStr">
        <is>
          <t>SOLLEFTEÅ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26046-2024</t>
        </is>
      </c>
      <c r="B3018" s="1" t="n">
        <v>45467</v>
      </c>
      <c r="C3018" s="1" t="n">
        <v>45822</v>
      </c>
      <c r="D3018" t="inlineStr">
        <is>
          <t>VÄSTERNORRLANDS LÄN</t>
        </is>
      </c>
      <c r="E3018" t="inlineStr">
        <is>
          <t>SOLLEFTEÅ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26023-2024</t>
        </is>
      </c>
      <c r="B3019" s="1" t="n">
        <v>45468</v>
      </c>
      <c r="C3019" s="1" t="n">
        <v>45822</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26391-2024</t>
        </is>
      </c>
      <c r="B3020" s="1" t="n">
        <v>45468</v>
      </c>
      <c r="C3020" s="1" t="n">
        <v>45822</v>
      </c>
      <c r="D3020" t="inlineStr">
        <is>
          <t>VÄSTERNORRLANDS LÄN</t>
        </is>
      </c>
      <c r="E3020" t="inlineStr">
        <is>
          <t>SOLLEFTEÅ</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26325-2024</t>
        </is>
      </c>
      <c r="B3021" s="1" t="n">
        <v>45468</v>
      </c>
      <c r="C3021" s="1" t="n">
        <v>45822</v>
      </c>
      <c r="D3021" t="inlineStr">
        <is>
          <t>VÄSTERNORRLANDS LÄN</t>
        </is>
      </c>
      <c r="E3021" t="inlineStr">
        <is>
          <t>SOLLEFTEÅ</t>
        </is>
      </c>
      <c r="F3021" t="inlineStr">
        <is>
          <t>SCA</t>
        </is>
      </c>
      <c r="G3021" t="n">
        <v>11.8</v>
      </c>
      <c r="H3021" t="n">
        <v>0</v>
      </c>
      <c r="I3021" t="n">
        <v>0</v>
      </c>
      <c r="J3021" t="n">
        <v>0</v>
      </c>
      <c r="K3021" t="n">
        <v>0</v>
      </c>
      <c r="L3021" t="n">
        <v>0</v>
      </c>
      <c r="M3021" t="n">
        <v>0</v>
      </c>
      <c r="N3021" t="n">
        <v>0</v>
      </c>
      <c r="O3021" t="n">
        <v>0</v>
      </c>
      <c r="P3021" t="n">
        <v>0</v>
      </c>
      <c r="Q3021" t="n">
        <v>0</v>
      </c>
      <c r="R3021" s="2" t="inlineStr"/>
    </row>
    <row r="3022" ht="15" customHeight="1">
      <c r="A3022" t="inlineStr">
        <is>
          <t>A 26323-2024</t>
        </is>
      </c>
      <c r="B3022" s="1" t="n">
        <v>45469</v>
      </c>
      <c r="C3022" s="1" t="n">
        <v>45822</v>
      </c>
      <c r="D3022" t="inlineStr">
        <is>
          <t>VÄSTERNORRLANDS LÄN</t>
        </is>
      </c>
      <c r="E3022" t="inlineStr">
        <is>
          <t>SOLLEFTEÅ</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26319-2024</t>
        </is>
      </c>
      <c r="B3023" s="1" t="n">
        <v>45469</v>
      </c>
      <c r="C3023" s="1" t="n">
        <v>45822</v>
      </c>
      <c r="D3023" t="inlineStr">
        <is>
          <t>VÄSTERNORRLANDS LÄN</t>
        </is>
      </c>
      <c r="E3023" t="inlineStr">
        <is>
          <t>SOLLEFTEÅ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26172-2024</t>
        </is>
      </c>
      <c r="B3024" s="1" t="n">
        <v>45468</v>
      </c>
      <c r="C3024" s="1" t="n">
        <v>45822</v>
      </c>
      <c r="D3024" t="inlineStr">
        <is>
          <t>VÄSTERNORRLANDS LÄN</t>
        </is>
      </c>
      <c r="E3024" t="inlineStr">
        <is>
          <t>SOLLEFTEÅ</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26163-2024</t>
        </is>
      </c>
      <c r="B3025" s="1" t="n">
        <v>45468</v>
      </c>
      <c r="C3025" s="1" t="n">
        <v>45822</v>
      </c>
      <c r="D3025" t="inlineStr">
        <is>
          <t>VÄSTERNORRLANDS LÄN</t>
        </is>
      </c>
      <c r="E3025" t="inlineStr">
        <is>
          <t>SOLLEFTEÅ</t>
        </is>
      </c>
      <c r="G3025" t="n">
        <v>16.9</v>
      </c>
      <c r="H3025" t="n">
        <v>0</v>
      </c>
      <c r="I3025" t="n">
        <v>0</v>
      </c>
      <c r="J3025" t="n">
        <v>0</v>
      </c>
      <c r="K3025" t="n">
        <v>0</v>
      </c>
      <c r="L3025" t="n">
        <v>0</v>
      </c>
      <c r="M3025" t="n">
        <v>0</v>
      </c>
      <c r="N3025" t="n">
        <v>0</v>
      </c>
      <c r="O3025" t="n">
        <v>0</v>
      </c>
      <c r="P3025" t="n">
        <v>0</v>
      </c>
      <c r="Q3025" t="n">
        <v>0</v>
      </c>
      <c r="R3025" s="2" t="inlineStr"/>
    </row>
    <row r="3026" ht="15" customHeight="1">
      <c r="A3026" t="inlineStr">
        <is>
          <t>A 26296-2024</t>
        </is>
      </c>
      <c r="B3026" s="1" t="n">
        <v>45468</v>
      </c>
      <c r="C3026" s="1" t="n">
        <v>45822</v>
      </c>
      <c r="D3026" t="inlineStr">
        <is>
          <t>VÄSTERNORRLANDS LÄN</t>
        </is>
      </c>
      <c r="E3026" t="inlineStr">
        <is>
          <t>SOLLEFTEÅ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26444-2024</t>
        </is>
      </c>
      <c r="B3027" s="1" t="n">
        <v>45469</v>
      </c>
      <c r="C3027" s="1" t="n">
        <v>45822</v>
      </c>
      <c r="D3027" t="inlineStr">
        <is>
          <t>VÄSTERNORRLANDS LÄN</t>
        </is>
      </c>
      <c r="E3027" t="inlineStr">
        <is>
          <t>SOLLEFTEÅ</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26500-2024</t>
        </is>
      </c>
      <c r="B3028" s="1" t="n">
        <v>45469</v>
      </c>
      <c r="C3028" s="1" t="n">
        <v>45822</v>
      </c>
      <c r="D3028" t="inlineStr">
        <is>
          <t>VÄSTERNORRLANDS LÄN</t>
        </is>
      </c>
      <c r="E3028" t="inlineStr">
        <is>
          <t>SOLLEFTEÅ</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26655-2024</t>
        </is>
      </c>
      <c r="B3029" s="1" t="n">
        <v>45469</v>
      </c>
      <c r="C3029" s="1" t="n">
        <v>45822</v>
      </c>
      <c r="D3029" t="inlineStr">
        <is>
          <t>VÄSTERNORRLANDS LÄN</t>
        </is>
      </c>
      <c r="E3029" t="inlineStr">
        <is>
          <t>SOLLEFTEÅ</t>
        </is>
      </c>
      <c r="F3029" t="inlineStr">
        <is>
          <t>SCA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26962-2024</t>
        </is>
      </c>
      <c r="B3030" s="1" t="n">
        <v>45471</v>
      </c>
      <c r="C3030" s="1" t="n">
        <v>45822</v>
      </c>
      <c r="D3030" t="inlineStr">
        <is>
          <t>VÄSTERNORRLANDS LÄN</t>
        </is>
      </c>
      <c r="E3030" t="inlineStr">
        <is>
          <t>SOLLEFTEÅ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26955-2024</t>
        </is>
      </c>
      <c r="B3031" s="1" t="n">
        <v>45471</v>
      </c>
      <c r="C3031" s="1" t="n">
        <v>45822</v>
      </c>
      <c r="D3031" t="inlineStr">
        <is>
          <t>VÄSTERNORRLANDS LÄN</t>
        </is>
      </c>
      <c r="E3031" t="inlineStr">
        <is>
          <t>SOLLEFTEÅ</t>
        </is>
      </c>
      <c r="F3031" t="inlineStr">
        <is>
          <t>SCA</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26963-2024</t>
        </is>
      </c>
      <c r="B3032" s="1" t="n">
        <v>45471</v>
      </c>
      <c r="C3032" s="1" t="n">
        <v>45822</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26890-2024</t>
        </is>
      </c>
      <c r="B3033" s="1" t="n">
        <v>45470</v>
      </c>
      <c r="C3033" s="1" t="n">
        <v>45822</v>
      </c>
      <c r="D3033" t="inlineStr">
        <is>
          <t>VÄSTERNORRLANDS LÄN</t>
        </is>
      </c>
      <c r="E3033" t="inlineStr">
        <is>
          <t>SOLLEFTEÅ</t>
        </is>
      </c>
      <c r="F3033" t="inlineStr">
        <is>
          <t>Holmen skog AB</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26936-2024</t>
        </is>
      </c>
      <c r="B3034" s="1" t="n">
        <v>45470</v>
      </c>
      <c r="C3034" s="1" t="n">
        <v>45822</v>
      </c>
      <c r="D3034" t="inlineStr">
        <is>
          <t>VÄSTERNORRLANDS LÄN</t>
        </is>
      </c>
      <c r="E3034" t="inlineStr">
        <is>
          <t>SOLLEFTEÅ</t>
        </is>
      </c>
      <c r="F3034" t="inlineStr">
        <is>
          <t>SCA</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26941-2024</t>
        </is>
      </c>
      <c r="B3035" s="1" t="n">
        <v>45470</v>
      </c>
      <c r="C3035" s="1" t="n">
        <v>45822</v>
      </c>
      <c r="D3035" t="inlineStr">
        <is>
          <t>VÄSTERNORRLANDS LÄN</t>
        </is>
      </c>
      <c r="E3035" t="inlineStr">
        <is>
          <t>SOLLEFTEÅ</t>
        </is>
      </c>
      <c r="F3035" t="inlineStr">
        <is>
          <t>SCA</t>
        </is>
      </c>
      <c r="G3035" t="n">
        <v>31.9</v>
      </c>
      <c r="H3035" t="n">
        <v>0</v>
      </c>
      <c r="I3035" t="n">
        <v>0</v>
      </c>
      <c r="J3035" t="n">
        <v>0</v>
      </c>
      <c r="K3035" t="n">
        <v>0</v>
      </c>
      <c r="L3035" t="n">
        <v>0</v>
      </c>
      <c r="M3035" t="n">
        <v>0</v>
      </c>
      <c r="N3035" t="n">
        <v>0</v>
      </c>
      <c r="O3035" t="n">
        <v>0</v>
      </c>
      <c r="P3035" t="n">
        <v>0</v>
      </c>
      <c r="Q3035" t="n">
        <v>0</v>
      </c>
      <c r="R3035" s="2" t="inlineStr"/>
    </row>
    <row r="3036" ht="15" customHeight="1">
      <c r="A3036" t="inlineStr">
        <is>
          <t>A 26937-2024</t>
        </is>
      </c>
      <c r="B3036" s="1" t="n">
        <v>45471</v>
      </c>
      <c r="C3036" s="1" t="n">
        <v>45822</v>
      </c>
      <c r="D3036" t="inlineStr">
        <is>
          <t>VÄSTERNORRLANDS LÄN</t>
        </is>
      </c>
      <c r="E3036" t="inlineStr">
        <is>
          <t>SOLLEFTEÅ</t>
        </is>
      </c>
      <c r="F3036" t="inlineStr">
        <is>
          <t>SCA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27025-2024</t>
        </is>
      </c>
      <c r="B3037" s="1" t="n">
        <v>45471</v>
      </c>
      <c r="C3037" s="1" t="n">
        <v>45822</v>
      </c>
      <c r="D3037" t="inlineStr">
        <is>
          <t>VÄSTERNORRLANDS LÄN</t>
        </is>
      </c>
      <c r="E3037" t="inlineStr">
        <is>
          <t>SOLLEFTEÅ</t>
        </is>
      </c>
      <c r="F3037" t="inlineStr">
        <is>
          <t>Holmen skog AB</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27071-2024</t>
        </is>
      </c>
      <c r="B3038" s="1" t="n">
        <v>45471</v>
      </c>
      <c r="C3038" s="1" t="n">
        <v>45822</v>
      </c>
      <c r="D3038" t="inlineStr">
        <is>
          <t>VÄSTERNORRLANDS LÄN</t>
        </is>
      </c>
      <c r="E3038" t="inlineStr">
        <is>
          <t>SOLLEFTEÅ</t>
        </is>
      </c>
      <c r="F3038" t="inlineStr">
        <is>
          <t>Holmen skog AB</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27293-2024</t>
        </is>
      </c>
      <c r="B3039" s="1" t="n">
        <v>45472</v>
      </c>
      <c r="C3039" s="1" t="n">
        <v>45822</v>
      </c>
      <c r="D3039" t="inlineStr">
        <is>
          <t>VÄSTERNORRLANDS LÄN</t>
        </is>
      </c>
      <c r="E3039" t="inlineStr">
        <is>
          <t>SOLLEFTEÅ</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27314-2024</t>
        </is>
      </c>
      <c r="B3040" s="1" t="n">
        <v>45472</v>
      </c>
      <c r="C3040" s="1" t="n">
        <v>45822</v>
      </c>
      <c r="D3040" t="inlineStr">
        <is>
          <t>VÄSTERNORRLANDS LÄN</t>
        </is>
      </c>
      <c r="E3040" t="inlineStr">
        <is>
          <t>SOLLEFTEÅ</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27377-2024</t>
        </is>
      </c>
      <c r="B3041" s="1" t="n">
        <v>45473</v>
      </c>
      <c r="C3041" s="1" t="n">
        <v>45822</v>
      </c>
      <c r="D3041" t="inlineStr">
        <is>
          <t>VÄSTERNORRLANDS LÄN</t>
        </is>
      </c>
      <c r="E3041" t="inlineStr">
        <is>
          <t>SOLLEFTEÅ</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27639-2024</t>
        </is>
      </c>
      <c r="B3042" s="1" t="n">
        <v>45474</v>
      </c>
      <c r="C3042" s="1" t="n">
        <v>45822</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27634-2024</t>
        </is>
      </c>
      <c r="B3043" s="1" t="n">
        <v>45475</v>
      </c>
      <c r="C3043" s="1" t="n">
        <v>45822</v>
      </c>
      <c r="D3043" t="inlineStr">
        <is>
          <t>VÄSTERNORRLANDS LÄN</t>
        </is>
      </c>
      <c r="E3043" t="inlineStr">
        <is>
          <t>SOLLEFTEÅ</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27633-2024</t>
        </is>
      </c>
      <c r="B3044" s="1" t="n">
        <v>45475</v>
      </c>
      <c r="C3044" s="1" t="n">
        <v>45822</v>
      </c>
      <c r="D3044" t="inlineStr">
        <is>
          <t>VÄSTERNORRLANDS LÄN</t>
        </is>
      </c>
      <c r="E3044" t="inlineStr">
        <is>
          <t>SOLLEFTEÅ</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27641-2024</t>
        </is>
      </c>
      <c r="B3045" s="1" t="n">
        <v>45475</v>
      </c>
      <c r="C3045" s="1" t="n">
        <v>45822</v>
      </c>
      <c r="D3045" t="inlineStr">
        <is>
          <t>VÄSTERNORRLANDS LÄN</t>
        </is>
      </c>
      <c r="E3045" t="inlineStr">
        <is>
          <t>SOLLEFTEÅ</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27922-2024</t>
        </is>
      </c>
      <c r="B3046" s="1" t="n">
        <v>45476</v>
      </c>
      <c r="C3046" s="1" t="n">
        <v>45822</v>
      </c>
      <c r="D3046" t="inlineStr">
        <is>
          <t>VÄSTERNORRLANDS LÄN</t>
        </is>
      </c>
      <c r="E3046" t="inlineStr">
        <is>
          <t>SOLLEFTEÅ</t>
        </is>
      </c>
      <c r="F3046" t="inlineStr">
        <is>
          <t>SCA</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27927-2024</t>
        </is>
      </c>
      <c r="B3047" s="1" t="n">
        <v>45475</v>
      </c>
      <c r="C3047" s="1" t="n">
        <v>45822</v>
      </c>
      <c r="D3047" t="inlineStr">
        <is>
          <t>VÄSTERNORRLANDS LÄN</t>
        </is>
      </c>
      <c r="E3047" t="inlineStr">
        <is>
          <t>SOLLEFTEÅ</t>
        </is>
      </c>
      <c r="F3047" t="inlineStr">
        <is>
          <t>SCA</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27911-2024</t>
        </is>
      </c>
      <c r="B3048" s="1" t="n">
        <v>45475</v>
      </c>
      <c r="C3048" s="1" t="n">
        <v>45822</v>
      </c>
      <c r="D3048" t="inlineStr">
        <is>
          <t>VÄSTERNORRLANDS LÄN</t>
        </is>
      </c>
      <c r="E3048" t="inlineStr">
        <is>
          <t>SOLLEFTEÅ</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27908-2024</t>
        </is>
      </c>
      <c r="B3049" s="1" t="n">
        <v>45476</v>
      </c>
      <c r="C3049" s="1" t="n">
        <v>45822</v>
      </c>
      <c r="D3049" t="inlineStr">
        <is>
          <t>VÄSTERNORRLANDS LÄN</t>
        </is>
      </c>
      <c r="E3049" t="inlineStr">
        <is>
          <t>SOLLEFTEÅ</t>
        </is>
      </c>
      <c r="F3049" t="inlineStr">
        <is>
          <t>SCA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27916-2024</t>
        </is>
      </c>
      <c r="B3050" s="1" t="n">
        <v>45476</v>
      </c>
      <c r="C3050" s="1" t="n">
        <v>45822</v>
      </c>
      <c r="D3050" t="inlineStr">
        <is>
          <t>VÄSTERNORRLANDS LÄN</t>
        </is>
      </c>
      <c r="E3050" t="inlineStr">
        <is>
          <t>SOLLEFTEÅ</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27848-2024</t>
        </is>
      </c>
      <c r="B3051" s="1" t="n">
        <v>45475</v>
      </c>
      <c r="C3051" s="1" t="n">
        <v>45822</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27925-2024</t>
        </is>
      </c>
      <c r="B3052" s="1" t="n">
        <v>45475</v>
      </c>
      <c r="C3052" s="1" t="n">
        <v>45822</v>
      </c>
      <c r="D3052" t="inlineStr">
        <is>
          <t>VÄSTERNORRLANDS LÄN</t>
        </is>
      </c>
      <c r="E3052" t="inlineStr">
        <is>
          <t>SOLLEFTEÅ</t>
        </is>
      </c>
      <c r="G3052" t="n">
        <v>19.8</v>
      </c>
      <c r="H3052" t="n">
        <v>0</v>
      </c>
      <c r="I3052" t="n">
        <v>0</v>
      </c>
      <c r="J3052" t="n">
        <v>0</v>
      </c>
      <c r="K3052" t="n">
        <v>0</v>
      </c>
      <c r="L3052" t="n">
        <v>0</v>
      </c>
      <c r="M3052" t="n">
        <v>0</v>
      </c>
      <c r="N3052" t="n">
        <v>0</v>
      </c>
      <c r="O3052" t="n">
        <v>0</v>
      </c>
      <c r="P3052" t="n">
        <v>0</v>
      </c>
      <c r="Q3052" t="n">
        <v>0</v>
      </c>
      <c r="R3052" s="2" t="inlineStr"/>
    </row>
    <row r="3053" ht="15" customHeight="1">
      <c r="A3053" t="inlineStr">
        <is>
          <t>A 27789-2024</t>
        </is>
      </c>
      <c r="B3053" s="1" t="n">
        <v>45475</v>
      </c>
      <c r="C3053" s="1" t="n">
        <v>45822</v>
      </c>
      <c r="D3053" t="inlineStr">
        <is>
          <t>VÄSTERNORRLANDS LÄN</t>
        </is>
      </c>
      <c r="E3053" t="inlineStr">
        <is>
          <t>SOLLEFTEÅ</t>
        </is>
      </c>
      <c r="F3053" t="inlineStr">
        <is>
          <t>SCA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27924-2024</t>
        </is>
      </c>
      <c r="B3054" s="1" t="n">
        <v>45475</v>
      </c>
      <c r="C3054" s="1" t="n">
        <v>45822</v>
      </c>
      <c r="D3054" t="inlineStr">
        <is>
          <t>VÄSTERNORRLANDS LÄN</t>
        </is>
      </c>
      <c r="E3054" t="inlineStr">
        <is>
          <t>SOLLEFTEÅ</t>
        </is>
      </c>
      <c r="F3054" t="inlineStr">
        <is>
          <t>SCA</t>
        </is>
      </c>
      <c r="G3054" t="n">
        <v>23.5</v>
      </c>
      <c r="H3054" t="n">
        <v>0</v>
      </c>
      <c r="I3054" t="n">
        <v>0</v>
      </c>
      <c r="J3054" t="n">
        <v>0</v>
      </c>
      <c r="K3054" t="n">
        <v>0</v>
      </c>
      <c r="L3054" t="n">
        <v>0</v>
      </c>
      <c r="M3054" t="n">
        <v>0</v>
      </c>
      <c r="N3054" t="n">
        <v>0</v>
      </c>
      <c r="O3054" t="n">
        <v>0</v>
      </c>
      <c r="P3054" t="n">
        <v>0</v>
      </c>
      <c r="Q3054" t="n">
        <v>0</v>
      </c>
      <c r="R3054" s="2" t="inlineStr"/>
    </row>
    <row r="3055" ht="15" customHeight="1">
      <c r="A3055" t="inlineStr">
        <is>
          <t>A 27936-2024</t>
        </is>
      </c>
      <c r="B3055" s="1" t="n">
        <v>45476</v>
      </c>
      <c r="C3055" s="1" t="n">
        <v>45822</v>
      </c>
      <c r="D3055" t="inlineStr">
        <is>
          <t>VÄSTERNORRLANDS LÄN</t>
        </is>
      </c>
      <c r="E3055" t="inlineStr">
        <is>
          <t>SOLLEFTEÅ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28159-2024</t>
        </is>
      </c>
      <c r="B3056" s="1" t="n">
        <v>45477</v>
      </c>
      <c r="C3056" s="1" t="n">
        <v>45822</v>
      </c>
      <c r="D3056" t="inlineStr">
        <is>
          <t>VÄSTERNORRLANDS LÄN</t>
        </is>
      </c>
      <c r="E3056" t="inlineStr">
        <is>
          <t>SOLLEFTEÅ</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28164-2024</t>
        </is>
      </c>
      <c r="B3057" s="1" t="n">
        <v>45476</v>
      </c>
      <c r="C3057" s="1" t="n">
        <v>45822</v>
      </c>
      <c r="D3057" t="inlineStr">
        <is>
          <t>VÄSTERNORRLANDS LÄN</t>
        </is>
      </c>
      <c r="E3057" t="inlineStr">
        <is>
          <t>SOLLEFTEÅ</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28170-2024</t>
        </is>
      </c>
      <c r="B3058" s="1" t="n">
        <v>45477</v>
      </c>
      <c r="C3058" s="1" t="n">
        <v>45822</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28162-2024</t>
        </is>
      </c>
      <c r="B3059" s="1" t="n">
        <v>45476</v>
      </c>
      <c r="C3059" s="1" t="n">
        <v>45822</v>
      </c>
      <c r="D3059" t="inlineStr">
        <is>
          <t>VÄSTERNORRLANDS LÄN</t>
        </is>
      </c>
      <c r="E3059" t="inlineStr">
        <is>
          <t>SOLLEFTEÅ</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28327-2024</t>
        </is>
      </c>
      <c r="B3060" s="1" t="n">
        <v>45477</v>
      </c>
      <c r="C3060" s="1" t="n">
        <v>45822</v>
      </c>
      <c r="D3060" t="inlineStr">
        <is>
          <t>VÄSTERNORRLANDS LÄN</t>
        </is>
      </c>
      <c r="E3060" t="inlineStr">
        <is>
          <t>SOLLEFTEÅ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28269-2024</t>
        </is>
      </c>
      <c r="B3061" s="1" t="n">
        <v>45477</v>
      </c>
      <c r="C3061" s="1" t="n">
        <v>45822</v>
      </c>
      <c r="D3061" t="inlineStr">
        <is>
          <t>VÄSTERNORRLANDS LÄN</t>
        </is>
      </c>
      <c r="E3061" t="inlineStr">
        <is>
          <t>SOLLEFTEÅ</t>
        </is>
      </c>
      <c r="F3061" t="inlineStr">
        <is>
          <t>Holmen skog AB</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28499-2024</t>
        </is>
      </c>
      <c r="B3062" s="1" t="n">
        <v>45478</v>
      </c>
      <c r="C3062" s="1" t="n">
        <v>45822</v>
      </c>
      <c r="D3062" t="inlineStr">
        <is>
          <t>VÄSTERNORRLANDS LÄN</t>
        </is>
      </c>
      <c r="E3062" t="inlineStr">
        <is>
          <t>SOLLEFTEÅ</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28354-2024</t>
        </is>
      </c>
      <c r="B3063" s="1" t="n">
        <v>45477</v>
      </c>
      <c r="C3063" s="1" t="n">
        <v>45822</v>
      </c>
      <c r="D3063" t="inlineStr">
        <is>
          <t>VÄSTERNORRLANDS LÄN</t>
        </is>
      </c>
      <c r="E3063" t="inlineStr">
        <is>
          <t>SOLLEFTEÅ</t>
        </is>
      </c>
      <c r="F3063" t="inlineStr">
        <is>
          <t>Holmen skog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28290-2024</t>
        </is>
      </c>
      <c r="B3064" s="1" t="n">
        <v>45477</v>
      </c>
      <c r="C3064" s="1" t="n">
        <v>45822</v>
      </c>
      <c r="D3064" t="inlineStr">
        <is>
          <t>VÄSTERNORRLANDS LÄN</t>
        </is>
      </c>
      <c r="E3064" t="inlineStr">
        <is>
          <t>SOLLEFTEÅ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28579-2024</t>
        </is>
      </c>
      <c r="B3065" s="1" t="n">
        <v>45478</v>
      </c>
      <c r="C3065" s="1" t="n">
        <v>45822</v>
      </c>
      <c r="D3065" t="inlineStr">
        <is>
          <t>VÄSTERNORRLANDS LÄN</t>
        </is>
      </c>
      <c r="E3065" t="inlineStr">
        <is>
          <t>SOLLEFTEÅ</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28576-2024</t>
        </is>
      </c>
      <c r="B3066" s="1" t="n">
        <v>45478</v>
      </c>
      <c r="C3066" s="1" t="n">
        <v>45822</v>
      </c>
      <c r="D3066" t="inlineStr">
        <is>
          <t>VÄSTERNORRLANDS LÄN</t>
        </is>
      </c>
      <c r="E3066" t="inlineStr">
        <is>
          <t>SOLLEFTEÅ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28580-2024</t>
        </is>
      </c>
      <c r="B3067" s="1" t="n">
        <v>45478</v>
      </c>
      <c r="C3067" s="1" t="n">
        <v>45822</v>
      </c>
      <c r="D3067" t="inlineStr">
        <is>
          <t>VÄSTERNORRLANDS LÄN</t>
        </is>
      </c>
      <c r="E3067" t="inlineStr">
        <is>
          <t>SOLLEFTEÅ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28866-2024</t>
        </is>
      </c>
      <c r="B3068" s="1" t="n">
        <v>45478</v>
      </c>
      <c r="C3068" s="1" t="n">
        <v>45822</v>
      </c>
      <c r="D3068" t="inlineStr">
        <is>
          <t>VÄSTERNORRLANDS LÄN</t>
        </is>
      </c>
      <c r="E3068" t="inlineStr">
        <is>
          <t>SOLLEFTEÅ</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28790-2024</t>
        </is>
      </c>
      <c r="B3069" s="1" t="n">
        <v>45478</v>
      </c>
      <c r="C3069" s="1" t="n">
        <v>45822</v>
      </c>
      <c r="D3069" t="inlineStr">
        <is>
          <t>VÄSTERNORRLANDS LÄN</t>
        </is>
      </c>
      <c r="E3069" t="inlineStr">
        <is>
          <t>SOLLEFTEÅ</t>
        </is>
      </c>
      <c r="F3069" t="inlineStr">
        <is>
          <t>Holmen skog AB</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29059-2024</t>
        </is>
      </c>
      <c r="B3070" s="1" t="n">
        <v>45481</v>
      </c>
      <c r="C3070" s="1" t="n">
        <v>45822</v>
      </c>
      <c r="D3070" t="inlineStr">
        <is>
          <t>VÄSTERNORRLANDS LÄN</t>
        </is>
      </c>
      <c r="E3070" t="inlineStr">
        <is>
          <t>SOLLEFTEÅ</t>
        </is>
      </c>
      <c r="F3070" t="inlineStr">
        <is>
          <t>Kyrkan</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29055-2024</t>
        </is>
      </c>
      <c r="B3071" s="1" t="n">
        <v>45481</v>
      </c>
      <c r="C3071" s="1" t="n">
        <v>45822</v>
      </c>
      <c r="D3071" t="inlineStr">
        <is>
          <t>VÄSTERNORRLANDS LÄN</t>
        </is>
      </c>
      <c r="E3071" t="inlineStr">
        <is>
          <t>SOLLEFTEÅ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29054-2024</t>
        </is>
      </c>
      <c r="B3072" s="1" t="n">
        <v>45481</v>
      </c>
      <c r="C3072" s="1" t="n">
        <v>45822</v>
      </c>
      <c r="D3072" t="inlineStr">
        <is>
          <t>VÄSTERNORRLANDS LÄN</t>
        </is>
      </c>
      <c r="E3072" t="inlineStr">
        <is>
          <t>SOLLEFTEÅ</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29211-2024</t>
        </is>
      </c>
      <c r="B3073" s="1" t="n">
        <v>45482</v>
      </c>
      <c r="C3073" s="1" t="n">
        <v>45822</v>
      </c>
      <c r="D3073" t="inlineStr">
        <is>
          <t>VÄSTERNORRLANDS LÄN</t>
        </is>
      </c>
      <c r="E3073" t="inlineStr">
        <is>
          <t>SOLLEFTEÅ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29258-2024</t>
        </is>
      </c>
      <c r="B3074" s="1" t="n">
        <v>45483</v>
      </c>
      <c r="C3074" s="1" t="n">
        <v>45822</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29248-2024</t>
        </is>
      </c>
      <c r="B3075" s="1" t="n">
        <v>45482</v>
      </c>
      <c r="C3075" s="1" t="n">
        <v>45822</v>
      </c>
      <c r="D3075" t="inlineStr">
        <is>
          <t>VÄSTERNORRLANDS LÄN</t>
        </is>
      </c>
      <c r="E3075" t="inlineStr">
        <is>
          <t>SOLLEFTEÅ</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29457-2024</t>
        </is>
      </c>
      <c r="B3076" s="1" t="n">
        <v>45484</v>
      </c>
      <c r="C3076" s="1" t="n">
        <v>45822</v>
      </c>
      <c r="D3076" t="inlineStr">
        <is>
          <t>VÄSTERNORRLANDS LÄN</t>
        </is>
      </c>
      <c r="E3076" t="inlineStr">
        <is>
          <t>SOLLEFTEÅ</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29459-2024</t>
        </is>
      </c>
      <c r="B3077" s="1" t="n">
        <v>45484</v>
      </c>
      <c r="C3077" s="1" t="n">
        <v>45822</v>
      </c>
      <c r="D3077" t="inlineStr">
        <is>
          <t>VÄSTERNORRLANDS LÄN</t>
        </is>
      </c>
      <c r="E3077" t="inlineStr">
        <is>
          <t>SOLLEFTEÅ</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29693-2024</t>
        </is>
      </c>
      <c r="B3078" s="1" t="n">
        <v>45485</v>
      </c>
      <c r="C3078" s="1" t="n">
        <v>45822</v>
      </c>
      <c r="D3078" t="inlineStr">
        <is>
          <t>VÄSTERNORRLANDS LÄN</t>
        </is>
      </c>
      <c r="E3078" t="inlineStr">
        <is>
          <t>SOLLEFTEÅ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29575-2024</t>
        </is>
      </c>
      <c r="B3079" s="1" t="n">
        <v>45484</v>
      </c>
      <c r="C3079" s="1" t="n">
        <v>45822</v>
      </c>
      <c r="D3079" t="inlineStr">
        <is>
          <t>VÄSTERNORRLANDS LÄN</t>
        </is>
      </c>
      <c r="E3079" t="inlineStr">
        <is>
          <t>SOLLEFTEÅ</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29839-2024</t>
        </is>
      </c>
      <c r="B3080" s="1" t="n">
        <v>45485</v>
      </c>
      <c r="C3080" s="1" t="n">
        <v>45822</v>
      </c>
      <c r="D3080" t="inlineStr">
        <is>
          <t>VÄSTERNORRLANDS LÄN</t>
        </is>
      </c>
      <c r="E3080" t="inlineStr">
        <is>
          <t>SOLLEFTEÅ</t>
        </is>
      </c>
      <c r="F3080" t="inlineStr">
        <is>
          <t>Holmen skog AB</t>
        </is>
      </c>
      <c r="G3080" t="n">
        <v>16.1</v>
      </c>
      <c r="H3080" t="n">
        <v>0</v>
      </c>
      <c r="I3080" t="n">
        <v>0</v>
      </c>
      <c r="J3080" t="n">
        <v>0</v>
      </c>
      <c r="K3080" t="n">
        <v>0</v>
      </c>
      <c r="L3080" t="n">
        <v>0</v>
      </c>
      <c r="M3080" t="n">
        <v>0</v>
      </c>
      <c r="N3080" t="n">
        <v>0</v>
      </c>
      <c r="O3080" t="n">
        <v>0</v>
      </c>
      <c r="P3080" t="n">
        <v>0</v>
      </c>
      <c r="Q3080" t="n">
        <v>0</v>
      </c>
      <c r="R3080" s="2" t="inlineStr"/>
    </row>
    <row r="3081" ht="15" customHeight="1">
      <c r="A3081" t="inlineStr">
        <is>
          <t>A 29755-2024</t>
        </is>
      </c>
      <c r="B3081" s="1" t="n">
        <v>45485</v>
      </c>
      <c r="C3081" s="1" t="n">
        <v>45822</v>
      </c>
      <c r="D3081" t="inlineStr">
        <is>
          <t>VÄSTERNORRLANDS LÄN</t>
        </is>
      </c>
      <c r="E3081" t="inlineStr">
        <is>
          <t>SOLLEFTEÅ</t>
        </is>
      </c>
      <c r="F3081" t="inlineStr">
        <is>
          <t>Holmen skog AB</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29870-2024</t>
        </is>
      </c>
      <c r="B3082" s="1" t="n">
        <v>45486</v>
      </c>
      <c r="C3082" s="1" t="n">
        <v>45822</v>
      </c>
      <c r="D3082" t="inlineStr">
        <is>
          <t>VÄSTERNORRLANDS LÄN</t>
        </is>
      </c>
      <c r="E3082" t="inlineStr">
        <is>
          <t>SOLLEFTEÅ</t>
        </is>
      </c>
      <c r="F3082" t="inlineStr">
        <is>
          <t>SCA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29869-2024</t>
        </is>
      </c>
      <c r="B3083" s="1" t="n">
        <v>45486</v>
      </c>
      <c r="C3083" s="1" t="n">
        <v>45822</v>
      </c>
      <c r="D3083" t="inlineStr">
        <is>
          <t>VÄSTERNORRLANDS LÄN</t>
        </is>
      </c>
      <c r="E3083" t="inlineStr">
        <is>
          <t>SOLLEFTEÅ</t>
        </is>
      </c>
      <c r="F3083" t="inlineStr">
        <is>
          <t>SCA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29914-2024</t>
        </is>
      </c>
      <c r="B3084" s="1" t="n">
        <v>45488</v>
      </c>
      <c r="C3084" s="1" t="n">
        <v>45822</v>
      </c>
      <c r="D3084" t="inlineStr">
        <is>
          <t>VÄSTERNORRLANDS LÄN</t>
        </is>
      </c>
      <c r="E3084" t="inlineStr">
        <is>
          <t>SOLLEFTEÅ</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29915-2024</t>
        </is>
      </c>
      <c r="B3085" s="1" t="n">
        <v>45488</v>
      </c>
      <c r="C3085" s="1" t="n">
        <v>45822</v>
      </c>
      <c r="D3085" t="inlineStr">
        <is>
          <t>VÄSTERNORRLANDS LÄN</t>
        </is>
      </c>
      <c r="E3085" t="inlineStr">
        <is>
          <t>SOLLEFTEÅ</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29913-2024</t>
        </is>
      </c>
      <c r="B3086" s="1" t="n">
        <v>45488</v>
      </c>
      <c r="C3086" s="1" t="n">
        <v>45822</v>
      </c>
      <c r="D3086" t="inlineStr">
        <is>
          <t>VÄSTERNORRLANDS LÄN</t>
        </is>
      </c>
      <c r="E3086" t="inlineStr">
        <is>
          <t>SOLLEFTEÅ</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29916-2024</t>
        </is>
      </c>
      <c r="B3087" s="1" t="n">
        <v>45488</v>
      </c>
      <c r="C3087" s="1" t="n">
        <v>45822</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30063-2024</t>
        </is>
      </c>
      <c r="B3088" s="1" t="n">
        <v>45489</v>
      </c>
      <c r="C3088" s="1" t="n">
        <v>45822</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30060-2024</t>
        </is>
      </c>
      <c r="B3089" s="1" t="n">
        <v>45489</v>
      </c>
      <c r="C3089" s="1" t="n">
        <v>45822</v>
      </c>
      <c r="D3089" t="inlineStr">
        <is>
          <t>VÄSTERNORRLANDS LÄN</t>
        </is>
      </c>
      <c r="E3089" t="inlineStr">
        <is>
          <t>SOLLEFTEÅ</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30068-2024</t>
        </is>
      </c>
      <c r="B3090" s="1" t="n">
        <v>45489</v>
      </c>
      <c r="C3090" s="1" t="n">
        <v>45822</v>
      </c>
      <c r="D3090" t="inlineStr">
        <is>
          <t>VÄSTERNORRLANDS LÄN</t>
        </is>
      </c>
      <c r="E3090" t="inlineStr">
        <is>
          <t>SOLLEFTEÅ</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30061-2024</t>
        </is>
      </c>
      <c r="B3091" s="1" t="n">
        <v>45489</v>
      </c>
      <c r="C3091" s="1" t="n">
        <v>45822</v>
      </c>
      <c r="D3091" t="inlineStr">
        <is>
          <t>VÄSTERNORRLANDS LÄN</t>
        </is>
      </c>
      <c r="E3091" t="inlineStr">
        <is>
          <t>SOLLEFTEÅ</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30069-2024</t>
        </is>
      </c>
      <c r="B3092" s="1" t="n">
        <v>45489</v>
      </c>
      <c r="C3092" s="1" t="n">
        <v>45822</v>
      </c>
      <c r="D3092" t="inlineStr">
        <is>
          <t>VÄSTERNORRLANDS LÄN</t>
        </is>
      </c>
      <c r="E3092" t="inlineStr">
        <is>
          <t>SOLLEFTEÅ</t>
        </is>
      </c>
      <c r="F3092" t="inlineStr">
        <is>
          <t>SCA</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30214-2024</t>
        </is>
      </c>
      <c r="B3093" s="1" t="n">
        <v>45490</v>
      </c>
      <c r="C3093" s="1" t="n">
        <v>45822</v>
      </c>
      <c r="D3093" t="inlineStr">
        <is>
          <t>VÄSTERNORRLANDS LÄN</t>
        </is>
      </c>
      <c r="E3093" t="inlineStr">
        <is>
          <t>SOLLEFTEÅ</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30327-2024</t>
        </is>
      </c>
      <c r="B3094" s="1" t="n">
        <v>45491</v>
      </c>
      <c r="C3094" s="1" t="n">
        <v>45822</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30328-2024</t>
        </is>
      </c>
      <c r="B3095" s="1" t="n">
        <v>45491</v>
      </c>
      <c r="C3095" s="1" t="n">
        <v>45822</v>
      </c>
      <c r="D3095" t="inlineStr">
        <is>
          <t>VÄSTERNORRLANDS LÄN</t>
        </is>
      </c>
      <c r="E3095" t="inlineStr">
        <is>
          <t>SOLLEFTEÅ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30329-2024</t>
        </is>
      </c>
      <c r="B3096" s="1" t="n">
        <v>45491</v>
      </c>
      <c r="C3096" s="1" t="n">
        <v>45822</v>
      </c>
      <c r="D3096" t="inlineStr">
        <is>
          <t>VÄSTERNORRLANDS LÄN</t>
        </is>
      </c>
      <c r="E3096" t="inlineStr">
        <is>
          <t>SOLLEFTEÅ</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30325-2024</t>
        </is>
      </c>
      <c r="B3097" s="1" t="n">
        <v>45491</v>
      </c>
      <c r="C3097" s="1" t="n">
        <v>45822</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30466-2024</t>
        </is>
      </c>
      <c r="B3098" s="1" t="n">
        <v>45492</v>
      </c>
      <c r="C3098" s="1" t="n">
        <v>45822</v>
      </c>
      <c r="D3098" t="inlineStr">
        <is>
          <t>VÄSTERNORRLANDS LÄN</t>
        </is>
      </c>
      <c r="E3098" t="inlineStr">
        <is>
          <t>SOLLEFTEÅ</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30476-2024</t>
        </is>
      </c>
      <c r="B3099" s="1" t="n">
        <v>45492</v>
      </c>
      <c r="C3099" s="1" t="n">
        <v>45822</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30464-2024</t>
        </is>
      </c>
      <c r="B3100" s="1" t="n">
        <v>45492</v>
      </c>
      <c r="C3100" s="1" t="n">
        <v>45822</v>
      </c>
      <c r="D3100" t="inlineStr">
        <is>
          <t>VÄSTERNORRLANDS LÄN</t>
        </is>
      </c>
      <c r="E3100" t="inlineStr">
        <is>
          <t>SOLLEFTEÅ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30570-2024</t>
        </is>
      </c>
      <c r="B3101" s="1" t="n">
        <v>45493</v>
      </c>
      <c r="C3101" s="1" t="n">
        <v>45822</v>
      </c>
      <c r="D3101" t="inlineStr">
        <is>
          <t>VÄSTERNORRLANDS LÄN</t>
        </is>
      </c>
      <c r="E3101" t="inlineStr">
        <is>
          <t>SOLLEFTEÅ</t>
        </is>
      </c>
      <c r="F3101" t="inlineStr">
        <is>
          <t>SCA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30812-2024</t>
        </is>
      </c>
      <c r="B3102" s="1" t="n">
        <v>45497</v>
      </c>
      <c r="C3102" s="1" t="n">
        <v>45822</v>
      </c>
      <c r="D3102" t="inlineStr">
        <is>
          <t>VÄSTERNORRLANDS LÄN</t>
        </is>
      </c>
      <c r="E3102" t="inlineStr">
        <is>
          <t>SOLLEFTEÅ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31521-2024</t>
        </is>
      </c>
      <c r="B3103" s="1" t="n">
        <v>45505</v>
      </c>
      <c r="C3103" s="1" t="n">
        <v>45822</v>
      </c>
      <c r="D3103" t="inlineStr">
        <is>
          <t>VÄSTERNORRLANDS LÄN</t>
        </is>
      </c>
      <c r="E3103" t="inlineStr">
        <is>
          <t>SOLLEFTEÅ</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31482-2024</t>
        </is>
      </c>
      <c r="B3104" s="1" t="n">
        <v>45505</v>
      </c>
      <c r="C3104" s="1" t="n">
        <v>45822</v>
      </c>
      <c r="D3104" t="inlineStr">
        <is>
          <t>VÄSTERNORRLANDS LÄN</t>
        </is>
      </c>
      <c r="E3104" t="inlineStr">
        <is>
          <t>SOLLEFTEÅ</t>
        </is>
      </c>
      <c r="F3104" t="inlineStr">
        <is>
          <t>SCA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31555-2024</t>
        </is>
      </c>
      <c r="B3105" s="1" t="n">
        <v>45506</v>
      </c>
      <c r="C3105" s="1" t="n">
        <v>45822</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31547-2024</t>
        </is>
      </c>
      <c r="B3106" s="1" t="n">
        <v>45506</v>
      </c>
      <c r="C3106" s="1" t="n">
        <v>45822</v>
      </c>
      <c r="D3106" t="inlineStr">
        <is>
          <t>VÄSTERNORRLANDS LÄN</t>
        </is>
      </c>
      <c r="E3106" t="inlineStr">
        <is>
          <t>SOLLEFTEÅ</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31556-2024</t>
        </is>
      </c>
      <c r="B3107" s="1" t="n">
        <v>45505</v>
      </c>
      <c r="C3107" s="1" t="n">
        <v>45822</v>
      </c>
      <c r="D3107" t="inlineStr">
        <is>
          <t>VÄSTERNORRLANDS LÄN</t>
        </is>
      </c>
      <c r="E3107" t="inlineStr">
        <is>
          <t>SOLLEFTEÅ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31480-2024</t>
        </is>
      </c>
      <c r="B3108" s="1" t="n">
        <v>45506</v>
      </c>
      <c r="C3108" s="1" t="n">
        <v>45822</v>
      </c>
      <c r="D3108" t="inlineStr">
        <is>
          <t>VÄSTERNORRLANDS LÄN</t>
        </is>
      </c>
      <c r="E3108" t="inlineStr">
        <is>
          <t>SOLLEFTEÅ</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31496-2024</t>
        </is>
      </c>
      <c r="B3109" s="1" t="n">
        <v>45506</v>
      </c>
      <c r="C3109" s="1" t="n">
        <v>45822</v>
      </c>
      <c r="D3109" t="inlineStr">
        <is>
          <t>VÄSTERNORRLANDS LÄN</t>
        </is>
      </c>
      <c r="E3109" t="inlineStr">
        <is>
          <t>SOLLEFTEÅ</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31562-2024</t>
        </is>
      </c>
      <c r="B3110" s="1" t="n">
        <v>45505</v>
      </c>
      <c r="C3110" s="1" t="n">
        <v>45822</v>
      </c>
      <c r="D3110" t="inlineStr">
        <is>
          <t>VÄSTERNORRLANDS LÄN</t>
        </is>
      </c>
      <c r="E3110" t="inlineStr">
        <is>
          <t>SOLLEFTEÅ</t>
        </is>
      </c>
      <c r="F3110" t="inlineStr">
        <is>
          <t>SCA</t>
        </is>
      </c>
      <c r="G3110" t="n">
        <v>9.6</v>
      </c>
      <c r="H3110" t="n">
        <v>0</v>
      </c>
      <c r="I3110" t="n">
        <v>0</v>
      </c>
      <c r="J3110" t="n">
        <v>0</v>
      </c>
      <c r="K3110" t="n">
        <v>0</v>
      </c>
      <c r="L3110" t="n">
        <v>0</v>
      </c>
      <c r="M3110" t="n">
        <v>0</v>
      </c>
      <c r="N3110" t="n">
        <v>0</v>
      </c>
      <c r="O3110" t="n">
        <v>0</v>
      </c>
      <c r="P3110" t="n">
        <v>0</v>
      </c>
      <c r="Q3110" t="n">
        <v>0</v>
      </c>
      <c r="R3110" s="2" t="inlineStr"/>
    </row>
    <row r="3111" ht="15" customHeight="1">
      <c r="A3111" t="inlineStr">
        <is>
          <t>A 31549-2024</t>
        </is>
      </c>
      <c r="B3111" s="1" t="n">
        <v>45506</v>
      </c>
      <c r="C3111" s="1" t="n">
        <v>45822</v>
      </c>
      <c r="D3111" t="inlineStr">
        <is>
          <t>VÄSTERNORRLANDS LÄN</t>
        </is>
      </c>
      <c r="E3111" t="inlineStr">
        <is>
          <t>SOLLEFTEÅ</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31537-2024</t>
        </is>
      </c>
      <c r="B3112" s="1" t="n">
        <v>45506</v>
      </c>
      <c r="C3112" s="1" t="n">
        <v>45822</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31511-2024</t>
        </is>
      </c>
      <c r="B3113" s="1" t="n">
        <v>45506</v>
      </c>
      <c r="C3113" s="1" t="n">
        <v>45822</v>
      </c>
      <c r="D3113" t="inlineStr">
        <is>
          <t>VÄSTERNORRLANDS LÄN</t>
        </is>
      </c>
      <c r="E3113" t="inlineStr">
        <is>
          <t>SOLLEFTEÅ</t>
        </is>
      </c>
      <c r="F3113" t="inlineStr">
        <is>
          <t>SCA</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31481-2024</t>
        </is>
      </c>
      <c r="B3114" s="1" t="n">
        <v>45505</v>
      </c>
      <c r="C3114" s="1" t="n">
        <v>45822</v>
      </c>
      <c r="D3114" t="inlineStr">
        <is>
          <t>VÄSTERNORRLANDS LÄN</t>
        </is>
      </c>
      <c r="E3114" t="inlineStr">
        <is>
          <t>SOLLEFTEÅ</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31559-2024</t>
        </is>
      </c>
      <c r="B3115" s="1" t="n">
        <v>45506</v>
      </c>
      <c r="C3115" s="1" t="n">
        <v>45822</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31554-2024</t>
        </is>
      </c>
      <c r="B3116" s="1" t="n">
        <v>45506</v>
      </c>
      <c r="C3116" s="1" t="n">
        <v>45822</v>
      </c>
      <c r="D3116" t="inlineStr">
        <is>
          <t>VÄSTERNORRLANDS LÄN</t>
        </is>
      </c>
      <c r="E3116" t="inlineStr">
        <is>
          <t>SOLLEFTEÅ</t>
        </is>
      </c>
      <c r="F3116" t="inlineStr">
        <is>
          <t>SCA</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31550-2024</t>
        </is>
      </c>
      <c r="B3117" s="1" t="n">
        <v>45505</v>
      </c>
      <c r="C3117" s="1" t="n">
        <v>45822</v>
      </c>
      <c r="D3117" t="inlineStr">
        <is>
          <t>VÄSTERNORRLANDS LÄN</t>
        </is>
      </c>
      <c r="E3117" t="inlineStr">
        <is>
          <t>SOLLEFTEÅ</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31477-2024</t>
        </is>
      </c>
      <c r="B3118" s="1" t="n">
        <v>45505</v>
      </c>
      <c r="C3118" s="1" t="n">
        <v>45822</v>
      </c>
      <c r="D3118" t="inlineStr">
        <is>
          <t>VÄSTERNORRLANDS LÄN</t>
        </is>
      </c>
      <c r="E3118" t="inlineStr">
        <is>
          <t>SOLLEFTEÅ</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31528-2024</t>
        </is>
      </c>
      <c r="B3119" s="1" t="n">
        <v>45505</v>
      </c>
      <c r="C3119" s="1" t="n">
        <v>45822</v>
      </c>
      <c r="D3119" t="inlineStr">
        <is>
          <t>VÄSTERNORRLANDS LÄN</t>
        </is>
      </c>
      <c r="E3119" t="inlineStr">
        <is>
          <t>SOLLEFTEÅ</t>
        </is>
      </c>
      <c r="F3119" t="inlineStr">
        <is>
          <t>SCA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31520-2024</t>
        </is>
      </c>
      <c r="B3120" s="1" t="n">
        <v>45505</v>
      </c>
      <c r="C3120" s="1" t="n">
        <v>45822</v>
      </c>
      <c r="D3120" t="inlineStr">
        <is>
          <t>VÄSTERNORRLANDS LÄN</t>
        </is>
      </c>
      <c r="E3120" t="inlineStr">
        <is>
          <t>SOLLEFTEÅ</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31516-2024</t>
        </is>
      </c>
      <c r="B3121" s="1" t="n">
        <v>45505</v>
      </c>
      <c r="C3121" s="1" t="n">
        <v>45822</v>
      </c>
      <c r="D3121" t="inlineStr">
        <is>
          <t>VÄSTERNORRLANDS LÄN</t>
        </is>
      </c>
      <c r="E3121" t="inlineStr">
        <is>
          <t>SOLLEFTEÅ</t>
        </is>
      </c>
      <c r="F3121" t="inlineStr">
        <is>
          <t>SCA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31569-2024</t>
        </is>
      </c>
      <c r="B3122" s="1" t="n">
        <v>45505</v>
      </c>
      <c r="C3122" s="1" t="n">
        <v>45822</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31548-2024</t>
        </is>
      </c>
      <c r="B3123" s="1" t="n">
        <v>45506</v>
      </c>
      <c r="C3123" s="1" t="n">
        <v>45822</v>
      </c>
      <c r="D3123" t="inlineStr">
        <is>
          <t>VÄSTERNORRLANDS LÄN</t>
        </is>
      </c>
      <c r="E3123" t="inlineStr">
        <is>
          <t>SOLLEFTEÅ</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31680-2024</t>
        </is>
      </c>
      <c r="B3124" s="1" t="n">
        <v>45507</v>
      </c>
      <c r="C3124" s="1" t="n">
        <v>45822</v>
      </c>
      <c r="D3124" t="inlineStr">
        <is>
          <t>VÄSTERNORRLANDS LÄN</t>
        </is>
      </c>
      <c r="E3124" t="inlineStr">
        <is>
          <t>SOLLEFTEÅ</t>
        </is>
      </c>
      <c r="F3124" t="inlineStr">
        <is>
          <t>SCA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31669-2024</t>
        </is>
      </c>
      <c r="B3125" s="1" t="n">
        <v>45507</v>
      </c>
      <c r="C3125" s="1" t="n">
        <v>45822</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31614-2024</t>
        </is>
      </c>
      <c r="B3126" s="1" t="n">
        <v>45506</v>
      </c>
      <c r="C3126" s="1" t="n">
        <v>45822</v>
      </c>
      <c r="D3126" t="inlineStr">
        <is>
          <t>VÄSTERNORRLANDS LÄN</t>
        </is>
      </c>
      <c r="E3126" t="inlineStr">
        <is>
          <t>SOLLEFTEÅ</t>
        </is>
      </c>
      <c r="F3126" t="inlineStr">
        <is>
          <t>Kommuner</t>
        </is>
      </c>
      <c r="G3126" t="n">
        <v>11.5</v>
      </c>
      <c r="H3126" t="n">
        <v>0</v>
      </c>
      <c r="I3126" t="n">
        <v>0</v>
      </c>
      <c r="J3126" t="n">
        <v>0</v>
      </c>
      <c r="K3126" t="n">
        <v>0</v>
      </c>
      <c r="L3126" t="n">
        <v>0</v>
      </c>
      <c r="M3126" t="n">
        <v>0</v>
      </c>
      <c r="N3126" t="n">
        <v>0</v>
      </c>
      <c r="O3126" t="n">
        <v>0</v>
      </c>
      <c r="P3126" t="n">
        <v>0</v>
      </c>
      <c r="Q3126" t="n">
        <v>0</v>
      </c>
      <c r="R3126" s="2" t="inlineStr"/>
    </row>
    <row r="3127" ht="15" customHeight="1">
      <c r="A3127" t="inlineStr">
        <is>
          <t>A 31681-2024</t>
        </is>
      </c>
      <c r="B3127" s="1" t="n">
        <v>45507</v>
      </c>
      <c r="C3127" s="1" t="n">
        <v>45822</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31658-2024</t>
        </is>
      </c>
      <c r="B3128" s="1" t="n">
        <v>45506</v>
      </c>
      <c r="C3128" s="1" t="n">
        <v>45822</v>
      </c>
      <c r="D3128" t="inlineStr">
        <is>
          <t>VÄSTERNORRLANDS LÄN</t>
        </is>
      </c>
      <c r="E3128" t="inlineStr">
        <is>
          <t>SOLLEFTEÅ</t>
        </is>
      </c>
      <c r="G3128" t="n">
        <v>15.5</v>
      </c>
      <c r="H3128" t="n">
        <v>0</v>
      </c>
      <c r="I3128" t="n">
        <v>0</v>
      </c>
      <c r="J3128" t="n">
        <v>0</v>
      </c>
      <c r="K3128" t="n">
        <v>0</v>
      </c>
      <c r="L3128" t="n">
        <v>0</v>
      </c>
      <c r="M3128" t="n">
        <v>0</v>
      </c>
      <c r="N3128" t="n">
        <v>0</v>
      </c>
      <c r="O3128" t="n">
        <v>0</v>
      </c>
      <c r="P3128" t="n">
        <v>0</v>
      </c>
      <c r="Q3128" t="n">
        <v>0</v>
      </c>
      <c r="R3128" s="2" t="inlineStr"/>
    </row>
    <row r="3129" ht="15" customHeight="1">
      <c r="A3129" t="inlineStr">
        <is>
          <t>A 31662-2024</t>
        </is>
      </c>
      <c r="B3129" s="1" t="n">
        <v>45507</v>
      </c>
      <c r="C3129" s="1" t="n">
        <v>45822</v>
      </c>
      <c r="D3129" t="inlineStr">
        <is>
          <t>VÄSTERNORRLANDS LÄN</t>
        </is>
      </c>
      <c r="E3129" t="inlineStr">
        <is>
          <t>SOLLEFTEÅ</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31670-2024</t>
        </is>
      </c>
      <c r="B3130" s="1" t="n">
        <v>45507</v>
      </c>
      <c r="C3130" s="1" t="n">
        <v>45822</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31686-2024</t>
        </is>
      </c>
      <c r="B3131" s="1" t="n">
        <v>45506</v>
      </c>
      <c r="C3131" s="1" t="n">
        <v>45822</v>
      </c>
      <c r="D3131" t="inlineStr">
        <is>
          <t>VÄSTERNORRLANDS LÄN</t>
        </is>
      </c>
      <c r="E3131" t="inlineStr">
        <is>
          <t>SOLLEFTEÅ</t>
        </is>
      </c>
      <c r="F3131" t="inlineStr">
        <is>
          <t>SCA</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31708-2024</t>
        </is>
      </c>
      <c r="B3132" s="1" t="n">
        <v>45509</v>
      </c>
      <c r="C3132" s="1" t="n">
        <v>45822</v>
      </c>
      <c r="D3132" t="inlineStr">
        <is>
          <t>VÄSTERNORRLANDS LÄN</t>
        </is>
      </c>
      <c r="E3132" t="inlineStr">
        <is>
          <t>SOLLEFTEÅ</t>
        </is>
      </c>
      <c r="F3132" t="inlineStr">
        <is>
          <t>SCA</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31807-2024</t>
        </is>
      </c>
      <c r="B3133" s="1" t="n">
        <v>45509</v>
      </c>
      <c r="C3133" s="1" t="n">
        <v>45822</v>
      </c>
      <c r="D3133" t="inlineStr">
        <is>
          <t>VÄSTERNORRLANDS LÄN</t>
        </is>
      </c>
      <c r="E3133" t="inlineStr">
        <is>
          <t>SOLLEFTEÅ</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31886-2024</t>
        </is>
      </c>
      <c r="B3134" s="1" t="n">
        <v>45510</v>
      </c>
      <c r="C3134" s="1" t="n">
        <v>45822</v>
      </c>
      <c r="D3134" t="inlineStr">
        <is>
          <t>VÄSTERNORRLANDS LÄN</t>
        </is>
      </c>
      <c r="E3134" t="inlineStr">
        <is>
          <t>SOLLEFTEÅ</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31881-2024</t>
        </is>
      </c>
      <c r="B3135" s="1" t="n">
        <v>45509</v>
      </c>
      <c r="C3135" s="1" t="n">
        <v>45822</v>
      </c>
      <c r="D3135" t="inlineStr">
        <is>
          <t>VÄSTERNORRLANDS LÄN</t>
        </is>
      </c>
      <c r="E3135" t="inlineStr">
        <is>
          <t>SOLLEFTEÅ</t>
        </is>
      </c>
      <c r="F3135" t="inlineStr">
        <is>
          <t>SCA</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31889-2024</t>
        </is>
      </c>
      <c r="B3136" s="1" t="n">
        <v>45510</v>
      </c>
      <c r="C3136" s="1" t="n">
        <v>45822</v>
      </c>
      <c r="D3136" t="inlineStr">
        <is>
          <t>VÄSTERNORRLANDS LÄN</t>
        </is>
      </c>
      <c r="E3136" t="inlineStr">
        <is>
          <t>SOLLEFTEÅ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31880-2024</t>
        </is>
      </c>
      <c r="B3137" s="1" t="n">
        <v>45509</v>
      </c>
      <c r="C3137" s="1" t="n">
        <v>45822</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32062-2024</t>
        </is>
      </c>
      <c r="B3138" s="1" t="n">
        <v>45510</v>
      </c>
      <c r="C3138" s="1" t="n">
        <v>45822</v>
      </c>
      <c r="D3138" t="inlineStr">
        <is>
          <t>VÄSTERNORRLANDS LÄN</t>
        </is>
      </c>
      <c r="E3138" t="inlineStr">
        <is>
          <t>SOLLEFTEÅ</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32071-2024</t>
        </is>
      </c>
      <c r="B3139" s="1" t="n">
        <v>45511</v>
      </c>
      <c r="C3139" s="1" t="n">
        <v>45822</v>
      </c>
      <c r="D3139" t="inlineStr">
        <is>
          <t>VÄSTERNORRLANDS LÄN</t>
        </is>
      </c>
      <c r="E3139" t="inlineStr">
        <is>
          <t>SOLLEFTEÅ</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32242-2024</t>
        </is>
      </c>
      <c r="B3140" s="1" t="n">
        <v>45512</v>
      </c>
      <c r="C3140" s="1" t="n">
        <v>45822</v>
      </c>
      <c r="D3140" t="inlineStr">
        <is>
          <t>VÄSTERNORRLANDS LÄN</t>
        </is>
      </c>
      <c r="E3140" t="inlineStr">
        <is>
          <t>SOLLEFTEÅ</t>
        </is>
      </c>
      <c r="F3140" t="inlineStr">
        <is>
          <t>SCA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32255-2024</t>
        </is>
      </c>
      <c r="B3141" s="1" t="n">
        <v>45512</v>
      </c>
      <c r="C3141" s="1" t="n">
        <v>45822</v>
      </c>
      <c r="D3141" t="inlineStr">
        <is>
          <t>VÄSTERNORRLANDS LÄN</t>
        </is>
      </c>
      <c r="E3141" t="inlineStr">
        <is>
          <t>SOLLEFTEÅ</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32140-2024</t>
        </is>
      </c>
      <c r="B3142" s="1" t="n">
        <v>45511</v>
      </c>
      <c r="C3142" s="1" t="n">
        <v>45822</v>
      </c>
      <c r="D3142" t="inlineStr">
        <is>
          <t>VÄSTERNORRLANDS LÄN</t>
        </is>
      </c>
      <c r="E3142" t="inlineStr">
        <is>
          <t>SOLLEFTEÅ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32157-2024</t>
        </is>
      </c>
      <c r="B3143" s="1" t="n">
        <v>45511</v>
      </c>
      <c r="C3143" s="1" t="n">
        <v>45822</v>
      </c>
      <c r="D3143" t="inlineStr">
        <is>
          <t>VÄSTERNORRLANDS LÄN</t>
        </is>
      </c>
      <c r="E3143" t="inlineStr">
        <is>
          <t>SOLLEFTEÅ</t>
        </is>
      </c>
      <c r="F3143" t="inlineStr">
        <is>
          <t>Holmen skog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32467-2024</t>
        </is>
      </c>
      <c r="B3144" s="1" t="n">
        <v>45512</v>
      </c>
      <c r="C3144" s="1" t="n">
        <v>45822</v>
      </c>
      <c r="D3144" t="inlineStr">
        <is>
          <t>VÄSTERNORRLANDS LÄN</t>
        </is>
      </c>
      <c r="E3144" t="inlineStr">
        <is>
          <t>SOLLEFTEÅ</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32754-2024</t>
        </is>
      </c>
      <c r="B3145" s="1" t="n">
        <v>45516</v>
      </c>
      <c r="C3145" s="1" t="n">
        <v>45822</v>
      </c>
      <c r="D3145" t="inlineStr">
        <is>
          <t>VÄSTERNORRLANDS LÄN</t>
        </is>
      </c>
      <c r="E3145" t="inlineStr">
        <is>
          <t>SOLLEFTEÅ</t>
        </is>
      </c>
      <c r="F3145" t="inlineStr">
        <is>
          <t>Holmen skog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32924-2024</t>
        </is>
      </c>
      <c r="B3146" s="1" t="n">
        <v>45517</v>
      </c>
      <c r="C3146" s="1" t="n">
        <v>45822</v>
      </c>
      <c r="D3146" t="inlineStr">
        <is>
          <t>VÄSTERNORRLANDS LÄN</t>
        </is>
      </c>
      <c r="E3146" t="inlineStr">
        <is>
          <t>SOLLEFTEÅ</t>
        </is>
      </c>
      <c r="F3146" t="inlineStr">
        <is>
          <t>SCA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32812-2024</t>
        </is>
      </c>
      <c r="B3147" s="1" t="n">
        <v>45516</v>
      </c>
      <c r="C3147" s="1" t="n">
        <v>45822</v>
      </c>
      <c r="D3147" t="inlineStr">
        <is>
          <t>VÄSTERNORRLANDS LÄN</t>
        </is>
      </c>
      <c r="E3147" t="inlineStr">
        <is>
          <t>SOLLEFTEÅ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32702-2024</t>
        </is>
      </c>
      <c r="B3148" s="1" t="n">
        <v>45516</v>
      </c>
      <c r="C3148" s="1" t="n">
        <v>45822</v>
      </c>
      <c r="D3148" t="inlineStr">
        <is>
          <t>VÄSTERNORRLANDS LÄN</t>
        </is>
      </c>
      <c r="E3148" t="inlineStr">
        <is>
          <t>SOLLEFTEÅ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33110-2024</t>
        </is>
      </c>
      <c r="B3149" s="1" t="n">
        <v>45517</v>
      </c>
      <c r="C3149" s="1" t="n">
        <v>45822</v>
      </c>
      <c r="D3149" t="inlineStr">
        <is>
          <t>VÄSTERNORRLANDS LÄN</t>
        </is>
      </c>
      <c r="E3149" t="inlineStr">
        <is>
          <t>SOLLEFTEÅ</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33111-2024</t>
        </is>
      </c>
      <c r="B3150" s="1" t="n">
        <v>45517</v>
      </c>
      <c r="C3150" s="1" t="n">
        <v>45822</v>
      </c>
      <c r="D3150" t="inlineStr">
        <is>
          <t>VÄSTERNORRLANDS LÄN</t>
        </is>
      </c>
      <c r="E3150" t="inlineStr">
        <is>
          <t>SOLLEFTEÅ</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33031-2024</t>
        </is>
      </c>
      <c r="B3151" s="1" t="n">
        <v>45517</v>
      </c>
      <c r="C3151" s="1" t="n">
        <v>45822</v>
      </c>
      <c r="D3151" t="inlineStr">
        <is>
          <t>VÄSTERNORRLANDS LÄN</t>
        </is>
      </c>
      <c r="E3151" t="inlineStr">
        <is>
          <t>SOLLEFTEÅ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33241-2024</t>
        </is>
      </c>
      <c r="B3152" s="1" t="n">
        <v>45518</v>
      </c>
      <c r="C3152" s="1" t="n">
        <v>45822</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33316-2024</t>
        </is>
      </c>
      <c r="B3153" s="1" t="n">
        <v>45519</v>
      </c>
      <c r="C3153" s="1" t="n">
        <v>45822</v>
      </c>
      <c r="D3153" t="inlineStr">
        <is>
          <t>VÄSTERNORRLANDS LÄN</t>
        </is>
      </c>
      <c r="E3153" t="inlineStr">
        <is>
          <t>SOLLEFTEÅ</t>
        </is>
      </c>
      <c r="F3153" t="inlineStr">
        <is>
          <t>SCA</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33312-2024</t>
        </is>
      </c>
      <c r="B3154" s="1" t="n">
        <v>45519</v>
      </c>
      <c r="C3154" s="1" t="n">
        <v>45822</v>
      </c>
      <c r="D3154" t="inlineStr">
        <is>
          <t>VÄSTERNORRLANDS LÄN</t>
        </is>
      </c>
      <c r="E3154" t="inlineStr">
        <is>
          <t>SOLLEFTEÅ</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33141-2024</t>
        </is>
      </c>
      <c r="B3155" s="1" t="n">
        <v>45518</v>
      </c>
      <c r="C3155" s="1" t="n">
        <v>45822</v>
      </c>
      <c r="D3155" t="inlineStr">
        <is>
          <t>VÄSTERNORRLANDS LÄN</t>
        </is>
      </c>
      <c r="E3155" t="inlineStr">
        <is>
          <t>SOLLEFTEÅ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33134-2024</t>
        </is>
      </c>
      <c r="B3156" s="1" t="n">
        <v>45518</v>
      </c>
      <c r="C3156" s="1" t="n">
        <v>45822</v>
      </c>
      <c r="D3156" t="inlineStr">
        <is>
          <t>VÄSTERNORRLANDS LÄN</t>
        </is>
      </c>
      <c r="E3156" t="inlineStr">
        <is>
          <t>SOLLEFTEÅ</t>
        </is>
      </c>
      <c r="F3156" t="inlineStr">
        <is>
          <t>Holmen skog AB</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33314-2024</t>
        </is>
      </c>
      <c r="B3157" s="1" t="n">
        <v>45519</v>
      </c>
      <c r="C3157" s="1" t="n">
        <v>45822</v>
      </c>
      <c r="D3157" t="inlineStr">
        <is>
          <t>VÄSTERNORRLANDS LÄN</t>
        </is>
      </c>
      <c r="E3157" t="inlineStr">
        <is>
          <t>SOLLEFTEÅ</t>
        </is>
      </c>
      <c r="F3157" t="inlineStr">
        <is>
          <t>SCA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33332-2024</t>
        </is>
      </c>
      <c r="B3158" s="1" t="n">
        <v>45519</v>
      </c>
      <c r="C3158" s="1" t="n">
        <v>45822</v>
      </c>
      <c r="D3158" t="inlineStr">
        <is>
          <t>VÄSTERNORRLANDS LÄN</t>
        </is>
      </c>
      <c r="E3158" t="inlineStr">
        <is>
          <t>SOLLEFTEÅ</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33490-2024</t>
        </is>
      </c>
      <c r="B3159" s="1" t="n">
        <v>45519</v>
      </c>
      <c r="C3159" s="1" t="n">
        <v>45822</v>
      </c>
      <c r="D3159" t="inlineStr">
        <is>
          <t>VÄSTERNORRLANDS LÄN</t>
        </is>
      </c>
      <c r="E3159" t="inlineStr">
        <is>
          <t>SOLLEFTEÅ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33617-2024</t>
        </is>
      </c>
      <c r="B3160" s="1" t="n">
        <v>45520</v>
      </c>
      <c r="C3160" s="1" t="n">
        <v>45822</v>
      </c>
      <c r="D3160" t="inlineStr">
        <is>
          <t>VÄSTERNORRLANDS LÄN</t>
        </is>
      </c>
      <c r="E3160" t="inlineStr">
        <is>
          <t>SOLLEFTEÅ</t>
        </is>
      </c>
      <c r="F3160" t="inlineStr">
        <is>
          <t>Holmen skog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33628-2024</t>
        </is>
      </c>
      <c r="B3161" s="1" t="n">
        <v>45520</v>
      </c>
      <c r="C3161" s="1" t="n">
        <v>45822</v>
      </c>
      <c r="D3161" t="inlineStr">
        <is>
          <t>VÄSTERNORRLANDS LÄN</t>
        </is>
      </c>
      <c r="E3161" t="inlineStr">
        <is>
          <t>SOLLEFTEÅ</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33677-2024</t>
        </is>
      </c>
      <c r="B3162" s="1" t="n">
        <v>45520</v>
      </c>
      <c r="C3162" s="1" t="n">
        <v>45822</v>
      </c>
      <c r="D3162" t="inlineStr">
        <is>
          <t>VÄSTERNORRLANDS LÄN</t>
        </is>
      </c>
      <c r="E3162" t="inlineStr">
        <is>
          <t>SOLLEFTEÅ</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33739-2024</t>
        </is>
      </c>
      <c r="B3163" s="1" t="n">
        <v>45520</v>
      </c>
      <c r="C3163" s="1" t="n">
        <v>45822</v>
      </c>
      <c r="D3163" t="inlineStr">
        <is>
          <t>VÄSTERNORRLANDS LÄN</t>
        </is>
      </c>
      <c r="E3163" t="inlineStr">
        <is>
          <t>SOLLEFTEÅ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33656-2024</t>
        </is>
      </c>
      <c r="B3164" s="1" t="n">
        <v>45520</v>
      </c>
      <c r="C3164" s="1" t="n">
        <v>45822</v>
      </c>
      <c r="D3164" t="inlineStr">
        <is>
          <t>VÄSTERNORRLANDS LÄN</t>
        </is>
      </c>
      <c r="E3164" t="inlineStr">
        <is>
          <t>SOLLEFTEÅ</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33799-2024</t>
        </is>
      </c>
      <c r="B3165" s="1" t="n">
        <v>45520</v>
      </c>
      <c r="C3165" s="1" t="n">
        <v>45822</v>
      </c>
      <c r="D3165" t="inlineStr">
        <is>
          <t>VÄSTERNORRLANDS LÄN</t>
        </is>
      </c>
      <c r="E3165" t="inlineStr">
        <is>
          <t>SOLLEFTEÅ</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33815-2024</t>
        </is>
      </c>
      <c r="B3166" s="1" t="n">
        <v>45520</v>
      </c>
      <c r="C3166" s="1" t="n">
        <v>45822</v>
      </c>
      <c r="D3166" t="inlineStr">
        <is>
          <t>VÄSTERNORRLANDS LÄN</t>
        </is>
      </c>
      <c r="E3166" t="inlineStr">
        <is>
          <t>SOLLEFTEÅ</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34318-2024</t>
        </is>
      </c>
      <c r="B3167" s="1" t="n">
        <v>45524</v>
      </c>
      <c r="C3167" s="1" t="n">
        <v>45822</v>
      </c>
      <c r="D3167" t="inlineStr">
        <is>
          <t>VÄSTERNORRLANDS LÄN</t>
        </is>
      </c>
      <c r="E3167" t="inlineStr">
        <is>
          <t>SOLLEFTEÅ</t>
        </is>
      </c>
      <c r="F3167" t="inlineStr">
        <is>
          <t>Övriga statliga verk och myndigheter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34216-2024</t>
        </is>
      </c>
      <c r="B3168" s="1" t="n">
        <v>45524</v>
      </c>
      <c r="C3168" s="1" t="n">
        <v>45822</v>
      </c>
      <c r="D3168" t="inlineStr">
        <is>
          <t>VÄSTERNORRLANDS LÄN</t>
        </is>
      </c>
      <c r="E3168" t="inlineStr">
        <is>
          <t>SOLLEFTEÅ</t>
        </is>
      </c>
      <c r="F3168" t="inlineStr">
        <is>
          <t>Kommuner</t>
        </is>
      </c>
      <c r="G3168" t="n">
        <v>11.7</v>
      </c>
      <c r="H3168" t="n">
        <v>0</v>
      </c>
      <c r="I3168" t="n">
        <v>0</v>
      </c>
      <c r="J3168" t="n">
        <v>0</v>
      </c>
      <c r="K3168" t="n">
        <v>0</v>
      </c>
      <c r="L3168" t="n">
        <v>0</v>
      </c>
      <c r="M3168" t="n">
        <v>0</v>
      </c>
      <c r="N3168" t="n">
        <v>0</v>
      </c>
      <c r="O3168" t="n">
        <v>0</v>
      </c>
      <c r="P3168" t="n">
        <v>0</v>
      </c>
      <c r="Q3168" t="n">
        <v>0</v>
      </c>
      <c r="R3168" s="2" t="inlineStr"/>
    </row>
    <row r="3169" ht="15" customHeight="1">
      <c r="A3169" t="inlineStr">
        <is>
          <t>A 34313-2024</t>
        </is>
      </c>
      <c r="B3169" s="1" t="n">
        <v>45524</v>
      </c>
      <c r="C3169" s="1" t="n">
        <v>45822</v>
      </c>
      <c r="D3169" t="inlineStr">
        <is>
          <t>VÄSTERNORRLANDS LÄN</t>
        </is>
      </c>
      <c r="E3169" t="inlineStr">
        <is>
          <t>SOLLEFTEÅ</t>
        </is>
      </c>
      <c r="F3169" t="inlineStr">
        <is>
          <t>Övriga statliga verk och myndigheter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34316-2024</t>
        </is>
      </c>
      <c r="B3170" s="1" t="n">
        <v>45524</v>
      </c>
      <c r="C3170" s="1" t="n">
        <v>45822</v>
      </c>
      <c r="D3170" t="inlineStr">
        <is>
          <t>VÄSTERNORRLANDS LÄN</t>
        </is>
      </c>
      <c r="E3170" t="inlineStr">
        <is>
          <t>SOLLEFTEÅ</t>
        </is>
      </c>
      <c r="F3170" t="inlineStr">
        <is>
          <t>Övriga statliga verk och myndigheter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34398-2024</t>
        </is>
      </c>
      <c r="B3171" s="1" t="n">
        <v>45525</v>
      </c>
      <c r="C3171" s="1" t="n">
        <v>45822</v>
      </c>
      <c r="D3171" t="inlineStr">
        <is>
          <t>VÄSTERNORRLANDS LÄN</t>
        </is>
      </c>
      <c r="E3171" t="inlineStr">
        <is>
          <t>SOLLEFTEÅ</t>
        </is>
      </c>
      <c r="F3171" t="inlineStr">
        <is>
          <t>Holmen skog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34458-2024</t>
        </is>
      </c>
      <c r="B3172" s="1" t="n">
        <v>45525</v>
      </c>
      <c r="C3172" s="1" t="n">
        <v>45822</v>
      </c>
      <c r="D3172" t="inlineStr">
        <is>
          <t>VÄSTERNORRLANDS LÄN</t>
        </is>
      </c>
      <c r="E3172" t="inlineStr">
        <is>
          <t>SOLLEFTEÅ</t>
        </is>
      </c>
      <c r="F3172" t="inlineStr">
        <is>
          <t>Kommuner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34388-2024</t>
        </is>
      </c>
      <c r="B3173" s="1" t="n">
        <v>45525</v>
      </c>
      <c r="C3173" s="1" t="n">
        <v>45822</v>
      </c>
      <c r="D3173" t="inlineStr">
        <is>
          <t>VÄSTERNORRLANDS LÄN</t>
        </is>
      </c>
      <c r="E3173" t="inlineStr">
        <is>
          <t>SOLLEFTEÅ</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34376-2024</t>
        </is>
      </c>
      <c r="B3174" s="1" t="n">
        <v>45525</v>
      </c>
      <c r="C3174" s="1" t="n">
        <v>45822</v>
      </c>
      <c r="D3174" t="inlineStr">
        <is>
          <t>VÄSTERNORRLANDS LÄN</t>
        </is>
      </c>
      <c r="E3174" t="inlineStr">
        <is>
          <t>SOLLEFTEÅ</t>
        </is>
      </c>
      <c r="F3174" t="inlineStr">
        <is>
          <t>Övriga statliga verk och myndigheter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34460-2024</t>
        </is>
      </c>
      <c r="B3175" s="1" t="n">
        <v>45525</v>
      </c>
      <c r="C3175" s="1" t="n">
        <v>45822</v>
      </c>
      <c r="D3175" t="inlineStr">
        <is>
          <t>VÄSTERNORRLANDS LÄN</t>
        </is>
      </c>
      <c r="E3175" t="inlineStr">
        <is>
          <t>SOLLEFTEÅ</t>
        </is>
      </c>
      <c r="F3175" t="inlineStr">
        <is>
          <t>Kommuner</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34640-2024</t>
        </is>
      </c>
      <c r="B3176" s="1" t="n">
        <v>45526</v>
      </c>
      <c r="C3176" s="1" t="n">
        <v>45822</v>
      </c>
      <c r="D3176" t="inlineStr">
        <is>
          <t>VÄSTERNORRLANDS LÄN</t>
        </is>
      </c>
      <c r="E3176" t="inlineStr">
        <is>
          <t>SOLLEFTEÅ</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34700-2024</t>
        </is>
      </c>
      <c r="B3177" s="1" t="n">
        <v>45526</v>
      </c>
      <c r="C3177" s="1" t="n">
        <v>45822</v>
      </c>
      <c r="D3177" t="inlineStr">
        <is>
          <t>VÄSTERNORRLANDS LÄN</t>
        </is>
      </c>
      <c r="E3177" t="inlineStr">
        <is>
          <t>SOLLEFTEÅ</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34560-2024</t>
        </is>
      </c>
      <c r="B3178" s="1" t="n">
        <v>45526</v>
      </c>
      <c r="C3178" s="1" t="n">
        <v>45822</v>
      </c>
      <c r="D3178" t="inlineStr">
        <is>
          <t>VÄSTERNORRLANDS LÄN</t>
        </is>
      </c>
      <c r="E3178" t="inlineStr">
        <is>
          <t>SOLLEFTEÅ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34765-2024</t>
        </is>
      </c>
      <c r="B3179" s="1" t="n">
        <v>45526</v>
      </c>
      <c r="C3179" s="1" t="n">
        <v>45822</v>
      </c>
      <c r="D3179" t="inlineStr">
        <is>
          <t>VÄSTERNORRLANDS LÄN</t>
        </is>
      </c>
      <c r="E3179" t="inlineStr">
        <is>
          <t>SOLLEFTEÅ</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34638-2024</t>
        </is>
      </c>
      <c r="B3180" s="1" t="n">
        <v>45526</v>
      </c>
      <c r="C3180" s="1" t="n">
        <v>45822</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34878-2024</t>
        </is>
      </c>
      <c r="B3181" s="1" t="n">
        <v>45527</v>
      </c>
      <c r="C3181" s="1" t="n">
        <v>45822</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35217-2024</t>
        </is>
      </c>
      <c r="B3182" s="1" t="n">
        <v>45530</v>
      </c>
      <c r="C3182" s="1" t="n">
        <v>45822</v>
      </c>
      <c r="D3182" t="inlineStr">
        <is>
          <t>VÄSTERNORRLANDS LÄN</t>
        </is>
      </c>
      <c r="E3182" t="inlineStr">
        <is>
          <t>SOLLEFTEÅ</t>
        </is>
      </c>
      <c r="F3182" t="inlineStr">
        <is>
          <t>Kommuner</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35391-2024</t>
        </is>
      </c>
      <c r="B3183" s="1" t="n">
        <v>45531</v>
      </c>
      <c r="C3183" s="1" t="n">
        <v>45822</v>
      </c>
      <c r="D3183" t="inlineStr">
        <is>
          <t>VÄSTERNORRLANDS LÄN</t>
        </is>
      </c>
      <c r="E3183" t="inlineStr">
        <is>
          <t>SOLLEFTEÅ</t>
        </is>
      </c>
      <c r="F3183" t="inlineStr">
        <is>
          <t>SCA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35417-2024</t>
        </is>
      </c>
      <c r="B3184" s="1" t="n">
        <v>45531</v>
      </c>
      <c r="C3184" s="1" t="n">
        <v>45822</v>
      </c>
      <c r="D3184" t="inlineStr">
        <is>
          <t>VÄSTERNORRLANDS LÄN</t>
        </is>
      </c>
      <c r="E3184" t="inlineStr">
        <is>
          <t>SOLLEFTEÅ</t>
        </is>
      </c>
      <c r="F3184" t="inlineStr">
        <is>
          <t>SCA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35469-2024</t>
        </is>
      </c>
      <c r="B3185" s="1" t="n">
        <v>45531</v>
      </c>
      <c r="C3185" s="1" t="n">
        <v>45822</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35502-2024</t>
        </is>
      </c>
      <c r="B3186" s="1" t="n">
        <v>45531</v>
      </c>
      <c r="C3186" s="1" t="n">
        <v>45822</v>
      </c>
      <c r="D3186" t="inlineStr">
        <is>
          <t>VÄSTERNORRLANDS LÄN</t>
        </is>
      </c>
      <c r="E3186" t="inlineStr">
        <is>
          <t>SOLLEFTEÅ</t>
        </is>
      </c>
      <c r="F3186" t="inlineStr">
        <is>
          <t>Övriga Aktiebolag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35420-2024</t>
        </is>
      </c>
      <c r="B3187" s="1" t="n">
        <v>45531</v>
      </c>
      <c r="C3187" s="1" t="n">
        <v>45822</v>
      </c>
      <c r="D3187" t="inlineStr">
        <is>
          <t>VÄSTERNORRLANDS LÄN</t>
        </is>
      </c>
      <c r="E3187" t="inlineStr">
        <is>
          <t>SOLLEFTEÅ</t>
        </is>
      </c>
      <c r="F3187" t="inlineStr">
        <is>
          <t>SCA</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35509-2024</t>
        </is>
      </c>
      <c r="B3188" s="1" t="n">
        <v>45531</v>
      </c>
      <c r="C3188" s="1" t="n">
        <v>45822</v>
      </c>
      <c r="D3188" t="inlineStr">
        <is>
          <t>VÄSTERNORRLANDS LÄN</t>
        </is>
      </c>
      <c r="E3188" t="inlineStr">
        <is>
          <t>SOLLEFTEÅ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35513-2024</t>
        </is>
      </c>
      <c r="B3189" s="1" t="n">
        <v>45531</v>
      </c>
      <c r="C3189" s="1" t="n">
        <v>45822</v>
      </c>
      <c r="D3189" t="inlineStr">
        <is>
          <t>VÄSTERNORRLANDS LÄN</t>
        </is>
      </c>
      <c r="E3189" t="inlineStr">
        <is>
          <t>SOLLEFTEÅ</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35463-2024</t>
        </is>
      </c>
      <c r="B3190" s="1" t="n">
        <v>45531</v>
      </c>
      <c r="C3190" s="1" t="n">
        <v>45822</v>
      </c>
      <c r="D3190" t="inlineStr">
        <is>
          <t>VÄSTERNORRLANDS LÄN</t>
        </is>
      </c>
      <c r="E3190" t="inlineStr">
        <is>
          <t>SOLLEFTEÅ</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35508-2024</t>
        </is>
      </c>
      <c r="B3191" s="1" t="n">
        <v>45531</v>
      </c>
      <c r="C3191" s="1" t="n">
        <v>45822</v>
      </c>
      <c r="D3191" t="inlineStr">
        <is>
          <t>VÄSTERNORRLANDS LÄN</t>
        </is>
      </c>
      <c r="E3191" t="inlineStr">
        <is>
          <t>SOLLEFTEÅ</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35673-2024</t>
        </is>
      </c>
      <c r="B3192" s="1" t="n">
        <v>45532</v>
      </c>
      <c r="C3192" s="1" t="n">
        <v>45822</v>
      </c>
      <c r="D3192" t="inlineStr">
        <is>
          <t>VÄSTERNORRLANDS LÄN</t>
        </is>
      </c>
      <c r="E3192" t="inlineStr">
        <is>
          <t>SOLLEFTEÅ</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35794-2024</t>
        </is>
      </c>
      <c r="B3193" s="1" t="n">
        <v>45532</v>
      </c>
      <c r="C3193" s="1" t="n">
        <v>45822</v>
      </c>
      <c r="D3193" t="inlineStr">
        <is>
          <t>VÄSTERNORRLANDS LÄN</t>
        </is>
      </c>
      <c r="E3193" t="inlineStr">
        <is>
          <t>SOLLEFTEÅ</t>
        </is>
      </c>
      <c r="F3193" t="inlineStr">
        <is>
          <t>SCA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35795-2024</t>
        </is>
      </c>
      <c r="B3194" s="1" t="n">
        <v>45532</v>
      </c>
      <c r="C3194" s="1" t="n">
        <v>45822</v>
      </c>
      <c r="D3194" t="inlineStr">
        <is>
          <t>VÄSTERNORRLANDS LÄN</t>
        </is>
      </c>
      <c r="E3194" t="inlineStr">
        <is>
          <t>SOLLEFTEÅ</t>
        </is>
      </c>
      <c r="F3194" t="inlineStr">
        <is>
          <t>SCA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35803-2024</t>
        </is>
      </c>
      <c r="B3195" s="1" t="n">
        <v>45532</v>
      </c>
      <c r="C3195" s="1" t="n">
        <v>45822</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35827-2024</t>
        </is>
      </c>
      <c r="B3196" s="1" t="n">
        <v>45532</v>
      </c>
      <c r="C3196" s="1" t="n">
        <v>45822</v>
      </c>
      <c r="D3196" t="inlineStr">
        <is>
          <t>VÄSTERNORRLANDS LÄN</t>
        </is>
      </c>
      <c r="E3196" t="inlineStr">
        <is>
          <t>SOLLEFTEÅ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35793-2024</t>
        </is>
      </c>
      <c r="B3197" s="1" t="n">
        <v>45532</v>
      </c>
      <c r="C3197" s="1" t="n">
        <v>45822</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35873-2024</t>
        </is>
      </c>
      <c r="B3198" s="1" t="n">
        <v>45533</v>
      </c>
      <c r="C3198" s="1" t="n">
        <v>45822</v>
      </c>
      <c r="D3198" t="inlineStr">
        <is>
          <t>VÄSTERNORRLANDS LÄN</t>
        </is>
      </c>
      <c r="E3198" t="inlineStr">
        <is>
          <t>SOLLEFTEÅ</t>
        </is>
      </c>
      <c r="F3198" t="inlineStr">
        <is>
          <t>SCA</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35905-2024</t>
        </is>
      </c>
      <c r="B3199" s="1" t="n">
        <v>45533</v>
      </c>
      <c r="C3199" s="1" t="n">
        <v>45822</v>
      </c>
      <c r="D3199" t="inlineStr">
        <is>
          <t>VÄSTERNORRLANDS LÄN</t>
        </is>
      </c>
      <c r="E3199" t="inlineStr">
        <is>
          <t>SOLLEFTEÅ</t>
        </is>
      </c>
      <c r="F3199" t="inlineStr">
        <is>
          <t>SCA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35872-2024</t>
        </is>
      </c>
      <c r="B3200" s="1" t="n">
        <v>45533</v>
      </c>
      <c r="C3200" s="1" t="n">
        <v>45822</v>
      </c>
      <c r="D3200" t="inlineStr">
        <is>
          <t>VÄSTERNORRLANDS LÄN</t>
        </is>
      </c>
      <c r="E3200" t="inlineStr">
        <is>
          <t>SOLLEFTEÅ</t>
        </is>
      </c>
      <c r="F3200" t="inlineStr">
        <is>
          <t>SCA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35875-2024</t>
        </is>
      </c>
      <c r="B3201" s="1" t="n">
        <v>45533</v>
      </c>
      <c r="C3201" s="1" t="n">
        <v>45822</v>
      </c>
      <c r="D3201" t="inlineStr">
        <is>
          <t>VÄSTERNORRLANDS LÄN</t>
        </is>
      </c>
      <c r="E3201" t="inlineStr">
        <is>
          <t>SOLLEFTEÅ</t>
        </is>
      </c>
      <c r="F3201" t="inlineStr">
        <is>
          <t>SCA</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36039-2024</t>
        </is>
      </c>
      <c r="B3202" s="1" t="n">
        <v>45533</v>
      </c>
      <c r="C3202" s="1" t="n">
        <v>45822</v>
      </c>
      <c r="D3202" t="inlineStr">
        <is>
          <t>VÄSTERNORRLANDS LÄN</t>
        </is>
      </c>
      <c r="E3202" t="inlineStr">
        <is>
          <t>SOLLEFTEÅ</t>
        </is>
      </c>
      <c r="F3202" t="inlineStr">
        <is>
          <t>Holmen skog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36009-2024</t>
        </is>
      </c>
      <c r="B3203" s="1" t="n">
        <v>45533</v>
      </c>
      <c r="C3203" s="1" t="n">
        <v>45822</v>
      </c>
      <c r="D3203" t="inlineStr">
        <is>
          <t>VÄSTERNORRLANDS LÄN</t>
        </is>
      </c>
      <c r="E3203" t="inlineStr">
        <is>
          <t>SOLLEFTEÅ</t>
        </is>
      </c>
      <c r="F3203" t="inlineStr">
        <is>
          <t>Holmen skog AB</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36004-2024</t>
        </is>
      </c>
      <c r="B3204" s="1" t="n">
        <v>45533</v>
      </c>
      <c r="C3204" s="1" t="n">
        <v>45822</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36137-2024</t>
        </is>
      </c>
      <c r="B3205" s="1" t="n">
        <v>45534</v>
      </c>
      <c r="C3205" s="1" t="n">
        <v>45822</v>
      </c>
      <c r="D3205" t="inlineStr">
        <is>
          <t>VÄSTERNORRLANDS LÄN</t>
        </is>
      </c>
      <c r="E3205" t="inlineStr">
        <is>
          <t>SOLLEFTEÅ</t>
        </is>
      </c>
      <c r="G3205" t="n">
        <v>17.9</v>
      </c>
      <c r="H3205" t="n">
        <v>0</v>
      </c>
      <c r="I3205" t="n">
        <v>0</v>
      </c>
      <c r="J3205" t="n">
        <v>0</v>
      </c>
      <c r="K3205" t="n">
        <v>0</v>
      </c>
      <c r="L3205" t="n">
        <v>0</v>
      </c>
      <c r="M3205" t="n">
        <v>0</v>
      </c>
      <c r="N3205" t="n">
        <v>0</v>
      </c>
      <c r="O3205" t="n">
        <v>0</v>
      </c>
      <c r="P3205" t="n">
        <v>0</v>
      </c>
      <c r="Q3205" t="n">
        <v>0</v>
      </c>
      <c r="R3205" s="2" t="inlineStr"/>
    </row>
    <row r="3206" ht="15" customHeight="1">
      <c r="A3206" t="inlineStr">
        <is>
          <t>A 36141-2024</t>
        </is>
      </c>
      <c r="B3206" s="1" t="n">
        <v>45534</v>
      </c>
      <c r="C3206" s="1" t="n">
        <v>45822</v>
      </c>
      <c r="D3206" t="inlineStr">
        <is>
          <t>VÄSTERNORRLANDS LÄN</t>
        </is>
      </c>
      <c r="E3206" t="inlineStr">
        <is>
          <t>SOLLEFTEÅ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36139-2024</t>
        </is>
      </c>
      <c r="B3207" s="1" t="n">
        <v>45534</v>
      </c>
      <c r="C3207" s="1" t="n">
        <v>45822</v>
      </c>
      <c r="D3207" t="inlineStr">
        <is>
          <t>VÄSTERNORRLANDS LÄN</t>
        </is>
      </c>
      <c r="E3207" t="inlineStr">
        <is>
          <t>SOLLEFTEÅ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36142-2024</t>
        </is>
      </c>
      <c r="B3208" s="1" t="n">
        <v>45534</v>
      </c>
      <c r="C3208" s="1" t="n">
        <v>45822</v>
      </c>
      <c r="D3208" t="inlineStr">
        <is>
          <t>VÄSTERNORRLANDS LÄN</t>
        </is>
      </c>
      <c r="E3208" t="inlineStr">
        <is>
          <t>SOLLEFTEÅ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36322-2024</t>
        </is>
      </c>
      <c r="B3209" s="1" t="n">
        <v>45534</v>
      </c>
      <c r="C3209" s="1" t="n">
        <v>45822</v>
      </c>
      <c r="D3209" t="inlineStr">
        <is>
          <t>VÄSTERNORRLANDS LÄN</t>
        </is>
      </c>
      <c r="E3209" t="inlineStr">
        <is>
          <t>SOLLEFTEÅ</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36144-2024</t>
        </is>
      </c>
      <c r="B3210" s="1" t="n">
        <v>45534</v>
      </c>
      <c r="C3210" s="1" t="n">
        <v>45822</v>
      </c>
      <c r="D3210" t="inlineStr">
        <is>
          <t>VÄSTERNORRLANDS LÄN</t>
        </is>
      </c>
      <c r="E3210" t="inlineStr">
        <is>
          <t>SOLLEFTEÅ</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36337-2024</t>
        </is>
      </c>
      <c r="B3211" s="1" t="n">
        <v>45534</v>
      </c>
      <c r="C3211" s="1" t="n">
        <v>45822</v>
      </c>
      <c r="D3211" t="inlineStr">
        <is>
          <t>VÄSTERNORRLANDS LÄN</t>
        </is>
      </c>
      <c r="E3211" t="inlineStr">
        <is>
          <t>SOLLEFTEÅ</t>
        </is>
      </c>
      <c r="F3211" t="inlineStr">
        <is>
          <t>SCA</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36341-2024</t>
        </is>
      </c>
      <c r="B3212" s="1" t="n">
        <v>45534</v>
      </c>
      <c r="C3212" s="1" t="n">
        <v>45822</v>
      </c>
      <c r="D3212" t="inlineStr">
        <is>
          <t>VÄSTERNORRLANDS LÄN</t>
        </is>
      </c>
      <c r="E3212" t="inlineStr">
        <is>
          <t>SOLLEFTEÅ</t>
        </is>
      </c>
      <c r="F3212" t="inlineStr">
        <is>
          <t>SCA</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36319-2024</t>
        </is>
      </c>
      <c r="B3213" s="1" t="n">
        <v>45534</v>
      </c>
      <c r="C3213" s="1" t="n">
        <v>45822</v>
      </c>
      <c r="D3213" t="inlineStr">
        <is>
          <t>VÄSTERNORRLANDS LÄN</t>
        </is>
      </c>
      <c r="E3213" t="inlineStr">
        <is>
          <t>SOLLEFTEÅ</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36352-2024</t>
        </is>
      </c>
      <c r="B3214" s="1" t="n">
        <v>45534</v>
      </c>
      <c r="C3214" s="1" t="n">
        <v>45822</v>
      </c>
      <c r="D3214" t="inlineStr">
        <is>
          <t>VÄSTERNORRLANDS LÄN</t>
        </is>
      </c>
      <c r="E3214" t="inlineStr">
        <is>
          <t>SOLLEFTEÅ</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36463-2024</t>
        </is>
      </c>
      <c r="B3215" s="1" t="n">
        <v>45537</v>
      </c>
      <c r="C3215" s="1" t="n">
        <v>45822</v>
      </c>
      <c r="D3215" t="inlineStr">
        <is>
          <t>VÄSTERNORRLANDS LÄN</t>
        </is>
      </c>
      <c r="E3215" t="inlineStr">
        <is>
          <t>SOLLEFTEÅ</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36471-2024</t>
        </is>
      </c>
      <c r="B3216" s="1" t="n">
        <v>45537</v>
      </c>
      <c r="C3216" s="1" t="n">
        <v>45822</v>
      </c>
      <c r="D3216" t="inlineStr">
        <is>
          <t>VÄSTERNORRLANDS LÄN</t>
        </is>
      </c>
      <c r="E3216" t="inlineStr">
        <is>
          <t>SOLLEFTEÅ</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36685-2024</t>
        </is>
      </c>
      <c r="B3217" s="1" t="n">
        <v>45537</v>
      </c>
      <c r="C3217" s="1" t="n">
        <v>45822</v>
      </c>
      <c r="D3217" t="inlineStr">
        <is>
          <t>VÄSTERNORRLANDS LÄN</t>
        </is>
      </c>
      <c r="E3217" t="inlineStr">
        <is>
          <t>SOLLEFTEÅ</t>
        </is>
      </c>
      <c r="F3217" t="inlineStr">
        <is>
          <t>Holmen skog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37197-2024</t>
        </is>
      </c>
      <c r="B3218" s="1" t="n">
        <v>45539</v>
      </c>
      <c r="C3218" s="1" t="n">
        <v>45822</v>
      </c>
      <c r="D3218" t="inlineStr">
        <is>
          <t>VÄSTERNORRLANDS LÄN</t>
        </is>
      </c>
      <c r="E3218" t="inlineStr">
        <is>
          <t>SOLLEFTEÅ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37201-2024</t>
        </is>
      </c>
      <c r="B3219" s="1" t="n">
        <v>45539</v>
      </c>
      <c r="C3219" s="1" t="n">
        <v>45822</v>
      </c>
      <c r="D3219" t="inlineStr">
        <is>
          <t>VÄSTERNORRLANDS LÄN</t>
        </is>
      </c>
      <c r="E3219" t="inlineStr">
        <is>
          <t>SOLLEFTEÅ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37046-2024</t>
        </is>
      </c>
      <c r="B3220" s="1" t="n">
        <v>45539</v>
      </c>
      <c r="C3220" s="1" t="n">
        <v>45822</v>
      </c>
      <c r="D3220" t="inlineStr">
        <is>
          <t>VÄSTERNORRLANDS LÄN</t>
        </is>
      </c>
      <c r="E3220" t="inlineStr">
        <is>
          <t>SOLLEFTEÅ</t>
        </is>
      </c>
      <c r="F3220" t="inlineStr">
        <is>
          <t>SCA</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37269-2024</t>
        </is>
      </c>
      <c r="B3221" s="1" t="n">
        <v>45540</v>
      </c>
      <c r="C3221" s="1" t="n">
        <v>45822</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37354-2024</t>
        </is>
      </c>
      <c r="B3222" s="1" t="n">
        <v>45540</v>
      </c>
      <c r="C3222" s="1" t="n">
        <v>45822</v>
      </c>
      <c r="D3222" t="inlineStr">
        <is>
          <t>VÄSTERNORRLANDS LÄN</t>
        </is>
      </c>
      <c r="E3222" t="inlineStr">
        <is>
          <t>SOLLEFTEÅ</t>
        </is>
      </c>
      <c r="F3222" t="inlineStr">
        <is>
          <t>Holmen skog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38054-2024</t>
        </is>
      </c>
      <c r="B3223" s="1" t="n">
        <v>45544</v>
      </c>
      <c r="C3223" s="1" t="n">
        <v>45822</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38053-2024</t>
        </is>
      </c>
      <c r="B3224" s="1" t="n">
        <v>45544</v>
      </c>
      <c r="C3224" s="1" t="n">
        <v>45822</v>
      </c>
      <c r="D3224" t="inlineStr">
        <is>
          <t>VÄSTERNORRLANDS LÄN</t>
        </is>
      </c>
      <c r="E3224" t="inlineStr">
        <is>
          <t>SOLLEFTEÅ</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38095-2024</t>
        </is>
      </c>
      <c r="B3225" s="1" t="n">
        <v>45545</v>
      </c>
      <c r="C3225" s="1" t="n">
        <v>45822</v>
      </c>
      <c r="D3225" t="inlineStr">
        <is>
          <t>VÄSTERNORRLANDS LÄN</t>
        </is>
      </c>
      <c r="E3225" t="inlineStr">
        <is>
          <t>SOLLEFTEÅ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38231-2024</t>
        </is>
      </c>
      <c r="B3226" s="1" t="n">
        <v>45545</v>
      </c>
      <c r="C3226" s="1" t="n">
        <v>45822</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38245-2024</t>
        </is>
      </c>
      <c r="B3227" s="1" t="n">
        <v>45545</v>
      </c>
      <c r="C3227" s="1" t="n">
        <v>45822</v>
      </c>
      <c r="D3227" t="inlineStr">
        <is>
          <t>VÄSTERNORRLANDS LÄN</t>
        </is>
      </c>
      <c r="E3227" t="inlineStr">
        <is>
          <t>SOLLEFTEÅ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38273-2024</t>
        </is>
      </c>
      <c r="B3228" s="1" t="n">
        <v>45545</v>
      </c>
      <c r="C3228" s="1" t="n">
        <v>45822</v>
      </c>
      <c r="D3228" t="inlineStr">
        <is>
          <t>VÄSTERNORRLANDS LÄN</t>
        </is>
      </c>
      <c r="E3228" t="inlineStr">
        <is>
          <t>SOLLEFTEÅ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38234-2024</t>
        </is>
      </c>
      <c r="B3229" s="1" t="n">
        <v>45545</v>
      </c>
      <c r="C3229" s="1" t="n">
        <v>45822</v>
      </c>
      <c r="D3229" t="inlineStr">
        <is>
          <t>VÄSTERNORRLANDS LÄN</t>
        </is>
      </c>
      <c r="E3229" t="inlineStr">
        <is>
          <t>SOLLEFTEÅ</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38250-2024</t>
        </is>
      </c>
      <c r="B3230" s="1" t="n">
        <v>45545</v>
      </c>
      <c r="C3230" s="1" t="n">
        <v>45822</v>
      </c>
      <c r="D3230" t="inlineStr">
        <is>
          <t>VÄSTERNORRLANDS LÄN</t>
        </is>
      </c>
      <c r="E3230" t="inlineStr">
        <is>
          <t>SOLLEFTEÅ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38275-2024</t>
        </is>
      </c>
      <c r="B3231" s="1" t="n">
        <v>45545</v>
      </c>
      <c r="C3231" s="1" t="n">
        <v>45822</v>
      </c>
      <c r="D3231" t="inlineStr">
        <is>
          <t>VÄSTERNORRLANDS LÄN</t>
        </is>
      </c>
      <c r="E3231" t="inlineStr">
        <is>
          <t>SOLLEFTEÅ</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38592-2024</t>
        </is>
      </c>
      <c r="B3232" s="1" t="n">
        <v>45546</v>
      </c>
      <c r="C3232" s="1" t="n">
        <v>45822</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41170-2024</t>
        </is>
      </c>
      <c r="B3233" s="1" t="n">
        <v>45546</v>
      </c>
      <c r="C3233" s="1" t="n">
        <v>45822</v>
      </c>
      <c r="D3233" t="inlineStr">
        <is>
          <t>VÄSTERNORRLANDS LÄN</t>
        </is>
      </c>
      <c r="E3233" t="inlineStr">
        <is>
          <t>SOLLEFTEÅ</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38749-2024</t>
        </is>
      </c>
      <c r="B3234" s="1" t="n">
        <v>45547</v>
      </c>
      <c r="C3234" s="1" t="n">
        <v>45822</v>
      </c>
      <c r="D3234" t="inlineStr">
        <is>
          <t>VÄSTERNORRLANDS LÄN</t>
        </is>
      </c>
      <c r="E3234" t="inlineStr">
        <is>
          <t>SOLLEFTEÅ</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38768-2024</t>
        </is>
      </c>
      <c r="B3235" s="1" t="n">
        <v>45547</v>
      </c>
      <c r="C3235" s="1" t="n">
        <v>45822</v>
      </c>
      <c r="D3235" t="inlineStr">
        <is>
          <t>VÄSTERNORRLANDS LÄN</t>
        </is>
      </c>
      <c r="E3235" t="inlineStr">
        <is>
          <t>SOLLEFTEÅ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38769-2024</t>
        </is>
      </c>
      <c r="B3236" s="1" t="n">
        <v>45547</v>
      </c>
      <c r="C3236" s="1" t="n">
        <v>45822</v>
      </c>
      <c r="D3236" t="inlineStr">
        <is>
          <t>VÄSTERNORRLANDS LÄN</t>
        </is>
      </c>
      <c r="E3236" t="inlineStr">
        <is>
          <t>SOLLEFTEÅ</t>
        </is>
      </c>
      <c r="F3236" t="inlineStr">
        <is>
          <t>SCA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38766-2024</t>
        </is>
      </c>
      <c r="B3237" s="1" t="n">
        <v>45547</v>
      </c>
      <c r="C3237" s="1" t="n">
        <v>45822</v>
      </c>
      <c r="D3237" t="inlineStr">
        <is>
          <t>VÄSTERNORRLANDS LÄN</t>
        </is>
      </c>
      <c r="E3237" t="inlineStr">
        <is>
          <t>SOLLEFTEÅ</t>
        </is>
      </c>
      <c r="F3237" t="inlineStr">
        <is>
          <t>SCA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38767-2024</t>
        </is>
      </c>
      <c r="B3238" s="1" t="n">
        <v>45547</v>
      </c>
      <c r="C3238" s="1" t="n">
        <v>45822</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39142-2024</t>
        </is>
      </c>
      <c r="B3239" s="1" t="n">
        <v>45548</v>
      </c>
      <c r="C3239" s="1" t="n">
        <v>45822</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39177-2024</t>
        </is>
      </c>
      <c r="B3240" s="1" t="n">
        <v>45548</v>
      </c>
      <c r="C3240" s="1" t="n">
        <v>45822</v>
      </c>
      <c r="D3240" t="inlineStr">
        <is>
          <t>VÄSTERNORRLANDS LÄN</t>
        </is>
      </c>
      <c r="E3240" t="inlineStr">
        <is>
          <t>SOLLEFTEÅ</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39271-2024</t>
        </is>
      </c>
      <c r="B3241" s="1" t="n">
        <v>45551</v>
      </c>
      <c r="C3241" s="1" t="n">
        <v>45822</v>
      </c>
      <c r="D3241" t="inlineStr">
        <is>
          <t>VÄSTERNORRLANDS LÄN</t>
        </is>
      </c>
      <c r="E3241" t="inlineStr">
        <is>
          <t>SOLLEFTEÅ</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39429-2024</t>
        </is>
      </c>
      <c r="B3242" s="1" t="n">
        <v>45551</v>
      </c>
      <c r="C3242" s="1" t="n">
        <v>45822</v>
      </c>
      <c r="D3242" t="inlineStr">
        <is>
          <t>VÄSTERNORRLANDS LÄN</t>
        </is>
      </c>
      <c r="E3242" t="inlineStr">
        <is>
          <t>SOLLEFTEÅ</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39449-2024</t>
        </is>
      </c>
      <c r="B3243" s="1" t="n">
        <v>45551</v>
      </c>
      <c r="C3243" s="1" t="n">
        <v>45822</v>
      </c>
      <c r="D3243" t="inlineStr">
        <is>
          <t>VÄSTERNORRLANDS LÄN</t>
        </is>
      </c>
      <c r="E3243" t="inlineStr">
        <is>
          <t>SOLLEFTEÅ</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39469-2024</t>
        </is>
      </c>
      <c r="B3244" s="1" t="n">
        <v>45551</v>
      </c>
      <c r="C3244" s="1" t="n">
        <v>45822</v>
      </c>
      <c r="D3244" t="inlineStr">
        <is>
          <t>VÄSTERNORRLANDS LÄN</t>
        </is>
      </c>
      <c r="E3244" t="inlineStr">
        <is>
          <t>SOLLEFTEÅ</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39446-2024</t>
        </is>
      </c>
      <c r="B3245" s="1" t="n">
        <v>45551</v>
      </c>
      <c r="C3245" s="1" t="n">
        <v>45822</v>
      </c>
      <c r="D3245" t="inlineStr">
        <is>
          <t>VÄSTERNORRLANDS LÄN</t>
        </is>
      </c>
      <c r="E3245" t="inlineStr">
        <is>
          <t>SOLLEFTEÅ</t>
        </is>
      </c>
      <c r="F3245" t="inlineStr">
        <is>
          <t>SCA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39500-2024</t>
        </is>
      </c>
      <c r="B3246" s="1" t="n">
        <v>45551</v>
      </c>
      <c r="C3246" s="1" t="n">
        <v>45822</v>
      </c>
      <c r="D3246" t="inlineStr">
        <is>
          <t>VÄSTERNORRLANDS LÄN</t>
        </is>
      </c>
      <c r="E3246" t="inlineStr">
        <is>
          <t>SOLLEFTEÅ</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39755-2024</t>
        </is>
      </c>
      <c r="B3247" s="1" t="n">
        <v>45552</v>
      </c>
      <c r="C3247" s="1" t="n">
        <v>45822</v>
      </c>
      <c r="D3247" t="inlineStr">
        <is>
          <t>VÄSTERNORRLANDS LÄN</t>
        </is>
      </c>
      <c r="E3247" t="inlineStr">
        <is>
          <t>SOLLEFTEÅ</t>
        </is>
      </c>
      <c r="F3247" t="inlineStr">
        <is>
          <t>SCA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39744-2024</t>
        </is>
      </c>
      <c r="B3248" s="1" t="n">
        <v>45552</v>
      </c>
      <c r="C3248" s="1" t="n">
        <v>45822</v>
      </c>
      <c r="D3248" t="inlineStr">
        <is>
          <t>VÄSTERNORRLANDS LÄN</t>
        </is>
      </c>
      <c r="E3248" t="inlineStr">
        <is>
          <t>SOLLEFTEÅ</t>
        </is>
      </c>
      <c r="F3248" t="inlineStr">
        <is>
          <t>SCA</t>
        </is>
      </c>
      <c r="G3248" t="n">
        <v>13.6</v>
      </c>
      <c r="H3248" t="n">
        <v>0</v>
      </c>
      <c r="I3248" t="n">
        <v>0</v>
      </c>
      <c r="J3248" t="n">
        <v>0</v>
      </c>
      <c r="K3248" t="n">
        <v>0</v>
      </c>
      <c r="L3248" t="n">
        <v>0</v>
      </c>
      <c r="M3248" t="n">
        <v>0</v>
      </c>
      <c r="N3248" t="n">
        <v>0</v>
      </c>
      <c r="O3248" t="n">
        <v>0</v>
      </c>
      <c r="P3248" t="n">
        <v>0</v>
      </c>
      <c r="Q3248" t="n">
        <v>0</v>
      </c>
      <c r="R3248" s="2" t="inlineStr"/>
    </row>
    <row r="3249" ht="15" customHeight="1">
      <c r="A3249" t="inlineStr">
        <is>
          <t>A 39801-2024</t>
        </is>
      </c>
      <c r="B3249" s="1" t="n">
        <v>45553</v>
      </c>
      <c r="C3249" s="1" t="n">
        <v>45822</v>
      </c>
      <c r="D3249" t="inlineStr">
        <is>
          <t>VÄSTERNORRLANDS LÄN</t>
        </is>
      </c>
      <c r="E3249" t="inlineStr">
        <is>
          <t>SOLLEFTEÅ</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39799-2024</t>
        </is>
      </c>
      <c r="B3250" s="1" t="n">
        <v>45553</v>
      </c>
      <c r="C3250" s="1" t="n">
        <v>45822</v>
      </c>
      <c r="D3250" t="inlineStr">
        <is>
          <t>VÄSTERNORRLANDS LÄN</t>
        </is>
      </c>
      <c r="E3250" t="inlineStr">
        <is>
          <t>SOLLEFTEÅ</t>
        </is>
      </c>
      <c r="F3250" t="inlineStr">
        <is>
          <t>SCA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39802-2024</t>
        </is>
      </c>
      <c r="B3251" s="1" t="n">
        <v>45553</v>
      </c>
      <c r="C3251" s="1" t="n">
        <v>45822</v>
      </c>
      <c r="D3251" t="inlineStr">
        <is>
          <t>VÄSTERNORRLANDS LÄN</t>
        </is>
      </c>
      <c r="E3251" t="inlineStr">
        <is>
          <t>SOLLEFTEÅ</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40028-2024</t>
        </is>
      </c>
      <c r="B3252" s="1" t="n">
        <v>45553</v>
      </c>
      <c r="C3252" s="1" t="n">
        <v>45822</v>
      </c>
      <c r="D3252" t="inlineStr">
        <is>
          <t>VÄSTERNORRLANDS LÄN</t>
        </is>
      </c>
      <c r="E3252" t="inlineStr">
        <is>
          <t>SOLLEFTEÅ</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40086-2024</t>
        </is>
      </c>
      <c r="B3253" s="1" t="n">
        <v>45554</v>
      </c>
      <c r="C3253" s="1" t="n">
        <v>45822</v>
      </c>
      <c r="D3253" t="inlineStr">
        <is>
          <t>VÄSTERNORRLANDS LÄN</t>
        </is>
      </c>
      <c r="E3253" t="inlineStr">
        <is>
          <t>SOLLEFTEÅ</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40211-2024</t>
        </is>
      </c>
      <c r="B3254" s="1" t="n">
        <v>45554</v>
      </c>
      <c r="C3254" s="1" t="n">
        <v>45822</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40241-2024</t>
        </is>
      </c>
      <c r="B3255" s="1" t="n">
        <v>45554</v>
      </c>
      <c r="C3255" s="1" t="n">
        <v>45822</v>
      </c>
      <c r="D3255" t="inlineStr">
        <is>
          <t>VÄSTERNORRLANDS LÄN</t>
        </is>
      </c>
      <c r="E3255" t="inlineStr">
        <is>
          <t>SOLLEFTEÅ</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40258-2024</t>
        </is>
      </c>
      <c r="B3256" s="1" t="n">
        <v>45554</v>
      </c>
      <c r="C3256" s="1" t="n">
        <v>45822</v>
      </c>
      <c r="D3256" t="inlineStr">
        <is>
          <t>VÄSTERNORRLANDS LÄN</t>
        </is>
      </c>
      <c r="E3256" t="inlineStr">
        <is>
          <t>SOLLEFTEÅ</t>
        </is>
      </c>
      <c r="F3256" t="inlineStr">
        <is>
          <t>SCA</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40356-2024</t>
        </is>
      </c>
      <c r="B3257" s="1" t="n">
        <v>45555</v>
      </c>
      <c r="C3257" s="1" t="n">
        <v>45822</v>
      </c>
      <c r="D3257" t="inlineStr">
        <is>
          <t>VÄSTERNORRLANDS LÄN</t>
        </is>
      </c>
      <c r="E3257" t="inlineStr">
        <is>
          <t>SOLLEFTEÅ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40355-2024</t>
        </is>
      </c>
      <c r="B3258" s="1" t="n">
        <v>45555</v>
      </c>
      <c r="C3258" s="1" t="n">
        <v>45822</v>
      </c>
      <c r="D3258" t="inlineStr">
        <is>
          <t>VÄSTERNORRLANDS LÄN</t>
        </is>
      </c>
      <c r="E3258" t="inlineStr">
        <is>
          <t>SOLLEFTEÅ</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40354-2024</t>
        </is>
      </c>
      <c r="B3259" s="1" t="n">
        <v>45555</v>
      </c>
      <c r="C3259" s="1" t="n">
        <v>45822</v>
      </c>
      <c r="D3259" t="inlineStr">
        <is>
          <t>VÄSTERNORRLANDS LÄN</t>
        </is>
      </c>
      <c r="E3259" t="inlineStr">
        <is>
          <t>SOLLEFTEÅ</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40413-2024</t>
        </is>
      </c>
      <c r="B3260" s="1" t="n">
        <v>45555</v>
      </c>
      <c r="C3260" s="1" t="n">
        <v>45822</v>
      </c>
      <c r="D3260" t="inlineStr">
        <is>
          <t>VÄSTERNORRLANDS LÄN</t>
        </is>
      </c>
      <c r="E3260" t="inlineStr">
        <is>
          <t>SOLLEFTEÅ</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40383-2024</t>
        </is>
      </c>
      <c r="B3261" s="1" t="n">
        <v>45555</v>
      </c>
      <c r="C3261" s="1" t="n">
        <v>45822</v>
      </c>
      <c r="D3261" t="inlineStr">
        <is>
          <t>VÄSTERNORRLANDS LÄN</t>
        </is>
      </c>
      <c r="E3261" t="inlineStr">
        <is>
          <t>SOLLEFTEÅ</t>
        </is>
      </c>
      <c r="F3261" t="inlineStr">
        <is>
          <t>SCA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40403-2024</t>
        </is>
      </c>
      <c r="B3262" s="1" t="n">
        <v>45555</v>
      </c>
      <c r="C3262" s="1" t="n">
        <v>45822</v>
      </c>
      <c r="D3262" t="inlineStr">
        <is>
          <t>VÄSTERNORRLANDS LÄN</t>
        </is>
      </c>
      <c r="E3262" t="inlineStr">
        <is>
          <t>SOLLEFTEÅ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40429-2024</t>
        </is>
      </c>
      <c r="B3263" s="1" t="n">
        <v>45555</v>
      </c>
      <c r="C3263" s="1" t="n">
        <v>45822</v>
      </c>
      <c r="D3263" t="inlineStr">
        <is>
          <t>VÄSTERNORRLANDS LÄN</t>
        </is>
      </c>
      <c r="E3263" t="inlineStr">
        <is>
          <t>SOLLEFTEÅ</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40569-2024</t>
        </is>
      </c>
      <c r="B3264" s="1" t="n">
        <v>45555</v>
      </c>
      <c r="C3264" s="1" t="n">
        <v>45822</v>
      </c>
      <c r="D3264" t="inlineStr">
        <is>
          <t>VÄSTERNORRLANDS LÄN</t>
        </is>
      </c>
      <c r="E3264" t="inlineStr">
        <is>
          <t>SOLLEFTEÅ</t>
        </is>
      </c>
      <c r="F3264" t="inlineStr">
        <is>
          <t>SCA</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40570-2024</t>
        </is>
      </c>
      <c r="B3265" s="1" t="n">
        <v>45555</v>
      </c>
      <c r="C3265" s="1" t="n">
        <v>45822</v>
      </c>
      <c r="D3265" t="inlineStr">
        <is>
          <t>VÄSTERNORRLANDS LÄN</t>
        </is>
      </c>
      <c r="E3265" t="inlineStr">
        <is>
          <t>SOLLEFTEÅ</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40353-2024</t>
        </is>
      </c>
      <c r="B3266" s="1" t="n">
        <v>45555</v>
      </c>
      <c r="C3266" s="1" t="n">
        <v>45822</v>
      </c>
      <c r="D3266" t="inlineStr">
        <is>
          <t>VÄSTERNORRLANDS LÄN</t>
        </is>
      </c>
      <c r="E3266" t="inlineStr">
        <is>
          <t>SOLLEFTEÅ</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40571-2024</t>
        </is>
      </c>
      <c r="B3267" s="1" t="n">
        <v>45555</v>
      </c>
      <c r="C3267" s="1" t="n">
        <v>45822</v>
      </c>
      <c r="D3267" t="inlineStr">
        <is>
          <t>VÄSTERNORRLANDS LÄN</t>
        </is>
      </c>
      <c r="E3267" t="inlineStr">
        <is>
          <t>SOLLEFTEÅ</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40575-2024</t>
        </is>
      </c>
      <c r="B3268" s="1" t="n">
        <v>45555</v>
      </c>
      <c r="C3268" s="1" t="n">
        <v>45822</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40817-2024</t>
        </is>
      </c>
      <c r="B3269" s="1" t="n">
        <v>45558</v>
      </c>
      <c r="C3269" s="1" t="n">
        <v>45822</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40655-2024</t>
        </is>
      </c>
      <c r="B3270" s="1" t="n">
        <v>45558</v>
      </c>
      <c r="C3270" s="1" t="n">
        <v>45822</v>
      </c>
      <c r="D3270" t="inlineStr">
        <is>
          <t>VÄSTERNORRLANDS LÄN</t>
        </is>
      </c>
      <c r="E3270" t="inlineStr">
        <is>
          <t>SOLLEFTEÅ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40679-2024</t>
        </is>
      </c>
      <c r="B3271" s="1" t="n">
        <v>45558</v>
      </c>
      <c r="C3271" s="1" t="n">
        <v>45822</v>
      </c>
      <c r="D3271" t="inlineStr">
        <is>
          <t>VÄSTERNORRLANDS LÄN</t>
        </is>
      </c>
      <c r="E3271" t="inlineStr">
        <is>
          <t>SOLLEFTEÅ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40954-2024</t>
        </is>
      </c>
      <c r="B3272" s="1" t="n">
        <v>45558</v>
      </c>
      <c r="C3272" s="1" t="n">
        <v>45822</v>
      </c>
      <c r="D3272" t="inlineStr">
        <is>
          <t>VÄSTERNORRLANDS LÄN</t>
        </is>
      </c>
      <c r="E3272" t="inlineStr">
        <is>
          <t>SOLLEFTEÅ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40921-2024</t>
        </is>
      </c>
      <c r="B3273" s="1" t="n">
        <v>45558</v>
      </c>
      <c r="C3273" s="1" t="n">
        <v>45822</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40819-2024</t>
        </is>
      </c>
      <c r="B3274" s="1" t="n">
        <v>45558</v>
      </c>
      <c r="C3274" s="1" t="n">
        <v>45822</v>
      </c>
      <c r="D3274" t="inlineStr">
        <is>
          <t>VÄSTERNORRLANDS LÄN</t>
        </is>
      </c>
      <c r="E3274" t="inlineStr">
        <is>
          <t>SOLLEFTEÅ</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40859-2024</t>
        </is>
      </c>
      <c r="B3275" s="1" t="n">
        <v>45558</v>
      </c>
      <c r="C3275" s="1" t="n">
        <v>45822</v>
      </c>
      <c r="D3275" t="inlineStr">
        <is>
          <t>VÄSTERNORRLANDS LÄN</t>
        </is>
      </c>
      <c r="E3275" t="inlineStr">
        <is>
          <t>SOLLEFTEÅ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41041-2024</t>
        </is>
      </c>
      <c r="B3276" s="1" t="n">
        <v>45558</v>
      </c>
      <c r="C3276" s="1" t="n">
        <v>45822</v>
      </c>
      <c r="D3276" t="inlineStr">
        <is>
          <t>VÄSTERNORRLANDS LÄN</t>
        </is>
      </c>
      <c r="E3276" t="inlineStr">
        <is>
          <t>SOLLEFTEÅ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41028-2024</t>
        </is>
      </c>
      <c r="B3277" s="1" t="n">
        <v>45559</v>
      </c>
      <c r="C3277" s="1" t="n">
        <v>45822</v>
      </c>
      <c r="D3277" t="inlineStr">
        <is>
          <t>VÄSTERNORRLANDS LÄN</t>
        </is>
      </c>
      <c r="E3277" t="inlineStr">
        <is>
          <t>SOLLEFTEÅ</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41026-2024</t>
        </is>
      </c>
      <c r="B3278" s="1" t="n">
        <v>45559</v>
      </c>
      <c r="C3278" s="1" t="n">
        <v>45822</v>
      </c>
      <c r="D3278" t="inlineStr">
        <is>
          <t>VÄSTERNORRLANDS LÄN</t>
        </is>
      </c>
      <c r="E3278" t="inlineStr">
        <is>
          <t>SOLLEFTEÅ</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41042-2024</t>
        </is>
      </c>
      <c r="B3279" s="1" t="n">
        <v>45559</v>
      </c>
      <c r="C3279" s="1" t="n">
        <v>45822</v>
      </c>
      <c r="D3279" t="inlineStr">
        <is>
          <t>VÄSTERNORRLANDS LÄN</t>
        </is>
      </c>
      <c r="E3279" t="inlineStr">
        <is>
          <t>SOLLEFTEÅ</t>
        </is>
      </c>
      <c r="F3279" t="inlineStr">
        <is>
          <t>SCA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41262-2024</t>
        </is>
      </c>
      <c r="B3280" s="1" t="n">
        <v>45559</v>
      </c>
      <c r="C3280" s="1" t="n">
        <v>45822</v>
      </c>
      <c r="D3280" t="inlineStr">
        <is>
          <t>VÄSTERNORRLANDS LÄN</t>
        </is>
      </c>
      <c r="E3280" t="inlineStr">
        <is>
          <t>SOLLEFTEÅ</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41532-2024</t>
        </is>
      </c>
      <c r="B3281" s="1" t="n">
        <v>45560</v>
      </c>
      <c r="C3281" s="1" t="n">
        <v>45822</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41434-2024</t>
        </is>
      </c>
      <c r="B3282" s="1" t="n">
        <v>45560</v>
      </c>
      <c r="C3282" s="1" t="n">
        <v>45822</v>
      </c>
      <c r="D3282" t="inlineStr">
        <is>
          <t>VÄSTERNORRLANDS LÄN</t>
        </is>
      </c>
      <c r="E3282" t="inlineStr">
        <is>
          <t>SOLLEFTEÅ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41420-2024</t>
        </is>
      </c>
      <c r="B3283" s="1" t="n">
        <v>45560</v>
      </c>
      <c r="C3283" s="1" t="n">
        <v>45822</v>
      </c>
      <c r="D3283" t="inlineStr">
        <is>
          <t>VÄSTERNORRLANDS LÄN</t>
        </is>
      </c>
      <c r="E3283" t="inlineStr">
        <is>
          <t>SOLLEFTEÅ</t>
        </is>
      </c>
      <c r="F3283" t="inlineStr">
        <is>
          <t>SCA</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41413-2024</t>
        </is>
      </c>
      <c r="B3284" s="1" t="n">
        <v>45560</v>
      </c>
      <c r="C3284" s="1" t="n">
        <v>45822</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41595-2024</t>
        </is>
      </c>
      <c r="B3285" s="1" t="n">
        <v>45560</v>
      </c>
      <c r="C3285" s="1" t="n">
        <v>45822</v>
      </c>
      <c r="D3285" t="inlineStr">
        <is>
          <t>VÄSTERNORRLANDS LÄN</t>
        </is>
      </c>
      <c r="E3285" t="inlineStr">
        <is>
          <t>SOLLEFTEÅ</t>
        </is>
      </c>
      <c r="F3285" t="inlineStr">
        <is>
          <t>SCA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41787-2024</t>
        </is>
      </c>
      <c r="B3286" s="1" t="n">
        <v>45561</v>
      </c>
      <c r="C3286" s="1" t="n">
        <v>45822</v>
      </c>
      <c r="D3286" t="inlineStr">
        <is>
          <t>VÄSTERNORRLANDS LÄN</t>
        </is>
      </c>
      <c r="E3286" t="inlineStr">
        <is>
          <t>SOLLEFTEÅ</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41925-2024</t>
        </is>
      </c>
      <c r="B3287" s="1" t="n">
        <v>45561</v>
      </c>
      <c r="C3287" s="1" t="n">
        <v>45822</v>
      </c>
      <c r="D3287" t="inlineStr">
        <is>
          <t>VÄSTERNORRLANDS LÄN</t>
        </is>
      </c>
      <c r="E3287" t="inlineStr">
        <is>
          <t>SOLLEFTEÅ</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41779-2024</t>
        </is>
      </c>
      <c r="B3288" s="1" t="n">
        <v>45561</v>
      </c>
      <c r="C3288" s="1" t="n">
        <v>45822</v>
      </c>
      <c r="D3288" t="inlineStr">
        <is>
          <t>VÄSTERNORRLANDS LÄN</t>
        </is>
      </c>
      <c r="E3288" t="inlineStr">
        <is>
          <t>SOLLEFTEÅ</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41975-2024</t>
        </is>
      </c>
      <c r="B3289" s="1" t="n">
        <v>45561</v>
      </c>
      <c r="C3289" s="1" t="n">
        <v>45822</v>
      </c>
      <c r="D3289" t="inlineStr">
        <is>
          <t>VÄSTERNORRLANDS LÄN</t>
        </is>
      </c>
      <c r="E3289" t="inlineStr">
        <is>
          <t>SOLLEFTEÅ</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41834-2024</t>
        </is>
      </c>
      <c r="B3290" s="1" t="n">
        <v>45561</v>
      </c>
      <c r="C3290" s="1" t="n">
        <v>45822</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42093-2024</t>
        </is>
      </c>
      <c r="B3291" s="1" t="n">
        <v>45562</v>
      </c>
      <c r="C3291" s="1" t="n">
        <v>45822</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42154-2024</t>
        </is>
      </c>
      <c r="B3292" s="1" t="n">
        <v>45562</v>
      </c>
      <c r="C3292" s="1" t="n">
        <v>45822</v>
      </c>
      <c r="D3292" t="inlineStr">
        <is>
          <t>VÄSTERNORRLANDS LÄN</t>
        </is>
      </c>
      <c r="E3292" t="inlineStr">
        <is>
          <t>SOLLEFTEÅ</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42115-2024</t>
        </is>
      </c>
      <c r="B3293" s="1" t="n">
        <v>45562</v>
      </c>
      <c r="C3293" s="1" t="n">
        <v>45822</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42631-2024</t>
        </is>
      </c>
      <c r="B3294" s="1" t="n">
        <v>45565</v>
      </c>
      <c r="C3294" s="1" t="n">
        <v>45822</v>
      </c>
      <c r="D3294" t="inlineStr">
        <is>
          <t>VÄSTERNORRLANDS LÄN</t>
        </is>
      </c>
      <c r="E3294" t="inlineStr">
        <is>
          <t>SOLLEFTEÅ</t>
        </is>
      </c>
      <c r="F3294" t="inlineStr">
        <is>
          <t>Holmen skog AB</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42486-2024</t>
        </is>
      </c>
      <c r="B3295" s="1" t="n">
        <v>45565</v>
      </c>
      <c r="C3295" s="1" t="n">
        <v>45822</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42482-2024</t>
        </is>
      </c>
      <c r="B3296" s="1" t="n">
        <v>45565</v>
      </c>
      <c r="C3296" s="1" t="n">
        <v>45822</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42474-2024</t>
        </is>
      </c>
      <c r="B3297" s="1" t="n">
        <v>45565</v>
      </c>
      <c r="C3297" s="1" t="n">
        <v>45822</v>
      </c>
      <c r="D3297" t="inlineStr">
        <is>
          <t>VÄSTERNORRLANDS LÄN</t>
        </is>
      </c>
      <c r="E3297" t="inlineStr">
        <is>
          <t>SOLLEFTEÅ</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42915-2024</t>
        </is>
      </c>
      <c r="B3298" s="1" t="n">
        <v>45566</v>
      </c>
      <c r="C3298" s="1" t="n">
        <v>45822</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43049-2024</t>
        </is>
      </c>
      <c r="B3299" s="1" t="n">
        <v>45567</v>
      </c>
      <c r="C3299" s="1" t="n">
        <v>45822</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43008-2024</t>
        </is>
      </c>
      <c r="B3300" s="1" t="n">
        <v>45567</v>
      </c>
      <c r="C3300" s="1" t="n">
        <v>45822</v>
      </c>
      <c r="D3300" t="inlineStr">
        <is>
          <t>VÄSTERNORRLANDS LÄN</t>
        </is>
      </c>
      <c r="E3300" t="inlineStr">
        <is>
          <t>SOLLEFTEÅ</t>
        </is>
      </c>
      <c r="F3300" t="inlineStr">
        <is>
          <t>SCA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42984-2024</t>
        </is>
      </c>
      <c r="B3301" s="1" t="n">
        <v>45567</v>
      </c>
      <c r="C3301" s="1" t="n">
        <v>45822</v>
      </c>
      <c r="D3301" t="inlineStr">
        <is>
          <t>VÄSTERNORRLANDS LÄN</t>
        </is>
      </c>
      <c r="E3301" t="inlineStr">
        <is>
          <t>SOLLEFTEÅ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42964-2024</t>
        </is>
      </c>
      <c r="B3302" s="1" t="n">
        <v>45567</v>
      </c>
      <c r="C3302" s="1" t="n">
        <v>45822</v>
      </c>
      <c r="D3302" t="inlineStr">
        <is>
          <t>VÄSTERNORRLANDS LÄN</t>
        </is>
      </c>
      <c r="E3302" t="inlineStr">
        <is>
          <t>SOLLEFTEÅ</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42985-2024</t>
        </is>
      </c>
      <c r="B3303" s="1" t="n">
        <v>45567</v>
      </c>
      <c r="C3303" s="1" t="n">
        <v>45822</v>
      </c>
      <c r="D3303" t="inlineStr">
        <is>
          <t>VÄSTERNORRLANDS LÄN</t>
        </is>
      </c>
      <c r="E3303" t="inlineStr">
        <is>
          <t>SOLLEFTEÅ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42981-2024</t>
        </is>
      </c>
      <c r="B3304" s="1" t="n">
        <v>45567</v>
      </c>
      <c r="C3304" s="1" t="n">
        <v>45822</v>
      </c>
      <c r="D3304" t="inlineStr">
        <is>
          <t>VÄSTERNORRLANDS LÄN</t>
        </is>
      </c>
      <c r="E3304" t="inlineStr">
        <is>
          <t>SOLLEFTEÅ</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42973-2024</t>
        </is>
      </c>
      <c r="B3305" s="1" t="n">
        <v>45567</v>
      </c>
      <c r="C3305" s="1" t="n">
        <v>45822</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42965-2024</t>
        </is>
      </c>
      <c r="B3306" s="1" t="n">
        <v>45567</v>
      </c>
      <c r="C3306" s="1" t="n">
        <v>45822</v>
      </c>
      <c r="D3306" t="inlineStr">
        <is>
          <t>VÄSTERNORRLANDS LÄN</t>
        </is>
      </c>
      <c r="E3306" t="inlineStr">
        <is>
          <t>SOLLEFTEÅ</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42987-2024</t>
        </is>
      </c>
      <c r="B3307" s="1" t="n">
        <v>45567</v>
      </c>
      <c r="C3307" s="1" t="n">
        <v>45822</v>
      </c>
      <c r="D3307" t="inlineStr">
        <is>
          <t>VÄSTERNORRLANDS LÄN</t>
        </is>
      </c>
      <c r="E3307" t="inlineStr">
        <is>
          <t>SOLLEFTEÅ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42983-2024</t>
        </is>
      </c>
      <c r="B3308" s="1" t="n">
        <v>45567</v>
      </c>
      <c r="C3308" s="1" t="n">
        <v>45822</v>
      </c>
      <c r="D3308" t="inlineStr">
        <is>
          <t>VÄSTERNORRLANDS LÄN</t>
        </is>
      </c>
      <c r="E3308" t="inlineStr">
        <is>
          <t>SOLLEFTEÅ</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42979-2024</t>
        </is>
      </c>
      <c r="B3309" s="1" t="n">
        <v>45567</v>
      </c>
      <c r="C3309" s="1" t="n">
        <v>45822</v>
      </c>
      <c r="D3309" t="inlineStr">
        <is>
          <t>VÄSTERNORRLANDS LÄN</t>
        </is>
      </c>
      <c r="E3309" t="inlineStr">
        <is>
          <t>SOLLEFTEÅ</t>
        </is>
      </c>
      <c r="F3309" t="inlineStr">
        <is>
          <t>SCA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42975-2024</t>
        </is>
      </c>
      <c r="B3310" s="1" t="n">
        <v>45567</v>
      </c>
      <c r="C3310" s="1" t="n">
        <v>45822</v>
      </c>
      <c r="D3310" t="inlineStr">
        <is>
          <t>VÄSTERNORRLANDS LÄN</t>
        </is>
      </c>
      <c r="E3310" t="inlineStr">
        <is>
          <t>SOLLEFTEÅ</t>
        </is>
      </c>
      <c r="F3310" t="inlineStr">
        <is>
          <t>SCA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42971-2024</t>
        </is>
      </c>
      <c r="B3311" s="1" t="n">
        <v>45567</v>
      </c>
      <c r="C3311" s="1" t="n">
        <v>45822</v>
      </c>
      <c r="D3311" t="inlineStr">
        <is>
          <t>VÄSTERNORRLANDS LÄN</t>
        </is>
      </c>
      <c r="E3311" t="inlineStr">
        <is>
          <t>SOLLEFTEÅ</t>
        </is>
      </c>
      <c r="F3311" t="inlineStr">
        <is>
          <t>SCA</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42963-2024</t>
        </is>
      </c>
      <c r="B3312" s="1" t="n">
        <v>45567</v>
      </c>
      <c r="C3312" s="1" t="n">
        <v>45822</v>
      </c>
      <c r="D3312" t="inlineStr">
        <is>
          <t>VÄSTERNORRLANDS LÄN</t>
        </is>
      </c>
      <c r="E3312" t="inlineStr">
        <is>
          <t>SOLLEFTEÅ</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42978-2024</t>
        </is>
      </c>
      <c r="B3313" s="1" t="n">
        <v>45567</v>
      </c>
      <c r="C3313" s="1" t="n">
        <v>45822</v>
      </c>
      <c r="D3313" t="inlineStr">
        <is>
          <t>VÄSTERNORRLANDS LÄN</t>
        </is>
      </c>
      <c r="E3313" t="inlineStr">
        <is>
          <t>SOLLEFTEÅ</t>
        </is>
      </c>
      <c r="F3313" t="inlineStr">
        <is>
          <t>SCA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42970-2024</t>
        </is>
      </c>
      <c r="B3314" s="1" t="n">
        <v>45567</v>
      </c>
      <c r="C3314" s="1" t="n">
        <v>45822</v>
      </c>
      <c r="D3314" t="inlineStr">
        <is>
          <t>VÄSTERNORRLANDS LÄN</t>
        </is>
      </c>
      <c r="E3314" t="inlineStr">
        <is>
          <t>SOLLEFTEÅ</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42950-2024</t>
        </is>
      </c>
      <c r="B3315" s="1" t="n">
        <v>45567</v>
      </c>
      <c r="C3315" s="1" t="n">
        <v>45822</v>
      </c>
      <c r="D3315" t="inlineStr">
        <is>
          <t>VÄSTERNORRLANDS LÄN</t>
        </is>
      </c>
      <c r="E3315" t="inlineStr">
        <is>
          <t>SOLLEFTEÅ</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43265-2024</t>
        </is>
      </c>
      <c r="B3316" s="1" t="n">
        <v>45568</v>
      </c>
      <c r="C3316" s="1" t="n">
        <v>45822</v>
      </c>
      <c r="D3316" t="inlineStr">
        <is>
          <t>VÄSTERNORRLANDS LÄN</t>
        </is>
      </c>
      <c r="E3316" t="inlineStr">
        <is>
          <t>SOLLEFTEÅ</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43627-2024</t>
        </is>
      </c>
      <c r="B3317" s="1" t="n">
        <v>45569</v>
      </c>
      <c r="C3317" s="1" t="n">
        <v>45822</v>
      </c>
      <c r="D3317" t="inlineStr">
        <is>
          <t>VÄSTERNORRLANDS LÄN</t>
        </is>
      </c>
      <c r="E3317" t="inlineStr">
        <is>
          <t>SOLLEFTEÅ</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43585-2024</t>
        </is>
      </c>
      <c r="B3318" s="1" t="n">
        <v>45569</v>
      </c>
      <c r="C3318" s="1" t="n">
        <v>45822</v>
      </c>
      <c r="D3318" t="inlineStr">
        <is>
          <t>VÄSTERNORRLANDS LÄN</t>
        </is>
      </c>
      <c r="E3318" t="inlineStr">
        <is>
          <t>SOLLEFTEÅ</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43845-2024</t>
        </is>
      </c>
      <c r="B3319" s="1" t="n">
        <v>45572</v>
      </c>
      <c r="C3319" s="1" t="n">
        <v>45822</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43843-2024</t>
        </is>
      </c>
      <c r="B3320" s="1" t="n">
        <v>45572</v>
      </c>
      <c r="C3320" s="1" t="n">
        <v>45822</v>
      </c>
      <c r="D3320" t="inlineStr">
        <is>
          <t>VÄSTERNORRLANDS LÄN</t>
        </is>
      </c>
      <c r="E3320" t="inlineStr">
        <is>
          <t>SOLLEFTEÅ</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44172-2024</t>
        </is>
      </c>
      <c r="B3321" s="1" t="n">
        <v>45572</v>
      </c>
      <c r="C3321" s="1" t="n">
        <v>45822</v>
      </c>
      <c r="D3321" t="inlineStr">
        <is>
          <t>VÄSTERNORRLANDS LÄN</t>
        </is>
      </c>
      <c r="E3321" t="inlineStr">
        <is>
          <t>SOLLEFTEÅ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44201-2024</t>
        </is>
      </c>
      <c r="B3322" s="1" t="n">
        <v>45573</v>
      </c>
      <c r="C3322" s="1" t="n">
        <v>45822</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c r="U3322">
        <f>HYPERLINK("https://klasma.github.io/Logging_2283/knärot/A 44201-2024 karta knärot.png", "A 44201-2024")</f>
        <v/>
      </c>
      <c r="V3322">
        <f>HYPERLINK("https://klasma.github.io/Logging_2283/klagomål/A 44201-2024 FSC-klagomål.docx", "A 44201-2024")</f>
        <v/>
      </c>
      <c r="W3322">
        <f>HYPERLINK("https://klasma.github.io/Logging_2283/klagomålsmail/A 44201-2024 FSC-klagomål mail.docx", "A 44201-2024")</f>
        <v/>
      </c>
      <c r="X3322">
        <f>HYPERLINK("https://klasma.github.io/Logging_2283/tillsyn/A 44201-2024 tillsynsbegäran.docx", "A 44201-2024")</f>
        <v/>
      </c>
      <c r="Y3322">
        <f>HYPERLINK("https://klasma.github.io/Logging_2283/tillsynsmail/A 44201-2024 tillsynsbegäran mail.docx", "A 44201-2024")</f>
        <v/>
      </c>
    </row>
    <row r="3323" ht="15" customHeight="1">
      <c r="A3323" t="inlineStr">
        <is>
          <t>A 44299-2024</t>
        </is>
      </c>
      <c r="B3323" s="1" t="n">
        <v>45573</v>
      </c>
      <c r="C3323" s="1" t="n">
        <v>45822</v>
      </c>
      <c r="D3323" t="inlineStr">
        <is>
          <t>VÄSTERNORRLANDS LÄN</t>
        </is>
      </c>
      <c r="E3323" t="inlineStr">
        <is>
          <t>SOLLEFTEÅ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44320-2024</t>
        </is>
      </c>
      <c r="B3324" s="1" t="n">
        <v>45573</v>
      </c>
      <c r="C3324" s="1" t="n">
        <v>45822</v>
      </c>
      <c r="D3324" t="inlineStr">
        <is>
          <t>VÄSTERNORRLANDS LÄN</t>
        </is>
      </c>
      <c r="E3324" t="inlineStr">
        <is>
          <t>SOLLEFTEÅ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44202-2024</t>
        </is>
      </c>
      <c r="B3325" s="1" t="n">
        <v>45573</v>
      </c>
      <c r="C3325" s="1" t="n">
        <v>45822</v>
      </c>
      <c r="D3325" t="inlineStr">
        <is>
          <t>VÄSTERNORRLANDS LÄN</t>
        </is>
      </c>
      <c r="E3325" t="inlineStr">
        <is>
          <t>SOLLEFTEÅ</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44323-2024</t>
        </is>
      </c>
      <c r="B3326" s="1" t="n">
        <v>45573</v>
      </c>
      <c r="C3326" s="1" t="n">
        <v>45822</v>
      </c>
      <c r="D3326" t="inlineStr">
        <is>
          <t>VÄSTERNORRLANDS LÄN</t>
        </is>
      </c>
      <c r="E3326" t="inlineStr">
        <is>
          <t>SOLLEFTEÅ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44302-2024</t>
        </is>
      </c>
      <c r="B3327" s="1" t="n">
        <v>45573</v>
      </c>
      <c r="C3327" s="1" t="n">
        <v>45822</v>
      </c>
      <c r="D3327" t="inlineStr">
        <is>
          <t>VÄSTERNORRLANDS LÄN</t>
        </is>
      </c>
      <c r="E3327" t="inlineStr">
        <is>
          <t>SOLLEFTEÅ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44298-2024</t>
        </is>
      </c>
      <c r="B3328" s="1" t="n">
        <v>45573</v>
      </c>
      <c r="C3328" s="1" t="n">
        <v>45822</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44294-2024</t>
        </is>
      </c>
      <c r="B3329" s="1" t="n">
        <v>45573</v>
      </c>
      <c r="C3329" s="1" t="n">
        <v>45822</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44200-2024</t>
        </is>
      </c>
      <c r="B3330" s="1" t="n">
        <v>45573</v>
      </c>
      <c r="C3330" s="1" t="n">
        <v>45822</v>
      </c>
      <c r="D3330" t="inlineStr">
        <is>
          <t>VÄSTERNORRLANDS LÄN</t>
        </is>
      </c>
      <c r="E3330" t="inlineStr">
        <is>
          <t>SOLLEFTEÅ</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44554-2024</t>
        </is>
      </c>
      <c r="B3331" s="1" t="n">
        <v>45574</v>
      </c>
      <c r="C3331" s="1" t="n">
        <v>45822</v>
      </c>
      <c r="D3331" t="inlineStr">
        <is>
          <t>VÄSTERNORRLANDS LÄN</t>
        </is>
      </c>
      <c r="E3331" t="inlineStr">
        <is>
          <t>SOLLEFTEÅ</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44591-2024</t>
        </is>
      </c>
      <c r="B3332" s="1" t="n">
        <v>45574</v>
      </c>
      <c r="C3332" s="1" t="n">
        <v>45822</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44627-2024</t>
        </is>
      </c>
      <c r="B3333" s="1" t="n">
        <v>45574</v>
      </c>
      <c r="C3333" s="1" t="n">
        <v>45822</v>
      </c>
      <c r="D3333" t="inlineStr">
        <is>
          <t>VÄSTERNORRLANDS LÄN</t>
        </is>
      </c>
      <c r="E3333" t="inlineStr">
        <is>
          <t>SOLLEFTEÅ</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44640-2024</t>
        </is>
      </c>
      <c r="B3334" s="1" t="n">
        <v>45574</v>
      </c>
      <c r="C3334" s="1" t="n">
        <v>45822</v>
      </c>
      <c r="D3334" t="inlineStr">
        <is>
          <t>VÄSTERNORRLANDS LÄN</t>
        </is>
      </c>
      <c r="E3334" t="inlineStr">
        <is>
          <t>SOLLEFTEÅ</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44614-2024</t>
        </is>
      </c>
      <c r="B3335" s="1" t="n">
        <v>45574</v>
      </c>
      <c r="C3335" s="1" t="n">
        <v>45822</v>
      </c>
      <c r="D3335" t="inlineStr">
        <is>
          <t>VÄSTERNORRLANDS LÄN</t>
        </is>
      </c>
      <c r="E3335" t="inlineStr">
        <is>
          <t>SOLLEFTEÅ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44639-2024</t>
        </is>
      </c>
      <c r="B3336" s="1" t="n">
        <v>45574</v>
      </c>
      <c r="C3336" s="1" t="n">
        <v>45822</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44661-2024</t>
        </is>
      </c>
      <c r="B3337" s="1" t="n">
        <v>45574</v>
      </c>
      <c r="C3337" s="1" t="n">
        <v>45822</v>
      </c>
      <c r="D3337" t="inlineStr">
        <is>
          <t>VÄSTERNORRLANDS LÄN</t>
        </is>
      </c>
      <c r="E3337" t="inlineStr">
        <is>
          <t>SOLLEFTEÅ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44621-2024</t>
        </is>
      </c>
      <c r="B3338" s="1" t="n">
        <v>45574</v>
      </c>
      <c r="C3338" s="1" t="n">
        <v>45822</v>
      </c>
      <c r="D3338" t="inlineStr">
        <is>
          <t>VÄSTERNORRLANDS LÄN</t>
        </is>
      </c>
      <c r="E3338" t="inlineStr">
        <is>
          <t>SOLLEFTEÅ</t>
        </is>
      </c>
      <c r="F3338" t="inlineStr">
        <is>
          <t>SCA</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44662-2024</t>
        </is>
      </c>
      <c r="B3339" s="1" t="n">
        <v>45574</v>
      </c>
      <c r="C3339" s="1" t="n">
        <v>45822</v>
      </c>
      <c r="D3339" t="inlineStr">
        <is>
          <t>VÄSTERNORRLANDS LÄN</t>
        </is>
      </c>
      <c r="E3339" t="inlineStr">
        <is>
          <t>SOLLEFTEÅ</t>
        </is>
      </c>
      <c r="F3339" t="inlineStr">
        <is>
          <t>SCA</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45142-2024</t>
        </is>
      </c>
      <c r="B3340" s="1" t="n">
        <v>45575</v>
      </c>
      <c r="C3340" s="1" t="n">
        <v>45822</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45171-2024</t>
        </is>
      </c>
      <c r="B3341" s="1" t="n">
        <v>45575</v>
      </c>
      <c r="C3341" s="1" t="n">
        <v>45822</v>
      </c>
      <c r="D3341" t="inlineStr">
        <is>
          <t>VÄSTERNORRLANDS LÄN</t>
        </is>
      </c>
      <c r="E3341" t="inlineStr">
        <is>
          <t>SOLLEFTEÅ</t>
        </is>
      </c>
      <c r="F3341" t="inlineStr">
        <is>
          <t>SCA</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44950-2024</t>
        </is>
      </c>
      <c r="B3342" s="1" t="n">
        <v>45575</v>
      </c>
      <c r="C3342" s="1" t="n">
        <v>45822</v>
      </c>
      <c r="D3342" t="inlineStr">
        <is>
          <t>VÄSTERNORRLANDS LÄN</t>
        </is>
      </c>
      <c r="E3342" t="inlineStr">
        <is>
          <t>SOLLEFTEÅ</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45435-2024</t>
        </is>
      </c>
      <c r="B3343" s="1" t="n">
        <v>45576</v>
      </c>
      <c r="C3343" s="1" t="n">
        <v>45822</v>
      </c>
      <c r="D3343" t="inlineStr">
        <is>
          <t>VÄSTERNORRLANDS LÄN</t>
        </is>
      </c>
      <c r="E3343" t="inlineStr">
        <is>
          <t>SOLLEFTEÅ</t>
        </is>
      </c>
      <c r="F3343" t="inlineStr">
        <is>
          <t>SCA</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45334-2024</t>
        </is>
      </c>
      <c r="B3344" s="1" t="n">
        <v>45576</v>
      </c>
      <c r="C3344" s="1" t="n">
        <v>45822</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45801-2024</t>
        </is>
      </c>
      <c r="B3345" s="1" t="n">
        <v>45579</v>
      </c>
      <c r="C3345" s="1" t="n">
        <v>45822</v>
      </c>
      <c r="D3345" t="inlineStr">
        <is>
          <t>VÄSTERNORRLANDS LÄN</t>
        </is>
      </c>
      <c r="E3345" t="inlineStr">
        <is>
          <t>SOLLEFTEÅ</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45795-2024</t>
        </is>
      </c>
      <c r="B3346" s="1" t="n">
        <v>45579</v>
      </c>
      <c r="C3346" s="1" t="n">
        <v>45822</v>
      </c>
      <c r="D3346" t="inlineStr">
        <is>
          <t>VÄSTERNORRLANDS LÄN</t>
        </is>
      </c>
      <c r="E3346" t="inlineStr">
        <is>
          <t>SOLLEFTEÅ</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45573-2024</t>
        </is>
      </c>
      <c r="B3347" s="1" t="n">
        <v>45579</v>
      </c>
      <c r="C3347" s="1" t="n">
        <v>45822</v>
      </c>
      <c r="D3347" t="inlineStr">
        <is>
          <t>VÄSTERNORRLANDS LÄN</t>
        </is>
      </c>
      <c r="E3347" t="inlineStr">
        <is>
          <t>SOLLEFTEÅ</t>
        </is>
      </c>
      <c r="F3347" t="inlineStr">
        <is>
          <t>SCA</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45778-2024</t>
        </is>
      </c>
      <c r="B3348" s="1" t="n">
        <v>45579</v>
      </c>
      <c r="C3348" s="1" t="n">
        <v>45822</v>
      </c>
      <c r="D3348" t="inlineStr">
        <is>
          <t>VÄSTERNORRLANDS LÄN</t>
        </is>
      </c>
      <c r="E3348" t="inlineStr">
        <is>
          <t>SOLLEFTEÅ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45802-2024</t>
        </is>
      </c>
      <c r="B3349" s="1" t="n">
        <v>45579</v>
      </c>
      <c r="C3349" s="1" t="n">
        <v>45822</v>
      </c>
      <c r="D3349" t="inlineStr">
        <is>
          <t>VÄSTERNORRLANDS LÄN</t>
        </is>
      </c>
      <c r="E3349" t="inlineStr">
        <is>
          <t>SOLLEFTEÅ</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45748-2024</t>
        </is>
      </c>
      <c r="B3350" s="1" t="n">
        <v>45579</v>
      </c>
      <c r="C3350" s="1" t="n">
        <v>45822</v>
      </c>
      <c r="D3350" t="inlineStr">
        <is>
          <t>VÄSTERNORRLANDS LÄN</t>
        </is>
      </c>
      <c r="E3350" t="inlineStr">
        <is>
          <t>SOLLEFTEÅ</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45975-2024</t>
        </is>
      </c>
      <c r="B3351" s="1" t="n">
        <v>45580</v>
      </c>
      <c r="C3351" s="1" t="n">
        <v>45822</v>
      </c>
      <c r="D3351" t="inlineStr">
        <is>
          <t>VÄSTERNORRLANDS LÄN</t>
        </is>
      </c>
      <c r="E3351" t="inlineStr">
        <is>
          <t>SOLLEFTEÅ</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45940-2024</t>
        </is>
      </c>
      <c r="B3352" s="1" t="n">
        <v>45580</v>
      </c>
      <c r="C3352" s="1" t="n">
        <v>45822</v>
      </c>
      <c r="D3352" t="inlineStr">
        <is>
          <t>VÄSTERNORRLANDS LÄN</t>
        </is>
      </c>
      <c r="E3352" t="inlineStr">
        <is>
          <t>SOLLEFTEÅ</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46255-2024</t>
        </is>
      </c>
      <c r="B3353" s="1" t="n">
        <v>45581</v>
      </c>
      <c r="C3353" s="1" t="n">
        <v>45822</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46101-2024</t>
        </is>
      </c>
      <c r="B3354" s="1" t="n">
        <v>45581</v>
      </c>
      <c r="C3354" s="1" t="n">
        <v>45822</v>
      </c>
      <c r="D3354" t="inlineStr">
        <is>
          <t>VÄSTERNORRLANDS LÄN</t>
        </is>
      </c>
      <c r="E3354" t="inlineStr">
        <is>
          <t>SOLLEFTEÅ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46261-2024</t>
        </is>
      </c>
      <c r="B3355" s="1" t="n">
        <v>45581</v>
      </c>
      <c r="C3355" s="1" t="n">
        <v>45822</v>
      </c>
      <c r="D3355" t="inlineStr">
        <is>
          <t>VÄSTERNORRLANDS LÄN</t>
        </is>
      </c>
      <c r="E3355" t="inlineStr">
        <is>
          <t>SOLLEFTEÅ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46524-2024</t>
        </is>
      </c>
      <c r="B3356" s="1" t="n">
        <v>45582</v>
      </c>
      <c r="C3356" s="1" t="n">
        <v>45822</v>
      </c>
      <c r="D3356" t="inlineStr">
        <is>
          <t>VÄSTERNORRLANDS LÄN</t>
        </is>
      </c>
      <c r="E3356" t="inlineStr">
        <is>
          <t>SOLLEFTEÅ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46772-2024</t>
        </is>
      </c>
      <c r="B3357" s="1" t="n">
        <v>45583</v>
      </c>
      <c r="C3357" s="1" t="n">
        <v>45822</v>
      </c>
      <c r="D3357" t="inlineStr">
        <is>
          <t>VÄSTERNORRLANDS LÄN</t>
        </is>
      </c>
      <c r="E3357" t="inlineStr">
        <is>
          <t>SOLLEFTEÅ</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46850-2024</t>
        </is>
      </c>
      <c r="B3358" s="1" t="n">
        <v>45583</v>
      </c>
      <c r="C3358" s="1" t="n">
        <v>45822</v>
      </c>
      <c r="D3358" t="inlineStr">
        <is>
          <t>VÄSTERNORRLANDS LÄN</t>
        </is>
      </c>
      <c r="E3358" t="inlineStr">
        <is>
          <t>SOLLEFTEÅ</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46765-2024</t>
        </is>
      </c>
      <c r="B3359" s="1" t="n">
        <v>45583</v>
      </c>
      <c r="C3359" s="1" t="n">
        <v>45822</v>
      </c>
      <c r="D3359" t="inlineStr">
        <is>
          <t>VÄSTERNORRLANDS LÄN</t>
        </is>
      </c>
      <c r="E3359" t="inlineStr">
        <is>
          <t>SOLLEFTEÅ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46755-2024</t>
        </is>
      </c>
      <c r="B3360" s="1" t="n">
        <v>45583</v>
      </c>
      <c r="C3360" s="1" t="n">
        <v>45822</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46759-2024</t>
        </is>
      </c>
      <c r="B3361" s="1" t="n">
        <v>45583</v>
      </c>
      <c r="C3361" s="1" t="n">
        <v>45822</v>
      </c>
      <c r="D3361" t="inlineStr">
        <is>
          <t>VÄSTERNORRLANDS LÄN</t>
        </is>
      </c>
      <c r="E3361" t="inlineStr">
        <is>
          <t>SOLLEFTEÅ</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46767-2024</t>
        </is>
      </c>
      <c r="B3362" s="1" t="n">
        <v>45583</v>
      </c>
      <c r="C3362" s="1" t="n">
        <v>45822</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46770-2024</t>
        </is>
      </c>
      <c r="B3363" s="1" t="n">
        <v>45583</v>
      </c>
      <c r="C3363" s="1" t="n">
        <v>45822</v>
      </c>
      <c r="D3363" t="inlineStr">
        <is>
          <t>VÄSTERNORRLANDS LÄN</t>
        </is>
      </c>
      <c r="E3363" t="inlineStr">
        <is>
          <t>SOLLEFTEÅ</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46758-2024</t>
        </is>
      </c>
      <c r="B3364" s="1" t="n">
        <v>45583</v>
      </c>
      <c r="C3364" s="1" t="n">
        <v>45822</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47175-2024</t>
        </is>
      </c>
      <c r="B3365" s="1" t="n">
        <v>45586</v>
      </c>
      <c r="C3365" s="1" t="n">
        <v>45822</v>
      </c>
      <c r="D3365" t="inlineStr">
        <is>
          <t>VÄSTERNORRLANDS LÄN</t>
        </is>
      </c>
      <c r="E3365" t="inlineStr">
        <is>
          <t>SOLLEFTEÅ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47179-2024</t>
        </is>
      </c>
      <c r="B3366" s="1" t="n">
        <v>45586</v>
      </c>
      <c r="C3366" s="1" t="n">
        <v>45822</v>
      </c>
      <c r="D3366" t="inlineStr">
        <is>
          <t>VÄSTERNORRLANDS LÄN</t>
        </is>
      </c>
      <c r="E3366" t="inlineStr">
        <is>
          <t>SOLLEFTEÅ</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46973-2024</t>
        </is>
      </c>
      <c r="B3367" s="1" t="n">
        <v>45586</v>
      </c>
      <c r="C3367" s="1" t="n">
        <v>45822</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47471-2024</t>
        </is>
      </c>
      <c r="B3368" s="1" t="n">
        <v>45587</v>
      </c>
      <c r="C3368" s="1" t="n">
        <v>45822</v>
      </c>
      <c r="D3368" t="inlineStr">
        <is>
          <t>VÄSTERNORRLANDS LÄN</t>
        </is>
      </c>
      <c r="E3368" t="inlineStr">
        <is>
          <t>SOLLEFTEÅ</t>
        </is>
      </c>
      <c r="F3368" t="inlineStr">
        <is>
          <t>SCA</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47354-2024</t>
        </is>
      </c>
      <c r="B3369" s="1" t="n">
        <v>45587</v>
      </c>
      <c r="C3369" s="1" t="n">
        <v>45822</v>
      </c>
      <c r="D3369" t="inlineStr">
        <is>
          <t>VÄSTERNORRLANDS LÄN</t>
        </is>
      </c>
      <c r="E3369" t="inlineStr">
        <is>
          <t>SOLLEFTEÅ</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47547-2024</t>
        </is>
      </c>
      <c r="B3370" s="1" t="n">
        <v>45587</v>
      </c>
      <c r="C3370" s="1" t="n">
        <v>45822</v>
      </c>
      <c r="D3370" t="inlineStr">
        <is>
          <t>VÄSTERNORRLANDS LÄN</t>
        </is>
      </c>
      <c r="E3370" t="inlineStr">
        <is>
          <t>SOLLEFTEÅ</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47745-2024</t>
        </is>
      </c>
      <c r="B3371" s="1" t="n">
        <v>45588</v>
      </c>
      <c r="C3371" s="1" t="n">
        <v>45822</v>
      </c>
      <c r="D3371" t="inlineStr">
        <is>
          <t>VÄSTERNORRLANDS LÄN</t>
        </is>
      </c>
      <c r="E3371" t="inlineStr">
        <is>
          <t>SOLLEFTEÅ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47641-2024</t>
        </is>
      </c>
      <c r="B3372" s="1" t="n">
        <v>45588</v>
      </c>
      <c r="C3372" s="1" t="n">
        <v>45822</v>
      </c>
      <c r="D3372" t="inlineStr">
        <is>
          <t>VÄSTERNORRLANDS LÄN</t>
        </is>
      </c>
      <c r="E3372" t="inlineStr">
        <is>
          <t>SOLLEFTEÅ</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47631-2024</t>
        </is>
      </c>
      <c r="B3373" s="1" t="n">
        <v>45588</v>
      </c>
      <c r="C3373" s="1" t="n">
        <v>45822</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47868-2024</t>
        </is>
      </c>
      <c r="B3374" s="1" t="n">
        <v>45588</v>
      </c>
      <c r="C3374" s="1" t="n">
        <v>45822</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48118-2024</t>
        </is>
      </c>
      <c r="B3375" s="1" t="n">
        <v>45589</v>
      </c>
      <c r="C3375" s="1" t="n">
        <v>45822</v>
      </c>
      <c r="D3375" t="inlineStr">
        <is>
          <t>VÄSTERNORRLANDS LÄN</t>
        </is>
      </c>
      <c r="E3375" t="inlineStr">
        <is>
          <t>SOLLEFTEÅ</t>
        </is>
      </c>
      <c r="F3375" t="inlineStr">
        <is>
          <t>SCA</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48038-2024</t>
        </is>
      </c>
      <c r="B3376" s="1" t="n">
        <v>45589</v>
      </c>
      <c r="C3376" s="1" t="n">
        <v>45822</v>
      </c>
      <c r="D3376" t="inlineStr">
        <is>
          <t>VÄSTERNORRLANDS LÄN</t>
        </is>
      </c>
      <c r="E3376" t="inlineStr">
        <is>
          <t>SOLLEFTEÅ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47955-2024</t>
        </is>
      </c>
      <c r="B3377" s="1" t="n">
        <v>45589</v>
      </c>
      <c r="C3377" s="1" t="n">
        <v>45822</v>
      </c>
      <c r="D3377" t="inlineStr">
        <is>
          <t>VÄSTERNORRLANDS LÄN</t>
        </is>
      </c>
      <c r="E3377" t="inlineStr">
        <is>
          <t>SOLLEFTEÅ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47963-2024</t>
        </is>
      </c>
      <c r="B3378" s="1" t="n">
        <v>45589</v>
      </c>
      <c r="C3378" s="1" t="n">
        <v>45822</v>
      </c>
      <c r="D3378" t="inlineStr">
        <is>
          <t>VÄSTERNORRLANDS LÄN</t>
        </is>
      </c>
      <c r="E3378" t="inlineStr">
        <is>
          <t>SOLLEFTEÅ</t>
        </is>
      </c>
      <c r="F3378" t="inlineStr">
        <is>
          <t>SCA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47987-2024</t>
        </is>
      </c>
      <c r="B3379" s="1" t="n">
        <v>45589</v>
      </c>
      <c r="C3379" s="1" t="n">
        <v>45822</v>
      </c>
      <c r="D3379" t="inlineStr">
        <is>
          <t>VÄSTERNORRLANDS LÄN</t>
        </is>
      </c>
      <c r="E3379" t="inlineStr">
        <is>
          <t>SOLLEFTEÅ</t>
        </is>
      </c>
      <c r="F3379" t="inlineStr">
        <is>
          <t>SCA</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48019-2024</t>
        </is>
      </c>
      <c r="B3380" s="1" t="n">
        <v>45589</v>
      </c>
      <c r="C3380" s="1" t="n">
        <v>45822</v>
      </c>
      <c r="D3380" t="inlineStr">
        <is>
          <t>VÄSTERNORRLANDS LÄN</t>
        </is>
      </c>
      <c r="E3380" t="inlineStr">
        <is>
          <t>SOLLEFTEÅ</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48081-2024</t>
        </is>
      </c>
      <c r="B3381" s="1" t="n">
        <v>45589</v>
      </c>
      <c r="C3381" s="1" t="n">
        <v>45822</v>
      </c>
      <c r="D3381" t="inlineStr">
        <is>
          <t>VÄSTERNORRLANDS LÄN</t>
        </is>
      </c>
      <c r="E3381" t="inlineStr">
        <is>
          <t>SOLLEFTEÅ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48049-2024</t>
        </is>
      </c>
      <c r="B3382" s="1" t="n">
        <v>45589</v>
      </c>
      <c r="C3382" s="1" t="n">
        <v>45822</v>
      </c>
      <c r="D3382" t="inlineStr">
        <is>
          <t>VÄSTERNORRLANDS LÄN</t>
        </is>
      </c>
      <c r="E3382" t="inlineStr">
        <is>
          <t>SOLLEFTEÅ</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48021-2024</t>
        </is>
      </c>
      <c r="B3383" s="1" t="n">
        <v>45589</v>
      </c>
      <c r="C3383" s="1" t="n">
        <v>45822</v>
      </c>
      <c r="D3383" t="inlineStr">
        <is>
          <t>VÄSTERNORRLANDS LÄN</t>
        </is>
      </c>
      <c r="E3383" t="inlineStr">
        <is>
          <t>SOLLEFTEÅ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48017-2024</t>
        </is>
      </c>
      <c r="B3384" s="1" t="n">
        <v>45589</v>
      </c>
      <c r="C3384" s="1" t="n">
        <v>45822</v>
      </c>
      <c r="D3384" t="inlineStr">
        <is>
          <t>VÄSTERNORRLANDS LÄN</t>
        </is>
      </c>
      <c r="E3384" t="inlineStr">
        <is>
          <t>SOLLEFTEÅ</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48001-2024</t>
        </is>
      </c>
      <c r="B3385" s="1" t="n">
        <v>45589</v>
      </c>
      <c r="C3385" s="1" t="n">
        <v>45822</v>
      </c>
      <c r="D3385" t="inlineStr">
        <is>
          <t>VÄSTERNORRLANDS LÄN</t>
        </is>
      </c>
      <c r="E3385" t="inlineStr">
        <is>
          <t>SOLLEFTEÅ</t>
        </is>
      </c>
      <c r="F3385" t="inlineStr">
        <is>
          <t>SCA</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47965-2024</t>
        </is>
      </c>
      <c r="B3386" s="1" t="n">
        <v>45589</v>
      </c>
      <c r="C3386" s="1" t="n">
        <v>45822</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48020-2024</t>
        </is>
      </c>
      <c r="B3387" s="1" t="n">
        <v>45589</v>
      </c>
      <c r="C3387" s="1" t="n">
        <v>45822</v>
      </c>
      <c r="D3387" t="inlineStr">
        <is>
          <t>VÄSTERNORRLANDS LÄN</t>
        </is>
      </c>
      <c r="E3387" t="inlineStr">
        <is>
          <t>SOLLEFTEÅ</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48396-2024</t>
        </is>
      </c>
      <c r="B3388" s="1" t="n">
        <v>45590</v>
      </c>
      <c r="C3388" s="1" t="n">
        <v>45822</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48265-2024</t>
        </is>
      </c>
      <c r="B3389" s="1" t="n">
        <v>45590</v>
      </c>
      <c r="C3389" s="1" t="n">
        <v>45822</v>
      </c>
      <c r="D3389" t="inlineStr">
        <is>
          <t>VÄSTERNORRLANDS LÄN</t>
        </is>
      </c>
      <c r="E3389" t="inlineStr">
        <is>
          <t>SOLLEFTEÅ</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48419-2024</t>
        </is>
      </c>
      <c r="B3390" s="1" t="n">
        <v>45590</v>
      </c>
      <c r="C3390" s="1" t="n">
        <v>45822</v>
      </c>
      <c r="D3390" t="inlineStr">
        <is>
          <t>VÄSTERNORRLANDS LÄN</t>
        </is>
      </c>
      <c r="E3390" t="inlineStr">
        <is>
          <t>SOLLEFTEÅ</t>
        </is>
      </c>
      <c r="F3390" t="inlineStr">
        <is>
          <t>SCA</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48235-2024</t>
        </is>
      </c>
      <c r="B3391" s="1" t="n">
        <v>45590</v>
      </c>
      <c r="C3391" s="1" t="n">
        <v>45822</v>
      </c>
      <c r="D3391" t="inlineStr">
        <is>
          <t>VÄSTERNORRLANDS LÄN</t>
        </is>
      </c>
      <c r="E3391" t="inlineStr">
        <is>
          <t>SOLLEFTEÅ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48490-2024</t>
        </is>
      </c>
      <c r="B3392" s="1" t="n">
        <v>45592</v>
      </c>
      <c r="C3392" s="1" t="n">
        <v>45822</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48489-2024</t>
        </is>
      </c>
      <c r="B3393" s="1" t="n">
        <v>45592</v>
      </c>
      <c r="C3393" s="1" t="n">
        <v>45822</v>
      </c>
      <c r="D3393" t="inlineStr">
        <is>
          <t>VÄSTERNORRLANDS LÄN</t>
        </is>
      </c>
      <c r="E3393" t="inlineStr">
        <is>
          <t>SOLLEFTEÅ</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48491-2024</t>
        </is>
      </c>
      <c r="B3394" s="1" t="n">
        <v>45592</v>
      </c>
      <c r="C3394" s="1" t="n">
        <v>45822</v>
      </c>
      <c r="D3394" t="inlineStr">
        <is>
          <t>VÄSTERNORRLANDS LÄN</t>
        </is>
      </c>
      <c r="E3394" t="inlineStr">
        <is>
          <t>SOLLEFTEÅ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48720-2024</t>
        </is>
      </c>
      <c r="B3395" s="1" t="n">
        <v>45593</v>
      </c>
      <c r="C3395" s="1" t="n">
        <v>45822</v>
      </c>
      <c r="D3395" t="inlineStr">
        <is>
          <t>VÄSTERNORRLANDS LÄN</t>
        </is>
      </c>
      <c r="E3395" t="inlineStr">
        <is>
          <t>SOLLEFTEÅ</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48673-2024</t>
        </is>
      </c>
      <c r="B3396" s="1" t="n">
        <v>45593</v>
      </c>
      <c r="C3396" s="1" t="n">
        <v>45822</v>
      </c>
      <c r="D3396" t="inlineStr">
        <is>
          <t>VÄSTERNORRLANDS LÄN</t>
        </is>
      </c>
      <c r="E3396" t="inlineStr">
        <is>
          <t>SOLLEFTEÅ</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48528-2024</t>
        </is>
      </c>
      <c r="B3397" s="1" t="n">
        <v>45593</v>
      </c>
      <c r="C3397" s="1" t="n">
        <v>45822</v>
      </c>
      <c r="D3397" t="inlineStr">
        <is>
          <t>VÄSTERNORRLANDS LÄN</t>
        </is>
      </c>
      <c r="E3397" t="inlineStr">
        <is>
          <t>SOLLEFTEÅ</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48529-2024</t>
        </is>
      </c>
      <c r="B3398" s="1" t="n">
        <v>45593</v>
      </c>
      <c r="C3398" s="1" t="n">
        <v>45822</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48606-2024</t>
        </is>
      </c>
      <c r="B3399" s="1" t="n">
        <v>45593</v>
      </c>
      <c r="C3399" s="1" t="n">
        <v>45822</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48785-2024</t>
        </is>
      </c>
      <c r="B3400" s="1" t="n">
        <v>45593</v>
      </c>
      <c r="C3400" s="1" t="n">
        <v>45822</v>
      </c>
      <c r="D3400" t="inlineStr">
        <is>
          <t>VÄSTERNORRLANDS LÄN</t>
        </is>
      </c>
      <c r="E3400" t="inlineStr">
        <is>
          <t>SOLLEFTEÅ</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48962-2024</t>
        </is>
      </c>
      <c r="B3401" s="1" t="n">
        <v>45594</v>
      </c>
      <c r="C3401" s="1" t="n">
        <v>45822</v>
      </c>
      <c r="D3401" t="inlineStr">
        <is>
          <t>VÄSTERNORRLANDS LÄN</t>
        </is>
      </c>
      <c r="E3401" t="inlineStr">
        <is>
          <t>SOLLEFTEÅ</t>
        </is>
      </c>
      <c r="F3401" t="inlineStr">
        <is>
          <t>SCA</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49156-2024</t>
        </is>
      </c>
      <c r="B3402" s="1" t="n">
        <v>45594</v>
      </c>
      <c r="C3402" s="1" t="n">
        <v>45822</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48895-2024</t>
        </is>
      </c>
      <c r="B3403" s="1" t="n">
        <v>45594</v>
      </c>
      <c r="C3403" s="1" t="n">
        <v>45822</v>
      </c>
      <c r="D3403" t="inlineStr">
        <is>
          <t>VÄSTERNORRLANDS LÄN</t>
        </is>
      </c>
      <c r="E3403" t="inlineStr">
        <is>
          <t>SOLLEFTEÅ</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49238-2024</t>
        </is>
      </c>
      <c r="B3404" s="1" t="n">
        <v>45595</v>
      </c>
      <c r="C3404" s="1" t="n">
        <v>45822</v>
      </c>
      <c r="D3404" t="inlineStr">
        <is>
          <t>VÄSTERNORRLANDS LÄN</t>
        </is>
      </c>
      <c r="E3404" t="inlineStr">
        <is>
          <t>SOLLEFTEÅ</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49373-2024</t>
        </is>
      </c>
      <c r="B3405" s="1" t="n">
        <v>45595</v>
      </c>
      <c r="C3405" s="1" t="n">
        <v>45822</v>
      </c>
      <c r="D3405" t="inlineStr">
        <is>
          <t>VÄSTERNORRLANDS LÄN</t>
        </is>
      </c>
      <c r="E3405" t="inlineStr">
        <is>
          <t>SOLLEFTEÅ</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49403-2024</t>
        </is>
      </c>
      <c r="B3406" s="1" t="n">
        <v>45595</v>
      </c>
      <c r="C3406" s="1" t="n">
        <v>45822</v>
      </c>
      <c r="D3406" t="inlineStr">
        <is>
          <t>VÄSTERNORRLANDS LÄN</t>
        </is>
      </c>
      <c r="E3406" t="inlineStr">
        <is>
          <t>SOLLEFTEÅ</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49253-2024</t>
        </is>
      </c>
      <c r="B3407" s="1" t="n">
        <v>45595</v>
      </c>
      <c r="C3407" s="1" t="n">
        <v>45822</v>
      </c>
      <c r="D3407" t="inlineStr">
        <is>
          <t>VÄSTERNORRLANDS LÄN</t>
        </is>
      </c>
      <c r="E3407" t="inlineStr">
        <is>
          <t>SOLLEFTEÅ</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49673-2024</t>
        </is>
      </c>
      <c r="B3408" s="1" t="n">
        <v>45596</v>
      </c>
      <c r="C3408" s="1" t="n">
        <v>45822</v>
      </c>
      <c r="D3408" t="inlineStr">
        <is>
          <t>VÄSTERNORRLANDS LÄN</t>
        </is>
      </c>
      <c r="E3408" t="inlineStr">
        <is>
          <t>SOLLEFTEÅ</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49567-2024</t>
        </is>
      </c>
      <c r="B3409" s="1" t="n">
        <v>45596</v>
      </c>
      <c r="C3409" s="1" t="n">
        <v>45822</v>
      </c>
      <c r="D3409" t="inlineStr">
        <is>
          <t>VÄSTERNORRLANDS LÄN</t>
        </is>
      </c>
      <c r="E3409" t="inlineStr">
        <is>
          <t>SOLLEFTEÅ</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49629-2024</t>
        </is>
      </c>
      <c r="B3410" s="1" t="n">
        <v>45596</v>
      </c>
      <c r="C3410" s="1" t="n">
        <v>45822</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49771-2024</t>
        </is>
      </c>
      <c r="B3411" s="1" t="n">
        <v>45597</v>
      </c>
      <c r="C3411" s="1" t="n">
        <v>45822</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49829-2024</t>
        </is>
      </c>
      <c r="B3412" s="1" t="n">
        <v>45597</v>
      </c>
      <c r="C3412" s="1" t="n">
        <v>45822</v>
      </c>
      <c r="D3412" t="inlineStr">
        <is>
          <t>VÄSTERNORRLANDS LÄN</t>
        </is>
      </c>
      <c r="E3412" t="inlineStr">
        <is>
          <t>SOLLEFTEÅ</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49772-2024</t>
        </is>
      </c>
      <c r="B3413" s="1" t="n">
        <v>45597</v>
      </c>
      <c r="C3413" s="1" t="n">
        <v>45822</v>
      </c>
      <c r="D3413" t="inlineStr">
        <is>
          <t>VÄSTERNORRLANDS LÄN</t>
        </is>
      </c>
      <c r="E3413" t="inlineStr">
        <is>
          <t>SOLLEFTEÅ</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50007-2024</t>
        </is>
      </c>
      <c r="B3414" s="1" t="n">
        <v>45598</v>
      </c>
      <c r="C3414" s="1" t="n">
        <v>45822</v>
      </c>
      <c r="D3414" t="inlineStr">
        <is>
          <t>VÄSTERNORRLANDS LÄN</t>
        </is>
      </c>
      <c r="E3414" t="inlineStr">
        <is>
          <t>SOLLEFTEÅ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50008-2024</t>
        </is>
      </c>
      <c r="B3415" s="1" t="n">
        <v>45598</v>
      </c>
      <c r="C3415" s="1" t="n">
        <v>45822</v>
      </c>
      <c r="D3415" t="inlineStr">
        <is>
          <t>VÄSTERNORRLANDS LÄN</t>
        </is>
      </c>
      <c r="E3415" t="inlineStr">
        <is>
          <t>SOLLEFTEÅ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49999-2024</t>
        </is>
      </c>
      <c r="B3416" s="1" t="n">
        <v>45598</v>
      </c>
      <c r="C3416" s="1" t="n">
        <v>45822</v>
      </c>
      <c r="D3416" t="inlineStr">
        <is>
          <t>VÄSTERNORRLANDS LÄN</t>
        </is>
      </c>
      <c r="E3416" t="inlineStr">
        <is>
          <t>SOLLEFTEÅ</t>
        </is>
      </c>
      <c r="F3416" t="inlineStr">
        <is>
          <t>SCA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50006-2024</t>
        </is>
      </c>
      <c r="B3417" s="1" t="n">
        <v>45598</v>
      </c>
      <c r="C3417" s="1" t="n">
        <v>45822</v>
      </c>
      <c r="D3417" t="inlineStr">
        <is>
          <t>VÄSTERNORRLANDS LÄN</t>
        </is>
      </c>
      <c r="E3417" t="inlineStr">
        <is>
          <t>SOLLEFTEÅ</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50036-2024</t>
        </is>
      </c>
      <c r="B3418" s="1" t="n">
        <v>45599</v>
      </c>
      <c r="C3418" s="1" t="n">
        <v>45822</v>
      </c>
      <c r="D3418" t="inlineStr">
        <is>
          <t>VÄSTERNORRLANDS LÄN</t>
        </is>
      </c>
      <c r="E3418" t="inlineStr">
        <is>
          <t>SOLLEFTEÅ</t>
        </is>
      </c>
      <c r="G3418" t="n">
        <v>17.9</v>
      </c>
      <c r="H3418" t="n">
        <v>0</v>
      </c>
      <c r="I3418" t="n">
        <v>0</v>
      </c>
      <c r="J3418" t="n">
        <v>0</v>
      </c>
      <c r="K3418" t="n">
        <v>0</v>
      </c>
      <c r="L3418" t="n">
        <v>0</v>
      </c>
      <c r="M3418" t="n">
        <v>0</v>
      </c>
      <c r="N3418" t="n">
        <v>0</v>
      </c>
      <c r="O3418" t="n">
        <v>0</v>
      </c>
      <c r="P3418" t="n">
        <v>0</v>
      </c>
      <c r="Q3418" t="n">
        <v>0</v>
      </c>
      <c r="R3418" s="2" t="inlineStr"/>
    </row>
    <row r="3419" ht="15" customHeight="1">
      <c r="A3419" t="inlineStr">
        <is>
          <t>A 50089-2024</t>
        </is>
      </c>
      <c r="B3419" s="1" t="n">
        <v>45600</v>
      </c>
      <c r="C3419" s="1" t="n">
        <v>45822</v>
      </c>
      <c r="D3419" t="inlineStr">
        <is>
          <t>VÄSTERNORRLANDS LÄN</t>
        </is>
      </c>
      <c r="E3419" t="inlineStr">
        <is>
          <t>SOLLEFTEÅ</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50316-2024</t>
        </is>
      </c>
      <c r="B3420" s="1" t="n">
        <v>45600</v>
      </c>
      <c r="C3420" s="1" t="n">
        <v>45822</v>
      </c>
      <c r="D3420" t="inlineStr">
        <is>
          <t>VÄSTERNORRLANDS LÄN</t>
        </is>
      </c>
      <c r="E3420" t="inlineStr">
        <is>
          <t>SOLLEFTEÅ</t>
        </is>
      </c>
      <c r="F3420" t="inlineStr">
        <is>
          <t>SCA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50090-2024</t>
        </is>
      </c>
      <c r="B3421" s="1" t="n">
        <v>45600</v>
      </c>
      <c r="C3421" s="1" t="n">
        <v>45822</v>
      </c>
      <c r="D3421" t="inlineStr">
        <is>
          <t>VÄSTERNORRLANDS LÄN</t>
        </is>
      </c>
      <c r="E3421" t="inlineStr">
        <is>
          <t>SOLLEFTEÅ</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50624-2024</t>
        </is>
      </c>
      <c r="B3422" s="1" t="n">
        <v>45601</v>
      </c>
      <c r="C3422" s="1" t="n">
        <v>45822</v>
      </c>
      <c r="D3422" t="inlineStr">
        <is>
          <t>VÄSTERNORRLANDS LÄN</t>
        </is>
      </c>
      <c r="E3422" t="inlineStr">
        <is>
          <t>SOLLEFTEÅ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50557-2024</t>
        </is>
      </c>
      <c r="B3423" s="1" t="n">
        <v>45601</v>
      </c>
      <c r="C3423" s="1" t="n">
        <v>45822</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50549-2024</t>
        </is>
      </c>
      <c r="B3424" s="1" t="n">
        <v>45601</v>
      </c>
      <c r="C3424" s="1" t="n">
        <v>45822</v>
      </c>
      <c r="D3424" t="inlineStr">
        <is>
          <t>VÄSTERNORRLANDS LÄN</t>
        </is>
      </c>
      <c r="E3424" t="inlineStr">
        <is>
          <t>SOLLEFTEÅ</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50430-2024</t>
        </is>
      </c>
      <c r="B3425" s="1" t="n">
        <v>45601</v>
      </c>
      <c r="C3425" s="1" t="n">
        <v>45822</v>
      </c>
      <c r="D3425" t="inlineStr">
        <is>
          <t>VÄSTERNORRLANDS LÄN</t>
        </is>
      </c>
      <c r="E3425" t="inlineStr">
        <is>
          <t>SOLLEFTEÅ</t>
        </is>
      </c>
      <c r="F3425" t="inlineStr">
        <is>
          <t>SCA</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50625-2024</t>
        </is>
      </c>
      <c r="B3426" s="1" t="n">
        <v>45601</v>
      </c>
      <c r="C3426" s="1" t="n">
        <v>45822</v>
      </c>
      <c r="D3426" t="inlineStr">
        <is>
          <t>VÄSTERNORRLANDS LÄN</t>
        </is>
      </c>
      <c r="E3426" t="inlineStr">
        <is>
          <t>SOLLEFTEÅ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50717-2024</t>
        </is>
      </c>
      <c r="B3427" s="1" t="n">
        <v>45602</v>
      </c>
      <c r="C3427" s="1" t="n">
        <v>45822</v>
      </c>
      <c r="D3427" t="inlineStr">
        <is>
          <t>VÄSTERNORRLANDS LÄN</t>
        </is>
      </c>
      <c r="E3427" t="inlineStr">
        <is>
          <t>SOLLEFTEÅ</t>
        </is>
      </c>
      <c r="F3427" t="inlineStr">
        <is>
          <t>SCA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50721-2024</t>
        </is>
      </c>
      <c r="B3428" s="1" t="n">
        <v>45602</v>
      </c>
      <c r="C3428" s="1" t="n">
        <v>45822</v>
      </c>
      <c r="D3428" t="inlineStr">
        <is>
          <t>VÄSTERNORRLANDS LÄN</t>
        </is>
      </c>
      <c r="E3428" t="inlineStr">
        <is>
          <t>SOLLEFTEÅ</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50864-2024</t>
        </is>
      </c>
      <c r="B3429" s="1" t="n">
        <v>45602</v>
      </c>
      <c r="C3429" s="1" t="n">
        <v>45822</v>
      </c>
      <c r="D3429" t="inlineStr">
        <is>
          <t>VÄSTERNORRLANDS LÄN</t>
        </is>
      </c>
      <c r="E3429" t="inlineStr">
        <is>
          <t>SOLLEFTEÅ</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50720-2024</t>
        </is>
      </c>
      <c r="B3430" s="1" t="n">
        <v>45602</v>
      </c>
      <c r="C3430" s="1" t="n">
        <v>45822</v>
      </c>
      <c r="D3430" t="inlineStr">
        <is>
          <t>VÄSTERNORRLANDS LÄN</t>
        </is>
      </c>
      <c r="E3430" t="inlineStr">
        <is>
          <t>SOLLEFTEÅ</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50770-2024</t>
        </is>
      </c>
      <c r="B3431" s="1" t="n">
        <v>45602</v>
      </c>
      <c r="C3431" s="1" t="n">
        <v>45822</v>
      </c>
      <c r="D3431" t="inlineStr">
        <is>
          <t>VÄSTERNORRLANDS LÄN</t>
        </is>
      </c>
      <c r="E3431" t="inlineStr">
        <is>
          <t>SOLLEFTEÅ</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50877-2024</t>
        </is>
      </c>
      <c r="B3432" s="1" t="n">
        <v>45602</v>
      </c>
      <c r="C3432" s="1" t="n">
        <v>45822</v>
      </c>
      <c r="D3432" t="inlineStr">
        <is>
          <t>VÄSTERNORRLANDS LÄN</t>
        </is>
      </c>
      <c r="E3432" t="inlineStr">
        <is>
          <t>SOLLEFTEÅ</t>
        </is>
      </c>
      <c r="G3432" t="n">
        <v>15.2</v>
      </c>
      <c r="H3432" t="n">
        <v>0</v>
      </c>
      <c r="I3432" t="n">
        <v>0</v>
      </c>
      <c r="J3432" t="n">
        <v>0</v>
      </c>
      <c r="K3432" t="n">
        <v>0</v>
      </c>
      <c r="L3432" t="n">
        <v>0</v>
      </c>
      <c r="M3432" t="n">
        <v>0</v>
      </c>
      <c r="N3432" t="n">
        <v>0</v>
      </c>
      <c r="O3432" t="n">
        <v>0</v>
      </c>
      <c r="P3432" t="n">
        <v>0</v>
      </c>
      <c r="Q3432" t="n">
        <v>0</v>
      </c>
      <c r="R3432" s="2" t="inlineStr"/>
    </row>
    <row r="3433" ht="15" customHeight="1">
      <c r="A3433" t="inlineStr">
        <is>
          <t>A 51193-2024</t>
        </is>
      </c>
      <c r="B3433" s="1" t="n">
        <v>45603</v>
      </c>
      <c r="C3433" s="1" t="n">
        <v>45822</v>
      </c>
      <c r="D3433" t="inlineStr">
        <is>
          <t>VÄSTERNORRLANDS LÄN</t>
        </is>
      </c>
      <c r="E3433" t="inlineStr">
        <is>
          <t>SOLLEFTEÅ</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50963-2024</t>
        </is>
      </c>
      <c r="B3434" s="1" t="n">
        <v>45603</v>
      </c>
      <c r="C3434" s="1" t="n">
        <v>45822</v>
      </c>
      <c r="D3434" t="inlineStr">
        <is>
          <t>VÄSTERNORRLANDS LÄN</t>
        </is>
      </c>
      <c r="E3434" t="inlineStr">
        <is>
          <t>SOLLEFTEÅ</t>
        </is>
      </c>
      <c r="F3434" t="inlineStr">
        <is>
          <t>Holmen skog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51224-2024</t>
        </is>
      </c>
      <c r="B3435" s="1" t="n">
        <v>45603</v>
      </c>
      <c r="C3435" s="1" t="n">
        <v>45822</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51055-2024</t>
        </is>
      </c>
      <c r="B3436" s="1" t="n">
        <v>45603</v>
      </c>
      <c r="C3436" s="1" t="n">
        <v>45822</v>
      </c>
      <c r="D3436" t="inlineStr">
        <is>
          <t>VÄSTERNORRLANDS LÄN</t>
        </is>
      </c>
      <c r="E3436" t="inlineStr">
        <is>
          <t>SOLLEFTEÅ</t>
        </is>
      </c>
      <c r="F3436" t="inlineStr">
        <is>
          <t>SCA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51226-2024</t>
        </is>
      </c>
      <c r="B3437" s="1" t="n">
        <v>45603</v>
      </c>
      <c r="C3437" s="1" t="n">
        <v>45822</v>
      </c>
      <c r="D3437" t="inlineStr">
        <is>
          <t>VÄSTERNORRLANDS LÄN</t>
        </is>
      </c>
      <c r="E3437" t="inlineStr">
        <is>
          <t>SOLLEFTEÅ</t>
        </is>
      </c>
      <c r="F3437" t="inlineStr">
        <is>
          <t>SCA</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51132-2024</t>
        </is>
      </c>
      <c r="B3438" s="1" t="n">
        <v>45603</v>
      </c>
      <c r="C3438" s="1" t="n">
        <v>45822</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51264-2024</t>
        </is>
      </c>
      <c r="B3439" s="1" t="n">
        <v>45603</v>
      </c>
      <c r="C3439" s="1" t="n">
        <v>45822</v>
      </c>
      <c r="D3439" t="inlineStr">
        <is>
          <t>VÄSTERNORRLANDS LÄN</t>
        </is>
      </c>
      <c r="E3439" t="inlineStr">
        <is>
          <t>SOLLEFTEÅ</t>
        </is>
      </c>
      <c r="F3439" t="inlineStr">
        <is>
          <t>SCA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51227-2024</t>
        </is>
      </c>
      <c r="B3440" s="1" t="n">
        <v>45603</v>
      </c>
      <c r="C3440" s="1" t="n">
        <v>45822</v>
      </c>
      <c r="D3440" t="inlineStr">
        <is>
          <t>VÄSTERNORRLANDS LÄN</t>
        </is>
      </c>
      <c r="E3440" t="inlineStr">
        <is>
          <t>SOLLEFTEÅ</t>
        </is>
      </c>
      <c r="F3440" t="inlineStr">
        <is>
          <t>SCA</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51402-2024</t>
        </is>
      </c>
      <c r="B3441" s="1" t="n">
        <v>45604</v>
      </c>
      <c r="C3441" s="1" t="n">
        <v>45822</v>
      </c>
      <c r="D3441" t="inlineStr">
        <is>
          <t>VÄSTERNORRLANDS LÄN</t>
        </is>
      </c>
      <c r="E3441" t="inlineStr">
        <is>
          <t>SOLLEFTEÅ</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51527-2024</t>
        </is>
      </c>
      <c r="B3442" s="1" t="n">
        <v>45604</v>
      </c>
      <c r="C3442" s="1" t="n">
        <v>45822</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51573-2024</t>
        </is>
      </c>
      <c r="B3443" s="1" t="n">
        <v>45604</v>
      </c>
      <c r="C3443" s="1" t="n">
        <v>45822</v>
      </c>
      <c r="D3443" t="inlineStr">
        <is>
          <t>VÄSTERNORRLANDS LÄN</t>
        </is>
      </c>
      <c r="E3443" t="inlineStr">
        <is>
          <t>SOLLEFTEÅ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51528-2024</t>
        </is>
      </c>
      <c r="B3444" s="1" t="n">
        <v>45604</v>
      </c>
      <c r="C3444" s="1" t="n">
        <v>45822</v>
      </c>
      <c r="D3444" t="inlineStr">
        <is>
          <t>VÄSTERNORRLANDS LÄN</t>
        </is>
      </c>
      <c r="E3444" t="inlineStr">
        <is>
          <t>SOLLEFTEÅ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51341-2024</t>
        </is>
      </c>
      <c r="B3445" s="1" t="n">
        <v>45604</v>
      </c>
      <c r="C3445" s="1" t="n">
        <v>45822</v>
      </c>
      <c r="D3445" t="inlineStr">
        <is>
          <t>VÄSTERNORRLANDS LÄN</t>
        </is>
      </c>
      <c r="E3445" t="inlineStr">
        <is>
          <t>SOLLEFTEÅ</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51505-2024</t>
        </is>
      </c>
      <c r="B3446" s="1" t="n">
        <v>45604</v>
      </c>
      <c r="C3446" s="1" t="n">
        <v>45822</v>
      </c>
      <c r="D3446" t="inlineStr">
        <is>
          <t>VÄSTERNORRLANDS LÄN</t>
        </is>
      </c>
      <c r="E3446" t="inlineStr">
        <is>
          <t>SOLLEFTEÅ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51616-2024</t>
        </is>
      </c>
      <c r="B3447" s="1" t="n">
        <v>45604</v>
      </c>
      <c r="C3447" s="1" t="n">
        <v>45822</v>
      </c>
      <c r="D3447" t="inlineStr">
        <is>
          <t>VÄSTERNORRLANDS LÄN</t>
        </is>
      </c>
      <c r="E3447" t="inlineStr">
        <is>
          <t>SOLLEFTEÅ</t>
        </is>
      </c>
      <c r="F3447" t="inlineStr">
        <is>
          <t>SCA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51693-2024</t>
        </is>
      </c>
      <c r="B3448" s="1" t="n">
        <v>45607</v>
      </c>
      <c r="C3448" s="1" t="n">
        <v>45822</v>
      </c>
      <c r="D3448" t="inlineStr">
        <is>
          <t>VÄSTERNORRLANDS LÄN</t>
        </is>
      </c>
      <c r="E3448" t="inlineStr">
        <is>
          <t>SOLLEFTEÅ</t>
        </is>
      </c>
      <c r="F3448" t="inlineStr">
        <is>
          <t>SCA</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51872-2024</t>
        </is>
      </c>
      <c r="B3449" s="1" t="n">
        <v>45607</v>
      </c>
      <c r="C3449" s="1" t="n">
        <v>45822</v>
      </c>
      <c r="D3449" t="inlineStr">
        <is>
          <t>VÄSTERNORRLANDS LÄN</t>
        </is>
      </c>
      <c r="E3449" t="inlineStr">
        <is>
          <t>SOLLEFTEÅ</t>
        </is>
      </c>
      <c r="F3449" t="inlineStr">
        <is>
          <t>SCA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51942-2024</t>
        </is>
      </c>
      <c r="B3450" s="1" t="n">
        <v>45607</v>
      </c>
      <c r="C3450" s="1" t="n">
        <v>45822</v>
      </c>
      <c r="D3450" t="inlineStr">
        <is>
          <t>VÄSTERNORRLANDS LÄN</t>
        </is>
      </c>
      <c r="E3450" t="inlineStr">
        <is>
          <t>SOLLEFTEÅ</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51735-2024</t>
        </is>
      </c>
      <c r="B3451" s="1" t="n">
        <v>45607</v>
      </c>
      <c r="C3451" s="1" t="n">
        <v>45822</v>
      </c>
      <c r="D3451" t="inlineStr">
        <is>
          <t>VÄSTERNORRLANDS LÄN</t>
        </is>
      </c>
      <c r="E3451" t="inlineStr">
        <is>
          <t>SOLLEFTEÅ</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51890-2024</t>
        </is>
      </c>
      <c r="B3452" s="1" t="n">
        <v>45607</v>
      </c>
      <c r="C3452" s="1" t="n">
        <v>45822</v>
      </c>
      <c r="D3452" t="inlineStr">
        <is>
          <t>VÄSTERNORRLANDS LÄN</t>
        </is>
      </c>
      <c r="E3452" t="inlineStr">
        <is>
          <t>SOLLEFTEÅ</t>
        </is>
      </c>
      <c r="F3452" t="inlineStr">
        <is>
          <t>SCA</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51743-2024</t>
        </is>
      </c>
      <c r="B3453" s="1" t="n">
        <v>45607</v>
      </c>
      <c r="C3453" s="1" t="n">
        <v>45822</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52438-2024</t>
        </is>
      </c>
      <c r="B3454" s="1" t="n">
        <v>45609</v>
      </c>
      <c r="C3454" s="1" t="n">
        <v>45822</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52455-2024</t>
        </is>
      </c>
      <c r="B3455" s="1" t="n">
        <v>45609</v>
      </c>
      <c r="C3455" s="1" t="n">
        <v>45822</v>
      </c>
      <c r="D3455" t="inlineStr">
        <is>
          <t>VÄSTERNORRLANDS LÄN</t>
        </is>
      </c>
      <c r="E3455" t="inlineStr">
        <is>
          <t>SOLLEFTEÅ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52471-2024</t>
        </is>
      </c>
      <c r="B3456" s="1" t="n">
        <v>45609</v>
      </c>
      <c r="C3456" s="1" t="n">
        <v>45822</v>
      </c>
      <c r="D3456" t="inlineStr">
        <is>
          <t>VÄSTERNORRLANDS LÄN</t>
        </is>
      </c>
      <c r="E3456" t="inlineStr">
        <is>
          <t>SOLLEFTEÅ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52406-2024</t>
        </is>
      </c>
      <c r="B3457" s="1" t="n">
        <v>45609</v>
      </c>
      <c r="C3457" s="1" t="n">
        <v>45822</v>
      </c>
      <c r="D3457" t="inlineStr">
        <is>
          <t>VÄSTERNORRLANDS LÄN</t>
        </is>
      </c>
      <c r="E3457" t="inlineStr">
        <is>
          <t>SOLLEFTEÅ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52461-2024</t>
        </is>
      </c>
      <c r="B3458" s="1" t="n">
        <v>45609</v>
      </c>
      <c r="C3458" s="1" t="n">
        <v>45822</v>
      </c>
      <c r="D3458" t="inlineStr">
        <is>
          <t>VÄSTERNORRLANDS LÄN</t>
        </is>
      </c>
      <c r="E3458" t="inlineStr">
        <is>
          <t>SOLLEFTEÅ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52341-2024</t>
        </is>
      </c>
      <c r="B3459" s="1" t="n">
        <v>45609</v>
      </c>
      <c r="C3459" s="1" t="n">
        <v>45822</v>
      </c>
      <c r="D3459" t="inlineStr">
        <is>
          <t>VÄSTERNORRLANDS LÄN</t>
        </is>
      </c>
      <c r="E3459" t="inlineStr">
        <is>
          <t>SOLLEFTEÅ</t>
        </is>
      </c>
      <c r="F3459" t="inlineStr">
        <is>
          <t>Holmen skog AB</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52429-2024</t>
        </is>
      </c>
      <c r="B3460" s="1" t="n">
        <v>45609</v>
      </c>
      <c r="C3460" s="1" t="n">
        <v>45822</v>
      </c>
      <c r="D3460" t="inlineStr">
        <is>
          <t>VÄSTERNORRLANDS LÄN</t>
        </is>
      </c>
      <c r="E3460" t="inlineStr">
        <is>
          <t>SOLLEFTEÅ</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52530-2024</t>
        </is>
      </c>
      <c r="B3461" s="1" t="n">
        <v>45609</v>
      </c>
      <c r="C3461" s="1" t="n">
        <v>45822</v>
      </c>
      <c r="D3461" t="inlineStr">
        <is>
          <t>VÄSTERNORRLANDS LÄN</t>
        </is>
      </c>
      <c r="E3461" t="inlineStr">
        <is>
          <t>SOLLEFTEÅ</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52602-2024</t>
        </is>
      </c>
      <c r="B3462" s="1" t="n">
        <v>45609</v>
      </c>
      <c r="C3462" s="1" t="n">
        <v>45822</v>
      </c>
      <c r="D3462" t="inlineStr">
        <is>
          <t>VÄSTERNORRLANDS LÄN</t>
        </is>
      </c>
      <c r="E3462" t="inlineStr">
        <is>
          <t>SOLLEFTEÅ</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52681-2024</t>
        </is>
      </c>
      <c r="B3463" s="1" t="n">
        <v>45610</v>
      </c>
      <c r="C3463" s="1" t="n">
        <v>45822</v>
      </c>
      <c r="D3463" t="inlineStr">
        <is>
          <t>VÄSTERNORRLANDS LÄN</t>
        </is>
      </c>
      <c r="E3463" t="inlineStr">
        <is>
          <t>SOLLEFTEÅ</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52709-2024</t>
        </is>
      </c>
      <c r="B3464" s="1" t="n">
        <v>45610</v>
      </c>
      <c r="C3464" s="1" t="n">
        <v>45822</v>
      </c>
      <c r="D3464" t="inlineStr">
        <is>
          <t>VÄSTERNORRLANDS LÄN</t>
        </is>
      </c>
      <c r="E3464" t="inlineStr">
        <is>
          <t>SOLLEFTEÅ</t>
        </is>
      </c>
      <c r="F3464" t="inlineStr">
        <is>
          <t>SCA</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52768-2024</t>
        </is>
      </c>
      <c r="B3465" s="1" t="n">
        <v>45610</v>
      </c>
      <c r="C3465" s="1" t="n">
        <v>45822</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52663-2024</t>
        </is>
      </c>
      <c r="B3466" s="1" t="n">
        <v>45610</v>
      </c>
      <c r="C3466" s="1" t="n">
        <v>45822</v>
      </c>
      <c r="D3466" t="inlineStr">
        <is>
          <t>VÄSTERNORRLANDS LÄN</t>
        </is>
      </c>
      <c r="E3466" t="inlineStr">
        <is>
          <t>SOLLEFTEÅ</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52702-2024</t>
        </is>
      </c>
      <c r="B3467" s="1" t="n">
        <v>45610</v>
      </c>
      <c r="C3467" s="1" t="n">
        <v>45822</v>
      </c>
      <c r="D3467" t="inlineStr">
        <is>
          <t>VÄSTERNORRLANDS LÄN</t>
        </is>
      </c>
      <c r="E3467" t="inlineStr">
        <is>
          <t>SOLLEFTEÅ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52662-2024</t>
        </is>
      </c>
      <c r="B3468" s="1" t="n">
        <v>45610</v>
      </c>
      <c r="C3468" s="1" t="n">
        <v>45822</v>
      </c>
      <c r="D3468" t="inlineStr">
        <is>
          <t>VÄSTERNORRLANDS LÄN</t>
        </is>
      </c>
      <c r="E3468" t="inlineStr">
        <is>
          <t>SOLLEFTEÅ</t>
        </is>
      </c>
      <c r="F3468" t="inlineStr">
        <is>
          <t>SCA</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53477-2024</t>
        </is>
      </c>
      <c r="B3469" s="1" t="n">
        <v>45611</v>
      </c>
      <c r="C3469" s="1" t="n">
        <v>45822</v>
      </c>
      <c r="D3469" t="inlineStr">
        <is>
          <t>VÄSTERNORRLANDS LÄN</t>
        </is>
      </c>
      <c r="E3469" t="inlineStr">
        <is>
          <t>SOLLEFTEÅ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53483-2024</t>
        </is>
      </c>
      <c r="B3470" s="1" t="n">
        <v>45611</v>
      </c>
      <c r="C3470" s="1" t="n">
        <v>45822</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53165-2024</t>
        </is>
      </c>
      <c r="B3471" s="1" t="n">
        <v>45611</v>
      </c>
      <c r="C3471" s="1" t="n">
        <v>45822</v>
      </c>
      <c r="D3471" t="inlineStr">
        <is>
          <t>VÄSTERNORRLANDS LÄN</t>
        </is>
      </c>
      <c r="E3471" t="inlineStr">
        <is>
          <t>SOLLEFTEÅ</t>
        </is>
      </c>
      <c r="F3471" t="inlineStr">
        <is>
          <t>Holmen skog AB</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53120-2024</t>
        </is>
      </c>
      <c r="B3472" s="1" t="n">
        <v>45611</v>
      </c>
      <c r="C3472" s="1" t="n">
        <v>45822</v>
      </c>
      <c r="D3472" t="inlineStr">
        <is>
          <t>VÄSTERNORRLANDS LÄN</t>
        </is>
      </c>
      <c r="E3472" t="inlineStr">
        <is>
          <t>SOLLEFTEÅ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53212-2024</t>
        </is>
      </c>
      <c r="B3473" s="1" t="n">
        <v>45612</v>
      </c>
      <c r="C3473" s="1" t="n">
        <v>45822</v>
      </c>
      <c r="D3473" t="inlineStr">
        <is>
          <t>VÄSTERNORRLANDS LÄN</t>
        </is>
      </c>
      <c r="E3473" t="inlineStr">
        <is>
          <t>SOLLEFTEÅ</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53206-2024</t>
        </is>
      </c>
      <c r="B3474" s="1" t="n">
        <v>45612</v>
      </c>
      <c r="C3474" s="1" t="n">
        <v>45822</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53210-2024</t>
        </is>
      </c>
      <c r="B3475" s="1" t="n">
        <v>45612</v>
      </c>
      <c r="C3475" s="1" t="n">
        <v>45822</v>
      </c>
      <c r="D3475" t="inlineStr">
        <is>
          <t>VÄSTERNORRLANDS LÄN</t>
        </is>
      </c>
      <c r="E3475" t="inlineStr">
        <is>
          <t>SOLLEFTEÅ</t>
        </is>
      </c>
      <c r="F3475" t="inlineStr">
        <is>
          <t>SCA</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53327-2024</t>
        </is>
      </c>
      <c r="B3476" s="1" t="n">
        <v>45614</v>
      </c>
      <c r="C3476" s="1" t="n">
        <v>45822</v>
      </c>
      <c r="D3476" t="inlineStr">
        <is>
          <t>VÄSTERNORRLANDS LÄN</t>
        </is>
      </c>
      <c r="E3476" t="inlineStr">
        <is>
          <t>SOLLEFTEÅ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53332-2024</t>
        </is>
      </c>
      <c r="B3477" s="1" t="n">
        <v>45614</v>
      </c>
      <c r="C3477" s="1" t="n">
        <v>45822</v>
      </c>
      <c r="D3477" t="inlineStr">
        <is>
          <t>VÄSTERNORRLANDS LÄN</t>
        </is>
      </c>
      <c r="E3477" t="inlineStr">
        <is>
          <t>SOLLEFTEÅ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53334-2024</t>
        </is>
      </c>
      <c r="B3478" s="1" t="n">
        <v>45614</v>
      </c>
      <c r="C3478" s="1" t="n">
        <v>45822</v>
      </c>
      <c r="D3478" t="inlineStr">
        <is>
          <t>VÄSTERNORRLANDS LÄN</t>
        </is>
      </c>
      <c r="E3478" t="inlineStr">
        <is>
          <t>SOLLEFTEÅ</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53330-2024</t>
        </is>
      </c>
      <c r="B3479" s="1" t="n">
        <v>45614</v>
      </c>
      <c r="C3479" s="1" t="n">
        <v>45822</v>
      </c>
      <c r="D3479" t="inlineStr">
        <is>
          <t>VÄSTERNORRLANDS LÄN</t>
        </is>
      </c>
      <c r="E3479" t="inlineStr">
        <is>
          <t>SOLLEFTEÅ</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53545-2024</t>
        </is>
      </c>
      <c r="B3480" s="1" t="n">
        <v>45614</v>
      </c>
      <c r="C3480" s="1" t="n">
        <v>45822</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53325-2024</t>
        </is>
      </c>
      <c r="B3481" s="1" t="n">
        <v>45614</v>
      </c>
      <c r="C3481" s="1" t="n">
        <v>45822</v>
      </c>
      <c r="D3481" t="inlineStr">
        <is>
          <t>VÄSTERNORRLANDS LÄN</t>
        </is>
      </c>
      <c r="E3481" t="inlineStr">
        <is>
          <t>SOLLEFTEÅ</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53321-2024</t>
        </is>
      </c>
      <c r="B3482" s="1" t="n">
        <v>45614</v>
      </c>
      <c r="C3482" s="1" t="n">
        <v>45822</v>
      </c>
      <c r="D3482" t="inlineStr">
        <is>
          <t>VÄSTERNORRLANDS LÄN</t>
        </is>
      </c>
      <c r="E3482" t="inlineStr">
        <is>
          <t>SOLLEFTEÅ</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53831-2024</t>
        </is>
      </c>
      <c r="B3483" s="1" t="n">
        <v>45615</v>
      </c>
      <c r="C3483" s="1" t="n">
        <v>45822</v>
      </c>
      <c r="D3483" t="inlineStr">
        <is>
          <t>VÄSTERNORRLANDS LÄN</t>
        </is>
      </c>
      <c r="E3483" t="inlineStr">
        <is>
          <t>SOLLEFTEÅ</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53855-2024</t>
        </is>
      </c>
      <c r="B3484" s="1" t="n">
        <v>45615</v>
      </c>
      <c r="C3484" s="1" t="n">
        <v>45822</v>
      </c>
      <c r="D3484" t="inlineStr">
        <is>
          <t>VÄSTERNORRLANDS LÄN</t>
        </is>
      </c>
      <c r="E3484" t="inlineStr">
        <is>
          <t>SOLLEFTEÅ</t>
        </is>
      </c>
      <c r="F3484" t="inlineStr">
        <is>
          <t>SCA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54094-2024</t>
        </is>
      </c>
      <c r="B3485" s="1" t="n">
        <v>45616</v>
      </c>
      <c r="C3485" s="1" t="n">
        <v>45822</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54234-2024</t>
        </is>
      </c>
      <c r="B3486" s="1" t="n">
        <v>45616</v>
      </c>
      <c r="C3486" s="1" t="n">
        <v>45822</v>
      </c>
      <c r="D3486" t="inlineStr">
        <is>
          <t>VÄSTERNORRLANDS LÄN</t>
        </is>
      </c>
      <c r="E3486" t="inlineStr">
        <is>
          <t>SOLLEFTEÅ</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54238-2024</t>
        </is>
      </c>
      <c r="B3487" s="1" t="n">
        <v>45616</v>
      </c>
      <c r="C3487" s="1" t="n">
        <v>45822</v>
      </c>
      <c r="D3487" t="inlineStr">
        <is>
          <t>VÄSTERNORRLANDS LÄN</t>
        </is>
      </c>
      <c r="E3487" t="inlineStr">
        <is>
          <t>SOLLEFTEÅ</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54073-2024</t>
        </is>
      </c>
      <c r="B3488" s="1" t="n">
        <v>45616</v>
      </c>
      <c r="C3488" s="1" t="n">
        <v>45822</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54241-2024</t>
        </is>
      </c>
      <c r="B3489" s="1" t="n">
        <v>45616</v>
      </c>
      <c r="C3489" s="1" t="n">
        <v>45822</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54233-2024</t>
        </is>
      </c>
      <c r="B3490" s="1" t="n">
        <v>45616</v>
      </c>
      <c r="C3490" s="1" t="n">
        <v>45822</v>
      </c>
      <c r="D3490" t="inlineStr">
        <is>
          <t>VÄSTERNORRLANDS LÄN</t>
        </is>
      </c>
      <c r="E3490" t="inlineStr">
        <is>
          <t>SOLLEFTEÅ</t>
        </is>
      </c>
      <c r="F3490" t="inlineStr">
        <is>
          <t>SCA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54240-2024</t>
        </is>
      </c>
      <c r="B3491" s="1" t="n">
        <v>45616</v>
      </c>
      <c r="C3491" s="1" t="n">
        <v>45822</v>
      </c>
      <c r="D3491" t="inlineStr">
        <is>
          <t>VÄSTERNORRLANDS LÄN</t>
        </is>
      </c>
      <c r="E3491" t="inlineStr">
        <is>
          <t>SOLLEFTEÅ</t>
        </is>
      </c>
      <c r="F3491" t="inlineStr">
        <is>
          <t>SCA</t>
        </is>
      </c>
      <c r="G3491" t="n">
        <v>38.4</v>
      </c>
      <c r="H3491" t="n">
        <v>0</v>
      </c>
      <c r="I3491" t="n">
        <v>0</v>
      </c>
      <c r="J3491" t="n">
        <v>0</v>
      </c>
      <c r="K3491" t="n">
        <v>0</v>
      </c>
      <c r="L3491" t="n">
        <v>0</v>
      </c>
      <c r="M3491" t="n">
        <v>0</v>
      </c>
      <c r="N3491" t="n">
        <v>0</v>
      </c>
      <c r="O3491" t="n">
        <v>0</v>
      </c>
      <c r="P3491" t="n">
        <v>0</v>
      </c>
      <c r="Q3491" t="n">
        <v>0</v>
      </c>
      <c r="R3491" s="2" t="inlineStr"/>
    </row>
    <row r="3492" ht="15" customHeight="1">
      <c r="A3492" t="inlineStr">
        <is>
          <t>A 54235-2024</t>
        </is>
      </c>
      <c r="B3492" s="1" t="n">
        <v>45616</v>
      </c>
      <c r="C3492" s="1" t="n">
        <v>45822</v>
      </c>
      <c r="D3492" t="inlineStr">
        <is>
          <t>VÄSTERNORRLANDS LÄN</t>
        </is>
      </c>
      <c r="E3492" t="inlineStr">
        <is>
          <t>SOLLEFTEÅ</t>
        </is>
      </c>
      <c r="F3492" t="inlineStr">
        <is>
          <t>SCA</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54231-2024</t>
        </is>
      </c>
      <c r="B3493" s="1" t="n">
        <v>45616</v>
      </c>
      <c r="C3493" s="1" t="n">
        <v>45822</v>
      </c>
      <c r="D3493" t="inlineStr">
        <is>
          <t>VÄSTERNORRLANDS LÄN</t>
        </is>
      </c>
      <c r="E3493" t="inlineStr">
        <is>
          <t>SOLLEFTEÅ</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54458-2024</t>
        </is>
      </c>
      <c r="B3494" s="1" t="n">
        <v>45617</v>
      </c>
      <c r="C3494" s="1" t="n">
        <v>45822</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54575-2024</t>
        </is>
      </c>
      <c r="B3495" s="1" t="n">
        <v>45617</v>
      </c>
      <c r="C3495" s="1" t="n">
        <v>45822</v>
      </c>
      <c r="D3495" t="inlineStr">
        <is>
          <t>VÄSTERNORRLANDS LÄN</t>
        </is>
      </c>
      <c r="E3495" t="inlineStr">
        <is>
          <t>SOLLEFTEÅ</t>
        </is>
      </c>
      <c r="F3495" t="inlineStr">
        <is>
          <t>Holmen skog AB</t>
        </is>
      </c>
      <c r="G3495" t="n">
        <v>1.7</v>
      </c>
      <c r="H3495" t="n">
        <v>0</v>
      </c>
      <c r="I3495" t="n">
        <v>0</v>
      </c>
      <c r="J3495" t="n">
        <v>0</v>
      </c>
      <c r="K3495" t="n">
        <v>0</v>
      </c>
      <c r="L3495" t="n">
        <v>0</v>
      </c>
      <c r="M3495" t="n">
        <v>0</v>
      </c>
      <c r="N3495" t="n">
        <v>0</v>
      </c>
      <c r="O3495" t="n">
        <v>0</v>
      </c>
      <c r="P3495" t="n">
        <v>0</v>
      </c>
      <c r="Q3495" t="n">
        <v>0</v>
      </c>
      <c r="R3495" s="2" t="inlineStr"/>
      <c r="U3495">
        <f>HYPERLINK("https://klasma.github.io/Logging_2283/knärot/A 54575-2024 karta knärot.png", "A 54575-2024")</f>
        <v/>
      </c>
      <c r="V3495">
        <f>HYPERLINK("https://klasma.github.io/Logging_2283/klagomål/A 54575-2024 FSC-klagomål.docx", "A 54575-2024")</f>
        <v/>
      </c>
      <c r="W3495">
        <f>HYPERLINK("https://klasma.github.io/Logging_2283/klagomålsmail/A 54575-2024 FSC-klagomål mail.docx", "A 54575-2024")</f>
        <v/>
      </c>
      <c r="X3495">
        <f>HYPERLINK("https://klasma.github.io/Logging_2283/tillsyn/A 54575-2024 tillsynsbegäran.docx", "A 54575-2024")</f>
        <v/>
      </c>
      <c r="Y3495">
        <f>HYPERLINK("https://klasma.github.io/Logging_2283/tillsynsmail/A 54575-2024 tillsynsbegäran mail.docx", "A 54575-2024")</f>
        <v/>
      </c>
    </row>
    <row r="3496" ht="15" customHeight="1">
      <c r="A3496" t="inlineStr">
        <is>
          <t>A 54574-2024</t>
        </is>
      </c>
      <c r="B3496" s="1" t="n">
        <v>45617</v>
      </c>
      <c r="C3496" s="1" t="n">
        <v>45822</v>
      </c>
      <c r="D3496" t="inlineStr">
        <is>
          <t>VÄSTERNORRLANDS LÄN</t>
        </is>
      </c>
      <c r="E3496" t="inlineStr">
        <is>
          <t>SOLLEFTEÅ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54532-2024</t>
        </is>
      </c>
      <c r="B3497" s="1" t="n">
        <v>45617</v>
      </c>
      <c r="C3497" s="1" t="n">
        <v>45822</v>
      </c>
      <c r="D3497" t="inlineStr">
        <is>
          <t>VÄSTERNORRLANDS LÄN</t>
        </is>
      </c>
      <c r="E3497" t="inlineStr">
        <is>
          <t>SOLLEFTEÅ</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54548-2024</t>
        </is>
      </c>
      <c r="B3498" s="1" t="n">
        <v>45617</v>
      </c>
      <c r="C3498" s="1" t="n">
        <v>45822</v>
      </c>
      <c r="D3498" t="inlineStr">
        <is>
          <t>VÄSTERNORRLANDS LÄN</t>
        </is>
      </c>
      <c r="E3498" t="inlineStr">
        <is>
          <t>SOLLEFTEÅ</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54572-2024</t>
        </is>
      </c>
      <c r="B3499" s="1" t="n">
        <v>45617</v>
      </c>
      <c r="C3499" s="1" t="n">
        <v>45822</v>
      </c>
      <c r="D3499" t="inlineStr">
        <is>
          <t>VÄSTERNORRLANDS LÄN</t>
        </is>
      </c>
      <c r="E3499" t="inlineStr">
        <is>
          <t>SOLLEFTEÅ</t>
        </is>
      </c>
      <c r="G3499" t="n">
        <v>28.2</v>
      </c>
      <c r="H3499" t="n">
        <v>0</v>
      </c>
      <c r="I3499" t="n">
        <v>0</v>
      </c>
      <c r="J3499" t="n">
        <v>0</v>
      </c>
      <c r="K3499" t="n">
        <v>0</v>
      </c>
      <c r="L3499" t="n">
        <v>0</v>
      </c>
      <c r="M3499" t="n">
        <v>0</v>
      </c>
      <c r="N3499" t="n">
        <v>0</v>
      </c>
      <c r="O3499" t="n">
        <v>0</v>
      </c>
      <c r="P3499" t="n">
        <v>0</v>
      </c>
      <c r="Q3499" t="n">
        <v>0</v>
      </c>
      <c r="R3499" s="2" t="inlineStr"/>
    </row>
    <row r="3500" ht="15" customHeight="1">
      <c r="A3500" t="inlineStr">
        <is>
          <t>A 54485-2024</t>
        </is>
      </c>
      <c r="B3500" s="1" t="n">
        <v>45617</v>
      </c>
      <c r="C3500" s="1" t="n">
        <v>45822</v>
      </c>
      <c r="D3500" t="inlineStr">
        <is>
          <t>VÄSTERNORRLANDS LÄN</t>
        </is>
      </c>
      <c r="E3500" t="inlineStr">
        <is>
          <t>SOLLEFTEÅ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54553-2024</t>
        </is>
      </c>
      <c r="B3501" s="1" t="n">
        <v>45617</v>
      </c>
      <c r="C3501" s="1" t="n">
        <v>45822</v>
      </c>
      <c r="D3501" t="inlineStr">
        <is>
          <t>VÄSTERNORRLANDS LÄN</t>
        </is>
      </c>
      <c r="E3501" t="inlineStr">
        <is>
          <t>SOLLEFTEÅ</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54725-2024</t>
        </is>
      </c>
      <c r="B3502" s="1" t="n">
        <v>45618</v>
      </c>
      <c r="C3502" s="1" t="n">
        <v>45822</v>
      </c>
      <c r="D3502" t="inlineStr">
        <is>
          <t>VÄSTERNORRLANDS LÄN</t>
        </is>
      </c>
      <c r="E3502" t="inlineStr">
        <is>
          <t>SOLLEFTEÅ</t>
        </is>
      </c>
      <c r="F3502" t="inlineStr">
        <is>
          <t>SCA</t>
        </is>
      </c>
      <c r="G3502" t="n">
        <v>35.2</v>
      </c>
      <c r="H3502" t="n">
        <v>0</v>
      </c>
      <c r="I3502" t="n">
        <v>0</v>
      </c>
      <c r="J3502" t="n">
        <v>0</v>
      </c>
      <c r="K3502" t="n">
        <v>0</v>
      </c>
      <c r="L3502" t="n">
        <v>0</v>
      </c>
      <c r="M3502" t="n">
        <v>0</v>
      </c>
      <c r="N3502" t="n">
        <v>0</v>
      </c>
      <c r="O3502" t="n">
        <v>0</v>
      </c>
      <c r="P3502" t="n">
        <v>0</v>
      </c>
      <c r="Q3502" t="n">
        <v>0</v>
      </c>
      <c r="R3502" s="2" t="inlineStr"/>
    </row>
    <row r="3503" ht="15" customHeight="1">
      <c r="A3503" t="inlineStr">
        <is>
          <t>A 54726-2024</t>
        </is>
      </c>
      <c r="B3503" s="1" t="n">
        <v>45618</v>
      </c>
      <c r="C3503" s="1" t="n">
        <v>45822</v>
      </c>
      <c r="D3503" t="inlineStr">
        <is>
          <t>VÄSTERNORRLANDS LÄN</t>
        </is>
      </c>
      <c r="E3503" t="inlineStr">
        <is>
          <t>SOLLEFTEÅ</t>
        </is>
      </c>
      <c r="F3503" t="inlineStr">
        <is>
          <t>SCA</t>
        </is>
      </c>
      <c r="G3503" t="n">
        <v>28.2</v>
      </c>
      <c r="H3503" t="n">
        <v>0</v>
      </c>
      <c r="I3503" t="n">
        <v>0</v>
      </c>
      <c r="J3503" t="n">
        <v>0</v>
      </c>
      <c r="K3503" t="n">
        <v>0</v>
      </c>
      <c r="L3503" t="n">
        <v>0</v>
      </c>
      <c r="M3503" t="n">
        <v>0</v>
      </c>
      <c r="N3503" t="n">
        <v>0</v>
      </c>
      <c r="O3503" t="n">
        <v>0</v>
      </c>
      <c r="P3503" t="n">
        <v>0</v>
      </c>
      <c r="Q3503" t="n">
        <v>0</v>
      </c>
      <c r="R3503" s="2" t="inlineStr"/>
    </row>
    <row r="3504" ht="15" customHeight="1">
      <c r="A3504" t="inlineStr">
        <is>
          <t>A 54923-2024</t>
        </is>
      </c>
      <c r="B3504" s="1" t="n">
        <v>45618</v>
      </c>
      <c r="C3504" s="1" t="n">
        <v>45822</v>
      </c>
      <c r="D3504" t="inlineStr">
        <is>
          <t>VÄSTERNORRLANDS LÄN</t>
        </is>
      </c>
      <c r="E3504" t="inlineStr">
        <is>
          <t>SOLLEFTEÅ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54806-2024</t>
        </is>
      </c>
      <c r="B3505" s="1" t="n">
        <v>45618</v>
      </c>
      <c r="C3505" s="1" t="n">
        <v>45822</v>
      </c>
      <c r="D3505" t="inlineStr">
        <is>
          <t>VÄSTERNORRLANDS LÄN</t>
        </is>
      </c>
      <c r="E3505" t="inlineStr">
        <is>
          <t>SOLLEFTEÅ</t>
        </is>
      </c>
      <c r="F3505" t="inlineStr">
        <is>
          <t>SCA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55149-2024</t>
        </is>
      </c>
      <c r="B3506" s="1" t="n">
        <v>45621</v>
      </c>
      <c r="C3506" s="1" t="n">
        <v>45822</v>
      </c>
      <c r="D3506" t="inlineStr">
        <is>
          <t>VÄSTERNORRLANDS LÄN</t>
        </is>
      </c>
      <c r="E3506" t="inlineStr">
        <is>
          <t>SOLLEFTEÅ</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55272-2024</t>
        </is>
      </c>
      <c r="B3507" s="1" t="n">
        <v>45621</v>
      </c>
      <c r="C3507" s="1" t="n">
        <v>45822</v>
      </c>
      <c r="D3507" t="inlineStr">
        <is>
          <t>VÄSTERNORRLANDS LÄN</t>
        </is>
      </c>
      <c r="E3507" t="inlineStr">
        <is>
          <t>SOLLEFTEÅ</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55420-2024</t>
        </is>
      </c>
      <c r="B3508" s="1" t="n">
        <v>45622</v>
      </c>
      <c r="C3508" s="1" t="n">
        <v>45822</v>
      </c>
      <c r="D3508" t="inlineStr">
        <is>
          <t>VÄSTERNORRLANDS LÄN</t>
        </is>
      </c>
      <c r="E3508" t="inlineStr">
        <is>
          <t>SOLLEFTEÅ</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55439-2024</t>
        </is>
      </c>
      <c r="B3509" s="1" t="n">
        <v>45622</v>
      </c>
      <c r="C3509" s="1" t="n">
        <v>45822</v>
      </c>
      <c r="D3509" t="inlineStr">
        <is>
          <t>VÄSTERNORRLANDS LÄN</t>
        </is>
      </c>
      <c r="E3509" t="inlineStr">
        <is>
          <t>SOLLEFTEÅ</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55542-2024</t>
        </is>
      </c>
      <c r="B3510" s="1" t="n">
        <v>45622</v>
      </c>
      <c r="C3510" s="1" t="n">
        <v>45822</v>
      </c>
      <c r="D3510" t="inlineStr">
        <is>
          <t>VÄSTERNORRLANDS LÄN</t>
        </is>
      </c>
      <c r="E3510" t="inlineStr">
        <is>
          <t>SOLLEFTEÅ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55440-2024</t>
        </is>
      </c>
      <c r="B3511" s="1" t="n">
        <v>45622</v>
      </c>
      <c r="C3511" s="1" t="n">
        <v>45822</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55691-2024</t>
        </is>
      </c>
      <c r="B3512" s="1" t="n">
        <v>45622</v>
      </c>
      <c r="C3512" s="1" t="n">
        <v>45822</v>
      </c>
      <c r="D3512" t="inlineStr">
        <is>
          <t>VÄSTERNORRLANDS LÄN</t>
        </is>
      </c>
      <c r="E3512" t="inlineStr">
        <is>
          <t>SOLLEFTEÅ</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55707-2024</t>
        </is>
      </c>
      <c r="B3513" s="1" t="n">
        <v>45622</v>
      </c>
      <c r="C3513" s="1" t="n">
        <v>45822</v>
      </c>
      <c r="D3513" t="inlineStr">
        <is>
          <t>VÄSTERNORRLANDS LÄN</t>
        </is>
      </c>
      <c r="E3513" t="inlineStr">
        <is>
          <t>SOLLEFTEÅ</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55692-2024</t>
        </is>
      </c>
      <c r="B3514" s="1" t="n">
        <v>45622</v>
      </c>
      <c r="C3514" s="1" t="n">
        <v>45822</v>
      </c>
      <c r="D3514" t="inlineStr">
        <is>
          <t>VÄSTERNORRLANDS LÄN</t>
        </is>
      </c>
      <c r="E3514" t="inlineStr">
        <is>
          <t>SOLLEFTEÅ</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55710-2024</t>
        </is>
      </c>
      <c r="B3515" s="1" t="n">
        <v>45622</v>
      </c>
      <c r="C3515" s="1" t="n">
        <v>45822</v>
      </c>
      <c r="D3515" t="inlineStr">
        <is>
          <t>VÄSTERNORRLANDS LÄN</t>
        </is>
      </c>
      <c r="E3515" t="inlineStr">
        <is>
          <t>SOLLEFTEÅ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55726-2024</t>
        </is>
      </c>
      <c r="B3516" s="1" t="n">
        <v>45622</v>
      </c>
      <c r="C3516" s="1" t="n">
        <v>45822</v>
      </c>
      <c r="D3516" t="inlineStr">
        <is>
          <t>VÄSTERNORRLANDS LÄN</t>
        </is>
      </c>
      <c r="E3516" t="inlineStr">
        <is>
          <t>SOLLEFTEÅ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55769-2024</t>
        </is>
      </c>
      <c r="B3517" s="1" t="n">
        <v>45623</v>
      </c>
      <c r="C3517" s="1" t="n">
        <v>45822</v>
      </c>
      <c r="D3517" t="inlineStr">
        <is>
          <t>VÄSTERNORRLANDS LÄN</t>
        </is>
      </c>
      <c r="E3517" t="inlineStr">
        <is>
          <t>SOLLEFTEÅ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55792-2024</t>
        </is>
      </c>
      <c r="B3518" s="1" t="n">
        <v>45623</v>
      </c>
      <c r="C3518" s="1" t="n">
        <v>45822</v>
      </c>
      <c r="D3518" t="inlineStr">
        <is>
          <t>VÄSTERNORRLANDS LÄN</t>
        </is>
      </c>
      <c r="E3518" t="inlineStr">
        <is>
          <t>SOLLEFTEÅ</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55759-2024</t>
        </is>
      </c>
      <c r="B3519" s="1" t="n">
        <v>45623</v>
      </c>
      <c r="C3519" s="1" t="n">
        <v>45822</v>
      </c>
      <c r="D3519" t="inlineStr">
        <is>
          <t>VÄSTERNORRLANDS LÄN</t>
        </is>
      </c>
      <c r="E3519" t="inlineStr">
        <is>
          <t>SOLLEFTEÅ</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55848-2024</t>
        </is>
      </c>
      <c r="B3520" s="1" t="n">
        <v>45623</v>
      </c>
      <c r="C3520" s="1" t="n">
        <v>45822</v>
      </c>
      <c r="D3520" t="inlineStr">
        <is>
          <t>VÄSTERNORRLANDS LÄN</t>
        </is>
      </c>
      <c r="E3520" t="inlineStr">
        <is>
          <t>SOLLEFTEÅ</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55756-2024</t>
        </is>
      </c>
      <c r="B3521" s="1" t="n">
        <v>45623</v>
      </c>
      <c r="C3521" s="1" t="n">
        <v>45822</v>
      </c>
      <c r="D3521" t="inlineStr">
        <is>
          <t>VÄSTERNORRLANDS LÄN</t>
        </is>
      </c>
      <c r="E3521" t="inlineStr">
        <is>
          <t>SOLLEFTEÅ</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55824-2024</t>
        </is>
      </c>
      <c r="B3522" s="1" t="n">
        <v>45623</v>
      </c>
      <c r="C3522" s="1" t="n">
        <v>45822</v>
      </c>
      <c r="D3522" t="inlineStr">
        <is>
          <t>VÄSTERNORRLANDS LÄN</t>
        </is>
      </c>
      <c r="E3522" t="inlineStr">
        <is>
          <t>SOLLEFTEÅ</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55872-2024</t>
        </is>
      </c>
      <c r="B3523" s="1" t="n">
        <v>45623</v>
      </c>
      <c r="C3523" s="1" t="n">
        <v>45822</v>
      </c>
      <c r="D3523" t="inlineStr">
        <is>
          <t>VÄSTERNORRLANDS LÄN</t>
        </is>
      </c>
      <c r="E3523" t="inlineStr">
        <is>
          <t>SOLLEFTEÅ</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55851-2024</t>
        </is>
      </c>
      <c r="B3524" s="1" t="n">
        <v>45623</v>
      </c>
      <c r="C3524" s="1" t="n">
        <v>45822</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56033-2024</t>
        </is>
      </c>
      <c r="B3525" s="1" t="n">
        <v>45624</v>
      </c>
      <c r="C3525" s="1" t="n">
        <v>45822</v>
      </c>
      <c r="D3525" t="inlineStr">
        <is>
          <t>VÄSTERNORRLANDS LÄN</t>
        </is>
      </c>
      <c r="E3525" t="inlineStr">
        <is>
          <t>SOLLEFTEÅ</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56037-2024</t>
        </is>
      </c>
      <c r="B3526" s="1" t="n">
        <v>45624</v>
      </c>
      <c r="C3526" s="1" t="n">
        <v>45822</v>
      </c>
      <c r="D3526" t="inlineStr">
        <is>
          <t>VÄSTERNORRLANDS LÄN</t>
        </is>
      </c>
      <c r="E3526" t="inlineStr">
        <is>
          <t>SOLLEFTEÅ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56190-2024</t>
        </is>
      </c>
      <c r="B3527" s="1" t="n">
        <v>45624</v>
      </c>
      <c r="C3527" s="1" t="n">
        <v>45822</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56207-2024</t>
        </is>
      </c>
      <c r="B3528" s="1" t="n">
        <v>45624</v>
      </c>
      <c r="C3528" s="1" t="n">
        <v>45822</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56204-2024</t>
        </is>
      </c>
      <c r="B3529" s="1" t="n">
        <v>45624</v>
      </c>
      <c r="C3529" s="1" t="n">
        <v>45822</v>
      </c>
      <c r="D3529" t="inlineStr">
        <is>
          <t>VÄSTERNORRLANDS LÄN</t>
        </is>
      </c>
      <c r="E3529" t="inlineStr">
        <is>
          <t>SOLLEFTEÅ</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56248-2024</t>
        </is>
      </c>
      <c r="B3530" s="1" t="n">
        <v>45624</v>
      </c>
      <c r="C3530" s="1" t="n">
        <v>45822</v>
      </c>
      <c r="D3530" t="inlineStr">
        <is>
          <t>VÄSTERNORRLANDS LÄN</t>
        </is>
      </c>
      <c r="E3530" t="inlineStr">
        <is>
          <t>SOLLEFTEÅ</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56252-2024</t>
        </is>
      </c>
      <c r="B3531" s="1" t="n">
        <v>45624</v>
      </c>
      <c r="C3531" s="1" t="n">
        <v>45822</v>
      </c>
      <c r="D3531" t="inlineStr">
        <is>
          <t>VÄSTERNORRLANDS LÄN</t>
        </is>
      </c>
      <c r="E3531" t="inlineStr">
        <is>
          <t>SOLLEFTEÅ</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56206-2024</t>
        </is>
      </c>
      <c r="B3532" s="1" t="n">
        <v>45624</v>
      </c>
      <c r="C3532" s="1" t="n">
        <v>45822</v>
      </c>
      <c r="D3532" t="inlineStr">
        <is>
          <t>VÄSTERNORRLANDS LÄN</t>
        </is>
      </c>
      <c r="E3532" t="inlineStr">
        <is>
          <t>SOLLEFTEÅ</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56249-2024</t>
        </is>
      </c>
      <c r="B3533" s="1" t="n">
        <v>45624</v>
      </c>
      <c r="C3533" s="1" t="n">
        <v>45822</v>
      </c>
      <c r="D3533" t="inlineStr">
        <is>
          <t>VÄSTERNORRLANDS LÄN</t>
        </is>
      </c>
      <c r="E3533" t="inlineStr">
        <is>
          <t>SOLLEFTEÅ</t>
        </is>
      </c>
      <c r="F3533" t="inlineStr">
        <is>
          <t>SCA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56257-2024</t>
        </is>
      </c>
      <c r="B3534" s="1" t="n">
        <v>45624</v>
      </c>
      <c r="C3534" s="1" t="n">
        <v>45822</v>
      </c>
      <c r="D3534" t="inlineStr">
        <is>
          <t>VÄSTERNORRLANDS LÄN</t>
        </is>
      </c>
      <c r="E3534" t="inlineStr">
        <is>
          <t>SOLLEFTEÅ</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56265-2024</t>
        </is>
      </c>
      <c r="B3535" s="1" t="n">
        <v>45624</v>
      </c>
      <c r="C3535" s="1" t="n">
        <v>45822</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56273-2024</t>
        </is>
      </c>
      <c r="B3536" s="1" t="n">
        <v>45624</v>
      </c>
      <c r="C3536" s="1" t="n">
        <v>45822</v>
      </c>
      <c r="D3536" t="inlineStr">
        <is>
          <t>VÄSTERNORRLANDS LÄN</t>
        </is>
      </c>
      <c r="E3536" t="inlineStr">
        <is>
          <t>SOLLEFTEÅ</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56387-2024</t>
        </is>
      </c>
      <c r="B3537" s="1" t="n">
        <v>45625</v>
      </c>
      <c r="C3537" s="1" t="n">
        <v>45822</v>
      </c>
      <c r="D3537" t="inlineStr">
        <is>
          <t>VÄSTERNORRLANDS LÄN</t>
        </is>
      </c>
      <c r="E3537" t="inlineStr">
        <is>
          <t>SOLLEFTEÅ</t>
        </is>
      </c>
      <c r="F3537" t="inlineStr">
        <is>
          <t>SCA</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56408-2024</t>
        </is>
      </c>
      <c r="B3538" s="1" t="n">
        <v>45625</v>
      </c>
      <c r="C3538" s="1" t="n">
        <v>45822</v>
      </c>
      <c r="D3538" t="inlineStr">
        <is>
          <t>VÄSTERNORRLANDS LÄN</t>
        </is>
      </c>
      <c r="E3538" t="inlineStr">
        <is>
          <t>SOLLEFTEÅ</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56433-2024</t>
        </is>
      </c>
      <c r="B3539" s="1" t="n">
        <v>45625</v>
      </c>
      <c r="C3539" s="1" t="n">
        <v>45822</v>
      </c>
      <c r="D3539" t="inlineStr">
        <is>
          <t>VÄSTERNORRLANDS LÄN</t>
        </is>
      </c>
      <c r="E3539" t="inlineStr">
        <is>
          <t>SOLLEFTEÅ</t>
        </is>
      </c>
      <c r="F3539" t="inlineStr">
        <is>
          <t>SCA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56388-2024</t>
        </is>
      </c>
      <c r="B3540" s="1" t="n">
        <v>45625</v>
      </c>
      <c r="C3540" s="1" t="n">
        <v>45822</v>
      </c>
      <c r="D3540" t="inlineStr">
        <is>
          <t>VÄSTERNORRLANDS LÄN</t>
        </is>
      </c>
      <c r="E3540" t="inlineStr">
        <is>
          <t>SOLLEFTEÅ</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56398-2024</t>
        </is>
      </c>
      <c r="B3541" s="1" t="n">
        <v>45625</v>
      </c>
      <c r="C3541" s="1" t="n">
        <v>45822</v>
      </c>
      <c r="D3541" t="inlineStr">
        <is>
          <t>VÄSTERNORRLANDS LÄN</t>
        </is>
      </c>
      <c r="E3541" t="inlineStr">
        <is>
          <t>SOLLEFTEÅ</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56431-2024</t>
        </is>
      </c>
      <c r="B3542" s="1" t="n">
        <v>45625</v>
      </c>
      <c r="C3542" s="1" t="n">
        <v>45822</v>
      </c>
      <c r="D3542" t="inlineStr">
        <is>
          <t>VÄSTERNORRLANDS LÄN</t>
        </is>
      </c>
      <c r="E3542" t="inlineStr">
        <is>
          <t>SOLLEFTEÅ</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56390-2024</t>
        </is>
      </c>
      <c r="B3543" s="1" t="n">
        <v>45625</v>
      </c>
      <c r="C3543" s="1" t="n">
        <v>45822</v>
      </c>
      <c r="D3543" t="inlineStr">
        <is>
          <t>VÄSTERNORRLANDS LÄN</t>
        </is>
      </c>
      <c r="E3543" t="inlineStr">
        <is>
          <t>SOLLEFTEÅ</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56503-2024</t>
        </is>
      </c>
      <c r="B3544" s="1" t="n">
        <v>45625</v>
      </c>
      <c r="C3544" s="1" t="n">
        <v>45822</v>
      </c>
      <c r="D3544" t="inlineStr">
        <is>
          <t>VÄSTERNORRLANDS LÄN</t>
        </is>
      </c>
      <c r="E3544" t="inlineStr">
        <is>
          <t>SOLLEFTEÅ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56871-2024</t>
        </is>
      </c>
      <c r="B3545" s="1" t="n">
        <v>45628</v>
      </c>
      <c r="C3545" s="1" t="n">
        <v>45822</v>
      </c>
      <c r="D3545" t="inlineStr">
        <is>
          <t>VÄSTERNORRLANDS LÄN</t>
        </is>
      </c>
      <c r="E3545" t="inlineStr">
        <is>
          <t>SOLLEFTEÅ</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56861-2024</t>
        </is>
      </c>
      <c r="B3546" s="1" t="n">
        <v>45628</v>
      </c>
      <c r="C3546" s="1" t="n">
        <v>45822</v>
      </c>
      <c r="D3546" t="inlineStr">
        <is>
          <t>VÄSTERNORRLANDS LÄN</t>
        </is>
      </c>
      <c r="E3546" t="inlineStr">
        <is>
          <t>SOLLEFTEÅ</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57078-2024</t>
        </is>
      </c>
      <c r="B3547" s="1" t="n">
        <v>45629</v>
      </c>
      <c r="C3547" s="1" t="n">
        <v>45822</v>
      </c>
      <c r="D3547" t="inlineStr">
        <is>
          <t>VÄSTERNORRLANDS LÄN</t>
        </is>
      </c>
      <c r="E3547" t="inlineStr">
        <is>
          <t>SOLLEFTEÅ</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57377-2024</t>
        </is>
      </c>
      <c r="B3548" s="1" t="n">
        <v>45629</v>
      </c>
      <c r="C3548" s="1" t="n">
        <v>45822</v>
      </c>
      <c r="D3548" t="inlineStr">
        <is>
          <t>VÄSTERNORRLANDS LÄN</t>
        </is>
      </c>
      <c r="E3548" t="inlineStr">
        <is>
          <t>SOLLEFTEÅ</t>
        </is>
      </c>
      <c r="F3548" t="inlineStr">
        <is>
          <t>SCA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57094-2024</t>
        </is>
      </c>
      <c r="B3549" s="1" t="n">
        <v>45629</v>
      </c>
      <c r="C3549" s="1" t="n">
        <v>45822</v>
      </c>
      <c r="D3549" t="inlineStr">
        <is>
          <t>VÄSTERNORRLANDS LÄN</t>
        </is>
      </c>
      <c r="E3549" t="inlineStr">
        <is>
          <t>SOLLEFTEÅ</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57107-2024</t>
        </is>
      </c>
      <c r="B3550" s="1" t="n">
        <v>45629</v>
      </c>
      <c r="C3550" s="1" t="n">
        <v>45822</v>
      </c>
      <c r="D3550" t="inlineStr">
        <is>
          <t>VÄSTERNORRLANDS LÄN</t>
        </is>
      </c>
      <c r="E3550" t="inlineStr">
        <is>
          <t>SOLLEFTEÅ</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57492-2024</t>
        </is>
      </c>
      <c r="B3551" s="1" t="n">
        <v>45630</v>
      </c>
      <c r="C3551" s="1" t="n">
        <v>45822</v>
      </c>
      <c r="D3551" t="inlineStr">
        <is>
          <t>VÄSTERNORRLANDS LÄN</t>
        </is>
      </c>
      <c r="E3551" t="inlineStr">
        <is>
          <t>SOLLEFTEÅ</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57639-2024</t>
        </is>
      </c>
      <c r="B3552" s="1" t="n">
        <v>45630</v>
      </c>
      <c r="C3552" s="1" t="n">
        <v>45822</v>
      </c>
      <c r="D3552" t="inlineStr">
        <is>
          <t>VÄSTERNORRLANDS LÄN</t>
        </is>
      </c>
      <c r="E3552" t="inlineStr">
        <is>
          <t>SOLLEFTEÅ</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57487-2024</t>
        </is>
      </c>
      <c r="B3553" s="1" t="n">
        <v>45630</v>
      </c>
      <c r="C3553" s="1" t="n">
        <v>45822</v>
      </c>
      <c r="D3553" t="inlineStr">
        <is>
          <t>VÄSTERNORRLANDS LÄN</t>
        </is>
      </c>
      <c r="E3553" t="inlineStr">
        <is>
          <t>SOLLEFTEÅ</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57677-2024</t>
        </is>
      </c>
      <c r="B3554" s="1" t="n">
        <v>45630</v>
      </c>
      <c r="C3554" s="1" t="n">
        <v>45822</v>
      </c>
      <c r="D3554" t="inlineStr">
        <is>
          <t>VÄSTERNORRLANDS LÄN</t>
        </is>
      </c>
      <c r="E3554" t="inlineStr">
        <is>
          <t>SOLLEFTEÅ</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57800-2024</t>
        </is>
      </c>
      <c r="B3555" s="1" t="n">
        <v>45631</v>
      </c>
      <c r="C3555" s="1" t="n">
        <v>45822</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57847-2024</t>
        </is>
      </c>
      <c r="B3556" s="1" t="n">
        <v>45631</v>
      </c>
      <c r="C3556" s="1" t="n">
        <v>45822</v>
      </c>
      <c r="D3556" t="inlineStr">
        <is>
          <t>VÄSTERNORRLANDS LÄN</t>
        </is>
      </c>
      <c r="E3556" t="inlineStr">
        <is>
          <t>SOLLEFTEÅ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57892-2024</t>
        </is>
      </c>
      <c r="B3557" s="1" t="n">
        <v>45631</v>
      </c>
      <c r="C3557" s="1" t="n">
        <v>45822</v>
      </c>
      <c r="D3557" t="inlineStr">
        <is>
          <t>VÄSTERNORRLANDS LÄN</t>
        </is>
      </c>
      <c r="E3557" t="inlineStr">
        <is>
          <t>SOLLEFTEÅ</t>
        </is>
      </c>
      <c r="F3557" t="inlineStr">
        <is>
          <t>SCA</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57846-2024</t>
        </is>
      </c>
      <c r="B3558" s="1" t="n">
        <v>45631</v>
      </c>
      <c r="C3558" s="1" t="n">
        <v>45822</v>
      </c>
      <c r="D3558" t="inlineStr">
        <is>
          <t>VÄSTERNORRLANDS LÄN</t>
        </is>
      </c>
      <c r="E3558" t="inlineStr">
        <is>
          <t>SOLLEFTEÅ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57922-2024</t>
        </is>
      </c>
      <c r="B3559" s="1" t="n">
        <v>45631</v>
      </c>
      <c r="C3559" s="1" t="n">
        <v>45822</v>
      </c>
      <c r="D3559" t="inlineStr">
        <is>
          <t>VÄSTERNORRLANDS LÄN</t>
        </is>
      </c>
      <c r="E3559" t="inlineStr">
        <is>
          <t>SOLLEFTEÅ</t>
        </is>
      </c>
      <c r="F3559" t="inlineStr">
        <is>
          <t>SCA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58226-2024</t>
        </is>
      </c>
      <c r="B3560" s="1" t="n">
        <v>45632</v>
      </c>
      <c r="C3560" s="1" t="n">
        <v>45822</v>
      </c>
      <c r="D3560" t="inlineStr">
        <is>
          <t>VÄSTERNORRLANDS LÄN</t>
        </is>
      </c>
      <c r="E3560" t="inlineStr">
        <is>
          <t>SOLLEFTEÅ</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58360-2024</t>
        </is>
      </c>
      <c r="B3561" s="1" t="n">
        <v>45632</v>
      </c>
      <c r="C3561" s="1" t="n">
        <v>45822</v>
      </c>
      <c r="D3561" t="inlineStr">
        <is>
          <t>VÄSTERNORRLANDS LÄN</t>
        </is>
      </c>
      <c r="E3561" t="inlineStr">
        <is>
          <t>SOLLEFTEÅ</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58357-2024</t>
        </is>
      </c>
      <c r="B3562" s="1" t="n">
        <v>45632</v>
      </c>
      <c r="C3562" s="1" t="n">
        <v>45822</v>
      </c>
      <c r="D3562" t="inlineStr">
        <is>
          <t>VÄSTERNORRLANDS LÄN</t>
        </is>
      </c>
      <c r="E3562" t="inlineStr">
        <is>
          <t>SOLLEFTEÅ</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58461-2024</t>
        </is>
      </c>
      <c r="B3563" s="1" t="n">
        <v>45635</v>
      </c>
      <c r="C3563" s="1" t="n">
        <v>45822</v>
      </c>
      <c r="D3563" t="inlineStr">
        <is>
          <t>VÄSTERNORRLANDS LÄN</t>
        </is>
      </c>
      <c r="E3563" t="inlineStr">
        <is>
          <t>SOLLEFTEÅ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58478-2024</t>
        </is>
      </c>
      <c r="B3564" s="1" t="n">
        <v>45635</v>
      </c>
      <c r="C3564" s="1" t="n">
        <v>45822</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58463-2024</t>
        </is>
      </c>
      <c r="B3565" s="1" t="n">
        <v>45635</v>
      </c>
      <c r="C3565" s="1" t="n">
        <v>45822</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58531-2024</t>
        </is>
      </c>
      <c r="B3566" s="1" t="n">
        <v>45635</v>
      </c>
      <c r="C3566" s="1" t="n">
        <v>45822</v>
      </c>
      <c r="D3566" t="inlineStr">
        <is>
          <t>VÄSTERNORRLANDS LÄN</t>
        </is>
      </c>
      <c r="E3566" t="inlineStr">
        <is>
          <t>SOLLEFTEÅ</t>
        </is>
      </c>
      <c r="F3566" t="inlineStr">
        <is>
          <t>SCA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58578-2024</t>
        </is>
      </c>
      <c r="B3567" s="1" t="n">
        <v>45635</v>
      </c>
      <c r="C3567" s="1" t="n">
        <v>45822</v>
      </c>
      <c r="D3567" t="inlineStr">
        <is>
          <t>VÄSTERNORRLANDS LÄN</t>
        </is>
      </c>
      <c r="E3567" t="inlineStr">
        <is>
          <t>SOLLEFTEÅ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58588-2024</t>
        </is>
      </c>
      <c r="B3568" s="1" t="n">
        <v>45635</v>
      </c>
      <c r="C3568" s="1" t="n">
        <v>45822</v>
      </c>
      <c r="D3568" t="inlineStr">
        <is>
          <t>VÄSTERNORRLANDS LÄN</t>
        </is>
      </c>
      <c r="E3568" t="inlineStr">
        <is>
          <t>SOLLEFTEÅ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58462-2024</t>
        </is>
      </c>
      <c r="B3569" s="1" t="n">
        <v>45635</v>
      </c>
      <c r="C3569" s="1" t="n">
        <v>45822</v>
      </c>
      <c r="D3569" t="inlineStr">
        <is>
          <t>VÄSTERNORRLANDS LÄN</t>
        </is>
      </c>
      <c r="E3569" t="inlineStr">
        <is>
          <t>SOLLEFTEÅ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58694-2024</t>
        </is>
      </c>
      <c r="B3570" s="1" t="n">
        <v>45635</v>
      </c>
      <c r="C3570" s="1" t="n">
        <v>45822</v>
      </c>
      <c r="D3570" t="inlineStr">
        <is>
          <t>VÄSTERNORRLANDS LÄN</t>
        </is>
      </c>
      <c r="E3570" t="inlineStr">
        <is>
          <t>SOLLEFTEÅ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58979-2024</t>
        </is>
      </c>
      <c r="B3571" s="1" t="n">
        <v>45636</v>
      </c>
      <c r="C3571" s="1" t="n">
        <v>45822</v>
      </c>
      <c r="D3571" t="inlineStr">
        <is>
          <t>VÄSTERNORRLANDS LÄN</t>
        </is>
      </c>
      <c r="E3571" t="inlineStr">
        <is>
          <t>SOLLEFTEÅ</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58995-2024</t>
        </is>
      </c>
      <c r="B3572" s="1" t="n">
        <v>45636</v>
      </c>
      <c r="C3572" s="1" t="n">
        <v>45822</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58931-2024</t>
        </is>
      </c>
      <c r="B3573" s="1" t="n">
        <v>45636</v>
      </c>
      <c r="C3573" s="1" t="n">
        <v>45822</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58994-2024</t>
        </is>
      </c>
      <c r="B3574" s="1" t="n">
        <v>45636</v>
      </c>
      <c r="C3574" s="1" t="n">
        <v>45822</v>
      </c>
      <c r="D3574" t="inlineStr">
        <is>
          <t>VÄSTERNORRLANDS LÄN</t>
        </is>
      </c>
      <c r="E3574" t="inlineStr">
        <is>
          <t>SOLLEFTEÅ</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58845-2024</t>
        </is>
      </c>
      <c r="B3575" s="1" t="n">
        <v>45636</v>
      </c>
      <c r="C3575" s="1" t="n">
        <v>45822</v>
      </c>
      <c r="D3575" t="inlineStr">
        <is>
          <t>VÄSTERNORRLANDS LÄN</t>
        </is>
      </c>
      <c r="E3575" t="inlineStr">
        <is>
          <t>SOLLEFTEÅ</t>
        </is>
      </c>
      <c r="F3575" t="inlineStr">
        <is>
          <t>SCA</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58841-2024</t>
        </is>
      </c>
      <c r="B3576" s="1" t="n">
        <v>45636</v>
      </c>
      <c r="C3576" s="1" t="n">
        <v>45822</v>
      </c>
      <c r="D3576" t="inlineStr">
        <is>
          <t>VÄSTERNORRLANDS LÄN</t>
        </is>
      </c>
      <c r="E3576" t="inlineStr">
        <is>
          <t>SOLLEFTEÅ</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58808-2024</t>
        </is>
      </c>
      <c r="B3577" s="1" t="n">
        <v>45636</v>
      </c>
      <c r="C3577" s="1" t="n">
        <v>45822</v>
      </c>
      <c r="D3577" t="inlineStr">
        <is>
          <t>VÄSTERNORRLANDS LÄN</t>
        </is>
      </c>
      <c r="E3577" t="inlineStr">
        <is>
          <t>SOLLEFTEÅ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59105-2024</t>
        </is>
      </c>
      <c r="B3578" s="1" t="n">
        <v>45637</v>
      </c>
      <c r="C3578" s="1" t="n">
        <v>45822</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59144-2024</t>
        </is>
      </c>
      <c r="B3579" s="1" t="n">
        <v>45637</v>
      </c>
      <c r="C3579" s="1" t="n">
        <v>45822</v>
      </c>
      <c r="D3579" t="inlineStr">
        <is>
          <t>VÄSTERNORRLANDS LÄN</t>
        </is>
      </c>
      <c r="E3579" t="inlineStr">
        <is>
          <t>SOLLEFTEÅ</t>
        </is>
      </c>
      <c r="F3579" t="inlineStr">
        <is>
          <t>SCA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59179-2024</t>
        </is>
      </c>
      <c r="B3580" s="1" t="n">
        <v>45637</v>
      </c>
      <c r="C3580" s="1" t="n">
        <v>45822</v>
      </c>
      <c r="D3580" t="inlineStr">
        <is>
          <t>VÄSTERNORRLANDS LÄN</t>
        </is>
      </c>
      <c r="E3580" t="inlineStr">
        <is>
          <t>SOLLEFTEÅ</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59308-2024</t>
        </is>
      </c>
      <c r="B3581" s="1" t="n">
        <v>45637</v>
      </c>
      <c r="C3581" s="1" t="n">
        <v>45822</v>
      </c>
      <c r="D3581" t="inlineStr">
        <is>
          <t>VÄSTERNORRLANDS LÄN</t>
        </is>
      </c>
      <c r="E3581" t="inlineStr">
        <is>
          <t>SOLLEFTEÅ</t>
        </is>
      </c>
      <c r="F3581" t="inlineStr">
        <is>
          <t>SCA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59317-2024</t>
        </is>
      </c>
      <c r="B3582" s="1" t="n">
        <v>45637</v>
      </c>
      <c r="C3582" s="1" t="n">
        <v>45822</v>
      </c>
      <c r="D3582" t="inlineStr">
        <is>
          <t>VÄSTERNORRLANDS LÄN</t>
        </is>
      </c>
      <c r="E3582" t="inlineStr">
        <is>
          <t>SOLLEFTEÅ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59491-2024</t>
        </is>
      </c>
      <c r="B3583" s="1" t="n">
        <v>45637</v>
      </c>
      <c r="C3583" s="1" t="n">
        <v>45822</v>
      </c>
      <c r="D3583" t="inlineStr">
        <is>
          <t>VÄSTERNORRLANDS LÄN</t>
        </is>
      </c>
      <c r="E3583" t="inlineStr">
        <is>
          <t>SOLLEFTEÅ</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59563-2024</t>
        </is>
      </c>
      <c r="B3584" s="1" t="n">
        <v>45638</v>
      </c>
      <c r="C3584" s="1" t="n">
        <v>45822</v>
      </c>
      <c r="D3584" t="inlineStr">
        <is>
          <t>VÄSTERNORRLANDS LÄN</t>
        </is>
      </c>
      <c r="E3584" t="inlineStr">
        <is>
          <t>SOLLEFTEÅ</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59567-2024</t>
        </is>
      </c>
      <c r="B3585" s="1" t="n">
        <v>45638</v>
      </c>
      <c r="C3585" s="1" t="n">
        <v>45822</v>
      </c>
      <c r="D3585" t="inlineStr">
        <is>
          <t>VÄSTERNORRLANDS LÄN</t>
        </is>
      </c>
      <c r="E3585" t="inlineStr">
        <is>
          <t>SOLLEFTEÅ</t>
        </is>
      </c>
      <c r="F3585" t="inlineStr">
        <is>
          <t>SCA</t>
        </is>
      </c>
      <c r="G3585" t="n">
        <v>13.8</v>
      </c>
      <c r="H3585" t="n">
        <v>0</v>
      </c>
      <c r="I3585" t="n">
        <v>0</v>
      </c>
      <c r="J3585" t="n">
        <v>0</v>
      </c>
      <c r="K3585" t="n">
        <v>0</v>
      </c>
      <c r="L3585" t="n">
        <v>0</v>
      </c>
      <c r="M3585" t="n">
        <v>0</v>
      </c>
      <c r="N3585" t="n">
        <v>0</v>
      </c>
      <c r="O3585" t="n">
        <v>0</v>
      </c>
      <c r="P3585" t="n">
        <v>0</v>
      </c>
      <c r="Q3585" t="n">
        <v>0</v>
      </c>
      <c r="R3585" s="2" t="inlineStr"/>
    </row>
    <row r="3586" ht="15" customHeight="1">
      <c r="A3586" t="inlineStr">
        <is>
          <t>A 59564-2024</t>
        </is>
      </c>
      <c r="B3586" s="1" t="n">
        <v>45638</v>
      </c>
      <c r="C3586" s="1" t="n">
        <v>45822</v>
      </c>
      <c r="D3586" t="inlineStr">
        <is>
          <t>VÄSTERNORRLANDS LÄN</t>
        </is>
      </c>
      <c r="E3586" t="inlineStr">
        <is>
          <t>SOLLEFTEÅ</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59558-2024</t>
        </is>
      </c>
      <c r="B3587" s="1" t="n">
        <v>45638</v>
      </c>
      <c r="C3587" s="1" t="n">
        <v>45822</v>
      </c>
      <c r="D3587" t="inlineStr">
        <is>
          <t>VÄSTERNORRLANDS LÄN</t>
        </is>
      </c>
      <c r="E3587" t="inlineStr">
        <is>
          <t>SOLLEFTEÅ</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59566-2024</t>
        </is>
      </c>
      <c r="B3588" s="1" t="n">
        <v>45638</v>
      </c>
      <c r="C3588" s="1" t="n">
        <v>45822</v>
      </c>
      <c r="D3588" t="inlineStr">
        <is>
          <t>VÄSTERNORRLANDS LÄN</t>
        </is>
      </c>
      <c r="E3588" t="inlineStr">
        <is>
          <t>SOLLEFTEÅ</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59434-2024</t>
        </is>
      </c>
      <c r="B3589" s="1" t="n">
        <v>45638</v>
      </c>
      <c r="C3589" s="1" t="n">
        <v>45822</v>
      </c>
      <c r="D3589" t="inlineStr">
        <is>
          <t>VÄSTERNORRLANDS LÄN</t>
        </is>
      </c>
      <c r="E3589" t="inlineStr">
        <is>
          <t>SOLLEFTEÅ</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59426-2024</t>
        </is>
      </c>
      <c r="B3590" s="1" t="n">
        <v>45638</v>
      </c>
      <c r="C3590" s="1" t="n">
        <v>45822</v>
      </c>
      <c r="D3590" t="inlineStr">
        <is>
          <t>VÄSTERNORRLANDS LÄN</t>
        </is>
      </c>
      <c r="E3590" t="inlineStr">
        <is>
          <t>SOLLEFTEÅ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59422-2024</t>
        </is>
      </c>
      <c r="B3591" s="1" t="n">
        <v>45638</v>
      </c>
      <c r="C3591" s="1" t="n">
        <v>45822</v>
      </c>
      <c r="D3591" t="inlineStr">
        <is>
          <t>VÄSTERNORRLANDS LÄN</t>
        </is>
      </c>
      <c r="E3591" t="inlineStr">
        <is>
          <t>SOLLEFTEÅ</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59418-2024</t>
        </is>
      </c>
      <c r="B3592" s="1" t="n">
        <v>45638</v>
      </c>
      <c r="C3592" s="1" t="n">
        <v>45822</v>
      </c>
      <c r="D3592" t="inlineStr">
        <is>
          <t>VÄSTERNORRLANDS LÄN</t>
        </is>
      </c>
      <c r="E3592" t="inlineStr">
        <is>
          <t>SOLLEFTEÅ</t>
        </is>
      </c>
      <c r="F3592" t="inlineStr">
        <is>
          <t>SCA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59407-2024</t>
        </is>
      </c>
      <c r="B3593" s="1" t="n">
        <v>45638</v>
      </c>
      <c r="C3593" s="1" t="n">
        <v>45822</v>
      </c>
      <c r="D3593" t="inlineStr">
        <is>
          <t>VÄSTERNORRLANDS LÄN</t>
        </is>
      </c>
      <c r="E3593" t="inlineStr">
        <is>
          <t>SOLLEFTEÅ</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59455-2024</t>
        </is>
      </c>
      <c r="B3594" s="1" t="n">
        <v>45638</v>
      </c>
      <c r="C3594" s="1" t="n">
        <v>45822</v>
      </c>
      <c r="D3594" t="inlineStr">
        <is>
          <t>VÄSTERNORRLANDS LÄN</t>
        </is>
      </c>
      <c r="E3594" t="inlineStr">
        <is>
          <t>SOLLEFTEÅ</t>
        </is>
      </c>
      <c r="F3594" t="inlineStr">
        <is>
          <t>SCA</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59389-2024</t>
        </is>
      </c>
      <c r="B3595" s="1" t="n">
        <v>45638</v>
      </c>
      <c r="C3595" s="1" t="n">
        <v>45822</v>
      </c>
      <c r="D3595" t="inlineStr">
        <is>
          <t>VÄSTERNORRLANDS LÄN</t>
        </is>
      </c>
      <c r="E3595" t="inlineStr">
        <is>
          <t>SOLLEFTEÅ</t>
        </is>
      </c>
      <c r="F3595" t="inlineStr">
        <is>
          <t>SCA</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59559-2024</t>
        </is>
      </c>
      <c r="B3596" s="1" t="n">
        <v>45638</v>
      </c>
      <c r="C3596" s="1" t="n">
        <v>45822</v>
      </c>
      <c r="D3596" t="inlineStr">
        <is>
          <t>VÄSTERNORRLANDS LÄN</t>
        </is>
      </c>
      <c r="E3596" t="inlineStr">
        <is>
          <t>SOLLEFTEÅ</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59415-2024</t>
        </is>
      </c>
      <c r="B3597" s="1" t="n">
        <v>45638</v>
      </c>
      <c r="C3597" s="1" t="n">
        <v>45822</v>
      </c>
      <c r="D3597" t="inlineStr">
        <is>
          <t>VÄSTERNORRLANDS LÄN</t>
        </is>
      </c>
      <c r="E3597" t="inlineStr">
        <is>
          <t>SOLLEFTEÅ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59473-2024</t>
        </is>
      </c>
      <c r="B3598" s="1" t="n">
        <v>45638</v>
      </c>
      <c r="C3598" s="1" t="n">
        <v>45822</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59424-2024</t>
        </is>
      </c>
      <c r="B3599" s="1" t="n">
        <v>45638</v>
      </c>
      <c r="C3599" s="1" t="n">
        <v>45822</v>
      </c>
      <c r="D3599" t="inlineStr">
        <is>
          <t>VÄSTERNORRLANDS LÄN</t>
        </is>
      </c>
      <c r="E3599" t="inlineStr">
        <is>
          <t>SOLLEFTEÅ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59416-2024</t>
        </is>
      </c>
      <c r="B3600" s="1" t="n">
        <v>45638</v>
      </c>
      <c r="C3600" s="1" t="n">
        <v>45822</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59474-2024</t>
        </is>
      </c>
      <c r="B3601" s="1" t="n">
        <v>45638</v>
      </c>
      <c r="C3601" s="1" t="n">
        <v>45822</v>
      </c>
      <c r="D3601" t="inlineStr">
        <is>
          <t>VÄSTERNORRLANDS LÄN</t>
        </is>
      </c>
      <c r="E3601" t="inlineStr">
        <is>
          <t>SOLLEFTEÅ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59421-2024</t>
        </is>
      </c>
      <c r="B3602" s="1" t="n">
        <v>45638</v>
      </c>
      <c r="C3602" s="1" t="n">
        <v>45822</v>
      </c>
      <c r="D3602" t="inlineStr">
        <is>
          <t>VÄSTERNORRLANDS LÄN</t>
        </is>
      </c>
      <c r="E3602" t="inlineStr">
        <is>
          <t>SOLLEFTEÅ</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59388-2024</t>
        </is>
      </c>
      <c r="B3603" s="1" t="n">
        <v>45638</v>
      </c>
      <c r="C3603" s="1" t="n">
        <v>45822</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59725-2024</t>
        </is>
      </c>
      <c r="B3604" s="1" t="n">
        <v>45639</v>
      </c>
      <c r="C3604" s="1" t="n">
        <v>45822</v>
      </c>
      <c r="D3604" t="inlineStr">
        <is>
          <t>VÄSTERNORRLANDS LÄN</t>
        </is>
      </c>
      <c r="E3604" t="inlineStr">
        <is>
          <t>SOLLEFTEÅ</t>
        </is>
      </c>
      <c r="F3604" t="inlineStr">
        <is>
          <t>SCA</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59724-2024</t>
        </is>
      </c>
      <c r="B3605" s="1" t="n">
        <v>45639</v>
      </c>
      <c r="C3605" s="1" t="n">
        <v>45822</v>
      </c>
      <c r="D3605" t="inlineStr">
        <is>
          <t>VÄSTERNORRLANDS LÄN</t>
        </is>
      </c>
      <c r="E3605" t="inlineStr">
        <is>
          <t>SOLLEFTEÅ</t>
        </is>
      </c>
      <c r="F3605" t="inlineStr">
        <is>
          <t>SCA</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60748-2024</t>
        </is>
      </c>
      <c r="B3606" s="1" t="n">
        <v>45642</v>
      </c>
      <c r="C3606" s="1" t="n">
        <v>45822</v>
      </c>
      <c r="D3606" t="inlineStr">
        <is>
          <t>VÄSTERNORRLANDS LÄN</t>
        </is>
      </c>
      <c r="E3606" t="inlineStr">
        <is>
          <t>SOLLEFTEÅ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60174-2024</t>
        </is>
      </c>
      <c r="B3607" s="1" t="n">
        <v>45642</v>
      </c>
      <c r="C3607" s="1" t="n">
        <v>45822</v>
      </c>
      <c r="D3607" t="inlineStr">
        <is>
          <t>VÄSTERNORRLANDS LÄN</t>
        </is>
      </c>
      <c r="E3607" t="inlineStr">
        <is>
          <t>SOLLEFTEÅ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60077-2024</t>
        </is>
      </c>
      <c r="B3608" s="1" t="n">
        <v>45642</v>
      </c>
      <c r="C3608" s="1" t="n">
        <v>45822</v>
      </c>
      <c r="D3608" t="inlineStr">
        <is>
          <t>VÄSTERNORRLANDS LÄN</t>
        </is>
      </c>
      <c r="E3608" t="inlineStr">
        <is>
          <t>SOLLEFTEÅ</t>
        </is>
      </c>
      <c r="F3608" t="inlineStr">
        <is>
          <t>SCA</t>
        </is>
      </c>
      <c r="G3608" t="n">
        <v>21.5</v>
      </c>
      <c r="H3608" t="n">
        <v>0</v>
      </c>
      <c r="I3608" t="n">
        <v>0</v>
      </c>
      <c r="J3608" t="n">
        <v>0</v>
      </c>
      <c r="K3608" t="n">
        <v>0</v>
      </c>
      <c r="L3608" t="n">
        <v>0</v>
      </c>
      <c r="M3608" t="n">
        <v>0</v>
      </c>
      <c r="N3608" t="n">
        <v>0</v>
      </c>
      <c r="O3608" t="n">
        <v>0</v>
      </c>
      <c r="P3608" t="n">
        <v>0</v>
      </c>
      <c r="Q3608" t="n">
        <v>0</v>
      </c>
      <c r="R3608" s="2" t="inlineStr"/>
    </row>
    <row r="3609" ht="15" customHeight="1">
      <c r="A3609" t="inlineStr">
        <is>
          <t>A 60024-2024</t>
        </is>
      </c>
      <c r="B3609" s="1" t="n">
        <v>45642</v>
      </c>
      <c r="C3609" s="1" t="n">
        <v>45822</v>
      </c>
      <c r="D3609" t="inlineStr">
        <is>
          <t>VÄSTERNORRLANDS LÄN</t>
        </is>
      </c>
      <c r="E3609" t="inlineStr">
        <is>
          <t>SOLLEFTEÅ</t>
        </is>
      </c>
      <c r="F3609" t="inlineStr">
        <is>
          <t>SCA</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60131-2024</t>
        </is>
      </c>
      <c r="B3610" s="1" t="n">
        <v>45642</v>
      </c>
      <c r="C3610" s="1" t="n">
        <v>45822</v>
      </c>
      <c r="D3610" t="inlineStr">
        <is>
          <t>VÄSTERNORRLANDS LÄN</t>
        </is>
      </c>
      <c r="E3610" t="inlineStr">
        <is>
          <t>SOLLEFTEÅ</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59985-2024</t>
        </is>
      </c>
      <c r="B3611" s="1" t="n">
        <v>45642</v>
      </c>
      <c r="C3611" s="1" t="n">
        <v>45822</v>
      </c>
      <c r="D3611" t="inlineStr">
        <is>
          <t>VÄSTERNORRLANDS LÄN</t>
        </is>
      </c>
      <c r="E3611" t="inlineStr">
        <is>
          <t>SOLLEFTEÅ</t>
        </is>
      </c>
      <c r="F3611" t="inlineStr">
        <is>
          <t>SCA</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60177-2024</t>
        </is>
      </c>
      <c r="B3612" s="1" t="n">
        <v>45642</v>
      </c>
      <c r="C3612" s="1" t="n">
        <v>45822</v>
      </c>
      <c r="D3612" t="inlineStr">
        <is>
          <t>VÄSTERNORRLANDS LÄN</t>
        </is>
      </c>
      <c r="E3612" t="inlineStr">
        <is>
          <t>SOLLEFTEÅ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60154-2024</t>
        </is>
      </c>
      <c r="B3613" s="1" t="n">
        <v>45642</v>
      </c>
      <c r="C3613" s="1" t="n">
        <v>45822</v>
      </c>
      <c r="D3613" t="inlineStr">
        <is>
          <t>VÄSTERNORRLANDS LÄN</t>
        </is>
      </c>
      <c r="E3613" t="inlineStr">
        <is>
          <t>SOLLEFTEÅ</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59949-2024</t>
        </is>
      </c>
      <c r="B3614" s="1" t="n">
        <v>45642</v>
      </c>
      <c r="C3614" s="1" t="n">
        <v>45822</v>
      </c>
      <c r="D3614" t="inlineStr">
        <is>
          <t>VÄSTERNORRLANDS LÄN</t>
        </is>
      </c>
      <c r="E3614" t="inlineStr">
        <is>
          <t>SOLLEFTEÅ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60741-2024</t>
        </is>
      </c>
      <c r="B3615" s="1" t="n">
        <v>45642</v>
      </c>
      <c r="C3615" s="1" t="n">
        <v>45822</v>
      </c>
      <c r="D3615" t="inlineStr">
        <is>
          <t>VÄSTERNORRLANDS LÄN</t>
        </is>
      </c>
      <c r="E3615" t="inlineStr">
        <is>
          <t>SOLLEFTEÅ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59939-2024</t>
        </is>
      </c>
      <c r="B3616" s="1" t="n">
        <v>45642</v>
      </c>
      <c r="C3616" s="1" t="n">
        <v>45822</v>
      </c>
      <c r="D3616" t="inlineStr">
        <is>
          <t>VÄSTERNORRLANDS LÄN</t>
        </is>
      </c>
      <c r="E3616" t="inlineStr">
        <is>
          <t>SOLLEFTEÅ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60361-2024</t>
        </is>
      </c>
      <c r="B3617" s="1" t="n">
        <v>45643</v>
      </c>
      <c r="C3617" s="1" t="n">
        <v>45822</v>
      </c>
      <c r="D3617" t="inlineStr">
        <is>
          <t>VÄSTERNORRLANDS LÄN</t>
        </is>
      </c>
      <c r="E3617" t="inlineStr">
        <is>
          <t>SOLLEFTEÅ</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60389-2024</t>
        </is>
      </c>
      <c r="B3618" s="1" t="n">
        <v>45643</v>
      </c>
      <c r="C3618" s="1" t="n">
        <v>45822</v>
      </c>
      <c r="D3618" t="inlineStr">
        <is>
          <t>VÄSTERNORRLANDS LÄN</t>
        </is>
      </c>
      <c r="E3618" t="inlineStr">
        <is>
          <t>SOLLEFTEÅ</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60460-2024</t>
        </is>
      </c>
      <c r="B3619" s="1" t="n">
        <v>45643</v>
      </c>
      <c r="C3619" s="1" t="n">
        <v>45822</v>
      </c>
      <c r="D3619" t="inlineStr">
        <is>
          <t>VÄSTERNORRLANDS LÄN</t>
        </is>
      </c>
      <c r="E3619" t="inlineStr">
        <is>
          <t>SOLLEFTEÅ</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60495-2024</t>
        </is>
      </c>
      <c r="B3620" s="1" t="n">
        <v>45643</v>
      </c>
      <c r="C3620" s="1" t="n">
        <v>45822</v>
      </c>
      <c r="D3620" t="inlineStr">
        <is>
          <t>VÄSTERNORRLANDS LÄN</t>
        </is>
      </c>
      <c r="E3620" t="inlineStr">
        <is>
          <t>SOLLEFTEÅ</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60360-2024</t>
        </is>
      </c>
      <c r="B3621" s="1" t="n">
        <v>45643</v>
      </c>
      <c r="C3621" s="1" t="n">
        <v>45822</v>
      </c>
      <c r="D3621" t="inlineStr">
        <is>
          <t>VÄSTERNORRLANDS LÄN</t>
        </is>
      </c>
      <c r="E3621" t="inlineStr">
        <is>
          <t>SOLLEFTEÅ</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60714-2024</t>
        </is>
      </c>
      <c r="B3622" s="1" t="n">
        <v>45644</v>
      </c>
      <c r="C3622" s="1" t="n">
        <v>45822</v>
      </c>
      <c r="D3622" t="inlineStr">
        <is>
          <t>VÄSTERNORRLANDS LÄN</t>
        </is>
      </c>
      <c r="E3622" t="inlineStr">
        <is>
          <t>SOLLEFTEÅ</t>
        </is>
      </c>
      <c r="F3622" t="inlineStr">
        <is>
          <t>SCA</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60632-2024</t>
        </is>
      </c>
      <c r="B3623" s="1" t="n">
        <v>45644</v>
      </c>
      <c r="C3623" s="1" t="n">
        <v>45822</v>
      </c>
      <c r="D3623" t="inlineStr">
        <is>
          <t>VÄSTERNORRLANDS LÄN</t>
        </is>
      </c>
      <c r="E3623" t="inlineStr">
        <is>
          <t>SOLLEFTEÅ</t>
        </is>
      </c>
      <c r="F3623" t="inlineStr">
        <is>
          <t>SCA</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60630-2024</t>
        </is>
      </c>
      <c r="B3624" s="1" t="n">
        <v>45644</v>
      </c>
      <c r="C3624" s="1" t="n">
        <v>45822</v>
      </c>
      <c r="D3624" t="inlineStr">
        <is>
          <t>VÄSTERNORRLANDS LÄN</t>
        </is>
      </c>
      <c r="E3624" t="inlineStr">
        <is>
          <t>SOLLEFTEÅ</t>
        </is>
      </c>
      <c r="F3624" t="inlineStr">
        <is>
          <t>SCA</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61089-2024</t>
        </is>
      </c>
      <c r="B3625" s="1" t="n">
        <v>45644</v>
      </c>
      <c r="C3625" s="1" t="n">
        <v>45822</v>
      </c>
      <c r="D3625" t="inlineStr">
        <is>
          <t>VÄSTERNORRLANDS LÄN</t>
        </is>
      </c>
      <c r="E3625" t="inlineStr">
        <is>
          <t>SOLLEFTEÅ</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60612-2024</t>
        </is>
      </c>
      <c r="B3626" s="1" t="n">
        <v>45644</v>
      </c>
      <c r="C3626" s="1" t="n">
        <v>45822</v>
      </c>
      <c r="D3626" t="inlineStr">
        <is>
          <t>VÄSTERNORRLANDS LÄN</t>
        </is>
      </c>
      <c r="E3626" t="inlineStr">
        <is>
          <t>SOLLEFTEÅ</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60583-2024</t>
        </is>
      </c>
      <c r="B3627" s="1" t="n">
        <v>45644</v>
      </c>
      <c r="C3627" s="1" t="n">
        <v>45822</v>
      </c>
      <c r="D3627" t="inlineStr">
        <is>
          <t>VÄSTERNORRLANDS LÄN</t>
        </is>
      </c>
      <c r="E3627" t="inlineStr">
        <is>
          <t>SOLLEFTEÅ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60827-2024</t>
        </is>
      </c>
      <c r="B3628" s="1" t="n">
        <v>45644</v>
      </c>
      <c r="C3628" s="1" t="n">
        <v>45822</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60831-2024</t>
        </is>
      </c>
      <c r="B3629" s="1" t="n">
        <v>45644</v>
      </c>
      <c r="C3629" s="1" t="n">
        <v>45822</v>
      </c>
      <c r="D3629" t="inlineStr">
        <is>
          <t>VÄSTERNORRLANDS LÄN</t>
        </is>
      </c>
      <c r="E3629" t="inlineStr">
        <is>
          <t>SOLLEFTEÅ</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60867-2024</t>
        </is>
      </c>
      <c r="B3630" s="1" t="n">
        <v>45644</v>
      </c>
      <c r="C3630" s="1" t="n">
        <v>45822</v>
      </c>
      <c r="D3630" t="inlineStr">
        <is>
          <t>VÄSTERNORRLANDS LÄN</t>
        </is>
      </c>
      <c r="E3630" t="inlineStr">
        <is>
          <t>SOLLEFTEÅ</t>
        </is>
      </c>
      <c r="F3630" t="inlineStr">
        <is>
          <t>SCA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60837-2024</t>
        </is>
      </c>
      <c r="B3631" s="1" t="n">
        <v>45644</v>
      </c>
      <c r="C3631" s="1" t="n">
        <v>45822</v>
      </c>
      <c r="D3631" t="inlineStr">
        <is>
          <t>VÄSTERNORRLANDS LÄN</t>
        </is>
      </c>
      <c r="E3631" t="inlineStr">
        <is>
          <t>SOLLEFTEÅ</t>
        </is>
      </c>
      <c r="F3631" t="inlineStr">
        <is>
          <t>SCA</t>
        </is>
      </c>
      <c r="G3631" t="n">
        <v>12.5</v>
      </c>
      <c r="H3631" t="n">
        <v>0</v>
      </c>
      <c r="I3631" t="n">
        <v>0</v>
      </c>
      <c r="J3631" t="n">
        <v>0</v>
      </c>
      <c r="K3631" t="n">
        <v>0</v>
      </c>
      <c r="L3631" t="n">
        <v>0</v>
      </c>
      <c r="M3631" t="n">
        <v>0</v>
      </c>
      <c r="N3631" t="n">
        <v>0</v>
      </c>
      <c r="O3631" t="n">
        <v>0</v>
      </c>
      <c r="P3631" t="n">
        <v>0</v>
      </c>
      <c r="Q3631" t="n">
        <v>0</v>
      </c>
      <c r="R3631" s="2" t="inlineStr"/>
    </row>
    <row r="3632" ht="15" customHeight="1">
      <c r="A3632" t="inlineStr">
        <is>
          <t>A 60631-2024</t>
        </is>
      </c>
      <c r="B3632" s="1" t="n">
        <v>45644</v>
      </c>
      <c r="C3632" s="1" t="n">
        <v>45822</v>
      </c>
      <c r="D3632" t="inlineStr">
        <is>
          <t>VÄSTERNORRLANDS LÄN</t>
        </is>
      </c>
      <c r="E3632" t="inlineStr">
        <is>
          <t>SOLLEFTEÅ</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60713-2024</t>
        </is>
      </c>
      <c r="B3633" s="1" t="n">
        <v>45644</v>
      </c>
      <c r="C3633" s="1" t="n">
        <v>45822</v>
      </c>
      <c r="D3633" t="inlineStr">
        <is>
          <t>VÄSTERNORRLANDS LÄN</t>
        </is>
      </c>
      <c r="E3633" t="inlineStr">
        <is>
          <t>SOLLEFTEÅ</t>
        </is>
      </c>
      <c r="F3633" t="inlineStr">
        <is>
          <t>SCA</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60958-2024</t>
        </is>
      </c>
      <c r="B3634" s="1" t="n">
        <v>45645</v>
      </c>
      <c r="C3634" s="1" t="n">
        <v>45822</v>
      </c>
      <c r="D3634" t="inlineStr">
        <is>
          <t>VÄSTERNORRLANDS LÄN</t>
        </is>
      </c>
      <c r="E3634" t="inlineStr">
        <is>
          <t>SOLLEFTEÅ</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61168-2024</t>
        </is>
      </c>
      <c r="B3635" s="1" t="n">
        <v>45645</v>
      </c>
      <c r="C3635" s="1" t="n">
        <v>45822</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61200-2024</t>
        </is>
      </c>
      <c r="B3636" s="1" t="n">
        <v>45645</v>
      </c>
      <c r="C3636" s="1" t="n">
        <v>45822</v>
      </c>
      <c r="D3636" t="inlineStr">
        <is>
          <t>VÄSTERNORRLANDS LÄN</t>
        </is>
      </c>
      <c r="E3636" t="inlineStr">
        <is>
          <t>SOLLEFTEÅ</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61126-2024</t>
        </is>
      </c>
      <c r="B3637" s="1" t="n">
        <v>45645</v>
      </c>
      <c r="C3637" s="1" t="n">
        <v>45822</v>
      </c>
      <c r="D3637" t="inlineStr">
        <is>
          <t>VÄSTERNORRLANDS LÄN</t>
        </is>
      </c>
      <c r="E3637" t="inlineStr">
        <is>
          <t>SOLLEFTEÅ</t>
        </is>
      </c>
      <c r="G3637" t="n">
        <v>13.8</v>
      </c>
      <c r="H3637" t="n">
        <v>0</v>
      </c>
      <c r="I3637" t="n">
        <v>0</v>
      </c>
      <c r="J3637" t="n">
        <v>0</v>
      </c>
      <c r="K3637" t="n">
        <v>0</v>
      </c>
      <c r="L3637" t="n">
        <v>0</v>
      </c>
      <c r="M3637" t="n">
        <v>0</v>
      </c>
      <c r="N3637" t="n">
        <v>0</v>
      </c>
      <c r="O3637" t="n">
        <v>0</v>
      </c>
      <c r="P3637" t="n">
        <v>0</v>
      </c>
      <c r="Q3637" t="n">
        <v>0</v>
      </c>
      <c r="R3637" s="2" t="inlineStr"/>
    </row>
    <row r="3638" ht="15" customHeight="1">
      <c r="A3638" t="inlineStr">
        <is>
          <t>A 61611-2024</t>
        </is>
      </c>
      <c r="B3638" s="1" t="n">
        <v>45645</v>
      </c>
      <c r="C3638" s="1" t="n">
        <v>45822</v>
      </c>
      <c r="D3638" t="inlineStr">
        <is>
          <t>VÄSTERNORRLANDS LÄN</t>
        </is>
      </c>
      <c r="E3638" t="inlineStr">
        <is>
          <t>SOLLEFTEÅ</t>
        </is>
      </c>
      <c r="G3638" t="n">
        <v>13.9</v>
      </c>
      <c r="H3638" t="n">
        <v>0</v>
      </c>
      <c r="I3638" t="n">
        <v>0</v>
      </c>
      <c r="J3638" t="n">
        <v>0</v>
      </c>
      <c r="K3638" t="n">
        <v>0</v>
      </c>
      <c r="L3638" t="n">
        <v>0</v>
      </c>
      <c r="M3638" t="n">
        <v>0</v>
      </c>
      <c r="N3638" t="n">
        <v>0</v>
      </c>
      <c r="O3638" t="n">
        <v>0</v>
      </c>
      <c r="P3638" t="n">
        <v>0</v>
      </c>
      <c r="Q3638" t="n">
        <v>0</v>
      </c>
      <c r="R3638" s="2" t="inlineStr"/>
    </row>
    <row r="3639" ht="15" customHeight="1">
      <c r="A3639" t="inlineStr">
        <is>
          <t>A 61616-2024</t>
        </is>
      </c>
      <c r="B3639" s="1" t="n">
        <v>45645</v>
      </c>
      <c r="C3639" s="1" t="n">
        <v>45822</v>
      </c>
      <c r="D3639" t="inlineStr">
        <is>
          <t>VÄSTERNORRLANDS LÄN</t>
        </is>
      </c>
      <c r="E3639" t="inlineStr">
        <is>
          <t>SOLLEFTEÅ</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61201-2024</t>
        </is>
      </c>
      <c r="B3640" s="1" t="n">
        <v>45645</v>
      </c>
      <c r="C3640" s="1" t="n">
        <v>45822</v>
      </c>
      <c r="D3640" t="inlineStr">
        <is>
          <t>VÄSTERNORRLANDS LÄN</t>
        </is>
      </c>
      <c r="E3640" t="inlineStr">
        <is>
          <t>SOLLEFTEÅ</t>
        </is>
      </c>
      <c r="F3640" t="inlineStr">
        <is>
          <t>SCA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61623-2024</t>
        </is>
      </c>
      <c r="B3641" s="1" t="n">
        <v>45645</v>
      </c>
      <c r="C3641" s="1" t="n">
        <v>45822</v>
      </c>
      <c r="D3641" t="inlineStr">
        <is>
          <t>VÄSTERNORRLANDS LÄN</t>
        </is>
      </c>
      <c r="E3641" t="inlineStr">
        <is>
          <t>SOLLEFTEÅ</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61452-2024</t>
        </is>
      </c>
      <c r="B3642" s="1" t="n">
        <v>45646</v>
      </c>
      <c r="C3642" s="1" t="n">
        <v>45822</v>
      </c>
      <c r="D3642" t="inlineStr">
        <is>
          <t>VÄSTERNORRLANDS LÄN</t>
        </is>
      </c>
      <c r="E3642" t="inlineStr">
        <is>
          <t>SOLLEFTEÅ</t>
        </is>
      </c>
      <c r="F3642" t="inlineStr">
        <is>
          <t>SCA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61849-2024</t>
        </is>
      </c>
      <c r="B3643" s="1" t="n">
        <v>45646</v>
      </c>
      <c r="C3643" s="1" t="n">
        <v>45822</v>
      </c>
      <c r="D3643" t="inlineStr">
        <is>
          <t>VÄSTERNORRLANDS LÄN</t>
        </is>
      </c>
      <c r="E3643" t="inlineStr">
        <is>
          <t>SOLLEFTEÅ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62094-2024</t>
        </is>
      </c>
      <c r="B3644" s="1" t="n">
        <v>45646</v>
      </c>
      <c r="C3644" s="1" t="n">
        <v>45822</v>
      </c>
      <c r="D3644" t="inlineStr">
        <is>
          <t>VÄSTERNORRLANDS LÄN</t>
        </is>
      </c>
      <c r="E3644" t="inlineStr">
        <is>
          <t>SOLLEFTEÅ</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61845-2024</t>
        </is>
      </c>
      <c r="B3645" s="1" t="n">
        <v>45646</v>
      </c>
      <c r="C3645" s="1" t="n">
        <v>45822</v>
      </c>
      <c r="D3645" t="inlineStr">
        <is>
          <t>VÄSTERNORRLANDS LÄN</t>
        </is>
      </c>
      <c r="E3645" t="inlineStr">
        <is>
          <t>SOLLEFTEÅ</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61485-2024</t>
        </is>
      </c>
      <c r="B3646" s="1" t="n">
        <v>45646</v>
      </c>
      <c r="C3646" s="1" t="n">
        <v>45822</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62144-2024</t>
        </is>
      </c>
      <c r="B3647" s="1" t="n">
        <v>45646</v>
      </c>
      <c r="C3647" s="1" t="n">
        <v>45822</v>
      </c>
      <c r="D3647" t="inlineStr">
        <is>
          <t>VÄSTERNORRLANDS LÄN</t>
        </is>
      </c>
      <c r="E3647" t="inlineStr">
        <is>
          <t>SOLLEFTEÅ</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61847-2024</t>
        </is>
      </c>
      <c r="B3648" s="1" t="n">
        <v>45646</v>
      </c>
      <c r="C3648" s="1" t="n">
        <v>45822</v>
      </c>
      <c r="D3648" t="inlineStr">
        <is>
          <t>VÄSTERNORRLANDS LÄN</t>
        </is>
      </c>
      <c r="E3648" t="inlineStr">
        <is>
          <t>SOLLEFTEÅ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61779-2024</t>
        </is>
      </c>
      <c r="B3649" s="1" t="n">
        <v>45649</v>
      </c>
      <c r="C3649" s="1" t="n">
        <v>45822</v>
      </c>
      <c r="D3649" t="inlineStr">
        <is>
          <t>VÄSTERNORRLANDS LÄN</t>
        </is>
      </c>
      <c r="E3649" t="inlineStr">
        <is>
          <t>SOLLEFTEÅ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61784-2024</t>
        </is>
      </c>
      <c r="B3650" s="1" t="n">
        <v>45649</v>
      </c>
      <c r="C3650" s="1" t="n">
        <v>45822</v>
      </c>
      <c r="D3650" t="inlineStr">
        <is>
          <t>VÄSTERNORRLANDS LÄN</t>
        </is>
      </c>
      <c r="E3650" t="inlineStr">
        <is>
          <t>SOLLEFTEÅ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61781-2024</t>
        </is>
      </c>
      <c r="B3651" s="1" t="n">
        <v>45649</v>
      </c>
      <c r="C3651" s="1" t="n">
        <v>45822</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174-2025</t>
        </is>
      </c>
      <c r="B3652" s="1" t="n">
        <v>45649</v>
      </c>
      <c r="C3652" s="1" t="n">
        <v>45822</v>
      </c>
      <c r="D3652" t="inlineStr">
        <is>
          <t>VÄSTERNORRLANDS LÄN</t>
        </is>
      </c>
      <c r="E3652" t="inlineStr">
        <is>
          <t>SOLLEFTEÅ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61778-2024</t>
        </is>
      </c>
      <c r="B3653" s="1" t="n">
        <v>45649</v>
      </c>
      <c r="C3653" s="1" t="n">
        <v>45822</v>
      </c>
      <c r="D3653" t="inlineStr">
        <is>
          <t>VÄSTERNORRLANDS LÄN</t>
        </is>
      </c>
      <c r="E3653" t="inlineStr">
        <is>
          <t>SOLLEFTEÅ</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61790-2024</t>
        </is>
      </c>
      <c r="B3654" s="1" t="n">
        <v>45649</v>
      </c>
      <c r="C3654" s="1" t="n">
        <v>45822</v>
      </c>
      <c r="D3654" t="inlineStr">
        <is>
          <t>VÄSTERNORRLANDS LÄN</t>
        </is>
      </c>
      <c r="E3654" t="inlineStr">
        <is>
          <t>SOLLEFTEÅ</t>
        </is>
      </c>
      <c r="F3654" t="inlineStr">
        <is>
          <t>Övriga statliga verk och myndigheter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62038-2024</t>
        </is>
      </c>
      <c r="B3655" s="1" t="n">
        <v>45656</v>
      </c>
      <c r="C3655" s="1" t="n">
        <v>45822</v>
      </c>
      <c r="D3655" t="inlineStr">
        <is>
          <t>VÄSTERNORRLANDS LÄN</t>
        </is>
      </c>
      <c r="E3655" t="inlineStr">
        <is>
          <t>SOLLEFTEÅ</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62171-2024</t>
        </is>
      </c>
      <c r="B3656" s="1" t="n">
        <v>45657</v>
      </c>
      <c r="C3656" s="1" t="n">
        <v>45822</v>
      </c>
      <c r="D3656" t="inlineStr">
        <is>
          <t>VÄSTERNORRLANDS LÄN</t>
        </is>
      </c>
      <c r="E3656" t="inlineStr">
        <is>
          <t>SOLLEFTEÅ</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154-2025</t>
        </is>
      </c>
      <c r="B3657" s="1" t="n">
        <v>45659</v>
      </c>
      <c r="C3657" s="1" t="n">
        <v>45822</v>
      </c>
      <c r="D3657" t="inlineStr">
        <is>
          <t>VÄSTERNORRLANDS LÄN</t>
        </is>
      </c>
      <c r="E3657" t="inlineStr">
        <is>
          <t>SOLLEFTEÅ</t>
        </is>
      </c>
      <c r="F3657" t="inlineStr">
        <is>
          <t>Holmen skog AB</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774-2025</t>
        </is>
      </c>
      <c r="B3658" s="1" t="n">
        <v>45659</v>
      </c>
      <c r="C3658" s="1" t="n">
        <v>45822</v>
      </c>
      <c r="D3658" t="inlineStr">
        <is>
          <t>VÄSTERNORRLANDS LÄN</t>
        </is>
      </c>
      <c r="E3658" t="inlineStr">
        <is>
          <t>SOLLEFTEÅ</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769-2025</t>
        </is>
      </c>
      <c r="B3659" s="1" t="n">
        <v>45659</v>
      </c>
      <c r="C3659" s="1" t="n">
        <v>45822</v>
      </c>
      <c r="D3659" t="inlineStr">
        <is>
          <t>VÄSTERNORRLANDS LÄN</t>
        </is>
      </c>
      <c r="E3659" t="inlineStr">
        <is>
          <t>SOLLEFTEÅ</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775-2025</t>
        </is>
      </c>
      <c r="B3660" s="1" t="n">
        <v>45659</v>
      </c>
      <c r="C3660" s="1" t="n">
        <v>45822</v>
      </c>
      <c r="D3660" t="inlineStr">
        <is>
          <t>VÄSTERNORRLANDS LÄN</t>
        </is>
      </c>
      <c r="E3660" t="inlineStr">
        <is>
          <t>SOLLEFTEÅ</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326-2025</t>
        </is>
      </c>
      <c r="B3661" s="1" t="n">
        <v>45660</v>
      </c>
      <c r="C3661" s="1" t="n">
        <v>45822</v>
      </c>
      <c r="D3661" t="inlineStr">
        <is>
          <t>VÄSTERNORRLANDS LÄN</t>
        </is>
      </c>
      <c r="E3661" t="inlineStr">
        <is>
          <t>SOLLEFTEÅ</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291-2025</t>
        </is>
      </c>
      <c r="B3662" s="1" t="n">
        <v>45660</v>
      </c>
      <c r="C3662" s="1" t="n">
        <v>45822</v>
      </c>
      <c r="D3662" t="inlineStr">
        <is>
          <t>VÄSTERNORRLANDS LÄN</t>
        </is>
      </c>
      <c r="E3662" t="inlineStr">
        <is>
          <t>SOLLEFTEÅ</t>
        </is>
      </c>
      <c r="F3662" t="inlineStr">
        <is>
          <t>SCA</t>
        </is>
      </c>
      <c r="G3662" t="n">
        <v>24.7</v>
      </c>
      <c r="H3662" t="n">
        <v>0</v>
      </c>
      <c r="I3662" t="n">
        <v>0</v>
      </c>
      <c r="J3662" t="n">
        <v>0</v>
      </c>
      <c r="K3662" t="n">
        <v>0</v>
      </c>
      <c r="L3662" t="n">
        <v>0</v>
      </c>
      <c r="M3662" t="n">
        <v>0</v>
      </c>
      <c r="N3662" t="n">
        <v>0</v>
      </c>
      <c r="O3662" t="n">
        <v>0</v>
      </c>
      <c r="P3662" t="n">
        <v>0</v>
      </c>
      <c r="Q3662" t="n">
        <v>0</v>
      </c>
      <c r="R3662" s="2" t="inlineStr"/>
    </row>
    <row r="3663" ht="15" customHeight="1">
      <c r="A3663" t="inlineStr">
        <is>
          <t>A 218-2025</t>
        </is>
      </c>
      <c r="B3663" s="1" t="n">
        <v>45660</v>
      </c>
      <c r="C3663" s="1" t="n">
        <v>45822</v>
      </c>
      <c r="D3663" t="inlineStr">
        <is>
          <t>VÄSTERNORRLANDS LÄN</t>
        </is>
      </c>
      <c r="E3663" t="inlineStr">
        <is>
          <t>SOLLEFTEÅ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295-2025</t>
        </is>
      </c>
      <c r="B3664" s="1" t="n">
        <v>45660</v>
      </c>
      <c r="C3664" s="1" t="n">
        <v>45822</v>
      </c>
      <c r="D3664" t="inlineStr">
        <is>
          <t>VÄSTERNORRLANDS LÄN</t>
        </is>
      </c>
      <c r="E3664" t="inlineStr">
        <is>
          <t>SOLLEFTEÅ</t>
        </is>
      </c>
      <c r="F3664" t="inlineStr">
        <is>
          <t>SCA</t>
        </is>
      </c>
      <c r="G3664" t="n">
        <v>30.7</v>
      </c>
      <c r="H3664" t="n">
        <v>0</v>
      </c>
      <c r="I3664" t="n">
        <v>0</v>
      </c>
      <c r="J3664" t="n">
        <v>0</v>
      </c>
      <c r="K3664" t="n">
        <v>0</v>
      </c>
      <c r="L3664" t="n">
        <v>0</v>
      </c>
      <c r="M3664" t="n">
        <v>0</v>
      </c>
      <c r="N3664" t="n">
        <v>0</v>
      </c>
      <c r="O3664" t="n">
        <v>0</v>
      </c>
      <c r="P3664" t="n">
        <v>0</v>
      </c>
      <c r="Q3664" t="n">
        <v>0</v>
      </c>
      <c r="R3664" s="2" t="inlineStr"/>
    </row>
    <row r="3665" ht="15" customHeight="1">
      <c r="A3665" t="inlineStr">
        <is>
          <t>A 635-2025</t>
        </is>
      </c>
      <c r="B3665" s="1" t="n">
        <v>45664</v>
      </c>
      <c r="C3665" s="1" t="n">
        <v>45822</v>
      </c>
      <c r="D3665" t="inlineStr">
        <is>
          <t>VÄSTERNORRLANDS LÄN</t>
        </is>
      </c>
      <c r="E3665" t="inlineStr">
        <is>
          <t>SOLLEFTEÅ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439-2025</t>
        </is>
      </c>
      <c r="B3666" s="1" t="n">
        <v>45664</v>
      </c>
      <c r="C3666" s="1" t="n">
        <v>45822</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583-2025</t>
        </is>
      </c>
      <c r="B3667" s="1" t="n">
        <v>45664</v>
      </c>
      <c r="C3667" s="1" t="n">
        <v>45822</v>
      </c>
      <c r="D3667" t="inlineStr">
        <is>
          <t>VÄSTERNORRLANDS LÄN</t>
        </is>
      </c>
      <c r="E3667" t="inlineStr">
        <is>
          <t>SOLLEFTEÅ</t>
        </is>
      </c>
      <c r="G3667" t="n">
        <v>47.2</v>
      </c>
      <c r="H3667" t="n">
        <v>0</v>
      </c>
      <c r="I3667" t="n">
        <v>0</v>
      </c>
      <c r="J3667" t="n">
        <v>0</v>
      </c>
      <c r="K3667" t="n">
        <v>0</v>
      </c>
      <c r="L3667" t="n">
        <v>0</v>
      </c>
      <c r="M3667" t="n">
        <v>0</v>
      </c>
      <c r="N3667" t="n">
        <v>0</v>
      </c>
      <c r="O3667" t="n">
        <v>0</v>
      </c>
      <c r="P3667" t="n">
        <v>0</v>
      </c>
      <c r="Q3667" t="n">
        <v>0</v>
      </c>
      <c r="R3667" s="2" t="inlineStr"/>
    </row>
    <row r="3668" ht="15" customHeight="1">
      <c r="A3668" t="inlineStr">
        <is>
          <t>A 600-2025</t>
        </is>
      </c>
      <c r="B3668" s="1" t="n">
        <v>45664</v>
      </c>
      <c r="C3668" s="1" t="n">
        <v>45822</v>
      </c>
      <c r="D3668" t="inlineStr">
        <is>
          <t>VÄSTERNORRLANDS LÄN</t>
        </is>
      </c>
      <c r="E3668" t="inlineStr">
        <is>
          <t>SOLLEFTEÅ</t>
        </is>
      </c>
      <c r="F3668" t="inlineStr">
        <is>
          <t>SCA</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469-2025</t>
        </is>
      </c>
      <c r="B3669" s="1" t="n">
        <v>45664</v>
      </c>
      <c r="C3669" s="1" t="n">
        <v>45822</v>
      </c>
      <c r="D3669" t="inlineStr">
        <is>
          <t>VÄSTERNORRLANDS LÄN</t>
        </is>
      </c>
      <c r="E3669" t="inlineStr">
        <is>
          <t>SOLLEFTEÅ</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657-2025</t>
        </is>
      </c>
      <c r="B3670" s="1" t="n">
        <v>45664</v>
      </c>
      <c r="C3670" s="1" t="n">
        <v>45822</v>
      </c>
      <c r="D3670" t="inlineStr">
        <is>
          <t>VÄSTERNORRLANDS LÄN</t>
        </is>
      </c>
      <c r="E3670" t="inlineStr">
        <is>
          <t>SOLLEFTEÅ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800-2025</t>
        </is>
      </c>
      <c r="B3671" s="1" t="n">
        <v>45664</v>
      </c>
      <c r="C3671" s="1" t="n">
        <v>45822</v>
      </c>
      <c r="D3671" t="inlineStr">
        <is>
          <t>VÄSTERNORRLANDS LÄN</t>
        </is>
      </c>
      <c r="E3671" t="inlineStr">
        <is>
          <t>SOLLEFTEÅ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892-2025</t>
        </is>
      </c>
      <c r="B3672" s="1" t="n">
        <v>45665</v>
      </c>
      <c r="C3672" s="1" t="n">
        <v>45822</v>
      </c>
      <c r="D3672" t="inlineStr">
        <is>
          <t>VÄSTERNORRLANDS LÄN</t>
        </is>
      </c>
      <c r="E3672" t="inlineStr">
        <is>
          <t>SOLLEFTEÅ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757-2025</t>
        </is>
      </c>
      <c r="B3673" s="1" t="n">
        <v>45665</v>
      </c>
      <c r="C3673" s="1" t="n">
        <v>45822</v>
      </c>
      <c r="D3673" t="inlineStr">
        <is>
          <t>VÄSTERNORRLANDS LÄN</t>
        </is>
      </c>
      <c r="E3673" t="inlineStr">
        <is>
          <t>SOLLEFTEÅ</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1089-2025</t>
        </is>
      </c>
      <c r="B3674" s="1" t="n">
        <v>45665</v>
      </c>
      <c r="C3674" s="1" t="n">
        <v>45822</v>
      </c>
      <c r="D3674" t="inlineStr">
        <is>
          <t>VÄSTERNORRLANDS LÄN</t>
        </is>
      </c>
      <c r="E3674" t="inlineStr">
        <is>
          <t>SOLLEFTEÅ</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1030-2025</t>
        </is>
      </c>
      <c r="B3675" s="1" t="n">
        <v>45666</v>
      </c>
      <c r="C3675" s="1" t="n">
        <v>45822</v>
      </c>
      <c r="D3675" t="inlineStr">
        <is>
          <t>VÄSTERNORRLANDS LÄN</t>
        </is>
      </c>
      <c r="E3675" t="inlineStr">
        <is>
          <t>SOLLEFTEÅ</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1114-2025</t>
        </is>
      </c>
      <c r="B3676" s="1" t="n">
        <v>45666</v>
      </c>
      <c r="C3676" s="1" t="n">
        <v>45822</v>
      </c>
      <c r="D3676" t="inlineStr">
        <is>
          <t>VÄSTERNORRLANDS LÄN</t>
        </is>
      </c>
      <c r="E3676" t="inlineStr">
        <is>
          <t>SOLLEFTEÅ</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1096-2025</t>
        </is>
      </c>
      <c r="B3677" s="1" t="n">
        <v>45666</v>
      </c>
      <c r="C3677" s="1" t="n">
        <v>45822</v>
      </c>
      <c r="D3677" t="inlineStr">
        <is>
          <t>VÄSTERNORRLANDS LÄN</t>
        </is>
      </c>
      <c r="E3677" t="inlineStr">
        <is>
          <t>SOLLEFTEÅ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1082-2025</t>
        </is>
      </c>
      <c r="B3678" s="1" t="n">
        <v>45666</v>
      </c>
      <c r="C3678" s="1" t="n">
        <v>45822</v>
      </c>
      <c r="D3678" t="inlineStr">
        <is>
          <t>VÄSTERNORRLANDS LÄN</t>
        </is>
      </c>
      <c r="E3678" t="inlineStr">
        <is>
          <t>SOLLEFTEÅ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1029-2025</t>
        </is>
      </c>
      <c r="B3679" s="1" t="n">
        <v>45666</v>
      </c>
      <c r="C3679" s="1" t="n">
        <v>45822</v>
      </c>
      <c r="D3679" t="inlineStr">
        <is>
          <t>VÄSTERNORRLANDS LÄN</t>
        </is>
      </c>
      <c r="E3679" t="inlineStr">
        <is>
          <t>SOLLEFTEÅ</t>
        </is>
      </c>
      <c r="F3679" t="inlineStr">
        <is>
          <t>SCA</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966-2025</t>
        </is>
      </c>
      <c r="B3680" s="1" t="n">
        <v>45666</v>
      </c>
      <c r="C3680" s="1" t="n">
        <v>45822</v>
      </c>
      <c r="D3680" t="inlineStr">
        <is>
          <t>VÄSTERNORRLANDS LÄN</t>
        </is>
      </c>
      <c r="E3680" t="inlineStr">
        <is>
          <t>SOLLEFTEÅ</t>
        </is>
      </c>
      <c r="F3680" t="inlineStr">
        <is>
          <t>SCA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967-2025</t>
        </is>
      </c>
      <c r="B3681" s="1" t="n">
        <v>45666</v>
      </c>
      <c r="C3681" s="1" t="n">
        <v>45822</v>
      </c>
      <c r="D3681" t="inlineStr">
        <is>
          <t>VÄSTERNORRLANDS LÄN</t>
        </is>
      </c>
      <c r="E3681" t="inlineStr">
        <is>
          <t>SOLLEFTEÅ</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945-2025</t>
        </is>
      </c>
      <c r="B3682" s="1" t="n">
        <v>45666</v>
      </c>
      <c r="C3682" s="1" t="n">
        <v>45822</v>
      </c>
      <c r="D3682" t="inlineStr">
        <is>
          <t>VÄSTERNORRLANDS LÄN</t>
        </is>
      </c>
      <c r="E3682" t="inlineStr">
        <is>
          <t>SOLLEFTEÅ</t>
        </is>
      </c>
      <c r="F3682" t="inlineStr">
        <is>
          <t>SCA</t>
        </is>
      </c>
      <c r="G3682" t="n">
        <v>36.6</v>
      </c>
      <c r="H3682" t="n">
        <v>0</v>
      </c>
      <c r="I3682" t="n">
        <v>0</v>
      </c>
      <c r="J3682" t="n">
        <v>0</v>
      </c>
      <c r="K3682" t="n">
        <v>0</v>
      </c>
      <c r="L3682" t="n">
        <v>0</v>
      </c>
      <c r="M3682" t="n">
        <v>0</v>
      </c>
      <c r="N3682" t="n">
        <v>0</v>
      </c>
      <c r="O3682" t="n">
        <v>0</v>
      </c>
      <c r="P3682" t="n">
        <v>0</v>
      </c>
      <c r="Q3682" t="n">
        <v>0</v>
      </c>
      <c r="R3682" s="2" t="inlineStr"/>
    </row>
    <row r="3683" ht="15" customHeight="1">
      <c r="A3683" t="inlineStr">
        <is>
          <t>A 1014-2025</t>
        </is>
      </c>
      <c r="B3683" s="1" t="n">
        <v>45666</v>
      </c>
      <c r="C3683" s="1" t="n">
        <v>45822</v>
      </c>
      <c r="D3683" t="inlineStr">
        <is>
          <t>VÄSTERNORRLANDS LÄN</t>
        </is>
      </c>
      <c r="E3683" t="inlineStr">
        <is>
          <t>SOLLEFTEÅ</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1200-2025</t>
        </is>
      </c>
      <c r="B3684" s="1" t="n">
        <v>45667</v>
      </c>
      <c r="C3684" s="1" t="n">
        <v>45822</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1216-2025</t>
        </is>
      </c>
      <c r="B3685" s="1" t="n">
        <v>45667</v>
      </c>
      <c r="C3685" s="1" t="n">
        <v>45822</v>
      </c>
      <c r="D3685" t="inlineStr">
        <is>
          <t>VÄSTERNORRLANDS LÄN</t>
        </is>
      </c>
      <c r="E3685" t="inlineStr">
        <is>
          <t>SOLLEFTEÅ</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1248-2025</t>
        </is>
      </c>
      <c r="B3686" s="1" t="n">
        <v>45667</v>
      </c>
      <c r="C3686" s="1" t="n">
        <v>45822</v>
      </c>
      <c r="D3686" t="inlineStr">
        <is>
          <t>VÄSTERNORRLANDS LÄN</t>
        </is>
      </c>
      <c r="E3686" t="inlineStr">
        <is>
          <t>SOLLEFTEÅ</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1176-2025</t>
        </is>
      </c>
      <c r="B3687" s="1" t="n">
        <v>45667</v>
      </c>
      <c r="C3687" s="1" t="n">
        <v>45822</v>
      </c>
      <c r="D3687" t="inlineStr">
        <is>
          <t>VÄSTERNORRLANDS LÄN</t>
        </is>
      </c>
      <c r="E3687" t="inlineStr">
        <is>
          <t>SOLLEFTEÅ</t>
        </is>
      </c>
      <c r="F3687" t="inlineStr">
        <is>
          <t>Kyrkan</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1348-2025</t>
        </is>
      </c>
      <c r="B3688" s="1" t="n">
        <v>45667</v>
      </c>
      <c r="C3688" s="1" t="n">
        <v>45822</v>
      </c>
      <c r="D3688" t="inlineStr">
        <is>
          <t>VÄSTERNORRLANDS LÄN</t>
        </is>
      </c>
      <c r="E3688" t="inlineStr">
        <is>
          <t>SOLLEFTEÅ</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1218-2025</t>
        </is>
      </c>
      <c r="B3689" s="1" t="n">
        <v>45667</v>
      </c>
      <c r="C3689" s="1" t="n">
        <v>45822</v>
      </c>
      <c r="D3689" t="inlineStr">
        <is>
          <t>VÄSTERNORRLANDS LÄN</t>
        </is>
      </c>
      <c r="E3689" t="inlineStr">
        <is>
          <t>SOLLEFTEÅ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1361-2025</t>
        </is>
      </c>
      <c r="B3690" s="1" t="n">
        <v>45667</v>
      </c>
      <c r="C3690" s="1" t="n">
        <v>45822</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1416-2025</t>
        </is>
      </c>
      <c r="B3691" s="1" t="n">
        <v>45668</v>
      </c>
      <c r="C3691" s="1" t="n">
        <v>45822</v>
      </c>
      <c r="D3691" t="inlineStr">
        <is>
          <t>VÄSTERNORRLANDS LÄN</t>
        </is>
      </c>
      <c r="E3691" t="inlineStr">
        <is>
          <t>SOLLEFTEÅ</t>
        </is>
      </c>
      <c r="G3691" t="n">
        <v>21.3</v>
      </c>
      <c r="H3691" t="n">
        <v>0</v>
      </c>
      <c r="I3691" t="n">
        <v>0</v>
      </c>
      <c r="J3691" t="n">
        <v>0</v>
      </c>
      <c r="K3691" t="n">
        <v>0</v>
      </c>
      <c r="L3691" t="n">
        <v>0</v>
      </c>
      <c r="M3691" t="n">
        <v>0</v>
      </c>
      <c r="N3691" t="n">
        <v>0</v>
      </c>
      <c r="O3691" t="n">
        <v>0</v>
      </c>
      <c r="P3691" t="n">
        <v>0</v>
      </c>
      <c r="Q3691" t="n">
        <v>0</v>
      </c>
      <c r="R3691" s="2" t="inlineStr"/>
    </row>
    <row r="3692" ht="15" customHeight="1">
      <c r="A3692" t="inlineStr">
        <is>
          <t>A 1480-2025</t>
        </is>
      </c>
      <c r="B3692" s="1" t="n">
        <v>45670</v>
      </c>
      <c r="C3692" s="1" t="n">
        <v>45822</v>
      </c>
      <c r="D3692" t="inlineStr">
        <is>
          <t>VÄSTERNORRLANDS LÄN</t>
        </is>
      </c>
      <c r="E3692" t="inlineStr">
        <is>
          <t>SOLLEFTEÅ</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1465-2025</t>
        </is>
      </c>
      <c r="B3693" s="1" t="n">
        <v>45670</v>
      </c>
      <c r="C3693" s="1" t="n">
        <v>45822</v>
      </c>
      <c r="D3693" t="inlineStr">
        <is>
          <t>VÄSTERNORRLANDS LÄN</t>
        </is>
      </c>
      <c r="E3693" t="inlineStr">
        <is>
          <t>SOLLEFTEÅ</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1637-2025</t>
        </is>
      </c>
      <c r="B3694" s="1" t="n">
        <v>45670</v>
      </c>
      <c r="C3694" s="1" t="n">
        <v>45822</v>
      </c>
      <c r="D3694" t="inlineStr">
        <is>
          <t>VÄSTERNORRLANDS LÄN</t>
        </is>
      </c>
      <c r="E3694" t="inlineStr">
        <is>
          <t>SOLLEFTEÅ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1550-2025</t>
        </is>
      </c>
      <c r="B3695" s="1" t="n">
        <v>45670</v>
      </c>
      <c r="C3695" s="1" t="n">
        <v>45822</v>
      </c>
      <c r="D3695" t="inlineStr">
        <is>
          <t>VÄSTERNORRLANDS LÄN</t>
        </is>
      </c>
      <c r="E3695" t="inlineStr">
        <is>
          <t>SOLLEFTEÅ</t>
        </is>
      </c>
      <c r="F3695" t="inlineStr">
        <is>
          <t>SCA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1623-2025</t>
        </is>
      </c>
      <c r="B3696" s="1" t="n">
        <v>45670</v>
      </c>
      <c r="C3696" s="1" t="n">
        <v>45822</v>
      </c>
      <c r="D3696" t="inlineStr">
        <is>
          <t>VÄSTERNORRLANDS LÄN</t>
        </is>
      </c>
      <c r="E3696" t="inlineStr">
        <is>
          <t>SOLLEFTEÅ</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1464-2025</t>
        </is>
      </c>
      <c r="B3697" s="1" t="n">
        <v>45670</v>
      </c>
      <c r="C3697" s="1" t="n">
        <v>45822</v>
      </c>
      <c r="D3697" t="inlineStr">
        <is>
          <t>VÄSTERNORRLANDS LÄN</t>
        </is>
      </c>
      <c r="E3697" t="inlineStr">
        <is>
          <t>SOLLEFTEÅ</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1466-2025</t>
        </is>
      </c>
      <c r="B3698" s="1" t="n">
        <v>45670</v>
      </c>
      <c r="C3698" s="1" t="n">
        <v>45822</v>
      </c>
      <c r="D3698" t="inlineStr">
        <is>
          <t>VÄSTERNORRLANDS LÄN</t>
        </is>
      </c>
      <c r="E3698" t="inlineStr">
        <is>
          <t>SOLLEFTEÅ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1909-2025</t>
        </is>
      </c>
      <c r="B3699" s="1" t="n">
        <v>45671</v>
      </c>
      <c r="C3699" s="1" t="n">
        <v>45822</v>
      </c>
      <c r="D3699" t="inlineStr">
        <is>
          <t>VÄSTERNORRLANDS LÄN</t>
        </is>
      </c>
      <c r="E3699" t="inlineStr">
        <is>
          <t>SOLLEFTEÅ</t>
        </is>
      </c>
      <c r="F3699" t="inlineStr">
        <is>
          <t>SCA</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2048-2025</t>
        </is>
      </c>
      <c r="B3700" s="1" t="n">
        <v>45671</v>
      </c>
      <c r="C3700" s="1" t="n">
        <v>45822</v>
      </c>
      <c r="D3700" t="inlineStr">
        <is>
          <t>VÄSTERNORRLANDS LÄN</t>
        </is>
      </c>
      <c r="E3700" t="inlineStr">
        <is>
          <t>SOLLEFTEÅ</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1910-2025</t>
        </is>
      </c>
      <c r="B3701" s="1" t="n">
        <v>45671</v>
      </c>
      <c r="C3701" s="1" t="n">
        <v>45822</v>
      </c>
      <c r="D3701" t="inlineStr">
        <is>
          <t>VÄSTERNORRLANDS LÄN</t>
        </is>
      </c>
      <c r="E3701" t="inlineStr">
        <is>
          <t>SOLLEFTEÅ</t>
        </is>
      </c>
      <c r="F3701" t="inlineStr">
        <is>
          <t>SCA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1927-2025</t>
        </is>
      </c>
      <c r="B3702" s="1" t="n">
        <v>45671</v>
      </c>
      <c r="C3702" s="1" t="n">
        <v>45822</v>
      </c>
      <c r="D3702" t="inlineStr">
        <is>
          <t>VÄSTERNORRLANDS LÄN</t>
        </is>
      </c>
      <c r="E3702" t="inlineStr">
        <is>
          <t>SOLLEFTEÅ</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1928-2025</t>
        </is>
      </c>
      <c r="B3703" s="1" t="n">
        <v>45671</v>
      </c>
      <c r="C3703" s="1" t="n">
        <v>45822</v>
      </c>
      <c r="D3703" t="inlineStr">
        <is>
          <t>VÄSTERNORRLANDS LÄN</t>
        </is>
      </c>
      <c r="E3703" t="inlineStr">
        <is>
          <t>SOLLEFTEÅ</t>
        </is>
      </c>
      <c r="F3703" t="inlineStr">
        <is>
          <t>SCA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2044-2025</t>
        </is>
      </c>
      <c r="B3704" s="1" t="n">
        <v>45672</v>
      </c>
      <c r="C3704" s="1" t="n">
        <v>45822</v>
      </c>
      <c r="D3704" t="inlineStr">
        <is>
          <t>VÄSTERNORRLANDS LÄN</t>
        </is>
      </c>
      <c r="E3704" t="inlineStr">
        <is>
          <t>SOLLEFTEÅ</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2045-2025</t>
        </is>
      </c>
      <c r="B3705" s="1" t="n">
        <v>45672</v>
      </c>
      <c r="C3705" s="1" t="n">
        <v>45822</v>
      </c>
      <c r="D3705" t="inlineStr">
        <is>
          <t>VÄSTERNORRLANDS LÄN</t>
        </is>
      </c>
      <c r="E3705" t="inlineStr">
        <is>
          <t>SOLLEFTEÅ</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2140-2025</t>
        </is>
      </c>
      <c r="B3706" s="1" t="n">
        <v>45672</v>
      </c>
      <c r="C3706" s="1" t="n">
        <v>45822</v>
      </c>
      <c r="D3706" t="inlineStr">
        <is>
          <t>VÄSTERNORRLANDS LÄN</t>
        </is>
      </c>
      <c r="E3706" t="inlineStr">
        <is>
          <t>SOLLEFTEÅ</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1986-2025</t>
        </is>
      </c>
      <c r="B3707" s="1" t="n">
        <v>45672</v>
      </c>
      <c r="C3707" s="1" t="n">
        <v>45822</v>
      </c>
      <c r="D3707" t="inlineStr">
        <is>
          <t>VÄSTERNORRLANDS LÄN</t>
        </is>
      </c>
      <c r="E3707" t="inlineStr">
        <is>
          <t>SOLLEFTEÅ</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2000-2025</t>
        </is>
      </c>
      <c r="B3708" s="1" t="n">
        <v>45672</v>
      </c>
      <c r="C3708" s="1" t="n">
        <v>45822</v>
      </c>
      <c r="D3708" t="inlineStr">
        <is>
          <t>VÄSTERNORRLANDS LÄN</t>
        </is>
      </c>
      <c r="E3708" t="inlineStr">
        <is>
          <t>SOLLEFTEÅ</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2188-2025</t>
        </is>
      </c>
      <c r="B3709" s="1" t="n">
        <v>45673</v>
      </c>
      <c r="C3709" s="1" t="n">
        <v>45822</v>
      </c>
      <c r="D3709" t="inlineStr">
        <is>
          <t>VÄSTERNORRLANDS LÄN</t>
        </is>
      </c>
      <c r="E3709" t="inlineStr">
        <is>
          <t>SOLLEFTEÅ</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2198-2025</t>
        </is>
      </c>
      <c r="B3710" s="1" t="n">
        <v>45673</v>
      </c>
      <c r="C3710" s="1" t="n">
        <v>45822</v>
      </c>
      <c r="D3710" t="inlineStr">
        <is>
          <t>VÄSTERNORRLANDS LÄN</t>
        </is>
      </c>
      <c r="E3710" t="inlineStr">
        <is>
          <t>SOLLEFTEÅ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2185-2025</t>
        </is>
      </c>
      <c r="B3711" s="1" t="n">
        <v>45673</v>
      </c>
      <c r="C3711" s="1" t="n">
        <v>45822</v>
      </c>
      <c r="D3711" t="inlineStr">
        <is>
          <t>VÄSTERNORRLANDS LÄN</t>
        </is>
      </c>
      <c r="E3711" t="inlineStr">
        <is>
          <t>SOLLEFTEÅ</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2348-2025</t>
        </is>
      </c>
      <c r="B3712" s="1" t="n">
        <v>45673</v>
      </c>
      <c r="C3712" s="1" t="n">
        <v>45822</v>
      </c>
      <c r="D3712" t="inlineStr">
        <is>
          <t>VÄSTERNORRLANDS LÄN</t>
        </is>
      </c>
      <c r="E3712" t="inlineStr">
        <is>
          <t>SOLLEFTEÅ</t>
        </is>
      </c>
      <c r="F3712" t="inlineStr">
        <is>
          <t>SCA</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2345-2025</t>
        </is>
      </c>
      <c r="B3713" s="1" t="n">
        <v>45673</v>
      </c>
      <c r="C3713" s="1" t="n">
        <v>45822</v>
      </c>
      <c r="D3713" t="inlineStr">
        <is>
          <t>VÄSTERNORRLANDS LÄN</t>
        </is>
      </c>
      <c r="E3713" t="inlineStr">
        <is>
          <t>SOLLEFTEÅ</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2346-2025</t>
        </is>
      </c>
      <c r="B3714" s="1" t="n">
        <v>45673</v>
      </c>
      <c r="C3714" s="1" t="n">
        <v>45822</v>
      </c>
      <c r="D3714" t="inlineStr">
        <is>
          <t>VÄSTERNORRLANDS LÄN</t>
        </is>
      </c>
      <c r="E3714" t="inlineStr">
        <is>
          <t>SOLLEFTEÅ</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2456-2025</t>
        </is>
      </c>
      <c r="B3715" s="1" t="n">
        <v>45673</v>
      </c>
      <c r="C3715" s="1" t="n">
        <v>45822</v>
      </c>
      <c r="D3715" t="inlineStr">
        <is>
          <t>VÄSTERNORRLANDS LÄN</t>
        </is>
      </c>
      <c r="E3715" t="inlineStr">
        <is>
          <t>SOLLEFTEÅ</t>
        </is>
      </c>
      <c r="F3715" t="inlineStr">
        <is>
          <t>Kommuner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2582-2025</t>
        </is>
      </c>
      <c r="B3716" s="1" t="n">
        <v>45674</v>
      </c>
      <c r="C3716" s="1" t="n">
        <v>45822</v>
      </c>
      <c r="D3716" t="inlineStr">
        <is>
          <t>VÄSTERNORRLANDS LÄN</t>
        </is>
      </c>
      <c r="E3716" t="inlineStr">
        <is>
          <t>SOLLEFTEÅ</t>
        </is>
      </c>
      <c r="F3716" t="inlineStr">
        <is>
          <t>SCA</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2580-2025</t>
        </is>
      </c>
      <c r="B3717" s="1" t="n">
        <v>45674</v>
      </c>
      <c r="C3717" s="1" t="n">
        <v>45822</v>
      </c>
      <c r="D3717" t="inlineStr">
        <is>
          <t>VÄSTERNORRLANDS LÄN</t>
        </is>
      </c>
      <c r="E3717" t="inlineStr">
        <is>
          <t>SOLLEFTEÅ</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2583-2025</t>
        </is>
      </c>
      <c r="B3718" s="1" t="n">
        <v>45674</v>
      </c>
      <c r="C3718" s="1" t="n">
        <v>45822</v>
      </c>
      <c r="D3718" t="inlineStr">
        <is>
          <t>VÄSTERNORRLANDS LÄN</t>
        </is>
      </c>
      <c r="E3718" t="inlineStr">
        <is>
          <t>SOLLEFTEÅ</t>
        </is>
      </c>
      <c r="F3718" t="inlineStr">
        <is>
          <t>SCA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2502-2025</t>
        </is>
      </c>
      <c r="B3719" s="1" t="n">
        <v>45674</v>
      </c>
      <c r="C3719" s="1" t="n">
        <v>45822</v>
      </c>
      <c r="D3719" t="inlineStr">
        <is>
          <t>VÄSTERNORRLANDS LÄN</t>
        </is>
      </c>
      <c r="E3719" t="inlineStr">
        <is>
          <t>SOLLEFTEÅ</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2481-2025</t>
        </is>
      </c>
      <c r="B3720" s="1" t="n">
        <v>45674</v>
      </c>
      <c r="C3720" s="1" t="n">
        <v>45822</v>
      </c>
      <c r="D3720" t="inlineStr">
        <is>
          <t>VÄSTERNORRLANDS LÄN</t>
        </is>
      </c>
      <c r="E3720" t="inlineStr">
        <is>
          <t>SOLLEFTEÅ</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2446-2025</t>
        </is>
      </c>
      <c r="B3721" s="1" t="n">
        <v>45674</v>
      </c>
      <c r="C3721" s="1" t="n">
        <v>45822</v>
      </c>
      <c r="D3721" t="inlineStr">
        <is>
          <t>VÄSTERNORRLANDS LÄN</t>
        </is>
      </c>
      <c r="E3721" t="inlineStr">
        <is>
          <t>SOLLEFTEÅ</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2438-2025</t>
        </is>
      </c>
      <c r="B3722" s="1" t="n">
        <v>45674</v>
      </c>
      <c r="C3722" s="1" t="n">
        <v>45822</v>
      </c>
      <c r="D3722" t="inlineStr">
        <is>
          <t>VÄSTERNORRLANDS LÄN</t>
        </is>
      </c>
      <c r="E3722" t="inlineStr">
        <is>
          <t>SOLLEFTEÅ</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2431-2025</t>
        </is>
      </c>
      <c r="B3723" s="1" t="n">
        <v>45674</v>
      </c>
      <c r="C3723" s="1" t="n">
        <v>45822</v>
      </c>
      <c r="D3723" t="inlineStr">
        <is>
          <t>VÄSTERNORRLANDS LÄN</t>
        </is>
      </c>
      <c r="E3723" t="inlineStr">
        <is>
          <t>SOLLEFTEÅ</t>
        </is>
      </c>
      <c r="F3723" t="inlineStr">
        <is>
          <t>SCA</t>
        </is>
      </c>
      <c r="G3723" t="n">
        <v>19.2</v>
      </c>
      <c r="H3723" t="n">
        <v>0</v>
      </c>
      <c r="I3723" t="n">
        <v>0</v>
      </c>
      <c r="J3723" t="n">
        <v>0</v>
      </c>
      <c r="K3723" t="n">
        <v>0</v>
      </c>
      <c r="L3723" t="n">
        <v>0</v>
      </c>
      <c r="M3723" t="n">
        <v>0</v>
      </c>
      <c r="N3723" t="n">
        <v>0</v>
      </c>
      <c r="O3723" t="n">
        <v>0</v>
      </c>
      <c r="P3723" t="n">
        <v>0</v>
      </c>
      <c r="Q3723" t="n">
        <v>0</v>
      </c>
      <c r="R3723" s="2" t="inlineStr"/>
    </row>
    <row r="3724" ht="15" customHeight="1">
      <c r="A3724" t="inlineStr">
        <is>
          <t>A 2422-2025</t>
        </is>
      </c>
      <c r="B3724" s="1" t="n">
        <v>45674</v>
      </c>
      <c r="C3724" s="1" t="n">
        <v>45822</v>
      </c>
      <c r="D3724" t="inlineStr">
        <is>
          <t>VÄSTERNORRLANDS LÄN</t>
        </is>
      </c>
      <c r="E3724" t="inlineStr">
        <is>
          <t>SOLLEFTEÅ</t>
        </is>
      </c>
      <c r="F3724" t="inlineStr">
        <is>
          <t>SCA</t>
        </is>
      </c>
      <c r="G3724" t="n">
        <v>27.9</v>
      </c>
      <c r="H3724" t="n">
        <v>0</v>
      </c>
      <c r="I3724" t="n">
        <v>0</v>
      </c>
      <c r="J3724" t="n">
        <v>0</v>
      </c>
      <c r="K3724" t="n">
        <v>0</v>
      </c>
      <c r="L3724" t="n">
        <v>0</v>
      </c>
      <c r="M3724" t="n">
        <v>0</v>
      </c>
      <c r="N3724" t="n">
        <v>0</v>
      </c>
      <c r="O3724" t="n">
        <v>0</v>
      </c>
      <c r="P3724" t="n">
        <v>0</v>
      </c>
      <c r="Q3724" t="n">
        <v>0</v>
      </c>
      <c r="R3724" s="2" t="inlineStr"/>
    </row>
    <row r="3725" ht="15" customHeight="1">
      <c r="A3725" t="inlineStr">
        <is>
          <t>A 2677-2025</t>
        </is>
      </c>
      <c r="B3725" s="1" t="n">
        <v>45677</v>
      </c>
      <c r="C3725" s="1" t="n">
        <v>45822</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2699-2025</t>
        </is>
      </c>
      <c r="B3726" s="1" t="n">
        <v>45677</v>
      </c>
      <c r="C3726" s="1" t="n">
        <v>45822</v>
      </c>
      <c r="D3726" t="inlineStr">
        <is>
          <t>VÄSTERNORRLANDS LÄN</t>
        </is>
      </c>
      <c r="E3726" t="inlineStr">
        <is>
          <t>SOLLEFTEÅ</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2883-2025</t>
        </is>
      </c>
      <c r="B3727" s="1" t="n">
        <v>45677</v>
      </c>
      <c r="C3727" s="1" t="n">
        <v>45822</v>
      </c>
      <c r="D3727" t="inlineStr">
        <is>
          <t>VÄSTERNORRLANDS LÄN</t>
        </is>
      </c>
      <c r="E3727" t="inlineStr">
        <is>
          <t>SOLLEFTEÅ</t>
        </is>
      </c>
      <c r="F3727" t="inlineStr">
        <is>
          <t>SCA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2685-2025</t>
        </is>
      </c>
      <c r="B3728" s="1" t="n">
        <v>45677</v>
      </c>
      <c r="C3728" s="1" t="n">
        <v>45822</v>
      </c>
      <c r="D3728" t="inlineStr">
        <is>
          <t>VÄSTERNORRLANDS LÄN</t>
        </is>
      </c>
      <c r="E3728" t="inlineStr">
        <is>
          <t>SOLLEFTEÅ</t>
        </is>
      </c>
      <c r="F3728" t="inlineStr">
        <is>
          <t>SCA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2969-2025</t>
        </is>
      </c>
      <c r="B3729" s="1" t="n">
        <v>45678</v>
      </c>
      <c r="C3729" s="1" t="n">
        <v>45822</v>
      </c>
      <c r="D3729" t="inlineStr">
        <is>
          <t>VÄSTERNORRLANDS LÄN</t>
        </is>
      </c>
      <c r="E3729" t="inlineStr">
        <is>
          <t>SOLLEFTEÅ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3096-2025</t>
        </is>
      </c>
      <c r="B3730" s="1" t="n">
        <v>45678</v>
      </c>
      <c r="C3730" s="1" t="n">
        <v>45822</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3080-2025</t>
        </is>
      </c>
      <c r="B3731" s="1" t="n">
        <v>45678</v>
      </c>
      <c r="C3731" s="1" t="n">
        <v>45822</v>
      </c>
      <c r="D3731" t="inlineStr">
        <is>
          <t>VÄSTERNORRLANDS LÄN</t>
        </is>
      </c>
      <c r="E3731" t="inlineStr">
        <is>
          <t>SOLLEFTEÅ</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2983-2025</t>
        </is>
      </c>
      <c r="B3732" s="1" t="n">
        <v>45678</v>
      </c>
      <c r="C3732" s="1" t="n">
        <v>45822</v>
      </c>
      <c r="D3732" t="inlineStr">
        <is>
          <t>VÄSTERNORRLANDS LÄN</t>
        </is>
      </c>
      <c r="E3732" t="inlineStr">
        <is>
          <t>SOLLEFTEÅ</t>
        </is>
      </c>
      <c r="F3732" t="inlineStr">
        <is>
          <t>SCA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3082-2025</t>
        </is>
      </c>
      <c r="B3733" s="1" t="n">
        <v>45678</v>
      </c>
      <c r="C3733" s="1" t="n">
        <v>45822</v>
      </c>
      <c r="D3733" t="inlineStr">
        <is>
          <t>VÄSTERNORRLANDS LÄN</t>
        </is>
      </c>
      <c r="E3733" t="inlineStr">
        <is>
          <t>SOLLEFTEÅ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3081-2025</t>
        </is>
      </c>
      <c r="B3734" s="1" t="n">
        <v>45678</v>
      </c>
      <c r="C3734" s="1" t="n">
        <v>45822</v>
      </c>
      <c r="D3734" t="inlineStr">
        <is>
          <t>VÄSTERNORRLANDS LÄN</t>
        </is>
      </c>
      <c r="E3734" t="inlineStr">
        <is>
          <t>SOLLEFTEÅ</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3095-2025</t>
        </is>
      </c>
      <c r="B3735" s="1" t="n">
        <v>45678</v>
      </c>
      <c r="C3735" s="1" t="n">
        <v>45822</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3103-2025</t>
        </is>
      </c>
      <c r="B3736" s="1" t="n">
        <v>45678</v>
      </c>
      <c r="C3736" s="1" t="n">
        <v>45822</v>
      </c>
      <c r="D3736" t="inlineStr">
        <is>
          <t>VÄSTERNORRLANDS LÄN</t>
        </is>
      </c>
      <c r="E3736" t="inlineStr">
        <is>
          <t>SOLLEFTEÅ</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3054-2025</t>
        </is>
      </c>
      <c r="B3737" s="1" t="n">
        <v>45678</v>
      </c>
      <c r="C3737" s="1" t="n">
        <v>45822</v>
      </c>
      <c r="D3737" t="inlineStr">
        <is>
          <t>VÄSTERNORRLANDS LÄN</t>
        </is>
      </c>
      <c r="E3737" t="inlineStr">
        <is>
          <t>SOLLEFTEÅ</t>
        </is>
      </c>
      <c r="F3737" t="inlineStr">
        <is>
          <t>SCA</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2939-2025</t>
        </is>
      </c>
      <c r="B3738" s="1" t="n">
        <v>45678</v>
      </c>
      <c r="C3738" s="1" t="n">
        <v>45822</v>
      </c>
      <c r="D3738" t="inlineStr">
        <is>
          <t>VÄSTERNORRLANDS LÄN</t>
        </is>
      </c>
      <c r="E3738" t="inlineStr">
        <is>
          <t>SOLLEFTEÅ</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3319-2025</t>
        </is>
      </c>
      <c r="B3739" s="1" t="n">
        <v>45679</v>
      </c>
      <c r="C3739" s="1" t="n">
        <v>45822</v>
      </c>
      <c r="D3739" t="inlineStr">
        <is>
          <t>VÄSTERNORRLANDS LÄN</t>
        </is>
      </c>
      <c r="E3739" t="inlineStr">
        <is>
          <t>SOLLEFTEÅ</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3323-2025</t>
        </is>
      </c>
      <c r="B3740" s="1" t="n">
        <v>45679</v>
      </c>
      <c r="C3740" s="1" t="n">
        <v>45822</v>
      </c>
      <c r="D3740" t="inlineStr">
        <is>
          <t>VÄSTERNORRLANDS LÄN</t>
        </is>
      </c>
      <c r="E3740" t="inlineStr">
        <is>
          <t>SOLLEFTEÅ</t>
        </is>
      </c>
      <c r="F3740" t="inlineStr">
        <is>
          <t>SCA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3321-2025</t>
        </is>
      </c>
      <c r="B3741" s="1" t="n">
        <v>45679</v>
      </c>
      <c r="C3741" s="1" t="n">
        <v>45822</v>
      </c>
      <c r="D3741" t="inlineStr">
        <is>
          <t>VÄSTERNORRLANDS LÄN</t>
        </is>
      </c>
      <c r="E3741" t="inlineStr">
        <is>
          <t>SOLLEFTEÅ</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3368-2025</t>
        </is>
      </c>
      <c r="B3742" s="1" t="n">
        <v>45679</v>
      </c>
      <c r="C3742" s="1" t="n">
        <v>45822</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3275-2025</t>
        </is>
      </c>
      <c r="B3743" s="1" t="n">
        <v>45679</v>
      </c>
      <c r="C3743" s="1" t="n">
        <v>45822</v>
      </c>
      <c r="D3743" t="inlineStr">
        <is>
          <t>VÄSTERNORRLANDS LÄN</t>
        </is>
      </c>
      <c r="E3743" t="inlineStr">
        <is>
          <t>SOLLEFTEÅ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3207-2025</t>
        </is>
      </c>
      <c r="B3744" s="1" t="n">
        <v>45679</v>
      </c>
      <c r="C3744" s="1" t="n">
        <v>45822</v>
      </c>
      <c r="D3744" t="inlineStr">
        <is>
          <t>VÄSTERNORRLANDS LÄN</t>
        </is>
      </c>
      <c r="E3744" t="inlineStr">
        <is>
          <t>SOLLEFTEÅ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3203-2025</t>
        </is>
      </c>
      <c r="B3745" s="1" t="n">
        <v>45679</v>
      </c>
      <c r="C3745" s="1" t="n">
        <v>45822</v>
      </c>
      <c r="D3745" t="inlineStr">
        <is>
          <t>VÄSTERNORRLANDS LÄN</t>
        </is>
      </c>
      <c r="E3745" t="inlineStr">
        <is>
          <t>SOLLEFTEÅ</t>
        </is>
      </c>
      <c r="F3745" t="inlineStr">
        <is>
          <t>SCA</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3208-2025</t>
        </is>
      </c>
      <c r="B3746" s="1" t="n">
        <v>45679</v>
      </c>
      <c r="C3746" s="1" t="n">
        <v>45822</v>
      </c>
      <c r="D3746" t="inlineStr">
        <is>
          <t>VÄSTERNORRLANDS LÄN</t>
        </is>
      </c>
      <c r="E3746" t="inlineStr">
        <is>
          <t>SOLLEFTEÅ</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3194-2025</t>
        </is>
      </c>
      <c r="B3747" s="1" t="n">
        <v>45679</v>
      </c>
      <c r="C3747" s="1" t="n">
        <v>45822</v>
      </c>
      <c r="D3747" t="inlineStr">
        <is>
          <t>VÄSTERNORRLANDS LÄN</t>
        </is>
      </c>
      <c r="E3747" t="inlineStr">
        <is>
          <t>SOLLEFTEÅ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3276-2025</t>
        </is>
      </c>
      <c r="B3748" s="1" t="n">
        <v>45679</v>
      </c>
      <c r="C3748" s="1" t="n">
        <v>45822</v>
      </c>
      <c r="D3748" t="inlineStr">
        <is>
          <t>VÄSTERNORRLANDS LÄN</t>
        </is>
      </c>
      <c r="E3748" t="inlineStr">
        <is>
          <t>SOLLEFTEÅ</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3324-2025</t>
        </is>
      </c>
      <c r="B3749" s="1" t="n">
        <v>45679</v>
      </c>
      <c r="C3749" s="1" t="n">
        <v>45822</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3435-2025</t>
        </is>
      </c>
      <c r="B3750" s="1" t="n">
        <v>45680</v>
      </c>
      <c r="C3750" s="1" t="n">
        <v>45822</v>
      </c>
      <c r="D3750" t="inlineStr">
        <is>
          <t>VÄSTERNORRLANDS LÄN</t>
        </is>
      </c>
      <c r="E3750" t="inlineStr">
        <is>
          <t>SOLLEFTEÅ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3424-2025</t>
        </is>
      </c>
      <c r="B3751" s="1" t="n">
        <v>45680</v>
      </c>
      <c r="C3751" s="1" t="n">
        <v>45822</v>
      </c>
      <c r="D3751" t="inlineStr">
        <is>
          <t>VÄSTERNORRLANDS LÄN</t>
        </is>
      </c>
      <c r="E3751" t="inlineStr">
        <is>
          <t>SOLLEFTEÅ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3432-2025</t>
        </is>
      </c>
      <c r="B3752" s="1" t="n">
        <v>45680</v>
      </c>
      <c r="C3752" s="1" t="n">
        <v>45822</v>
      </c>
      <c r="D3752" t="inlineStr">
        <is>
          <t>VÄSTERNORRLANDS LÄN</t>
        </is>
      </c>
      <c r="E3752" t="inlineStr">
        <is>
          <t>SOLLEFTEÅ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3537-2025</t>
        </is>
      </c>
      <c r="B3753" s="1" t="n">
        <v>45680</v>
      </c>
      <c r="C3753" s="1" t="n">
        <v>45822</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3414-2025</t>
        </is>
      </c>
      <c r="B3754" s="1" t="n">
        <v>45680</v>
      </c>
      <c r="C3754" s="1" t="n">
        <v>45822</v>
      </c>
      <c r="D3754" t="inlineStr">
        <is>
          <t>VÄSTERNORRLANDS LÄN</t>
        </is>
      </c>
      <c r="E3754" t="inlineStr">
        <is>
          <t>SOLLEFTEÅ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3786-2025</t>
        </is>
      </c>
      <c r="B3755" s="1" t="n">
        <v>45681</v>
      </c>
      <c r="C3755" s="1" t="n">
        <v>45822</v>
      </c>
      <c r="D3755" t="inlineStr">
        <is>
          <t>VÄSTERNORRLANDS LÄN</t>
        </is>
      </c>
      <c r="E3755" t="inlineStr">
        <is>
          <t>SOLLEFTEÅ</t>
        </is>
      </c>
      <c r="F3755" t="inlineStr">
        <is>
          <t>SCA</t>
        </is>
      </c>
      <c r="G3755" t="n">
        <v>31.9</v>
      </c>
      <c r="H3755" t="n">
        <v>0</v>
      </c>
      <c r="I3755" t="n">
        <v>0</v>
      </c>
      <c r="J3755" t="n">
        <v>0</v>
      </c>
      <c r="K3755" t="n">
        <v>0</v>
      </c>
      <c r="L3755" t="n">
        <v>0</v>
      </c>
      <c r="M3755" t="n">
        <v>0</v>
      </c>
      <c r="N3755" t="n">
        <v>0</v>
      </c>
      <c r="O3755" t="n">
        <v>0</v>
      </c>
      <c r="P3755" t="n">
        <v>0</v>
      </c>
      <c r="Q3755" t="n">
        <v>0</v>
      </c>
      <c r="R3755" s="2" t="inlineStr"/>
    </row>
    <row r="3756" ht="15" customHeight="1">
      <c r="A3756" t="inlineStr">
        <is>
          <t>A 3725-2025</t>
        </is>
      </c>
      <c r="B3756" s="1" t="n">
        <v>45681</v>
      </c>
      <c r="C3756" s="1" t="n">
        <v>45822</v>
      </c>
      <c r="D3756" t="inlineStr">
        <is>
          <t>VÄSTERNORRLANDS LÄN</t>
        </is>
      </c>
      <c r="E3756" t="inlineStr">
        <is>
          <t>SOLLEFTEÅ</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3808-2025</t>
        </is>
      </c>
      <c r="B3757" s="1" t="n">
        <v>45681</v>
      </c>
      <c r="C3757" s="1" t="n">
        <v>45822</v>
      </c>
      <c r="D3757" t="inlineStr">
        <is>
          <t>VÄSTERNORRLANDS LÄN</t>
        </is>
      </c>
      <c r="E3757" t="inlineStr">
        <is>
          <t>SOLLEFTEÅ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3712-2025</t>
        </is>
      </c>
      <c r="B3758" s="1" t="n">
        <v>45681</v>
      </c>
      <c r="C3758" s="1" t="n">
        <v>45822</v>
      </c>
      <c r="D3758" t="inlineStr">
        <is>
          <t>VÄSTERNORRLANDS LÄN</t>
        </is>
      </c>
      <c r="E3758" t="inlineStr">
        <is>
          <t>SOLLEFTEÅ</t>
        </is>
      </c>
      <c r="F3758" t="inlineStr">
        <is>
          <t>SCA</t>
        </is>
      </c>
      <c r="G3758" t="n">
        <v>11.2</v>
      </c>
      <c r="H3758" t="n">
        <v>0</v>
      </c>
      <c r="I3758" t="n">
        <v>0</v>
      </c>
      <c r="J3758" t="n">
        <v>0</v>
      </c>
      <c r="K3758" t="n">
        <v>0</v>
      </c>
      <c r="L3758" t="n">
        <v>0</v>
      </c>
      <c r="M3758" t="n">
        <v>0</v>
      </c>
      <c r="N3758" t="n">
        <v>0</v>
      </c>
      <c r="O3758" t="n">
        <v>0</v>
      </c>
      <c r="P3758" t="n">
        <v>0</v>
      </c>
      <c r="Q3758" t="n">
        <v>0</v>
      </c>
      <c r="R3758" s="2" t="inlineStr"/>
    </row>
    <row r="3759" ht="15" customHeight="1">
      <c r="A3759" t="inlineStr">
        <is>
          <t>A 3750-2025</t>
        </is>
      </c>
      <c r="B3759" s="1" t="n">
        <v>45681</v>
      </c>
      <c r="C3759" s="1" t="n">
        <v>45822</v>
      </c>
      <c r="D3759" t="inlineStr">
        <is>
          <t>VÄSTERNORRLANDS LÄN</t>
        </is>
      </c>
      <c r="E3759" t="inlineStr">
        <is>
          <t>SOLLEFTEÅ</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3714-2025</t>
        </is>
      </c>
      <c r="B3760" s="1" t="n">
        <v>45681</v>
      </c>
      <c r="C3760" s="1" t="n">
        <v>45822</v>
      </c>
      <c r="D3760" t="inlineStr">
        <is>
          <t>VÄSTERNORRLANDS LÄN</t>
        </is>
      </c>
      <c r="E3760" t="inlineStr">
        <is>
          <t>SOLLEFTEÅ</t>
        </is>
      </c>
      <c r="F3760" t="inlineStr">
        <is>
          <t>SCA</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4031-2025</t>
        </is>
      </c>
      <c r="B3761" s="1" t="n">
        <v>45684</v>
      </c>
      <c r="C3761" s="1" t="n">
        <v>45822</v>
      </c>
      <c r="D3761" t="inlineStr">
        <is>
          <t>VÄSTERNORRLANDS LÄN</t>
        </is>
      </c>
      <c r="E3761" t="inlineStr">
        <is>
          <t>SOLLEFTEÅ</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3873-2025</t>
        </is>
      </c>
      <c r="B3762" s="1" t="n">
        <v>45684</v>
      </c>
      <c r="C3762" s="1" t="n">
        <v>45822</v>
      </c>
      <c r="D3762" t="inlineStr">
        <is>
          <t>VÄSTERNORRLANDS LÄN</t>
        </is>
      </c>
      <c r="E3762" t="inlineStr">
        <is>
          <t>SOLLEFTEÅ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4158-2025</t>
        </is>
      </c>
      <c r="B3763" s="1" t="n">
        <v>45685</v>
      </c>
      <c r="C3763" s="1" t="n">
        <v>45822</v>
      </c>
      <c r="D3763" t="inlineStr">
        <is>
          <t>VÄSTERNORRLANDS LÄN</t>
        </is>
      </c>
      <c r="E3763" t="inlineStr">
        <is>
          <t>SOLLEFTEÅ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4253-2025</t>
        </is>
      </c>
      <c r="B3764" s="1" t="n">
        <v>45685</v>
      </c>
      <c r="C3764" s="1" t="n">
        <v>45822</v>
      </c>
      <c r="D3764" t="inlineStr">
        <is>
          <t>VÄSTERNORRLANDS LÄN</t>
        </is>
      </c>
      <c r="E3764" t="inlineStr">
        <is>
          <t>SOLLEFTEÅ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4133-2025</t>
        </is>
      </c>
      <c r="B3765" s="1" t="n">
        <v>45685</v>
      </c>
      <c r="C3765" s="1" t="n">
        <v>45822</v>
      </c>
      <c r="D3765" t="inlineStr">
        <is>
          <t>VÄSTERNORRLANDS LÄN</t>
        </is>
      </c>
      <c r="E3765" t="inlineStr">
        <is>
          <t>SOLLEFTEÅ</t>
        </is>
      </c>
      <c r="F3765" t="inlineStr">
        <is>
          <t>SCA</t>
        </is>
      </c>
      <c r="G3765" t="n">
        <v>37.2</v>
      </c>
      <c r="H3765" t="n">
        <v>0</v>
      </c>
      <c r="I3765" t="n">
        <v>0</v>
      </c>
      <c r="J3765" t="n">
        <v>0</v>
      </c>
      <c r="K3765" t="n">
        <v>0</v>
      </c>
      <c r="L3765" t="n">
        <v>0</v>
      </c>
      <c r="M3765" t="n">
        <v>0</v>
      </c>
      <c r="N3765" t="n">
        <v>0</v>
      </c>
      <c r="O3765" t="n">
        <v>0</v>
      </c>
      <c r="P3765" t="n">
        <v>0</v>
      </c>
      <c r="Q3765" t="n">
        <v>0</v>
      </c>
      <c r="R3765" s="2" t="inlineStr"/>
    </row>
    <row r="3766" ht="15" customHeight="1">
      <c r="A3766" t="inlineStr">
        <is>
          <t>A 4131-2025</t>
        </is>
      </c>
      <c r="B3766" s="1" t="n">
        <v>45685</v>
      </c>
      <c r="C3766" s="1" t="n">
        <v>45822</v>
      </c>
      <c r="D3766" t="inlineStr">
        <is>
          <t>VÄSTERNORRLANDS LÄN</t>
        </is>
      </c>
      <c r="E3766" t="inlineStr">
        <is>
          <t>SOLLEFTEÅ</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4129-2025</t>
        </is>
      </c>
      <c r="B3767" s="1" t="n">
        <v>45685</v>
      </c>
      <c r="C3767" s="1" t="n">
        <v>45822</v>
      </c>
      <c r="D3767" t="inlineStr">
        <is>
          <t>VÄSTERNORRLANDS LÄN</t>
        </is>
      </c>
      <c r="E3767" t="inlineStr">
        <is>
          <t>SOLLEFTEÅ</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4261-2025</t>
        </is>
      </c>
      <c r="B3768" s="1" t="n">
        <v>45685</v>
      </c>
      <c r="C3768" s="1" t="n">
        <v>45822</v>
      </c>
      <c r="D3768" t="inlineStr">
        <is>
          <t>VÄSTERNORRLANDS LÄN</t>
        </is>
      </c>
      <c r="E3768" t="inlineStr">
        <is>
          <t>SOLLEFTEÅ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4407-2025</t>
        </is>
      </c>
      <c r="B3769" s="1" t="n">
        <v>45686</v>
      </c>
      <c r="C3769" s="1" t="n">
        <v>45822</v>
      </c>
      <c r="D3769" t="inlineStr">
        <is>
          <t>VÄSTERNORRLANDS LÄN</t>
        </is>
      </c>
      <c r="E3769" t="inlineStr">
        <is>
          <t>SOLLEFTEÅ</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4859-2025</t>
        </is>
      </c>
      <c r="B3770" s="1" t="n">
        <v>45688</v>
      </c>
      <c r="C3770" s="1" t="n">
        <v>45822</v>
      </c>
      <c r="D3770" t="inlineStr">
        <is>
          <t>VÄSTERNORRLANDS LÄN</t>
        </is>
      </c>
      <c r="E3770" t="inlineStr">
        <is>
          <t>SOLLEFTEÅ</t>
        </is>
      </c>
      <c r="F3770" t="inlineStr">
        <is>
          <t>SCA</t>
        </is>
      </c>
      <c r="G3770" t="n">
        <v>11.8</v>
      </c>
      <c r="H3770" t="n">
        <v>0</v>
      </c>
      <c r="I3770" t="n">
        <v>0</v>
      </c>
      <c r="J3770" t="n">
        <v>0</v>
      </c>
      <c r="K3770" t="n">
        <v>0</v>
      </c>
      <c r="L3770" t="n">
        <v>0</v>
      </c>
      <c r="M3770" t="n">
        <v>0</v>
      </c>
      <c r="N3770" t="n">
        <v>0</v>
      </c>
      <c r="O3770" t="n">
        <v>0</v>
      </c>
      <c r="P3770" t="n">
        <v>0</v>
      </c>
      <c r="Q3770" t="n">
        <v>0</v>
      </c>
      <c r="R3770" s="2" t="inlineStr"/>
    </row>
    <row r="3771" ht="15" customHeight="1">
      <c r="A3771" t="inlineStr">
        <is>
          <t>A 4722-2025</t>
        </is>
      </c>
      <c r="B3771" s="1" t="n">
        <v>45688</v>
      </c>
      <c r="C3771" s="1" t="n">
        <v>45822</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4838-2025</t>
        </is>
      </c>
      <c r="B3772" s="1" t="n">
        <v>45688</v>
      </c>
      <c r="C3772" s="1" t="n">
        <v>45822</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4870-2025</t>
        </is>
      </c>
      <c r="B3773" s="1" t="n">
        <v>45688</v>
      </c>
      <c r="C3773" s="1" t="n">
        <v>45822</v>
      </c>
      <c r="D3773" t="inlineStr">
        <is>
          <t>VÄSTERNORRLANDS LÄN</t>
        </is>
      </c>
      <c r="E3773" t="inlineStr">
        <is>
          <t>SOLLEFTEÅ</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4894-2025</t>
        </is>
      </c>
      <c r="B3774" s="1" t="n">
        <v>45688</v>
      </c>
      <c r="C3774" s="1" t="n">
        <v>45822</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4934-2025</t>
        </is>
      </c>
      <c r="B3775" s="1" t="n">
        <v>45688</v>
      </c>
      <c r="C3775" s="1" t="n">
        <v>45822</v>
      </c>
      <c r="D3775" t="inlineStr">
        <is>
          <t>VÄSTERNORRLANDS LÄN</t>
        </is>
      </c>
      <c r="E3775" t="inlineStr">
        <is>
          <t>SOLLEFTEÅ</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4931-2025</t>
        </is>
      </c>
      <c r="B3776" s="1" t="n">
        <v>45688</v>
      </c>
      <c r="C3776" s="1" t="n">
        <v>45822</v>
      </c>
      <c r="D3776" t="inlineStr">
        <is>
          <t>VÄSTERNORRLANDS LÄN</t>
        </is>
      </c>
      <c r="E3776" t="inlineStr">
        <is>
          <t>SOLLEFTEÅ</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4935-2025</t>
        </is>
      </c>
      <c r="B3777" s="1" t="n">
        <v>45688</v>
      </c>
      <c r="C3777" s="1" t="n">
        <v>45822</v>
      </c>
      <c r="D3777" t="inlineStr">
        <is>
          <t>VÄSTERNORRLANDS LÄN</t>
        </is>
      </c>
      <c r="E3777" t="inlineStr">
        <is>
          <t>SOLLEFTEÅ</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4897-2025</t>
        </is>
      </c>
      <c r="B3778" s="1" t="n">
        <v>45688</v>
      </c>
      <c r="C3778" s="1" t="n">
        <v>45822</v>
      </c>
      <c r="D3778" t="inlineStr">
        <is>
          <t>VÄSTERNORRLANDS LÄN</t>
        </is>
      </c>
      <c r="E3778" t="inlineStr">
        <is>
          <t>SOLLEFTEÅ</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4905-2025</t>
        </is>
      </c>
      <c r="B3779" s="1" t="n">
        <v>45688</v>
      </c>
      <c r="C3779" s="1" t="n">
        <v>45822</v>
      </c>
      <c r="D3779" t="inlineStr">
        <is>
          <t>VÄSTERNORRLANDS LÄN</t>
        </is>
      </c>
      <c r="E3779" t="inlineStr">
        <is>
          <t>SOLLEFTEÅ</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4909-2025</t>
        </is>
      </c>
      <c r="B3780" s="1" t="n">
        <v>45688</v>
      </c>
      <c r="C3780" s="1" t="n">
        <v>45822</v>
      </c>
      <c r="D3780" t="inlineStr">
        <is>
          <t>VÄSTERNORRLANDS LÄN</t>
        </is>
      </c>
      <c r="E3780" t="inlineStr">
        <is>
          <t>SOLLEFTEÅ</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4895-2025</t>
        </is>
      </c>
      <c r="B3781" s="1" t="n">
        <v>45688</v>
      </c>
      <c r="C3781" s="1" t="n">
        <v>45822</v>
      </c>
      <c r="D3781" t="inlineStr">
        <is>
          <t>VÄSTERNORRLANDS LÄN</t>
        </is>
      </c>
      <c r="E3781" t="inlineStr">
        <is>
          <t>SOLLEFTEÅ</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4726-2025</t>
        </is>
      </c>
      <c r="B3782" s="1" t="n">
        <v>45688</v>
      </c>
      <c r="C3782" s="1" t="n">
        <v>45822</v>
      </c>
      <c r="D3782" t="inlineStr">
        <is>
          <t>VÄSTERNORRLANDS LÄN</t>
        </is>
      </c>
      <c r="E3782" t="inlineStr">
        <is>
          <t>SOLLEFTEÅ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4843-2025</t>
        </is>
      </c>
      <c r="B3783" s="1" t="n">
        <v>45688</v>
      </c>
      <c r="C3783" s="1" t="n">
        <v>45822</v>
      </c>
      <c r="D3783" t="inlineStr">
        <is>
          <t>VÄSTERNORRLANDS LÄN</t>
        </is>
      </c>
      <c r="E3783" t="inlineStr">
        <is>
          <t>SOLLEFTEÅ</t>
        </is>
      </c>
      <c r="F3783" t="inlineStr">
        <is>
          <t>SCA</t>
        </is>
      </c>
      <c r="G3783" t="n">
        <v>20.2</v>
      </c>
      <c r="H3783" t="n">
        <v>0</v>
      </c>
      <c r="I3783" t="n">
        <v>0</v>
      </c>
      <c r="J3783" t="n">
        <v>0</v>
      </c>
      <c r="K3783" t="n">
        <v>0</v>
      </c>
      <c r="L3783" t="n">
        <v>0</v>
      </c>
      <c r="M3783" t="n">
        <v>0</v>
      </c>
      <c r="N3783" t="n">
        <v>0</v>
      </c>
      <c r="O3783" t="n">
        <v>0</v>
      </c>
      <c r="P3783" t="n">
        <v>0</v>
      </c>
      <c r="Q3783" t="n">
        <v>0</v>
      </c>
      <c r="R3783" s="2" t="inlineStr"/>
    </row>
    <row r="3784" ht="15" customHeight="1">
      <c r="A3784" t="inlineStr">
        <is>
          <t>A 4968-2025</t>
        </is>
      </c>
      <c r="B3784" s="1" t="n">
        <v>45690</v>
      </c>
      <c r="C3784" s="1" t="n">
        <v>45822</v>
      </c>
      <c r="D3784" t="inlineStr">
        <is>
          <t>VÄSTERNORRLANDS LÄN</t>
        </is>
      </c>
      <c r="E3784" t="inlineStr">
        <is>
          <t>SOLLEFTEÅ</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5021-2025</t>
        </is>
      </c>
      <c r="B3785" s="1" t="n">
        <v>45691</v>
      </c>
      <c r="C3785" s="1" t="n">
        <v>45822</v>
      </c>
      <c r="D3785" t="inlineStr">
        <is>
          <t>VÄSTERNORRLANDS LÄN</t>
        </is>
      </c>
      <c r="E3785" t="inlineStr">
        <is>
          <t>SOLLEFTEÅ</t>
        </is>
      </c>
      <c r="F3785" t="inlineStr">
        <is>
          <t>SCA</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5165-2025</t>
        </is>
      </c>
      <c r="B3786" s="1" t="n">
        <v>45691</v>
      </c>
      <c r="C3786" s="1" t="n">
        <v>45822</v>
      </c>
      <c r="D3786" t="inlineStr">
        <is>
          <t>VÄSTERNORRLANDS LÄN</t>
        </is>
      </c>
      <c r="E3786" t="inlineStr">
        <is>
          <t>SOLLEFTEÅ</t>
        </is>
      </c>
      <c r="F3786" t="inlineStr">
        <is>
          <t>SCA</t>
        </is>
      </c>
      <c r="G3786" t="n">
        <v>18.7</v>
      </c>
      <c r="H3786" t="n">
        <v>0</v>
      </c>
      <c r="I3786" t="n">
        <v>0</v>
      </c>
      <c r="J3786" t="n">
        <v>0</v>
      </c>
      <c r="K3786" t="n">
        <v>0</v>
      </c>
      <c r="L3786" t="n">
        <v>0</v>
      </c>
      <c r="M3786" t="n">
        <v>0</v>
      </c>
      <c r="N3786" t="n">
        <v>0</v>
      </c>
      <c r="O3786" t="n">
        <v>0</v>
      </c>
      <c r="P3786" t="n">
        <v>0</v>
      </c>
      <c r="Q3786" t="n">
        <v>0</v>
      </c>
      <c r="R3786" s="2" t="inlineStr"/>
    </row>
    <row r="3787" ht="15" customHeight="1">
      <c r="A3787" t="inlineStr">
        <is>
          <t>A 5196-2025</t>
        </is>
      </c>
      <c r="B3787" s="1" t="n">
        <v>45691</v>
      </c>
      <c r="C3787" s="1" t="n">
        <v>45822</v>
      </c>
      <c r="D3787" t="inlineStr">
        <is>
          <t>VÄSTERNORRLANDS LÄN</t>
        </is>
      </c>
      <c r="E3787" t="inlineStr">
        <is>
          <t>SOLLEFTEÅ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5359-2025</t>
        </is>
      </c>
      <c r="B3788" s="1" t="n">
        <v>45692</v>
      </c>
      <c r="C3788" s="1" t="n">
        <v>45822</v>
      </c>
      <c r="D3788" t="inlineStr">
        <is>
          <t>VÄSTERNORRLANDS LÄN</t>
        </is>
      </c>
      <c r="E3788" t="inlineStr">
        <is>
          <t>SOLLEFTEÅ</t>
        </is>
      </c>
      <c r="F3788" t="inlineStr">
        <is>
          <t>Övriga statliga verk och myndigheter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5258-2025</t>
        </is>
      </c>
      <c r="B3789" s="1" t="n">
        <v>45692</v>
      </c>
      <c r="C3789" s="1" t="n">
        <v>45822</v>
      </c>
      <c r="D3789" t="inlineStr">
        <is>
          <t>VÄSTERNORRLANDS LÄN</t>
        </is>
      </c>
      <c r="E3789" t="inlineStr">
        <is>
          <t>SOLLEFTEÅ</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5375-2025</t>
        </is>
      </c>
      <c r="B3790" s="1" t="n">
        <v>45692</v>
      </c>
      <c r="C3790" s="1" t="n">
        <v>45822</v>
      </c>
      <c r="D3790" t="inlineStr">
        <is>
          <t>VÄSTERNORRLANDS LÄN</t>
        </is>
      </c>
      <c r="E3790" t="inlineStr">
        <is>
          <t>SOLLEFTEÅ</t>
        </is>
      </c>
      <c r="F3790" t="inlineStr">
        <is>
          <t>Övriga statliga verk och myndigheter</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5259-2025</t>
        </is>
      </c>
      <c r="B3791" s="1" t="n">
        <v>45692</v>
      </c>
      <c r="C3791" s="1" t="n">
        <v>45822</v>
      </c>
      <c r="D3791" t="inlineStr">
        <is>
          <t>VÄSTERNORRLANDS LÄN</t>
        </is>
      </c>
      <c r="E3791" t="inlineStr">
        <is>
          <t>SOLLEFTEÅ</t>
        </is>
      </c>
      <c r="F3791" t="inlineStr">
        <is>
          <t>SCA</t>
        </is>
      </c>
      <c r="G3791" t="n">
        <v>13.5</v>
      </c>
      <c r="H3791" t="n">
        <v>0</v>
      </c>
      <c r="I3791" t="n">
        <v>0</v>
      </c>
      <c r="J3791" t="n">
        <v>0</v>
      </c>
      <c r="K3791" t="n">
        <v>0</v>
      </c>
      <c r="L3791" t="n">
        <v>0</v>
      </c>
      <c r="M3791" t="n">
        <v>0</v>
      </c>
      <c r="N3791" t="n">
        <v>0</v>
      </c>
      <c r="O3791" t="n">
        <v>0</v>
      </c>
      <c r="P3791" t="n">
        <v>0</v>
      </c>
      <c r="Q3791" t="n">
        <v>0</v>
      </c>
      <c r="R3791" s="2" t="inlineStr"/>
    </row>
    <row r="3792" ht="15" customHeight="1">
      <c r="A3792" t="inlineStr">
        <is>
          <t>A 5394-2025</t>
        </is>
      </c>
      <c r="B3792" s="1" t="n">
        <v>45692</v>
      </c>
      <c r="C3792" s="1" t="n">
        <v>45822</v>
      </c>
      <c r="D3792" t="inlineStr">
        <is>
          <t>VÄSTERNORRLANDS LÄN</t>
        </is>
      </c>
      <c r="E3792" t="inlineStr">
        <is>
          <t>SOLLEFTEÅ</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5445-2025</t>
        </is>
      </c>
      <c r="B3793" s="1" t="n">
        <v>45692</v>
      </c>
      <c r="C3793" s="1" t="n">
        <v>45822</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5447-2025</t>
        </is>
      </c>
      <c r="B3794" s="1" t="n">
        <v>45692</v>
      </c>
      <c r="C3794" s="1" t="n">
        <v>45822</v>
      </c>
      <c r="D3794" t="inlineStr">
        <is>
          <t>VÄSTERNORRLANDS LÄN</t>
        </is>
      </c>
      <c r="E3794" t="inlineStr">
        <is>
          <t>SOLLEFTEÅ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5383-2025</t>
        </is>
      </c>
      <c r="B3795" s="1" t="n">
        <v>45692</v>
      </c>
      <c r="C3795" s="1" t="n">
        <v>45822</v>
      </c>
      <c r="D3795" t="inlineStr">
        <is>
          <t>VÄSTERNORRLANDS LÄN</t>
        </is>
      </c>
      <c r="E3795" t="inlineStr">
        <is>
          <t>SOLLEFTEÅ</t>
        </is>
      </c>
      <c r="F3795" t="inlineStr">
        <is>
          <t>SCA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5293-2025</t>
        </is>
      </c>
      <c r="B3796" s="1" t="n">
        <v>45692</v>
      </c>
      <c r="C3796" s="1" t="n">
        <v>45822</v>
      </c>
      <c r="D3796" t="inlineStr">
        <is>
          <t>VÄSTERNORRLANDS LÄN</t>
        </is>
      </c>
      <c r="E3796" t="inlineStr">
        <is>
          <t>SOLLEFTEÅ</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5548-2025</t>
        </is>
      </c>
      <c r="B3797" s="1" t="n">
        <v>45693</v>
      </c>
      <c r="C3797" s="1" t="n">
        <v>45822</v>
      </c>
      <c r="D3797" t="inlineStr">
        <is>
          <t>VÄSTERNORRLANDS LÄN</t>
        </is>
      </c>
      <c r="E3797" t="inlineStr">
        <is>
          <t>SOLLEFTEÅ</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5485-2025</t>
        </is>
      </c>
      <c r="B3798" s="1" t="n">
        <v>45693</v>
      </c>
      <c r="C3798" s="1" t="n">
        <v>45822</v>
      </c>
      <c r="D3798" t="inlineStr">
        <is>
          <t>VÄSTERNORRLANDS LÄN</t>
        </is>
      </c>
      <c r="E3798" t="inlineStr">
        <is>
          <t>SOLLEFTEÅ</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5862-2025</t>
        </is>
      </c>
      <c r="B3799" s="1" t="n">
        <v>45695</v>
      </c>
      <c r="C3799" s="1" t="n">
        <v>45822</v>
      </c>
      <c r="D3799" t="inlineStr">
        <is>
          <t>VÄSTERNORRLANDS LÄN</t>
        </is>
      </c>
      <c r="E3799" t="inlineStr">
        <is>
          <t>SOLLEFTEÅ</t>
        </is>
      </c>
      <c r="F3799" t="inlineStr">
        <is>
          <t>Holmen skog AB</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6009-2025</t>
        </is>
      </c>
      <c r="B3800" s="1" t="n">
        <v>45695</v>
      </c>
      <c r="C3800" s="1" t="n">
        <v>45822</v>
      </c>
      <c r="D3800" t="inlineStr">
        <is>
          <t>VÄSTERNORRLANDS LÄN</t>
        </is>
      </c>
      <c r="E3800" t="inlineStr">
        <is>
          <t>SOLLEFTEÅ</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5944-2025</t>
        </is>
      </c>
      <c r="B3801" s="1" t="n">
        <v>45695</v>
      </c>
      <c r="C3801" s="1" t="n">
        <v>45822</v>
      </c>
      <c r="D3801" t="inlineStr">
        <is>
          <t>VÄSTERNORRLANDS LÄN</t>
        </is>
      </c>
      <c r="E3801" t="inlineStr">
        <is>
          <t>SOLLEFTEÅ</t>
        </is>
      </c>
      <c r="F3801" t="inlineStr">
        <is>
          <t>SCA</t>
        </is>
      </c>
      <c r="G3801" t="n">
        <v>14.6</v>
      </c>
      <c r="H3801" t="n">
        <v>0</v>
      </c>
      <c r="I3801" t="n">
        <v>0</v>
      </c>
      <c r="J3801" t="n">
        <v>0</v>
      </c>
      <c r="K3801" t="n">
        <v>0</v>
      </c>
      <c r="L3801" t="n">
        <v>0</v>
      </c>
      <c r="M3801" t="n">
        <v>0</v>
      </c>
      <c r="N3801" t="n">
        <v>0</v>
      </c>
      <c r="O3801" t="n">
        <v>0</v>
      </c>
      <c r="P3801" t="n">
        <v>0</v>
      </c>
      <c r="Q3801" t="n">
        <v>0</v>
      </c>
      <c r="R3801" s="2" t="inlineStr"/>
    </row>
    <row r="3802" ht="15" customHeight="1">
      <c r="A3802" t="inlineStr">
        <is>
          <t>A 6285-2025</t>
        </is>
      </c>
      <c r="B3802" s="1" t="n">
        <v>45698</v>
      </c>
      <c r="C3802" s="1" t="n">
        <v>45822</v>
      </c>
      <c r="D3802" t="inlineStr">
        <is>
          <t>VÄSTERNORRLANDS LÄN</t>
        </is>
      </c>
      <c r="E3802" t="inlineStr">
        <is>
          <t>SOLLEFTEÅ</t>
        </is>
      </c>
      <c r="F3802" t="inlineStr">
        <is>
          <t>SCA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6284-2025</t>
        </is>
      </c>
      <c r="B3803" s="1" t="n">
        <v>45698</v>
      </c>
      <c r="C3803" s="1" t="n">
        <v>45822</v>
      </c>
      <c r="D3803" t="inlineStr">
        <is>
          <t>VÄSTERNORRLANDS LÄN</t>
        </is>
      </c>
      <c r="E3803" t="inlineStr">
        <is>
          <t>SOLLEFTEÅ</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6287-2025</t>
        </is>
      </c>
      <c r="B3804" s="1" t="n">
        <v>45698</v>
      </c>
      <c r="C3804" s="1" t="n">
        <v>45822</v>
      </c>
      <c r="D3804" t="inlineStr">
        <is>
          <t>VÄSTERNORRLANDS LÄN</t>
        </is>
      </c>
      <c r="E3804" t="inlineStr">
        <is>
          <t>SOLLEFTEÅ</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6346-2025</t>
        </is>
      </c>
      <c r="B3805" s="1" t="n">
        <v>45699</v>
      </c>
      <c r="C3805" s="1" t="n">
        <v>45822</v>
      </c>
      <c r="D3805" t="inlineStr">
        <is>
          <t>VÄSTERNORRLANDS LÄN</t>
        </is>
      </c>
      <c r="E3805" t="inlineStr">
        <is>
          <t>SOLLEFTEÅ</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6376-2025</t>
        </is>
      </c>
      <c r="B3806" s="1" t="n">
        <v>45699</v>
      </c>
      <c r="C3806" s="1" t="n">
        <v>45822</v>
      </c>
      <c r="D3806" t="inlineStr">
        <is>
          <t>VÄSTERNORRLANDS LÄN</t>
        </is>
      </c>
      <c r="E3806" t="inlineStr">
        <is>
          <t>SOLLEFTEÅ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6441-2025</t>
        </is>
      </c>
      <c r="B3807" s="1" t="n">
        <v>45699</v>
      </c>
      <c r="C3807" s="1" t="n">
        <v>45822</v>
      </c>
      <c r="D3807" t="inlineStr">
        <is>
          <t>VÄSTERNORRLANDS LÄN</t>
        </is>
      </c>
      <c r="E3807" t="inlineStr">
        <is>
          <t>SOLLEFTEÅ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6445-2025</t>
        </is>
      </c>
      <c r="B3808" s="1" t="n">
        <v>45699</v>
      </c>
      <c r="C3808" s="1" t="n">
        <v>45822</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6467-2025</t>
        </is>
      </c>
      <c r="B3809" s="1" t="n">
        <v>45699</v>
      </c>
      <c r="C3809" s="1" t="n">
        <v>45822</v>
      </c>
      <c r="D3809" t="inlineStr">
        <is>
          <t>VÄSTERNORRLANDS LÄN</t>
        </is>
      </c>
      <c r="E3809" t="inlineStr">
        <is>
          <t>SOLLEFTEÅ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6444-2025</t>
        </is>
      </c>
      <c r="B3810" s="1" t="n">
        <v>45699</v>
      </c>
      <c r="C3810" s="1" t="n">
        <v>45822</v>
      </c>
      <c r="D3810" t="inlineStr">
        <is>
          <t>VÄSTERNORRLANDS LÄN</t>
        </is>
      </c>
      <c r="E3810" t="inlineStr">
        <is>
          <t>SOLLEFTEÅ</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6440-2025</t>
        </is>
      </c>
      <c r="B3811" s="1" t="n">
        <v>45699</v>
      </c>
      <c r="C3811" s="1" t="n">
        <v>45822</v>
      </c>
      <c r="D3811" t="inlineStr">
        <is>
          <t>VÄSTERNORRLANDS LÄN</t>
        </is>
      </c>
      <c r="E3811" t="inlineStr">
        <is>
          <t>SOLLEFTEÅ</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6737-2025</t>
        </is>
      </c>
      <c r="B3812" s="1" t="n">
        <v>45700</v>
      </c>
      <c r="C3812" s="1" t="n">
        <v>45822</v>
      </c>
      <c r="D3812" t="inlineStr">
        <is>
          <t>VÄSTERNORRLANDS LÄN</t>
        </is>
      </c>
      <c r="E3812" t="inlineStr">
        <is>
          <t>SOLLEFTEÅ</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6733-2025</t>
        </is>
      </c>
      <c r="B3813" s="1" t="n">
        <v>45700</v>
      </c>
      <c r="C3813" s="1" t="n">
        <v>45822</v>
      </c>
      <c r="D3813" t="inlineStr">
        <is>
          <t>VÄSTERNORRLANDS LÄN</t>
        </is>
      </c>
      <c r="E3813" t="inlineStr">
        <is>
          <t>SOLLEFTEÅ</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6621-2025</t>
        </is>
      </c>
      <c r="B3814" s="1" t="n">
        <v>45700</v>
      </c>
      <c r="C3814" s="1" t="n">
        <v>45822</v>
      </c>
      <c r="D3814" t="inlineStr">
        <is>
          <t>VÄSTERNORRLANDS LÄN</t>
        </is>
      </c>
      <c r="E3814" t="inlineStr">
        <is>
          <t>SOLLEFTEÅ</t>
        </is>
      </c>
      <c r="F3814" t="inlineStr">
        <is>
          <t>SCA</t>
        </is>
      </c>
      <c r="G3814" t="n">
        <v>14.8</v>
      </c>
      <c r="H3814" t="n">
        <v>0</v>
      </c>
      <c r="I3814" t="n">
        <v>0</v>
      </c>
      <c r="J3814" t="n">
        <v>0</v>
      </c>
      <c r="K3814" t="n">
        <v>0</v>
      </c>
      <c r="L3814" t="n">
        <v>0</v>
      </c>
      <c r="M3814" t="n">
        <v>0</v>
      </c>
      <c r="N3814" t="n">
        <v>0</v>
      </c>
      <c r="O3814" t="n">
        <v>0</v>
      </c>
      <c r="P3814" t="n">
        <v>0</v>
      </c>
      <c r="Q3814" t="n">
        <v>0</v>
      </c>
      <c r="R3814" s="2" t="inlineStr"/>
    </row>
    <row r="3815" ht="15" customHeight="1">
      <c r="A3815" t="inlineStr">
        <is>
          <t>A 6736-2025</t>
        </is>
      </c>
      <c r="B3815" s="1" t="n">
        <v>45700</v>
      </c>
      <c r="C3815" s="1" t="n">
        <v>45822</v>
      </c>
      <c r="D3815" t="inlineStr">
        <is>
          <t>VÄSTERNORRLANDS LÄN</t>
        </is>
      </c>
      <c r="E3815" t="inlineStr">
        <is>
          <t>SOLLEFTEÅ</t>
        </is>
      </c>
      <c r="F3815" t="inlineStr">
        <is>
          <t>SCA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6732-2025</t>
        </is>
      </c>
      <c r="B3816" s="1" t="n">
        <v>45700</v>
      </c>
      <c r="C3816" s="1" t="n">
        <v>45822</v>
      </c>
      <c r="D3816" t="inlineStr">
        <is>
          <t>VÄSTERNORRLANDS LÄN</t>
        </is>
      </c>
      <c r="E3816" t="inlineStr">
        <is>
          <t>SOLLEFTEÅ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6735-2025</t>
        </is>
      </c>
      <c r="B3817" s="1" t="n">
        <v>45700</v>
      </c>
      <c r="C3817" s="1" t="n">
        <v>45822</v>
      </c>
      <c r="D3817" t="inlineStr">
        <is>
          <t>VÄSTERNORRLANDS LÄN</t>
        </is>
      </c>
      <c r="E3817" t="inlineStr">
        <is>
          <t>SOLLEFTEÅ</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6876-2025</t>
        </is>
      </c>
      <c r="B3818" s="1" t="n">
        <v>45701</v>
      </c>
      <c r="C3818" s="1" t="n">
        <v>45822</v>
      </c>
      <c r="D3818" t="inlineStr">
        <is>
          <t>VÄSTERNORRLANDS LÄN</t>
        </is>
      </c>
      <c r="E3818" t="inlineStr">
        <is>
          <t>SOLLEFTEÅ</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6884-2025</t>
        </is>
      </c>
      <c r="B3819" s="1" t="n">
        <v>45701</v>
      </c>
      <c r="C3819" s="1" t="n">
        <v>45822</v>
      </c>
      <c r="D3819" t="inlineStr">
        <is>
          <t>VÄSTERNORRLANDS LÄN</t>
        </is>
      </c>
      <c r="E3819" t="inlineStr">
        <is>
          <t>SOLLEFTEÅ</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6896-2025</t>
        </is>
      </c>
      <c r="B3820" s="1" t="n">
        <v>45701</v>
      </c>
      <c r="C3820" s="1" t="n">
        <v>45822</v>
      </c>
      <c r="D3820" t="inlineStr">
        <is>
          <t>VÄSTERNORRLANDS LÄN</t>
        </is>
      </c>
      <c r="E3820" t="inlineStr">
        <is>
          <t>SOLLEFTEÅ</t>
        </is>
      </c>
      <c r="F3820" t="inlineStr">
        <is>
          <t>SCA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7003-2025</t>
        </is>
      </c>
      <c r="B3821" s="1" t="n">
        <v>45701</v>
      </c>
      <c r="C3821" s="1" t="n">
        <v>45822</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7007-2025</t>
        </is>
      </c>
      <c r="B3822" s="1" t="n">
        <v>45701</v>
      </c>
      <c r="C3822" s="1" t="n">
        <v>45822</v>
      </c>
      <c r="D3822" t="inlineStr">
        <is>
          <t>VÄSTERNORRLANDS LÄN</t>
        </is>
      </c>
      <c r="E3822" t="inlineStr">
        <is>
          <t>SOLLEFTEÅ</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7036-2025</t>
        </is>
      </c>
      <c r="B3823" s="1" t="n">
        <v>45701</v>
      </c>
      <c r="C3823" s="1" t="n">
        <v>45822</v>
      </c>
      <c r="D3823" t="inlineStr">
        <is>
          <t>VÄSTERNORRLANDS LÄN</t>
        </is>
      </c>
      <c r="E3823" t="inlineStr">
        <is>
          <t>SOLLEFTEÅ</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7014-2025</t>
        </is>
      </c>
      <c r="B3824" s="1" t="n">
        <v>45701</v>
      </c>
      <c r="C3824" s="1" t="n">
        <v>45822</v>
      </c>
      <c r="D3824" t="inlineStr">
        <is>
          <t>VÄSTERNORRLANDS LÄN</t>
        </is>
      </c>
      <c r="E3824" t="inlineStr">
        <is>
          <t>SOLLEFTEÅ</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6875-2025</t>
        </is>
      </c>
      <c r="B3825" s="1" t="n">
        <v>45701</v>
      </c>
      <c r="C3825" s="1" t="n">
        <v>45822</v>
      </c>
      <c r="D3825" t="inlineStr">
        <is>
          <t>VÄSTERNORRLANDS LÄN</t>
        </is>
      </c>
      <c r="E3825" t="inlineStr">
        <is>
          <t>SOLLEFTEÅ</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6877-2025</t>
        </is>
      </c>
      <c r="B3826" s="1" t="n">
        <v>45701</v>
      </c>
      <c r="C3826" s="1" t="n">
        <v>45822</v>
      </c>
      <c r="D3826" t="inlineStr">
        <is>
          <t>VÄSTERNORRLANDS LÄN</t>
        </is>
      </c>
      <c r="E3826" t="inlineStr">
        <is>
          <t>SOLLEFTEÅ</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7184-2025</t>
        </is>
      </c>
      <c r="B3827" s="1" t="n">
        <v>45702</v>
      </c>
      <c r="C3827" s="1" t="n">
        <v>45822</v>
      </c>
      <c r="D3827" t="inlineStr">
        <is>
          <t>VÄSTERNORRLANDS LÄN</t>
        </is>
      </c>
      <c r="E3827" t="inlineStr">
        <is>
          <t>SOLLEFTEÅ</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7157-2025</t>
        </is>
      </c>
      <c r="B3828" s="1" t="n">
        <v>45702</v>
      </c>
      <c r="C3828" s="1" t="n">
        <v>45822</v>
      </c>
      <c r="D3828" t="inlineStr">
        <is>
          <t>VÄSTERNORRLANDS LÄN</t>
        </is>
      </c>
      <c r="E3828" t="inlineStr">
        <is>
          <t>SOLLEFTEÅ</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7182-2025</t>
        </is>
      </c>
      <c r="B3829" s="1" t="n">
        <v>45702</v>
      </c>
      <c r="C3829" s="1" t="n">
        <v>45822</v>
      </c>
      <c r="D3829" t="inlineStr">
        <is>
          <t>VÄSTERNORRLANDS LÄN</t>
        </is>
      </c>
      <c r="E3829" t="inlineStr">
        <is>
          <t>SOLLEFTEÅ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7342-2025</t>
        </is>
      </c>
      <c r="B3830" s="1" t="n">
        <v>45703</v>
      </c>
      <c r="C3830" s="1" t="n">
        <v>45822</v>
      </c>
      <c r="D3830" t="inlineStr">
        <is>
          <t>VÄSTERNORRLANDS LÄN</t>
        </is>
      </c>
      <c r="E3830" t="inlineStr">
        <is>
          <t>SOLLEFTEÅ</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7341-2025</t>
        </is>
      </c>
      <c r="B3831" s="1" t="n">
        <v>45703</v>
      </c>
      <c r="C3831" s="1" t="n">
        <v>45822</v>
      </c>
      <c r="D3831" t="inlineStr">
        <is>
          <t>VÄSTERNORRLANDS LÄN</t>
        </is>
      </c>
      <c r="E3831" t="inlineStr">
        <is>
          <t>SOLLEFTEÅ</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7589-2025</t>
        </is>
      </c>
      <c r="B3832" s="1" t="n">
        <v>45705</v>
      </c>
      <c r="C3832" s="1" t="n">
        <v>45822</v>
      </c>
      <c r="D3832" t="inlineStr">
        <is>
          <t>VÄSTERNORRLANDS LÄN</t>
        </is>
      </c>
      <c r="E3832" t="inlineStr">
        <is>
          <t>SOLLEFTEÅ</t>
        </is>
      </c>
      <c r="F3832" t="inlineStr">
        <is>
          <t>SCA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7611-2025</t>
        </is>
      </c>
      <c r="B3833" s="1" t="n">
        <v>45705</v>
      </c>
      <c r="C3833" s="1" t="n">
        <v>45822</v>
      </c>
      <c r="D3833" t="inlineStr">
        <is>
          <t>VÄSTERNORRLANDS LÄN</t>
        </is>
      </c>
      <c r="E3833" t="inlineStr">
        <is>
          <t>SOLLEFTEÅ</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7569-2025</t>
        </is>
      </c>
      <c r="B3834" s="1" t="n">
        <v>45705</v>
      </c>
      <c r="C3834" s="1" t="n">
        <v>45822</v>
      </c>
      <c r="D3834" t="inlineStr">
        <is>
          <t>VÄSTERNORRLANDS LÄN</t>
        </is>
      </c>
      <c r="E3834" t="inlineStr">
        <is>
          <t>SOLLEFTEÅ</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7430-2025</t>
        </is>
      </c>
      <c r="B3835" s="1" t="n">
        <v>45705</v>
      </c>
      <c r="C3835" s="1" t="n">
        <v>45822</v>
      </c>
      <c r="D3835" t="inlineStr">
        <is>
          <t>VÄSTERNORRLANDS LÄN</t>
        </is>
      </c>
      <c r="E3835" t="inlineStr">
        <is>
          <t>SOLLEFTEÅ</t>
        </is>
      </c>
      <c r="F3835" t="inlineStr">
        <is>
          <t>SCA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7570-2025</t>
        </is>
      </c>
      <c r="B3836" s="1" t="n">
        <v>45705</v>
      </c>
      <c r="C3836" s="1" t="n">
        <v>45822</v>
      </c>
      <c r="D3836" t="inlineStr">
        <is>
          <t>VÄSTERNORRLANDS LÄN</t>
        </is>
      </c>
      <c r="E3836" t="inlineStr">
        <is>
          <t>SOLLEFTEÅ</t>
        </is>
      </c>
      <c r="F3836" t="inlineStr">
        <is>
          <t>SCA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7868-2025</t>
        </is>
      </c>
      <c r="B3837" s="1" t="n">
        <v>45706</v>
      </c>
      <c r="C3837" s="1" t="n">
        <v>45822</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7667-2025</t>
        </is>
      </c>
      <c r="B3838" s="1" t="n">
        <v>45706</v>
      </c>
      <c r="C3838" s="1" t="n">
        <v>45822</v>
      </c>
      <c r="D3838" t="inlineStr">
        <is>
          <t>VÄSTERNORRLANDS LÄN</t>
        </is>
      </c>
      <c r="E3838" t="inlineStr">
        <is>
          <t>SOLLEFTEÅ</t>
        </is>
      </c>
      <c r="F3838" t="inlineStr">
        <is>
          <t>SCA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8105-2025</t>
        </is>
      </c>
      <c r="B3839" s="1" t="n">
        <v>45707</v>
      </c>
      <c r="C3839" s="1" t="n">
        <v>45822</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7926-2025</t>
        </is>
      </c>
      <c r="B3840" s="1" t="n">
        <v>45707</v>
      </c>
      <c r="C3840" s="1" t="n">
        <v>45822</v>
      </c>
      <c r="D3840" t="inlineStr">
        <is>
          <t>VÄSTERNORRLANDS LÄN</t>
        </is>
      </c>
      <c r="E3840" t="inlineStr">
        <is>
          <t>SOLLEFTEÅ</t>
        </is>
      </c>
      <c r="F3840" t="inlineStr">
        <is>
          <t>SCA</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8099-2025</t>
        </is>
      </c>
      <c r="B3841" s="1" t="n">
        <v>45707</v>
      </c>
      <c r="C3841" s="1" t="n">
        <v>45822</v>
      </c>
      <c r="D3841" t="inlineStr">
        <is>
          <t>VÄSTERNORRLANDS LÄN</t>
        </is>
      </c>
      <c r="E3841" t="inlineStr">
        <is>
          <t>SOLLEFTEÅ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8124-2025</t>
        </is>
      </c>
      <c r="B3842" s="1" t="n">
        <v>45707</v>
      </c>
      <c r="C3842" s="1" t="n">
        <v>45822</v>
      </c>
      <c r="D3842" t="inlineStr">
        <is>
          <t>VÄSTERNORRLANDS LÄN</t>
        </is>
      </c>
      <c r="E3842" t="inlineStr">
        <is>
          <t>SOLLEFTEÅ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7942-2025</t>
        </is>
      </c>
      <c r="B3843" s="1" t="n">
        <v>45707</v>
      </c>
      <c r="C3843" s="1" t="n">
        <v>45822</v>
      </c>
      <c r="D3843" t="inlineStr">
        <is>
          <t>VÄSTERNORRLANDS LÄN</t>
        </is>
      </c>
      <c r="E3843" t="inlineStr">
        <is>
          <t>SOLLEFTEÅ</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8100-2025</t>
        </is>
      </c>
      <c r="B3844" s="1" t="n">
        <v>45707</v>
      </c>
      <c r="C3844" s="1" t="n">
        <v>45822</v>
      </c>
      <c r="D3844" t="inlineStr">
        <is>
          <t>VÄSTERNORRLANDS LÄN</t>
        </is>
      </c>
      <c r="E3844" t="inlineStr">
        <is>
          <t>SOLLEFTEÅ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8104-2025</t>
        </is>
      </c>
      <c r="B3845" s="1" t="n">
        <v>45707</v>
      </c>
      <c r="C3845" s="1" t="n">
        <v>45822</v>
      </c>
      <c r="D3845" t="inlineStr">
        <is>
          <t>VÄSTERNORRLANDS LÄN</t>
        </is>
      </c>
      <c r="E3845" t="inlineStr">
        <is>
          <t>SOLLEFTEÅ</t>
        </is>
      </c>
      <c r="F3845" t="inlineStr">
        <is>
          <t>SCA</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8084-2025</t>
        </is>
      </c>
      <c r="B3846" s="1" t="n">
        <v>45707</v>
      </c>
      <c r="C3846" s="1" t="n">
        <v>45822</v>
      </c>
      <c r="D3846" t="inlineStr">
        <is>
          <t>VÄSTERNORRLANDS LÄN</t>
        </is>
      </c>
      <c r="E3846" t="inlineStr">
        <is>
          <t>SOLLEFTEÅ</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8195-2025</t>
        </is>
      </c>
      <c r="B3847" s="1" t="n">
        <v>45708</v>
      </c>
      <c r="C3847" s="1" t="n">
        <v>45822</v>
      </c>
      <c r="D3847" t="inlineStr">
        <is>
          <t>VÄSTERNORRLANDS LÄN</t>
        </is>
      </c>
      <c r="E3847" t="inlineStr">
        <is>
          <t>SOLLEFTEÅ</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8169-2025</t>
        </is>
      </c>
      <c r="B3848" s="1" t="n">
        <v>45708</v>
      </c>
      <c r="C3848" s="1" t="n">
        <v>45822</v>
      </c>
      <c r="D3848" t="inlineStr">
        <is>
          <t>VÄSTERNORRLANDS LÄN</t>
        </is>
      </c>
      <c r="E3848" t="inlineStr">
        <is>
          <t>SOLLEFTEÅ</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8337-2025</t>
        </is>
      </c>
      <c r="B3849" s="1" t="n">
        <v>45708</v>
      </c>
      <c r="C3849" s="1" t="n">
        <v>45822</v>
      </c>
      <c r="D3849" t="inlineStr">
        <is>
          <t>VÄSTERNORRLANDS LÄN</t>
        </is>
      </c>
      <c r="E3849" t="inlineStr">
        <is>
          <t>SOLLEFTEÅ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8476-2025</t>
        </is>
      </c>
      <c r="B3850" s="1" t="n">
        <v>45709</v>
      </c>
      <c r="C3850" s="1" t="n">
        <v>45822</v>
      </c>
      <c r="D3850" t="inlineStr">
        <is>
          <t>VÄSTERNORRLANDS LÄN</t>
        </is>
      </c>
      <c r="E3850" t="inlineStr">
        <is>
          <t>SOLLEFTEÅ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8703-2025</t>
        </is>
      </c>
      <c r="B3851" s="1" t="n">
        <v>45712</v>
      </c>
      <c r="C3851" s="1" t="n">
        <v>45822</v>
      </c>
      <c r="D3851" t="inlineStr">
        <is>
          <t>VÄSTERNORRLANDS LÄN</t>
        </is>
      </c>
      <c r="E3851" t="inlineStr">
        <is>
          <t>SOLLEFTEÅ</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8653-2025</t>
        </is>
      </c>
      <c r="B3852" s="1" t="n">
        <v>45712</v>
      </c>
      <c r="C3852" s="1" t="n">
        <v>45822</v>
      </c>
      <c r="D3852" t="inlineStr">
        <is>
          <t>VÄSTERNORRLANDS LÄN</t>
        </is>
      </c>
      <c r="E3852" t="inlineStr">
        <is>
          <t>SOLLEFTEÅ</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8814-2025</t>
        </is>
      </c>
      <c r="B3853" s="1" t="n">
        <v>45712</v>
      </c>
      <c r="C3853" s="1" t="n">
        <v>45822</v>
      </c>
      <c r="D3853" t="inlineStr">
        <is>
          <t>VÄSTERNORRLANDS LÄN</t>
        </is>
      </c>
      <c r="E3853" t="inlineStr">
        <is>
          <t>SOLLEFTEÅ</t>
        </is>
      </c>
      <c r="F3853" t="inlineStr">
        <is>
          <t>Kyrkan</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8712-2025</t>
        </is>
      </c>
      <c r="B3854" s="1" t="n">
        <v>45712</v>
      </c>
      <c r="C3854" s="1" t="n">
        <v>45822</v>
      </c>
      <c r="D3854" t="inlineStr">
        <is>
          <t>VÄSTERNORRLANDS LÄN</t>
        </is>
      </c>
      <c r="E3854" t="inlineStr">
        <is>
          <t>SOLLEFTEÅ</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8657-2025</t>
        </is>
      </c>
      <c r="B3855" s="1" t="n">
        <v>45712</v>
      </c>
      <c r="C3855" s="1" t="n">
        <v>45822</v>
      </c>
      <c r="D3855" t="inlineStr">
        <is>
          <t>VÄSTERNORRLANDS LÄN</t>
        </is>
      </c>
      <c r="E3855" t="inlineStr">
        <is>
          <t>SOLLEFTEÅ</t>
        </is>
      </c>
      <c r="F3855" t="inlineStr">
        <is>
          <t>SCA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8851-2025</t>
        </is>
      </c>
      <c r="B3856" s="1" t="n">
        <v>45713</v>
      </c>
      <c r="C3856" s="1" t="n">
        <v>45822</v>
      </c>
      <c r="D3856" t="inlineStr">
        <is>
          <t>VÄSTERNORRLANDS LÄN</t>
        </is>
      </c>
      <c r="E3856" t="inlineStr">
        <is>
          <t>SOLLEFTEÅ</t>
        </is>
      </c>
      <c r="F3856" t="inlineStr">
        <is>
          <t>SCA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8852-2025</t>
        </is>
      </c>
      <c r="B3857" s="1" t="n">
        <v>45713</v>
      </c>
      <c r="C3857" s="1" t="n">
        <v>45822</v>
      </c>
      <c r="D3857" t="inlineStr">
        <is>
          <t>VÄSTERNORRLANDS LÄN</t>
        </is>
      </c>
      <c r="E3857" t="inlineStr">
        <is>
          <t>SOLLEFTEÅ</t>
        </is>
      </c>
      <c r="F3857" t="inlineStr">
        <is>
          <t>SCA</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8895-2025</t>
        </is>
      </c>
      <c r="B3858" s="1" t="n">
        <v>45713</v>
      </c>
      <c r="C3858" s="1" t="n">
        <v>45822</v>
      </c>
      <c r="D3858" t="inlineStr">
        <is>
          <t>VÄSTERNORRLANDS LÄN</t>
        </is>
      </c>
      <c r="E3858" t="inlineStr">
        <is>
          <t>SOLLEFTEÅ</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8854-2025</t>
        </is>
      </c>
      <c r="B3859" s="1" t="n">
        <v>45713</v>
      </c>
      <c r="C3859" s="1" t="n">
        <v>45822</v>
      </c>
      <c r="D3859" t="inlineStr">
        <is>
          <t>VÄSTERNORRLANDS LÄN</t>
        </is>
      </c>
      <c r="E3859" t="inlineStr">
        <is>
          <t>SOLLEFTEÅ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9070-2025</t>
        </is>
      </c>
      <c r="B3860" s="1" t="n">
        <v>45713</v>
      </c>
      <c r="C3860" s="1" t="n">
        <v>45822</v>
      </c>
      <c r="D3860" t="inlineStr">
        <is>
          <t>VÄSTERNORRLANDS LÄN</t>
        </is>
      </c>
      <c r="E3860" t="inlineStr">
        <is>
          <t>SOLLEFTEÅ</t>
        </is>
      </c>
      <c r="F3860" t="inlineStr">
        <is>
          <t>SCA</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8893-2025</t>
        </is>
      </c>
      <c r="B3861" s="1" t="n">
        <v>45713</v>
      </c>
      <c r="C3861" s="1" t="n">
        <v>45822</v>
      </c>
      <c r="D3861" t="inlineStr">
        <is>
          <t>VÄSTERNORRLANDS LÄN</t>
        </is>
      </c>
      <c r="E3861" t="inlineStr">
        <is>
          <t>SOLLEFTEÅ</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9072-2025</t>
        </is>
      </c>
      <c r="B3862" s="1" t="n">
        <v>45713</v>
      </c>
      <c r="C3862" s="1" t="n">
        <v>45822</v>
      </c>
      <c r="D3862" t="inlineStr">
        <is>
          <t>VÄSTERNORRLANDS LÄN</t>
        </is>
      </c>
      <c r="E3862" t="inlineStr">
        <is>
          <t>SOLLEFTEÅ</t>
        </is>
      </c>
      <c r="F3862" t="inlineStr">
        <is>
          <t>SCA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8894-2025</t>
        </is>
      </c>
      <c r="B3863" s="1" t="n">
        <v>45713</v>
      </c>
      <c r="C3863" s="1" t="n">
        <v>45822</v>
      </c>
      <c r="D3863" t="inlineStr">
        <is>
          <t>VÄSTERNORRLANDS LÄN</t>
        </is>
      </c>
      <c r="E3863" t="inlineStr">
        <is>
          <t>SOLLEFTEÅ</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8914-2025</t>
        </is>
      </c>
      <c r="B3864" s="1" t="n">
        <v>45713</v>
      </c>
      <c r="C3864" s="1" t="n">
        <v>45822</v>
      </c>
      <c r="D3864" t="inlineStr">
        <is>
          <t>VÄSTERNORRLANDS LÄN</t>
        </is>
      </c>
      <c r="E3864" t="inlineStr">
        <is>
          <t>SOLLEFTEÅ</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9089-2025</t>
        </is>
      </c>
      <c r="B3865" s="1" t="n">
        <v>45713</v>
      </c>
      <c r="C3865" s="1" t="n">
        <v>45822</v>
      </c>
      <c r="D3865" t="inlineStr">
        <is>
          <t>VÄSTERNORRLANDS LÄN</t>
        </is>
      </c>
      <c r="E3865" t="inlineStr">
        <is>
          <t>SOLLEFTEÅ</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9151-2025</t>
        </is>
      </c>
      <c r="B3866" s="1" t="n">
        <v>45714</v>
      </c>
      <c r="C3866" s="1" t="n">
        <v>45822</v>
      </c>
      <c r="D3866" t="inlineStr">
        <is>
          <t>VÄSTERNORRLANDS LÄN</t>
        </is>
      </c>
      <c r="E3866" t="inlineStr">
        <is>
          <t>SOLLEFTEÅ</t>
        </is>
      </c>
      <c r="F3866" t="inlineStr">
        <is>
          <t>SCA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9163-2025</t>
        </is>
      </c>
      <c r="B3867" s="1" t="n">
        <v>45714</v>
      </c>
      <c r="C3867" s="1" t="n">
        <v>45822</v>
      </c>
      <c r="D3867" t="inlineStr">
        <is>
          <t>VÄSTERNORRLANDS LÄN</t>
        </is>
      </c>
      <c r="E3867" t="inlineStr">
        <is>
          <t>SOLLEFTEÅ</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9254-2025</t>
        </is>
      </c>
      <c r="B3868" s="1" t="n">
        <v>45714</v>
      </c>
      <c r="C3868" s="1" t="n">
        <v>45822</v>
      </c>
      <c r="D3868" t="inlineStr">
        <is>
          <t>VÄSTERNORRLANDS LÄN</t>
        </is>
      </c>
      <c r="E3868" t="inlineStr">
        <is>
          <t>SOLLEFTEÅ</t>
        </is>
      </c>
      <c r="F3868" t="inlineStr">
        <is>
          <t>SCA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9237-2025</t>
        </is>
      </c>
      <c r="B3869" s="1" t="n">
        <v>45714</v>
      </c>
      <c r="C3869" s="1" t="n">
        <v>45822</v>
      </c>
      <c r="D3869" t="inlineStr">
        <is>
          <t>VÄSTERNORRLANDS LÄN</t>
        </is>
      </c>
      <c r="E3869" t="inlineStr">
        <is>
          <t>SOLLEFTEÅ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9245-2025</t>
        </is>
      </c>
      <c r="B3870" s="1" t="n">
        <v>45714</v>
      </c>
      <c r="C3870" s="1" t="n">
        <v>45822</v>
      </c>
      <c r="D3870" t="inlineStr">
        <is>
          <t>VÄSTERNORRLANDS LÄN</t>
        </is>
      </c>
      <c r="E3870" t="inlineStr">
        <is>
          <t>SOLLEFTEÅ</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9253-2025</t>
        </is>
      </c>
      <c r="B3871" s="1" t="n">
        <v>45714</v>
      </c>
      <c r="C3871" s="1" t="n">
        <v>45822</v>
      </c>
      <c r="D3871" t="inlineStr">
        <is>
          <t>VÄSTERNORRLANDS LÄN</t>
        </is>
      </c>
      <c r="E3871" t="inlineStr">
        <is>
          <t>SOLLEFTEÅ</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9305-2025</t>
        </is>
      </c>
      <c r="B3872" s="1" t="n">
        <v>45714</v>
      </c>
      <c r="C3872" s="1" t="n">
        <v>45822</v>
      </c>
      <c r="D3872" t="inlineStr">
        <is>
          <t>VÄSTERNORRLANDS LÄN</t>
        </is>
      </c>
      <c r="E3872" t="inlineStr">
        <is>
          <t>SOLLEFTEÅ</t>
        </is>
      </c>
      <c r="F3872" t="inlineStr">
        <is>
          <t>SCA</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9606-2025</t>
        </is>
      </c>
      <c r="B3873" s="1" t="n">
        <v>45715</v>
      </c>
      <c r="C3873" s="1" t="n">
        <v>45822</v>
      </c>
      <c r="D3873" t="inlineStr">
        <is>
          <t>VÄSTERNORRLANDS LÄN</t>
        </is>
      </c>
      <c r="E3873" t="inlineStr">
        <is>
          <t>SOLLEFTEÅ</t>
        </is>
      </c>
      <c r="F3873" t="inlineStr">
        <is>
          <t>SCA</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9608-2025</t>
        </is>
      </c>
      <c r="B3874" s="1" t="n">
        <v>45715</v>
      </c>
      <c r="C3874" s="1" t="n">
        <v>45822</v>
      </c>
      <c r="D3874" t="inlineStr">
        <is>
          <t>VÄSTERNORRLANDS LÄN</t>
        </is>
      </c>
      <c r="E3874" t="inlineStr">
        <is>
          <t>SOLLEFTEÅ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9632-2025</t>
        </is>
      </c>
      <c r="B3875" s="1" t="n">
        <v>45715</v>
      </c>
      <c r="C3875" s="1" t="n">
        <v>45822</v>
      </c>
      <c r="D3875" t="inlineStr">
        <is>
          <t>VÄSTERNORRLANDS LÄN</t>
        </is>
      </c>
      <c r="E3875" t="inlineStr">
        <is>
          <t>SOLLEFTEÅ</t>
        </is>
      </c>
      <c r="F3875" t="inlineStr">
        <is>
          <t>SCA</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9607-2025</t>
        </is>
      </c>
      <c r="B3876" s="1" t="n">
        <v>45715</v>
      </c>
      <c r="C3876" s="1" t="n">
        <v>45822</v>
      </c>
      <c r="D3876" t="inlineStr">
        <is>
          <t>VÄSTERNORRLANDS LÄN</t>
        </is>
      </c>
      <c r="E3876" t="inlineStr">
        <is>
          <t>SOLLEFTEÅ</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9754-2025</t>
        </is>
      </c>
      <c r="B3877" s="1" t="n">
        <v>45716</v>
      </c>
      <c r="C3877" s="1" t="n">
        <v>45822</v>
      </c>
      <c r="D3877" t="inlineStr">
        <is>
          <t>VÄSTERNORRLANDS LÄN</t>
        </is>
      </c>
      <c r="E3877" t="inlineStr">
        <is>
          <t>SOLLEFTEÅ</t>
        </is>
      </c>
      <c r="F3877" t="inlineStr">
        <is>
          <t>SCA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9720-2025</t>
        </is>
      </c>
      <c r="B3878" s="1" t="n">
        <v>45716</v>
      </c>
      <c r="C3878" s="1" t="n">
        <v>45822</v>
      </c>
      <c r="D3878" t="inlineStr">
        <is>
          <t>VÄSTERNORRLANDS LÄN</t>
        </is>
      </c>
      <c r="E3878" t="inlineStr">
        <is>
          <t>SOLLEFTEÅ</t>
        </is>
      </c>
      <c r="F3878" t="inlineStr">
        <is>
          <t>SCA</t>
        </is>
      </c>
      <c r="G3878" t="n">
        <v>21.9</v>
      </c>
      <c r="H3878" t="n">
        <v>0</v>
      </c>
      <c r="I3878" t="n">
        <v>0</v>
      </c>
      <c r="J3878" t="n">
        <v>0</v>
      </c>
      <c r="K3878" t="n">
        <v>0</v>
      </c>
      <c r="L3878" t="n">
        <v>0</v>
      </c>
      <c r="M3878" t="n">
        <v>0</v>
      </c>
      <c r="N3878" t="n">
        <v>0</v>
      </c>
      <c r="O3878" t="n">
        <v>0</v>
      </c>
      <c r="P3878" t="n">
        <v>0</v>
      </c>
      <c r="Q3878" t="n">
        <v>0</v>
      </c>
      <c r="R3878" s="2" t="inlineStr"/>
    </row>
    <row r="3879" ht="15" customHeight="1">
      <c r="A3879" t="inlineStr">
        <is>
          <t>A 9834-2025</t>
        </is>
      </c>
      <c r="B3879" s="1" t="n">
        <v>45716</v>
      </c>
      <c r="C3879" s="1" t="n">
        <v>45822</v>
      </c>
      <c r="D3879" t="inlineStr">
        <is>
          <t>VÄSTERNORRLANDS LÄN</t>
        </is>
      </c>
      <c r="E3879" t="inlineStr">
        <is>
          <t>SOLLEFTEÅ</t>
        </is>
      </c>
      <c r="G3879" t="n">
        <v>17.3</v>
      </c>
      <c r="H3879" t="n">
        <v>0</v>
      </c>
      <c r="I3879" t="n">
        <v>0</v>
      </c>
      <c r="J3879" t="n">
        <v>0</v>
      </c>
      <c r="K3879" t="n">
        <v>0</v>
      </c>
      <c r="L3879" t="n">
        <v>0</v>
      </c>
      <c r="M3879" t="n">
        <v>0</v>
      </c>
      <c r="N3879" t="n">
        <v>0</v>
      </c>
      <c r="O3879" t="n">
        <v>0</v>
      </c>
      <c r="P3879" t="n">
        <v>0</v>
      </c>
      <c r="Q3879" t="n">
        <v>0</v>
      </c>
      <c r="R3879" s="2" t="inlineStr"/>
    </row>
    <row r="3880" ht="15" customHeight="1">
      <c r="A3880" t="inlineStr">
        <is>
          <t>A 9708-2025</t>
        </is>
      </c>
      <c r="B3880" s="1" t="n">
        <v>45716</v>
      </c>
      <c r="C3880" s="1" t="n">
        <v>45822</v>
      </c>
      <c r="D3880" t="inlineStr">
        <is>
          <t>VÄSTERNORRLANDS LÄN</t>
        </is>
      </c>
      <c r="E3880" t="inlineStr">
        <is>
          <t>SOLLEFTEÅ</t>
        </is>
      </c>
      <c r="F3880" t="inlineStr">
        <is>
          <t>SCA</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9967-2025</t>
        </is>
      </c>
      <c r="B3881" s="1" t="n">
        <v>45719</v>
      </c>
      <c r="C3881" s="1" t="n">
        <v>45822</v>
      </c>
      <c r="D3881" t="inlineStr">
        <is>
          <t>VÄSTERNORRLANDS LÄN</t>
        </is>
      </c>
      <c r="E3881" t="inlineStr">
        <is>
          <t>SOLLEFTEÅ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9950-2025</t>
        </is>
      </c>
      <c r="B3882" s="1" t="n">
        <v>45719</v>
      </c>
      <c r="C3882" s="1" t="n">
        <v>45822</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9966-2025</t>
        </is>
      </c>
      <c r="B3883" s="1" t="n">
        <v>45719</v>
      </c>
      <c r="C3883" s="1" t="n">
        <v>45822</v>
      </c>
      <c r="D3883" t="inlineStr">
        <is>
          <t>VÄSTERNORRLANDS LÄN</t>
        </is>
      </c>
      <c r="E3883" t="inlineStr">
        <is>
          <t>SOLLEFTEÅ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10403-2025</t>
        </is>
      </c>
      <c r="B3884" s="1" t="n">
        <v>45720</v>
      </c>
      <c r="C3884" s="1" t="n">
        <v>45822</v>
      </c>
      <c r="D3884" t="inlineStr">
        <is>
          <t>VÄSTERNORRLANDS LÄN</t>
        </is>
      </c>
      <c r="E3884" t="inlineStr">
        <is>
          <t>SOLLEFTEÅ</t>
        </is>
      </c>
      <c r="F3884" t="inlineStr">
        <is>
          <t>SCA</t>
        </is>
      </c>
      <c r="G3884" t="n">
        <v>25.8</v>
      </c>
      <c r="H3884" t="n">
        <v>0</v>
      </c>
      <c r="I3884" t="n">
        <v>0</v>
      </c>
      <c r="J3884" t="n">
        <v>0</v>
      </c>
      <c r="K3884" t="n">
        <v>0</v>
      </c>
      <c r="L3884" t="n">
        <v>0</v>
      </c>
      <c r="M3884" t="n">
        <v>0</v>
      </c>
      <c r="N3884" t="n">
        <v>0</v>
      </c>
      <c r="O3884" t="n">
        <v>0</v>
      </c>
      <c r="P3884" t="n">
        <v>0</v>
      </c>
      <c r="Q3884" t="n">
        <v>0</v>
      </c>
      <c r="R3884" s="2" t="inlineStr"/>
    </row>
    <row r="3885" ht="15" customHeight="1">
      <c r="A3885" t="inlineStr">
        <is>
          <t>A 10240-2025</t>
        </is>
      </c>
      <c r="B3885" s="1" t="n">
        <v>45720</v>
      </c>
      <c r="C3885" s="1" t="n">
        <v>45822</v>
      </c>
      <c r="D3885" t="inlineStr">
        <is>
          <t>VÄSTERNORRLANDS LÄN</t>
        </is>
      </c>
      <c r="E3885" t="inlineStr">
        <is>
          <t>SOLLEFTEÅ</t>
        </is>
      </c>
      <c r="F3885" t="inlineStr">
        <is>
          <t>SCA</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10437-2025</t>
        </is>
      </c>
      <c r="B3886" s="1" t="n">
        <v>45720</v>
      </c>
      <c r="C3886" s="1" t="n">
        <v>45822</v>
      </c>
      <c r="D3886" t="inlineStr">
        <is>
          <t>VÄSTERNORRLANDS LÄN</t>
        </is>
      </c>
      <c r="E3886" t="inlineStr">
        <is>
          <t>SOLLEFTEÅ</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10438-2025</t>
        </is>
      </c>
      <c r="B3887" s="1" t="n">
        <v>45720</v>
      </c>
      <c r="C3887" s="1" t="n">
        <v>45822</v>
      </c>
      <c r="D3887" t="inlineStr">
        <is>
          <t>VÄSTERNORRLANDS LÄN</t>
        </is>
      </c>
      <c r="E3887" t="inlineStr">
        <is>
          <t>SOLLEFTEÅ</t>
        </is>
      </c>
      <c r="F3887" t="inlineStr">
        <is>
          <t>SCA</t>
        </is>
      </c>
      <c r="G3887" t="n">
        <v>14.6</v>
      </c>
      <c r="H3887" t="n">
        <v>0</v>
      </c>
      <c r="I3887" t="n">
        <v>0</v>
      </c>
      <c r="J3887" t="n">
        <v>0</v>
      </c>
      <c r="K3887" t="n">
        <v>0</v>
      </c>
      <c r="L3887" t="n">
        <v>0</v>
      </c>
      <c r="M3887" t="n">
        <v>0</v>
      </c>
      <c r="N3887" t="n">
        <v>0</v>
      </c>
      <c r="O3887" t="n">
        <v>0</v>
      </c>
      <c r="P3887" t="n">
        <v>0</v>
      </c>
      <c r="Q3887" t="n">
        <v>0</v>
      </c>
      <c r="R3887" s="2" t="inlineStr"/>
    </row>
    <row r="3888" ht="15" customHeight="1">
      <c r="A3888" t="inlineStr">
        <is>
          <t>A 10237-2025</t>
        </is>
      </c>
      <c r="B3888" s="1" t="n">
        <v>45720</v>
      </c>
      <c r="C3888" s="1" t="n">
        <v>45822</v>
      </c>
      <c r="D3888" t="inlineStr">
        <is>
          <t>VÄSTERNORRLANDS LÄN</t>
        </is>
      </c>
      <c r="E3888" t="inlineStr">
        <is>
          <t>SOLLEFTEÅ</t>
        </is>
      </c>
      <c r="F3888" t="inlineStr">
        <is>
          <t>SCA</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10726-2025</t>
        </is>
      </c>
      <c r="B3889" s="1" t="n">
        <v>45722</v>
      </c>
      <c r="C3889" s="1" t="n">
        <v>45822</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10737-2025</t>
        </is>
      </c>
      <c r="B3890" s="1" t="n">
        <v>45722</v>
      </c>
      <c r="C3890" s="1" t="n">
        <v>45822</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10738-2025</t>
        </is>
      </c>
      <c r="B3891" s="1" t="n">
        <v>45722</v>
      </c>
      <c r="C3891" s="1" t="n">
        <v>45822</v>
      </c>
      <c r="D3891" t="inlineStr">
        <is>
          <t>VÄSTERNORRLANDS LÄN</t>
        </is>
      </c>
      <c r="E3891" t="inlineStr">
        <is>
          <t>SOLLEFTEÅ</t>
        </is>
      </c>
      <c r="F3891" t="inlineStr">
        <is>
          <t>SCA</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10725-2025</t>
        </is>
      </c>
      <c r="B3892" s="1" t="n">
        <v>45722</v>
      </c>
      <c r="C3892" s="1" t="n">
        <v>45822</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10865-2025</t>
        </is>
      </c>
      <c r="B3893" s="1" t="n">
        <v>45722</v>
      </c>
      <c r="C3893" s="1" t="n">
        <v>45822</v>
      </c>
      <c r="D3893" t="inlineStr">
        <is>
          <t>VÄSTERNORRLANDS LÄN</t>
        </is>
      </c>
      <c r="E3893" t="inlineStr">
        <is>
          <t>SOLLEFTEÅ</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10970-2025</t>
        </is>
      </c>
      <c r="B3894" s="1" t="n">
        <v>45723</v>
      </c>
      <c r="C3894" s="1" t="n">
        <v>45822</v>
      </c>
      <c r="D3894" t="inlineStr">
        <is>
          <t>VÄSTERNORRLANDS LÄN</t>
        </is>
      </c>
      <c r="E3894" t="inlineStr">
        <is>
          <t>SOLLEFTEÅ</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11026-2025</t>
        </is>
      </c>
      <c r="B3895" s="1" t="n">
        <v>45723</v>
      </c>
      <c r="C3895" s="1" t="n">
        <v>45822</v>
      </c>
      <c r="D3895" t="inlineStr">
        <is>
          <t>VÄSTERNORRLANDS LÄN</t>
        </is>
      </c>
      <c r="E3895" t="inlineStr">
        <is>
          <t>SOLLEFTEÅ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11108-2025</t>
        </is>
      </c>
      <c r="B3896" s="1" t="n">
        <v>45723</v>
      </c>
      <c r="C3896" s="1" t="n">
        <v>45822</v>
      </c>
      <c r="D3896" t="inlineStr">
        <is>
          <t>VÄSTERNORRLANDS LÄN</t>
        </is>
      </c>
      <c r="E3896" t="inlineStr">
        <is>
          <t>SOLLEFTEÅ</t>
        </is>
      </c>
      <c r="F3896" t="inlineStr">
        <is>
          <t>SCA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11134-2025</t>
        </is>
      </c>
      <c r="B3897" s="1" t="n">
        <v>45723</v>
      </c>
      <c r="C3897" s="1" t="n">
        <v>45822</v>
      </c>
      <c r="D3897" t="inlineStr">
        <is>
          <t>VÄSTERNORRLANDS LÄN</t>
        </is>
      </c>
      <c r="E3897" t="inlineStr">
        <is>
          <t>SOLLEFTEÅ</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10950-2025</t>
        </is>
      </c>
      <c r="B3898" s="1" t="n">
        <v>45723</v>
      </c>
      <c r="C3898" s="1" t="n">
        <v>45822</v>
      </c>
      <c r="D3898" t="inlineStr">
        <is>
          <t>VÄSTERNORRLANDS LÄN</t>
        </is>
      </c>
      <c r="E3898" t="inlineStr">
        <is>
          <t>SOLLEFTEÅ</t>
        </is>
      </c>
      <c r="F3898" t="inlineStr">
        <is>
          <t>SCA</t>
        </is>
      </c>
      <c r="G3898" t="n">
        <v>32.3</v>
      </c>
      <c r="H3898" t="n">
        <v>0</v>
      </c>
      <c r="I3898" t="n">
        <v>0</v>
      </c>
      <c r="J3898" t="n">
        <v>0</v>
      </c>
      <c r="K3898" t="n">
        <v>0</v>
      </c>
      <c r="L3898" t="n">
        <v>0</v>
      </c>
      <c r="M3898" t="n">
        <v>0</v>
      </c>
      <c r="N3898" t="n">
        <v>0</v>
      </c>
      <c r="O3898" t="n">
        <v>0</v>
      </c>
      <c r="P3898" t="n">
        <v>0</v>
      </c>
      <c r="Q3898" t="n">
        <v>0</v>
      </c>
      <c r="R3898" s="2" t="inlineStr"/>
    </row>
    <row r="3899" ht="15" customHeight="1">
      <c r="A3899" t="inlineStr">
        <is>
          <t>A 10983-2025</t>
        </is>
      </c>
      <c r="B3899" s="1" t="n">
        <v>45723</v>
      </c>
      <c r="C3899" s="1" t="n">
        <v>45822</v>
      </c>
      <c r="D3899" t="inlineStr">
        <is>
          <t>VÄSTERNORRLANDS LÄN</t>
        </is>
      </c>
      <c r="E3899" t="inlineStr">
        <is>
          <t>SOLLEFTEÅ</t>
        </is>
      </c>
      <c r="F3899" t="inlineStr">
        <is>
          <t>SCA</t>
        </is>
      </c>
      <c r="G3899" t="n">
        <v>16.8</v>
      </c>
      <c r="H3899" t="n">
        <v>0</v>
      </c>
      <c r="I3899" t="n">
        <v>0</v>
      </c>
      <c r="J3899" t="n">
        <v>0</v>
      </c>
      <c r="K3899" t="n">
        <v>0</v>
      </c>
      <c r="L3899" t="n">
        <v>0</v>
      </c>
      <c r="M3899" t="n">
        <v>0</v>
      </c>
      <c r="N3899" t="n">
        <v>0</v>
      </c>
      <c r="O3899" t="n">
        <v>0</v>
      </c>
      <c r="P3899" t="n">
        <v>0</v>
      </c>
      <c r="Q3899" t="n">
        <v>0</v>
      </c>
      <c r="R3899" s="2" t="inlineStr"/>
    </row>
    <row r="3900" ht="15" customHeight="1">
      <c r="A3900" t="inlineStr">
        <is>
          <t>A 10981-2025</t>
        </is>
      </c>
      <c r="B3900" s="1" t="n">
        <v>45723</v>
      </c>
      <c r="C3900" s="1" t="n">
        <v>45822</v>
      </c>
      <c r="D3900" t="inlineStr">
        <is>
          <t>VÄSTERNORRLANDS LÄN</t>
        </is>
      </c>
      <c r="E3900" t="inlineStr">
        <is>
          <t>SOLLEFTEÅ</t>
        </is>
      </c>
      <c r="F3900" t="inlineStr">
        <is>
          <t>SCA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11057-2025</t>
        </is>
      </c>
      <c r="B3901" s="1" t="n">
        <v>45723</v>
      </c>
      <c r="C3901" s="1" t="n">
        <v>45822</v>
      </c>
      <c r="D3901" t="inlineStr">
        <is>
          <t>VÄSTERNORRLANDS LÄN</t>
        </is>
      </c>
      <c r="E3901" t="inlineStr">
        <is>
          <t>SOLLEFTEÅ</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10968-2025</t>
        </is>
      </c>
      <c r="B3902" s="1" t="n">
        <v>45723</v>
      </c>
      <c r="C3902" s="1" t="n">
        <v>45822</v>
      </c>
      <c r="D3902" t="inlineStr">
        <is>
          <t>VÄSTERNORRLANDS LÄN</t>
        </is>
      </c>
      <c r="E3902" t="inlineStr">
        <is>
          <t>SOLLEFTEÅ</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10967-2025</t>
        </is>
      </c>
      <c r="B3903" s="1" t="n">
        <v>45723</v>
      </c>
      <c r="C3903" s="1" t="n">
        <v>45822</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10971-2025</t>
        </is>
      </c>
      <c r="B3904" s="1" t="n">
        <v>45723</v>
      </c>
      <c r="C3904" s="1" t="n">
        <v>45822</v>
      </c>
      <c r="D3904" t="inlineStr">
        <is>
          <t>VÄSTERNORRLANDS LÄN</t>
        </is>
      </c>
      <c r="E3904" t="inlineStr">
        <is>
          <t>SOLLEFTEÅ</t>
        </is>
      </c>
      <c r="F3904" t="inlineStr">
        <is>
          <t>SCA</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11338-2025</t>
        </is>
      </c>
      <c r="B3905" s="1" t="n">
        <v>45726</v>
      </c>
      <c r="C3905" s="1" t="n">
        <v>45822</v>
      </c>
      <c r="D3905" t="inlineStr">
        <is>
          <t>VÄSTERNORRLANDS LÄN</t>
        </is>
      </c>
      <c r="E3905" t="inlineStr">
        <is>
          <t>SOLLEFTEÅ</t>
        </is>
      </c>
      <c r="F3905" t="inlineStr">
        <is>
          <t>SCA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11449-2025</t>
        </is>
      </c>
      <c r="B3906" s="1" t="n">
        <v>45726</v>
      </c>
      <c r="C3906" s="1" t="n">
        <v>45822</v>
      </c>
      <c r="D3906" t="inlineStr">
        <is>
          <t>VÄSTERNORRLANDS LÄN</t>
        </is>
      </c>
      <c r="E3906" t="inlineStr">
        <is>
          <t>SOLLEFTEÅ</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11455-2025</t>
        </is>
      </c>
      <c r="B3907" s="1" t="n">
        <v>45726</v>
      </c>
      <c r="C3907" s="1" t="n">
        <v>45822</v>
      </c>
      <c r="D3907" t="inlineStr">
        <is>
          <t>VÄSTERNORRLANDS LÄN</t>
        </is>
      </c>
      <c r="E3907" t="inlineStr">
        <is>
          <t>SOLLEFTEÅ</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11697-2025</t>
        </is>
      </c>
      <c r="B3908" s="1" t="n">
        <v>45727</v>
      </c>
      <c r="C3908" s="1" t="n">
        <v>45822</v>
      </c>
      <c r="D3908" t="inlineStr">
        <is>
          <t>VÄSTERNORRLANDS LÄN</t>
        </is>
      </c>
      <c r="E3908" t="inlineStr">
        <is>
          <t>SOLLEFTEÅ</t>
        </is>
      </c>
      <c r="F3908" t="inlineStr">
        <is>
          <t>SCA</t>
        </is>
      </c>
      <c r="G3908" t="n">
        <v>26.6</v>
      </c>
      <c r="H3908" t="n">
        <v>0</v>
      </c>
      <c r="I3908" t="n">
        <v>0</v>
      </c>
      <c r="J3908" t="n">
        <v>0</v>
      </c>
      <c r="K3908" t="n">
        <v>0</v>
      </c>
      <c r="L3908" t="n">
        <v>0</v>
      </c>
      <c r="M3908" t="n">
        <v>0</v>
      </c>
      <c r="N3908" t="n">
        <v>0</v>
      </c>
      <c r="O3908" t="n">
        <v>0</v>
      </c>
      <c r="P3908" t="n">
        <v>0</v>
      </c>
      <c r="Q3908" t="n">
        <v>0</v>
      </c>
      <c r="R3908" s="2" t="inlineStr"/>
    </row>
    <row r="3909" ht="15" customHeight="1">
      <c r="A3909" t="inlineStr">
        <is>
          <t>A 11698-2025</t>
        </is>
      </c>
      <c r="B3909" s="1" t="n">
        <v>45727</v>
      </c>
      <c r="C3909" s="1" t="n">
        <v>45822</v>
      </c>
      <c r="D3909" t="inlineStr">
        <is>
          <t>VÄSTERNORRLANDS LÄN</t>
        </is>
      </c>
      <c r="E3909" t="inlineStr">
        <is>
          <t>SOLLEFTEÅ</t>
        </is>
      </c>
      <c r="F3909" t="inlineStr">
        <is>
          <t>SCA</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11711-2025</t>
        </is>
      </c>
      <c r="B3910" s="1" t="n">
        <v>45727</v>
      </c>
      <c r="C3910" s="1" t="n">
        <v>45822</v>
      </c>
      <c r="D3910" t="inlineStr">
        <is>
          <t>VÄSTERNORRLANDS LÄN</t>
        </is>
      </c>
      <c r="E3910" t="inlineStr">
        <is>
          <t>SOLLEFTEÅ</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11746-2025</t>
        </is>
      </c>
      <c r="B3911" s="1" t="n">
        <v>45727</v>
      </c>
      <c r="C3911" s="1" t="n">
        <v>45822</v>
      </c>
      <c r="D3911" t="inlineStr">
        <is>
          <t>VÄSTERNORRLANDS LÄN</t>
        </is>
      </c>
      <c r="E3911" t="inlineStr">
        <is>
          <t>SOLLEFTEÅ</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11727-2025</t>
        </is>
      </c>
      <c r="B3912" s="1" t="n">
        <v>45727</v>
      </c>
      <c r="C3912" s="1" t="n">
        <v>45822</v>
      </c>
      <c r="D3912" t="inlineStr">
        <is>
          <t>VÄSTERNORRLANDS LÄN</t>
        </is>
      </c>
      <c r="E3912" t="inlineStr">
        <is>
          <t>SOLLEFTEÅ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12063-2025</t>
        </is>
      </c>
      <c r="B3913" s="1" t="n">
        <v>45728</v>
      </c>
      <c r="C3913" s="1" t="n">
        <v>45822</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11982-2025</t>
        </is>
      </c>
      <c r="B3914" s="1" t="n">
        <v>45728</v>
      </c>
      <c r="C3914" s="1" t="n">
        <v>45822</v>
      </c>
      <c r="D3914" t="inlineStr">
        <is>
          <t>VÄSTERNORRLANDS LÄN</t>
        </is>
      </c>
      <c r="E3914" t="inlineStr">
        <is>
          <t>SOLLEFTEÅ</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12061-2025</t>
        </is>
      </c>
      <c r="B3915" s="1" t="n">
        <v>45728</v>
      </c>
      <c r="C3915" s="1" t="n">
        <v>45822</v>
      </c>
      <c r="D3915" t="inlineStr">
        <is>
          <t>VÄSTERNORRLANDS LÄN</t>
        </is>
      </c>
      <c r="E3915" t="inlineStr">
        <is>
          <t>SOLLEFTEÅ</t>
        </is>
      </c>
      <c r="F3915" t="inlineStr">
        <is>
          <t>SCA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12064-2025</t>
        </is>
      </c>
      <c r="B3916" s="1" t="n">
        <v>45728</v>
      </c>
      <c r="C3916" s="1" t="n">
        <v>45822</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12062-2025</t>
        </is>
      </c>
      <c r="B3917" s="1" t="n">
        <v>45728</v>
      </c>
      <c r="C3917" s="1" t="n">
        <v>45822</v>
      </c>
      <c r="D3917" t="inlineStr">
        <is>
          <t>VÄSTERNORRLANDS LÄN</t>
        </is>
      </c>
      <c r="E3917" t="inlineStr">
        <is>
          <t>SOLLEFTEÅ</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12361-2025</t>
        </is>
      </c>
      <c r="B3918" s="1" t="n">
        <v>45730</v>
      </c>
      <c r="C3918" s="1" t="n">
        <v>45822</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12384-2025</t>
        </is>
      </c>
      <c r="B3919" s="1" t="n">
        <v>45730</v>
      </c>
      <c r="C3919" s="1" t="n">
        <v>45822</v>
      </c>
      <c r="D3919" t="inlineStr">
        <is>
          <t>VÄSTERNORRLANDS LÄN</t>
        </is>
      </c>
      <c r="E3919" t="inlineStr">
        <is>
          <t>SOLLEFTEÅ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12461-2025</t>
        </is>
      </c>
      <c r="B3920" s="1" t="n">
        <v>45730</v>
      </c>
      <c r="C3920" s="1" t="n">
        <v>45822</v>
      </c>
      <c r="D3920" t="inlineStr">
        <is>
          <t>VÄSTERNORRLANDS LÄN</t>
        </is>
      </c>
      <c r="E3920" t="inlineStr">
        <is>
          <t>SOLLEFTEÅ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12355-2025</t>
        </is>
      </c>
      <c r="B3921" s="1" t="n">
        <v>45730</v>
      </c>
      <c r="C3921" s="1" t="n">
        <v>45822</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12379-2025</t>
        </is>
      </c>
      <c r="B3922" s="1" t="n">
        <v>45730</v>
      </c>
      <c r="C3922" s="1" t="n">
        <v>45822</v>
      </c>
      <c r="D3922" t="inlineStr">
        <is>
          <t>VÄSTERNORRLANDS LÄN</t>
        </is>
      </c>
      <c r="E3922" t="inlineStr">
        <is>
          <t>SOLLEFTEÅ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12632-2025</t>
        </is>
      </c>
      <c r="B3923" s="1" t="n">
        <v>45733</v>
      </c>
      <c r="C3923" s="1" t="n">
        <v>45822</v>
      </c>
      <c r="D3923" t="inlineStr">
        <is>
          <t>VÄSTERNORRLANDS LÄN</t>
        </is>
      </c>
      <c r="E3923" t="inlineStr">
        <is>
          <t>SOLLEFTEÅ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12683-2025</t>
        </is>
      </c>
      <c r="B3924" s="1" t="n">
        <v>45733</v>
      </c>
      <c r="C3924" s="1" t="n">
        <v>45822</v>
      </c>
      <c r="D3924" t="inlineStr">
        <is>
          <t>VÄSTERNORRLANDS LÄN</t>
        </is>
      </c>
      <c r="E3924" t="inlineStr">
        <is>
          <t>SOLLEFTEÅ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12706-2025</t>
        </is>
      </c>
      <c r="B3925" s="1" t="n">
        <v>45733</v>
      </c>
      <c r="C3925" s="1" t="n">
        <v>45822</v>
      </c>
      <c r="D3925" t="inlineStr">
        <is>
          <t>VÄSTERNORRLANDS LÄN</t>
        </is>
      </c>
      <c r="E3925" t="inlineStr">
        <is>
          <t>SOLLEFTEÅ</t>
        </is>
      </c>
      <c r="F3925" t="inlineStr">
        <is>
          <t>SCA</t>
        </is>
      </c>
      <c r="G3925" t="n">
        <v>21.7</v>
      </c>
      <c r="H3925" t="n">
        <v>0</v>
      </c>
      <c r="I3925" t="n">
        <v>0</v>
      </c>
      <c r="J3925" t="n">
        <v>0</v>
      </c>
      <c r="K3925" t="n">
        <v>0</v>
      </c>
      <c r="L3925" t="n">
        <v>0</v>
      </c>
      <c r="M3925" t="n">
        <v>0</v>
      </c>
      <c r="N3925" t="n">
        <v>0</v>
      </c>
      <c r="O3925" t="n">
        <v>0</v>
      </c>
      <c r="P3925" t="n">
        <v>0</v>
      </c>
      <c r="Q3925" t="n">
        <v>0</v>
      </c>
      <c r="R3925" s="2" t="inlineStr"/>
    </row>
    <row r="3926" ht="15" customHeight="1">
      <c r="A3926" t="inlineStr">
        <is>
          <t>A 12614-2025</t>
        </is>
      </c>
      <c r="B3926" s="1" t="n">
        <v>45733</v>
      </c>
      <c r="C3926" s="1" t="n">
        <v>45822</v>
      </c>
      <c r="D3926" t="inlineStr">
        <is>
          <t>VÄSTERNORRLANDS LÄN</t>
        </is>
      </c>
      <c r="E3926" t="inlineStr">
        <is>
          <t>SOLLEFTEÅ</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12644-2025</t>
        </is>
      </c>
      <c r="B3927" s="1" t="n">
        <v>45733</v>
      </c>
      <c r="C3927" s="1" t="n">
        <v>45822</v>
      </c>
      <c r="D3927" t="inlineStr">
        <is>
          <t>VÄSTERNORRLANDS LÄN</t>
        </is>
      </c>
      <c r="E3927" t="inlineStr">
        <is>
          <t>SOLLEFTEÅ</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12730-2025</t>
        </is>
      </c>
      <c r="B3928" s="1" t="n">
        <v>45733</v>
      </c>
      <c r="C3928" s="1" t="n">
        <v>45822</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12673-2025</t>
        </is>
      </c>
      <c r="B3929" s="1" t="n">
        <v>45733</v>
      </c>
      <c r="C3929" s="1" t="n">
        <v>45822</v>
      </c>
      <c r="D3929" t="inlineStr">
        <is>
          <t>VÄSTERNORRLANDS LÄN</t>
        </is>
      </c>
      <c r="E3929" t="inlineStr">
        <is>
          <t>SOLLEFTEÅ</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12834-2025</t>
        </is>
      </c>
      <c r="B3930" s="1" t="n">
        <v>45733</v>
      </c>
      <c r="C3930" s="1" t="n">
        <v>45822</v>
      </c>
      <c r="D3930" t="inlineStr">
        <is>
          <t>VÄSTERNORRLANDS LÄN</t>
        </is>
      </c>
      <c r="E3930" t="inlineStr">
        <is>
          <t>SOLLEFTEÅ</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12627-2025</t>
        </is>
      </c>
      <c r="B3931" s="1" t="n">
        <v>45733</v>
      </c>
      <c r="C3931" s="1" t="n">
        <v>45822</v>
      </c>
      <c r="D3931" t="inlineStr">
        <is>
          <t>VÄSTERNORRLANDS LÄN</t>
        </is>
      </c>
      <c r="E3931" t="inlineStr">
        <is>
          <t>SOLLEFTEÅ</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12617-2025</t>
        </is>
      </c>
      <c r="B3932" s="1" t="n">
        <v>45733</v>
      </c>
      <c r="C3932" s="1" t="n">
        <v>45822</v>
      </c>
      <c r="D3932" t="inlineStr">
        <is>
          <t>VÄSTERNORRLANDS LÄN</t>
        </is>
      </c>
      <c r="E3932" t="inlineStr">
        <is>
          <t>SOLLEFTEÅ</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13070-2025</t>
        </is>
      </c>
      <c r="B3933" s="1" t="n">
        <v>45734</v>
      </c>
      <c r="C3933" s="1" t="n">
        <v>45822</v>
      </c>
      <c r="D3933" t="inlineStr">
        <is>
          <t>VÄSTERNORRLANDS LÄN</t>
        </is>
      </c>
      <c r="E3933" t="inlineStr">
        <is>
          <t>SOLLEFTEÅ</t>
        </is>
      </c>
      <c r="F3933" t="inlineStr">
        <is>
          <t>SCA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12941-2025</t>
        </is>
      </c>
      <c r="B3934" s="1" t="n">
        <v>45734</v>
      </c>
      <c r="C3934" s="1" t="n">
        <v>45822</v>
      </c>
      <c r="D3934" t="inlineStr">
        <is>
          <t>VÄSTERNORRLANDS LÄN</t>
        </is>
      </c>
      <c r="E3934" t="inlineStr">
        <is>
          <t>SOLLEFTEÅ</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12965-2025</t>
        </is>
      </c>
      <c r="B3935" s="1" t="n">
        <v>45734</v>
      </c>
      <c r="C3935" s="1" t="n">
        <v>45822</v>
      </c>
      <c r="D3935" t="inlineStr">
        <is>
          <t>VÄSTERNORRLANDS LÄN</t>
        </is>
      </c>
      <c r="E3935" t="inlineStr">
        <is>
          <t>SOLLEFTEÅ</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12946-2025</t>
        </is>
      </c>
      <c r="B3936" s="1" t="n">
        <v>45734</v>
      </c>
      <c r="C3936" s="1" t="n">
        <v>45822</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13257-2025</t>
        </is>
      </c>
      <c r="B3937" s="1" t="n">
        <v>45735</v>
      </c>
      <c r="C3937" s="1" t="n">
        <v>45822</v>
      </c>
      <c r="D3937" t="inlineStr">
        <is>
          <t>VÄSTERNORRLANDS LÄN</t>
        </is>
      </c>
      <c r="E3937" t="inlineStr">
        <is>
          <t>SOLLEFTEÅ</t>
        </is>
      </c>
      <c r="F3937" t="inlineStr">
        <is>
          <t>SCA</t>
        </is>
      </c>
      <c r="G3937" t="n">
        <v>15.3</v>
      </c>
      <c r="H3937" t="n">
        <v>0</v>
      </c>
      <c r="I3937" t="n">
        <v>0</v>
      </c>
      <c r="J3937" t="n">
        <v>0</v>
      </c>
      <c r="K3937" t="n">
        <v>0</v>
      </c>
      <c r="L3937" t="n">
        <v>0</v>
      </c>
      <c r="M3937" t="n">
        <v>0</v>
      </c>
      <c r="N3937" t="n">
        <v>0</v>
      </c>
      <c r="O3937" t="n">
        <v>0</v>
      </c>
      <c r="P3937" t="n">
        <v>0</v>
      </c>
      <c r="Q3937" t="n">
        <v>0</v>
      </c>
      <c r="R3937" s="2" t="inlineStr"/>
    </row>
    <row r="3938" ht="15" customHeight="1">
      <c r="A3938" t="inlineStr">
        <is>
          <t>A 13151-2025</t>
        </is>
      </c>
      <c r="B3938" s="1" t="n">
        <v>45735</v>
      </c>
      <c r="C3938" s="1" t="n">
        <v>45822</v>
      </c>
      <c r="D3938" t="inlineStr">
        <is>
          <t>VÄSTERNORRLANDS LÄN</t>
        </is>
      </c>
      <c r="E3938" t="inlineStr">
        <is>
          <t>SOLLEFTEÅ</t>
        </is>
      </c>
      <c r="F3938" t="inlineStr">
        <is>
          <t>SCA</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13215-2025</t>
        </is>
      </c>
      <c r="B3939" s="1" t="n">
        <v>45735</v>
      </c>
      <c r="C3939" s="1" t="n">
        <v>45822</v>
      </c>
      <c r="D3939" t="inlineStr">
        <is>
          <t>VÄSTERNORRLANDS LÄN</t>
        </is>
      </c>
      <c r="E3939" t="inlineStr">
        <is>
          <t>SOLLEFTEÅ</t>
        </is>
      </c>
      <c r="F3939" t="inlineStr">
        <is>
          <t>SCA</t>
        </is>
      </c>
      <c r="G3939" t="n">
        <v>13.5</v>
      </c>
      <c r="H3939" t="n">
        <v>0</v>
      </c>
      <c r="I3939" t="n">
        <v>0</v>
      </c>
      <c r="J3939" t="n">
        <v>0</v>
      </c>
      <c r="K3939" t="n">
        <v>0</v>
      </c>
      <c r="L3939" t="n">
        <v>0</v>
      </c>
      <c r="M3939" t="n">
        <v>0</v>
      </c>
      <c r="N3939" t="n">
        <v>0</v>
      </c>
      <c r="O3939" t="n">
        <v>0</v>
      </c>
      <c r="P3939" t="n">
        <v>0</v>
      </c>
      <c r="Q3939" t="n">
        <v>0</v>
      </c>
      <c r="R3939" s="2" t="inlineStr"/>
    </row>
    <row r="3940" ht="15" customHeight="1">
      <c r="A3940" t="inlineStr">
        <is>
          <t>A 13315-2025</t>
        </is>
      </c>
      <c r="B3940" s="1" t="n">
        <v>45735</v>
      </c>
      <c r="C3940" s="1" t="n">
        <v>45822</v>
      </c>
      <c r="D3940" t="inlineStr">
        <is>
          <t>VÄSTERNORRLANDS LÄN</t>
        </is>
      </c>
      <c r="E3940" t="inlineStr">
        <is>
          <t>SOLLEFTEÅ</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13366-2025</t>
        </is>
      </c>
      <c r="B3941" s="1" t="n">
        <v>45735</v>
      </c>
      <c r="C3941" s="1" t="n">
        <v>45822</v>
      </c>
      <c r="D3941" t="inlineStr">
        <is>
          <t>VÄSTERNORRLANDS LÄN</t>
        </is>
      </c>
      <c r="E3941" t="inlineStr">
        <is>
          <t>SOLLEFTEÅ</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13363-2025</t>
        </is>
      </c>
      <c r="B3942" s="1" t="n">
        <v>45735</v>
      </c>
      <c r="C3942" s="1" t="n">
        <v>45822</v>
      </c>
      <c r="D3942" t="inlineStr">
        <is>
          <t>VÄSTERNORRLANDS LÄN</t>
        </is>
      </c>
      <c r="E3942" t="inlineStr">
        <is>
          <t>SOLLEFTEÅ</t>
        </is>
      </c>
      <c r="F3942" t="inlineStr">
        <is>
          <t>SCA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13150-2025</t>
        </is>
      </c>
      <c r="B3943" s="1" t="n">
        <v>45735</v>
      </c>
      <c r="C3943" s="1" t="n">
        <v>45822</v>
      </c>
      <c r="D3943" t="inlineStr">
        <is>
          <t>VÄSTERNORRLANDS LÄN</t>
        </is>
      </c>
      <c r="E3943" t="inlineStr">
        <is>
          <t>SOLLEFTEÅ</t>
        </is>
      </c>
      <c r="F3943" t="inlineStr">
        <is>
          <t>SCA</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13217-2025</t>
        </is>
      </c>
      <c r="B3944" s="1" t="n">
        <v>45735</v>
      </c>
      <c r="C3944" s="1" t="n">
        <v>45822</v>
      </c>
      <c r="D3944" t="inlineStr">
        <is>
          <t>VÄSTERNORRLANDS LÄN</t>
        </is>
      </c>
      <c r="E3944" t="inlineStr">
        <is>
          <t>SOLLEFTEÅ</t>
        </is>
      </c>
      <c r="F3944" t="inlineStr">
        <is>
          <t>SCA</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13584-2025</t>
        </is>
      </c>
      <c r="B3945" s="1" t="n">
        <v>45736</v>
      </c>
      <c r="C3945" s="1" t="n">
        <v>45822</v>
      </c>
      <c r="D3945" t="inlineStr">
        <is>
          <t>VÄSTERNORRLANDS LÄN</t>
        </is>
      </c>
      <c r="E3945" t="inlineStr">
        <is>
          <t>SOLLEFTEÅ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13637-2025</t>
        </is>
      </c>
      <c r="B3946" s="1" t="n">
        <v>45736</v>
      </c>
      <c r="C3946" s="1" t="n">
        <v>45822</v>
      </c>
      <c r="D3946" t="inlineStr">
        <is>
          <t>VÄSTERNORRLANDS LÄN</t>
        </is>
      </c>
      <c r="E3946" t="inlineStr">
        <is>
          <t>SOLLEFTEÅ</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13652-2025</t>
        </is>
      </c>
      <c r="B3947" s="1" t="n">
        <v>45736</v>
      </c>
      <c r="C3947" s="1" t="n">
        <v>45822</v>
      </c>
      <c r="D3947" t="inlineStr">
        <is>
          <t>VÄSTERNORRLANDS LÄN</t>
        </is>
      </c>
      <c r="E3947" t="inlineStr">
        <is>
          <t>SOLLEFTEÅ</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13639-2025</t>
        </is>
      </c>
      <c r="B3948" s="1" t="n">
        <v>45736</v>
      </c>
      <c r="C3948" s="1" t="n">
        <v>45822</v>
      </c>
      <c r="D3948" t="inlineStr">
        <is>
          <t>VÄSTERNORRLANDS LÄN</t>
        </is>
      </c>
      <c r="E3948" t="inlineStr">
        <is>
          <t>SOLLEFTEÅ</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13860-2025</t>
        </is>
      </c>
      <c r="B3949" s="1" t="n">
        <v>45737</v>
      </c>
      <c r="C3949" s="1" t="n">
        <v>45822</v>
      </c>
      <c r="D3949" t="inlineStr">
        <is>
          <t>VÄSTERNORRLANDS LÄN</t>
        </is>
      </c>
      <c r="E3949" t="inlineStr">
        <is>
          <t>SOLLEFTEÅ</t>
        </is>
      </c>
      <c r="F3949" t="inlineStr">
        <is>
          <t>SCA</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13858-2025</t>
        </is>
      </c>
      <c r="B3950" s="1" t="n">
        <v>45737</v>
      </c>
      <c r="C3950" s="1" t="n">
        <v>45822</v>
      </c>
      <c r="D3950" t="inlineStr">
        <is>
          <t>VÄSTERNORRLANDS LÄN</t>
        </is>
      </c>
      <c r="E3950" t="inlineStr">
        <is>
          <t>SOLLEFTEÅ</t>
        </is>
      </c>
      <c r="F3950" t="inlineStr">
        <is>
          <t>SCA</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13707-2025</t>
        </is>
      </c>
      <c r="B3951" s="1" t="n">
        <v>45737</v>
      </c>
      <c r="C3951" s="1" t="n">
        <v>45822</v>
      </c>
      <c r="D3951" t="inlineStr">
        <is>
          <t>VÄSTERNORRLANDS LÄN</t>
        </is>
      </c>
      <c r="E3951" t="inlineStr">
        <is>
          <t>SOLLEFTEÅ</t>
        </is>
      </c>
      <c r="F3951" t="inlineStr">
        <is>
          <t>SCA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14094-2025</t>
        </is>
      </c>
      <c r="B3952" s="1" t="n">
        <v>45740</v>
      </c>
      <c r="C3952" s="1" t="n">
        <v>45822</v>
      </c>
      <c r="D3952" t="inlineStr">
        <is>
          <t>VÄSTERNORRLANDS LÄN</t>
        </is>
      </c>
      <c r="E3952" t="inlineStr">
        <is>
          <t>SOLLEFTEÅ</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14096-2025</t>
        </is>
      </c>
      <c r="B3953" s="1" t="n">
        <v>45740</v>
      </c>
      <c r="C3953" s="1" t="n">
        <v>45822</v>
      </c>
      <c r="D3953" t="inlineStr">
        <is>
          <t>VÄSTERNORRLANDS LÄN</t>
        </is>
      </c>
      <c r="E3953" t="inlineStr">
        <is>
          <t>SOLLEFTEÅ</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14274-2025</t>
        </is>
      </c>
      <c r="B3954" s="1" t="n">
        <v>45740</v>
      </c>
      <c r="C3954" s="1" t="n">
        <v>45822</v>
      </c>
      <c r="D3954" t="inlineStr">
        <is>
          <t>VÄSTERNORRLANDS LÄN</t>
        </is>
      </c>
      <c r="E3954" t="inlineStr">
        <is>
          <t>SOLLEFTEÅ</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14036-2025</t>
        </is>
      </c>
      <c r="B3955" s="1" t="n">
        <v>45740</v>
      </c>
      <c r="C3955" s="1" t="n">
        <v>45822</v>
      </c>
      <c r="D3955" t="inlineStr">
        <is>
          <t>VÄSTERNORRLANDS LÄN</t>
        </is>
      </c>
      <c r="E3955" t="inlineStr">
        <is>
          <t>SOLLEFTEÅ</t>
        </is>
      </c>
      <c r="F3955" t="inlineStr">
        <is>
          <t>SCA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14097-2025</t>
        </is>
      </c>
      <c r="B3956" s="1" t="n">
        <v>45740</v>
      </c>
      <c r="C3956" s="1" t="n">
        <v>45822</v>
      </c>
      <c r="D3956" t="inlineStr">
        <is>
          <t>VÄSTERNORRLANDS LÄN</t>
        </is>
      </c>
      <c r="E3956" t="inlineStr">
        <is>
          <t>SOLLEFTEÅ</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14252-2025</t>
        </is>
      </c>
      <c r="B3957" s="1" t="n">
        <v>45740</v>
      </c>
      <c r="C3957" s="1" t="n">
        <v>45822</v>
      </c>
      <c r="D3957" t="inlineStr">
        <is>
          <t>VÄSTERNORRLANDS LÄN</t>
        </is>
      </c>
      <c r="E3957" t="inlineStr">
        <is>
          <t>SOLLEFTEÅ</t>
        </is>
      </c>
      <c r="F3957" t="inlineStr">
        <is>
          <t>SCA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14353-2025</t>
        </is>
      </c>
      <c r="B3958" s="1" t="n">
        <v>45741</v>
      </c>
      <c r="C3958" s="1" t="n">
        <v>45822</v>
      </c>
      <c r="D3958" t="inlineStr">
        <is>
          <t>VÄSTERNORRLANDS LÄN</t>
        </is>
      </c>
      <c r="E3958" t="inlineStr">
        <is>
          <t>SOLLEFTEÅ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14469-2025</t>
        </is>
      </c>
      <c r="B3959" s="1" t="n">
        <v>45741</v>
      </c>
      <c r="C3959" s="1" t="n">
        <v>45822</v>
      </c>
      <c r="D3959" t="inlineStr">
        <is>
          <t>VÄSTERNORRLANDS LÄN</t>
        </is>
      </c>
      <c r="E3959" t="inlineStr">
        <is>
          <t>SOLLEFTEÅ</t>
        </is>
      </c>
      <c r="F3959" t="inlineStr">
        <is>
          <t>SCA</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14470-2025</t>
        </is>
      </c>
      <c r="B3960" s="1" t="n">
        <v>45741</v>
      </c>
      <c r="C3960" s="1" t="n">
        <v>45822</v>
      </c>
      <c r="D3960" t="inlineStr">
        <is>
          <t>VÄSTERNORRLANDS LÄN</t>
        </is>
      </c>
      <c r="E3960" t="inlineStr">
        <is>
          <t>SOLLEFTEÅ</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14731-2025</t>
        </is>
      </c>
      <c r="B3961" s="1" t="n">
        <v>45742</v>
      </c>
      <c r="C3961" s="1" t="n">
        <v>45822</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14715-2025</t>
        </is>
      </c>
      <c r="B3962" s="1" t="n">
        <v>45742</v>
      </c>
      <c r="C3962" s="1" t="n">
        <v>45822</v>
      </c>
      <c r="D3962" t="inlineStr">
        <is>
          <t>VÄSTERNORRLANDS LÄN</t>
        </is>
      </c>
      <c r="E3962" t="inlineStr">
        <is>
          <t>SOLLEFTEÅ</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14712-2025</t>
        </is>
      </c>
      <c r="B3963" s="1" t="n">
        <v>45742</v>
      </c>
      <c r="C3963" s="1" t="n">
        <v>45822</v>
      </c>
      <c r="D3963" t="inlineStr">
        <is>
          <t>VÄSTERNORRLANDS LÄN</t>
        </is>
      </c>
      <c r="E3963" t="inlineStr">
        <is>
          <t>SOLLEFTEÅ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14628-2025</t>
        </is>
      </c>
      <c r="B3964" s="1" t="n">
        <v>45742</v>
      </c>
      <c r="C3964" s="1" t="n">
        <v>45822</v>
      </c>
      <c r="D3964" t="inlineStr">
        <is>
          <t>VÄSTERNORRLANDS LÄN</t>
        </is>
      </c>
      <c r="E3964" t="inlineStr">
        <is>
          <t>SOLLEFTEÅ</t>
        </is>
      </c>
      <c r="F3964" t="inlineStr">
        <is>
          <t>SCA</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14656-2025</t>
        </is>
      </c>
      <c r="B3965" s="1" t="n">
        <v>45742</v>
      </c>
      <c r="C3965" s="1" t="n">
        <v>45822</v>
      </c>
      <c r="D3965" t="inlineStr">
        <is>
          <t>VÄSTERNORRLANDS LÄN</t>
        </is>
      </c>
      <c r="E3965" t="inlineStr">
        <is>
          <t>SOLLEFTEÅ</t>
        </is>
      </c>
      <c r="F3965" t="inlineStr">
        <is>
          <t>SCA</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14730-2025</t>
        </is>
      </c>
      <c r="B3966" s="1" t="n">
        <v>45742</v>
      </c>
      <c r="C3966" s="1" t="n">
        <v>45822</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14650-2025</t>
        </is>
      </c>
      <c r="B3967" s="1" t="n">
        <v>45742</v>
      </c>
      <c r="C3967" s="1" t="n">
        <v>45822</v>
      </c>
      <c r="D3967" t="inlineStr">
        <is>
          <t>VÄSTERNORRLANDS LÄN</t>
        </is>
      </c>
      <c r="E3967" t="inlineStr">
        <is>
          <t>SOLLEFTEÅ</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14714-2025</t>
        </is>
      </c>
      <c r="B3968" s="1" t="n">
        <v>45742</v>
      </c>
      <c r="C3968" s="1" t="n">
        <v>45822</v>
      </c>
      <c r="D3968" t="inlineStr">
        <is>
          <t>VÄSTERNORRLANDS LÄN</t>
        </is>
      </c>
      <c r="E3968" t="inlineStr">
        <is>
          <t>SOLLEFTEÅ</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14608-2025</t>
        </is>
      </c>
      <c r="B3969" s="1" t="n">
        <v>45742</v>
      </c>
      <c r="C3969" s="1" t="n">
        <v>45822</v>
      </c>
      <c r="D3969" t="inlineStr">
        <is>
          <t>VÄSTERNORRLANDS LÄN</t>
        </is>
      </c>
      <c r="E3969" t="inlineStr">
        <is>
          <t>SOLLEFTEÅ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14612-2025</t>
        </is>
      </c>
      <c r="B3970" s="1" t="n">
        <v>45742</v>
      </c>
      <c r="C3970" s="1" t="n">
        <v>45822</v>
      </c>
      <c r="D3970" t="inlineStr">
        <is>
          <t>VÄSTERNORRLANDS LÄN</t>
        </is>
      </c>
      <c r="E3970" t="inlineStr">
        <is>
          <t>SOLLEFTEÅ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14640-2025</t>
        </is>
      </c>
      <c r="B3971" s="1" t="n">
        <v>45742</v>
      </c>
      <c r="C3971" s="1" t="n">
        <v>45822</v>
      </c>
      <c r="D3971" t="inlineStr">
        <is>
          <t>VÄSTERNORRLANDS LÄN</t>
        </is>
      </c>
      <c r="E3971" t="inlineStr">
        <is>
          <t>SOLLEFTEÅ</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14651-2025</t>
        </is>
      </c>
      <c r="B3972" s="1" t="n">
        <v>45742</v>
      </c>
      <c r="C3972" s="1" t="n">
        <v>45822</v>
      </c>
      <c r="D3972" t="inlineStr">
        <is>
          <t>VÄSTERNORRLANDS LÄN</t>
        </is>
      </c>
      <c r="E3972" t="inlineStr">
        <is>
          <t>SOLLEFTEÅ</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15033-2025</t>
        </is>
      </c>
      <c r="B3973" s="1" t="n">
        <v>45743</v>
      </c>
      <c r="C3973" s="1" t="n">
        <v>45822</v>
      </c>
      <c r="D3973" t="inlineStr">
        <is>
          <t>VÄSTERNORRLANDS LÄN</t>
        </is>
      </c>
      <c r="E3973" t="inlineStr">
        <is>
          <t>SOLLEFTEÅ</t>
        </is>
      </c>
      <c r="F3973" t="inlineStr">
        <is>
          <t>SCA</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14889-2025</t>
        </is>
      </c>
      <c r="B3974" s="1" t="n">
        <v>45743</v>
      </c>
      <c r="C3974" s="1" t="n">
        <v>45822</v>
      </c>
      <c r="D3974" t="inlineStr">
        <is>
          <t>VÄSTERNORRLANDS LÄN</t>
        </is>
      </c>
      <c r="E3974" t="inlineStr">
        <is>
          <t>SOLLEFTEÅ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15260-2025</t>
        </is>
      </c>
      <c r="B3975" s="1" t="n">
        <v>45744</v>
      </c>
      <c r="C3975" s="1" t="n">
        <v>45822</v>
      </c>
      <c r="D3975" t="inlineStr">
        <is>
          <t>VÄSTERNORRLANDS LÄN</t>
        </is>
      </c>
      <c r="E3975" t="inlineStr">
        <is>
          <t>SOLLEFTEÅ</t>
        </is>
      </c>
      <c r="F3975" t="inlineStr">
        <is>
          <t>SCA</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15273-2025</t>
        </is>
      </c>
      <c r="B3976" s="1" t="n">
        <v>45744</v>
      </c>
      <c r="C3976" s="1" t="n">
        <v>45822</v>
      </c>
      <c r="D3976" t="inlineStr">
        <is>
          <t>VÄSTERNORRLANDS LÄN</t>
        </is>
      </c>
      <c r="E3976" t="inlineStr">
        <is>
          <t>SOLLEFTEÅ</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15429-2025</t>
        </is>
      </c>
      <c r="B3977" s="1" t="n">
        <v>45747</v>
      </c>
      <c r="C3977" s="1" t="n">
        <v>45822</v>
      </c>
      <c r="D3977" t="inlineStr">
        <is>
          <t>VÄSTERNORRLANDS LÄN</t>
        </is>
      </c>
      <c r="E3977" t="inlineStr">
        <is>
          <t>SOLLEFTEÅ</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15801-2025</t>
        </is>
      </c>
      <c r="B3978" s="1" t="n">
        <v>45748</v>
      </c>
      <c r="C3978" s="1" t="n">
        <v>45822</v>
      </c>
      <c r="D3978" t="inlineStr">
        <is>
          <t>VÄSTERNORRLANDS LÄN</t>
        </is>
      </c>
      <c r="E3978" t="inlineStr">
        <is>
          <t>SOLLEFTEÅ</t>
        </is>
      </c>
      <c r="G3978" t="n">
        <v>24.7</v>
      </c>
      <c r="H3978" t="n">
        <v>0</v>
      </c>
      <c r="I3978" t="n">
        <v>0</v>
      </c>
      <c r="J3978" t="n">
        <v>0</v>
      </c>
      <c r="K3978" t="n">
        <v>0</v>
      </c>
      <c r="L3978" t="n">
        <v>0</v>
      </c>
      <c r="M3978" t="n">
        <v>0</v>
      </c>
      <c r="N3978" t="n">
        <v>0</v>
      </c>
      <c r="O3978" t="n">
        <v>0</v>
      </c>
      <c r="P3978" t="n">
        <v>0</v>
      </c>
      <c r="Q3978" t="n">
        <v>0</v>
      </c>
      <c r="R3978" s="2" t="inlineStr"/>
    </row>
    <row r="3979" ht="15" customHeight="1">
      <c r="A3979" t="inlineStr">
        <is>
          <t>A 15666-2025</t>
        </is>
      </c>
      <c r="B3979" s="1" t="n">
        <v>45748</v>
      </c>
      <c r="C3979" s="1" t="n">
        <v>45822</v>
      </c>
      <c r="D3979" t="inlineStr">
        <is>
          <t>VÄSTERNORRLANDS LÄN</t>
        </is>
      </c>
      <c r="E3979" t="inlineStr">
        <is>
          <t>SOLLEFTEÅ</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15728-2025</t>
        </is>
      </c>
      <c r="B3980" s="1" t="n">
        <v>45748</v>
      </c>
      <c r="C3980" s="1" t="n">
        <v>45822</v>
      </c>
      <c r="D3980" t="inlineStr">
        <is>
          <t>VÄSTERNORRLANDS LÄN</t>
        </is>
      </c>
      <c r="E3980" t="inlineStr">
        <is>
          <t>SOLLEFTEÅ</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15621-2025</t>
        </is>
      </c>
      <c r="B3981" s="1" t="n">
        <v>45748</v>
      </c>
      <c r="C3981" s="1" t="n">
        <v>45822</v>
      </c>
      <c r="D3981" t="inlineStr">
        <is>
          <t>VÄSTERNORRLANDS LÄN</t>
        </is>
      </c>
      <c r="E3981" t="inlineStr">
        <is>
          <t>SOLLEFTEÅ</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15601-2025</t>
        </is>
      </c>
      <c r="B3982" s="1" t="n">
        <v>45748</v>
      </c>
      <c r="C3982" s="1" t="n">
        <v>45822</v>
      </c>
      <c r="D3982" t="inlineStr">
        <is>
          <t>VÄSTERNORRLANDS LÄN</t>
        </is>
      </c>
      <c r="E3982" t="inlineStr">
        <is>
          <t>SOLLEFTEÅ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15955-2025</t>
        </is>
      </c>
      <c r="B3983" s="1" t="n">
        <v>45749</v>
      </c>
      <c r="C3983" s="1" t="n">
        <v>45822</v>
      </c>
      <c r="D3983" t="inlineStr">
        <is>
          <t>VÄSTERNORRLANDS LÄN</t>
        </is>
      </c>
      <c r="E3983" t="inlineStr">
        <is>
          <t>SOLLEFTEÅ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16172-2025</t>
        </is>
      </c>
      <c r="B3984" s="1" t="n">
        <v>45750</v>
      </c>
      <c r="C3984" s="1" t="n">
        <v>45822</v>
      </c>
      <c r="D3984" t="inlineStr">
        <is>
          <t>VÄSTERNORRLANDS LÄN</t>
        </is>
      </c>
      <c r="E3984" t="inlineStr">
        <is>
          <t>SOLLEFTEÅ</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16492-2025</t>
        </is>
      </c>
      <c r="B3985" s="1" t="n">
        <v>45751</v>
      </c>
      <c r="C3985" s="1" t="n">
        <v>45822</v>
      </c>
      <c r="D3985" t="inlineStr">
        <is>
          <t>VÄSTERNORRLANDS LÄN</t>
        </is>
      </c>
      <c r="E3985" t="inlineStr">
        <is>
          <t>SOLLEFTEÅ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16511-2025</t>
        </is>
      </c>
      <c r="B3986" s="1" t="n">
        <v>45751</v>
      </c>
      <c r="C3986" s="1" t="n">
        <v>45822</v>
      </c>
      <c r="D3986" t="inlineStr">
        <is>
          <t>VÄSTERNORRLANDS LÄN</t>
        </is>
      </c>
      <c r="E3986" t="inlineStr">
        <is>
          <t>SOLLEFTEÅ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16308-2025</t>
        </is>
      </c>
      <c r="B3987" s="1" t="n">
        <v>45751</v>
      </c>
      <c r="C3987" s="1" t="n">
        <v>45822</v>
      </c>
      <c r="D3987" t="inlineStr">
        <is>
          <t>VÄSTERNORRLANDS LÄN</t>
        </is>
      </c>
      <c r="E3987" t="inlineStr">
        <is>
          <t>SOLLEFTEÅ</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16312-2025</t>
        </is>
      </c>
      <c r="B3988" s="1" t="n">
        <v>45751</v>
      </c>
      <c r="C3988" s="1" t="n">
        <v>45822</v>
      </c>
      <c r="D3988" t="inlineStr">
        <is>
          <t>VÄSTERNORRLANDS LÄN</t>
        </is>
      </c>
      <c r="E3988" t="inlineStr">
        <is>
          <t>SOLLEFTEÅ</t>
        </is>
      </c>
      <c r="F3988" t="inlineStr">
        <is>
          <t>SCA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16564-2025</t>
        </is>
      </c>
      <c r="B3989" s="1" t="n">
        <v>45752</v>
      </c>
      <c r="C3989" s="1" t="n">
        <v>45822</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16795-2025</t>
        </is>
      </c>
      <c r="B3990" s="1" t="n">
        <v>45754</v>
      </c>
      <c r="C3990" s="1" t="n">
        <v>45822</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16632-2025</t>
        </is>
      </c>
      <c r="B3991" s="1" t="n">
        <v>45754</v>
      </c>
      <c r="C3991" s="1" t="n">
        <v>45822</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16633-2025</t>
        </is>
      </c>
      <c r="B3992" s="1" t="n">
        <v>45754</v>
      </c>
      <c r="C3992" s="1" t="n">
        <v>45822</v>
      </c>
      <c r="D3992" t="inlineStr">
        <is>
          <t>VÄSTERNORRLANDS LÄN</t>
        </is>
      </c>
      <c r="E3992" t="inlineStr">
        <is>
          <t>SOLLEFTEÅ</t>
        </is>
      </c>
      <c r="F3992" t="inlineStr">
        <is>
          <t>SCA</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16718-2025</t>
        </is>
      </c>
      <c r="B3993" s="1" t="n">
        <v>45754</v>
      </c>
      <c r="C3993" s="1" t="n">
        <v>45822</v>
      </c>
      <c r="D3993" t="inlineStr">
        <is>
          <t>VÄSTERNORRLANDS LÄN</t>
        </is>
      </c>
      <c r="E3993" t="inlineStr">
        <is>
          <t>SOLLEFTEÅ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17021-2025</t>
        </is>
      </c>
      <c r="B3994" s="1" t="n">
        <v>45755</v>
      </c>
      <c r="C3994" s="1" t="n">
        <v>45822</v>
      </c>
      <c r="D3994" t="inlineStr">
        <is>
          <t>VÄSTERNORRLANDS LÄN</t>
        </is>
      </c>
      <c r="E3994" t="inlineStr">
        <is>
          <t>SOLLEFTEÅ</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17020-2025</t>
        </is>
      </c>
      <c r="B3995" s="1" t="n">
        <v>45755</v>
      </c>
      <c r="C3995" s="1" t="n">
        <v>45822</v>
      </c>
      <c r="D3995" t="inlineStr">
        <is>
          <t>VÄSTERNORRLANDS LÄN</t>
        </is>
      </c>
      <c r="E3995" t="inlineStr">
        <is>
          <t>SOLLEFTEÅ</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17032-2025</t>
        </is>
      </c>
      <c r="B3996" s="1" t="n">
        <v>45755</v>
      </c>
      <c r="C3996" s="1" t="n">
        <v>45822</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17096-2025</t>
        </is>
      </c>
      <c r="B3997" s="1" t="n">
        <v>45755</v>
      </c>
      <c r="C3997" s="1" t="n">
        <v>45822</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17034-2025</t>
        </is>
      </c>
      <c r="B3998" s="1" t="n">
        <v>45755</v>
      </c>
      <c r="C3998" s="1" t="n">
        <v>45822</v>
      </c>
      <c r="D3998" t="inlineStr">
        <is>
          <t>VÄSTERNORRLANDS LÄN</t>
        </is>
      </c>
      <c r="E3998" t="inlineStr">
        <is>
          <t>SOLLEFTEÅ</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17258-2025</t>
        </is>
      </c>
      <c r="B3999" s="1" t="n">
        <v>45756</v>
      </c>
      <c r="C3999" s="1" t="n">
        <v>45822</v>
      </c>
      <c r="D3999" t="inlineStr">
        <is>
          <t>VÄSTERNORRLANDS LÄN</t>
        </is>
      </c>
      <c r="E3999" t="inlineStr">
        <is>
          <t>SOLLEFTEÅ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17354-2025</t>
        </is>
      </c>
      <c r="B4000" s="1" t="n">
        <v>45756</v>
      </c>
      <c r="C4000" s="1" t="n">
        <v>45822</v>
      </c>
      <c r="D4000" t="inlineStr">
        <is>
          <t>VÄSTERNORRLANDS LÄN</t>
        </is>
      </c>
      <c r="E4000" t="inlineStr">
        <is>
          <t>SOLLEFTEÅ</t>
        </is>
      </c>
      <c r="F4000" t="inlineStr">
        <is>
          <t>SCA</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17279-2025</t>
        </is>
      </c>
      <c r="B4001" s="1" t="n">
        <v>45756</v>
      </c>
      <c r="C4001" s="1" t="n">
        <v>45822</v>
      </c>
      <c r="D4001" t="inlineStr">
        <is>
          <t>VÄSTERNORRLANDS LÄN</t>
        </is>
      </c>
      <c r="E4001" t="inlineStr">
        <is>
          <t>SOLLEFTEÅ</t>
        </is>
      </c>
      <c r="G4001" t="n">
        <v>22.4</v>
      </c>
      <c r="H4001" t="n">
        <v>0</v>
      </c>
      <c r="I4001" t="n">
        <v>0</v>
      </c>
      <c r="J4001" t="n">
        <v>0</v>
      </c>
      <c r="K4001" t="n">
        <v>0</v>
      </c>
      <c r="L4001" t="n">
        <v>0</v>
      </c>
      <c r="M4001" t="n">
        <v>0</v>
      </c>
      <c r="N4001" t="n">
        <v>0</v>
      </c>
      <c r="O4001" t="n">
        <v>0</v>
      </c>
      <c r="P4001" t="n">
        <v>0</v>
      </c>
      <c r="Q4001" t="n">
        <v>0</v>
      </c>
      <c r="R4001" s="2" t="inlineStr"/>
    </row>
    <row r="4002" ht="15" customHeight="1">
      <c r="A4002" t="inlineStr">
        <is>
          <t>A 17174-2025</t>
        </is>
      </c>
      <c r="B4002" s="1" t="n">
        <v>45756</v>
      </c>
      <c r="C4002" s="1" t="n">
        <v>45822</v>
      </c>
      <c r="D4002" t="inlineStr">
        <is>
          <t>VÄSTERNORRLANDS LÄN</t>
        </is>
      </c>
      <c r="E4002" t="inlineStr">
        <is>
          <t>SOLLEFTEÅ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17422-2025</t>
        </is>
      </c>
      <c r="B4003" s="1" t="n">
        <v>45757</v>
      </c>
      <c r="C4003" s="1" t="n">
        <v>45822</v>
      </c>
      <c r="D4003" t="inlineStr">
        <is>
          <t>VÄSTERNORRLANDS LÄN</t>
        </is>
      </c>
      <c r="E4003" t="inlineStr">
        <is>
          <t>SOLLEFTEÅ</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17481-2025</t>
        </is>
      </c>
      <c r="B4004" s="1" t="n">
        <v>45757</v>
      </c>
      <c r="C4004" s="1" t="n">
        <v>45822</v>
      </c>
      <c r="D4004" t="inlineStr">
        <is>
          <t>VÄSTERNORRLANDS LÄN</t>
        </is>
      </c>
      <c r="E4004" t="inlineStr">
        <is>
          <t>SOLLEFTEÅ</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17554-2025</t>
        </is>
      </c>
      <c r="B4005" s="1" t="n">
        <v>45757</v>
      </c>
      <c r="C4005" s="1" t="n">
        <v>45822</v>
      </c>
      <c r="D4005" t="inlineStr">
        <is>
          <t>VÄSTERNORRLANDS LÄN</t>
        </is>
      </c>
      <c r="E4005" t="inlineStr">
        <is>
          <t>SOLLEFTEÅ</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17889-2025</t>
        </is>
      </c>
      <c r="B4006" s="1" t="n">
        <v>45758</v>
      </c>
      <c r="C4006" s="1" t="n">
        <v>45822</v>
      </c>
      <c r="D4006" t="inlineStr">
        <is>
          <t>VÄSTERNORRLANDS LÄN</t>
        </is>
      </c>
      <c r="E4006" t="inlineStr">
        <is>
          <t>SOLLEFTEÅ</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17843-2025</t>
        </is>
      </c>
      <c r="B4007" s="1" t="n">
        <v>45758</v>
      </c>
      <c r="C4007" s="1" t="n">
        <v>45822</v>
      </c>
      <c r="D4007" t="inlineStr">
        <is>
          <t>VÄSTERNORRLANDS LÄN</t>
        </is>
      </c>
      <c r="E4007" t="inlineStr">
        <is>
          <t>SOLLEFTEÅ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17682-2025</t>
        </is>
      </c>
      <c r="B4008" s="1" t="n">
        <v>45758</v>
      </c>
      <c r="C4008" s="1" t="n">
        <v>45822</v>
      </c>
      <c r="D4008" t="inlineStr">
        <is>
          <t>VÄSTERNORRLANDS LÄN</t>
        </is>
      </c>
      <c r="E4008" t="inlineStr">
        <is>
          <t>SOLLEFTEÅ</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17919-2025</t>
        </is>
      </c>
      <c r="B4009" s="1" t="n">
        <v>45758</v>
      </c>
      <c r="C4009" s="1" t="n">
        <v>45822</v>
      </c>
      <c r="D4009" t="inlineStr">
        <is>
          <t>VÄSTERNORRLANDS LÄN</t>
        </is>
      </c>
      <c r="E4009" t="inlineStr">
        <is>
          <t>SOLLEFTEÅ</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18100-2025</t>
        </is>
      </c>
      <c r="B4010" s="1" t="n">
        <v>45761</v>
      </c>
      <c r="C4010" s="1" t="n">
        <v>45822</v>
      </c>
      <c r="D4010" t="inlineStr">
        <is>
          <t>VÄSTERNORRLANDS LÄN</t>
        </is>
      </c>
      <c r="E4010" t="inlineStr">
        <is>
          <t>SOLLEFTEÅ</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18185-2025</t>
        </is>
      </c>
      <c r="B4011" s="1" t="n">
        <v>45761</v>
      </c>
      <c r="C4011" s="1" t="n">
        <v>45822</v>
      </c>
      <c r="D4011" t="inlineStr">
        <is>
          <t>VÄSTERNORRLANDS LÄN</t>
        </is>
      </c>
      <c r="E4011" t="inlineStr">
        <is>
          <t>SOLLEFTEÅ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18220-2025</t>
        </is>
      </c>
      <c r="B4012" s="1" t="n">
        <v>45761</v>
      </c>
      <c r="C4012" s="1" t="n">
        <v>45822</v>
      </c>
      <c r="D4012" t="inlineStr">
        <is>
          <t>VÄSTERNORRLANDS LÄN</t>
        </is>
      </c>
      <c r="E4012" t="inlineStr">
        <is>
          <t>SOLLEFTEÅ</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18111-2025</t>
        </is>
      </c>
      <c r="B4013" s="1" t="n">
        <v>45761</v>
      </c>
      <c r="C4013" s="1" t="n">
        <v>45822</v>
      </c>
      <c r="D4013" t="inlineStr">
        <is>
          <t>VÄSTERNORRLANDS LÄN</t>
        </is>
      </c>
      <c r="E4013" t="inlineStr">
        <is>
          <t>SOLLEFTEÅ</t>
        </is>
      </c>
      <c r="F4013" t="inlineStr">
        <is>
          <t>SCA</t>
        </is>
      </c>
      <c r="G4013" t="n">
        <v>41.6</v>
      </c>
      <c r="H4013" t="n">
        <v>0</v>
      </c>
      <c r="I4013" t="n">
        <v>0</v>
      </c>
      <c r="J4013" t="n">
        <v>0</v>
      </c>
      <c r="K4013" t="n">
        <v>0</v>
      </c>
      <c r="L4013" t="n">
        <v>0</v>
      </c>
      <c r="M4013" t="n">
        <v>0</v>
      </c>
      <c r="N4013" t="n">
        <v>0</v>
      </c>
      <c r="O4013" t="n">
        <v>0</v>
      </c>
      <c r="P4013" t="n">
        <v>0</v>
      </c>
      <c r="Q4013" t="n">
        <v>0</v>
      </c>
      <c r="R4013" s="2" t="inlineStr"/>
    </row>
    <row r="4014" ht="15" customHeight="1">
      <c r="A4014" t="inlineStr">
        <is>
          <t>A 17993-2025</t>
        </is>
      </c>
      <c r="B4014" s="1" t="n">
        <v>45761</v>
      </c>
      <c r="C4014" s="1" t="n">
        <v>45822</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18263-2025</t>
        </is>
      </c>
      <c r="B4015" s="1" t="n">
        <v>45762</v>
      </c>
      <c r="C4015" s="1" t="n">
        <v>45822</v>
      </c>
      <c r="D4015" t="inlineStr">
        <is>
          <t>VÄSTERNORRLANDS LÄN</t>
        </is>
      </c>
      <c r="E4015" t="inlineStr">
        <is>
          <t>SOLLEFTEÅ</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18442-2025</t>
        </is>
      </c>
      <c r="B4016" s="1" t="n">
        <v>45762</v>
      </c>
      <c r="C4016" s="1" t="n">
        <v>45822</v>
      </c>
      <c r="D4016" t="inlineStr">
        <is>
          <t>VÄSTERNORRLANDS LÄN</t>
        </is>
      </c>
      <c r="E4016" t="inlineStr">
        <is>
          <t>SOLLEFTEÅ</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18696-2025</t>
        </is>
      </c>
      <c r="B4017" s="1" t="n">
        <v>45763</v>
      </c>
      <c r="C4017" s="1" t="n">
        <v>45822</v>
      </c>
      <c r="D4017" t="inlineStr">
        <is>
          <t>VÄSTERNORRLANDS LÄN</t>
        </is>
      </c>
      <c r="E4017" t="inlineStr">
        <is>
          <t>SOLLEFTEÅ</t>
        </is>
      </c>
      <c r="F4017" t="inlineStr">
        <is>
          <t>SCA</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18691-2025</t>
        </is>
      </c>
      <c r="B4018" s="1" t="n">
        <v>45763</v>
      </c>
      <c r="C4018" s="1" t="n">
        <v>45822</v>
      </c>
      <c r="D4018" t="inlineStr">
        <is>
          <t>VÄSTERNORRLANDS LÄN</t>
        </is>
      </c>
      <c r="E4018" t="inlineStr">
        <is>
          <t>SOLLEFTEÅ</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18795-2025</t>
        </is>
      </c>
      <c r="B4019" s="1" t="n">
        <v>45764</v>
      </c>
      <c r="C4019" s="1" t="n">
        <v>45822</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18951-2025</t>
        </is>
      </c>
      <c r="B4020" s="1" t="n">
        <v>45764</v>
      </c>
      <c r="C4020" s="1" t="n">
        <v>45822</v>
      </c>
      <c r="D4020" t="inlineStr">
        <is>
          <t>VÄSTERNORRLANDS LÄN</t>
        </is>
      </c>
      <c r="E4020" t="inlineStr">
        <is>
          <t>SOLLEFTEÅ</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18949-2025</t>
        </is>
      </c>
      <c r="B4021" s="1" t="n">
        <v>45764</v>
      </c>
      <c r="C4021" s="1" t="n">
        <v>45822</v>
      </c>
      <c r="D4021" t="inlineStr">
        <is>
          <t>VÄSTERNORRLANDS LÄN</t>
        </is>
      </c>
      <c r="E4021" t="inlineStr">
        <is>
          <t>SOLLEFTEÅ</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19407-2025</t>
        </is>
      </c>
      <c r="B4022" s="1" t="n">
        <v>45769</v>
      </c>
      <c r="C4022" s="1" t="n">
        <v>45822</v>
      </c>
      <c r="D4022" t="inlineStr">
        <is>
          <t>VÄSTERNORRLANDS LÄN</t>
        </is>
      </c>
      <c r="E4022" t="inlineStr">
        <is>
          <t>SOLLEFTEÅ</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19145-2025</t>
        </is>
      </c>
      <c r="B4023" s="1" t="n">
        <v>45769</v>
      </c>
      <c r="C4023" s="1" t="n">
        <v>45822</v>
      </c>
      <c r="D4023" t="inlineStr">
        <is>
          <t>VÄSTERNORRLANDS LÄN</t>
        </is>
      </c>
      <c r="E4023" t="inlineStr">
        <is>
          <t>SOLLEFTEÅ</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19354-2025</t>
        </is>
      </c>
      <c r="B4024" s="1" t="n">
        <v>45769</v>
      </c>
      <c r="C4024" s="1" t="n">
        <v>45822</v>
      </c>
      <c r="D4024" t="inlineStr">
        <is>
          <t>VÄSTERNORRLANDS LÄN</t>
        </is>
      </c>
      <c r="E4024" t="inlineStr">
        <is>
          <t>SOLLEFTEÅ</t>
        </is>
      </c>
      <c r="F4024" t="inlineStr">
        <is>
          <t>Holmen skog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19199-2025</t>
        </is>
      </c>
      <c r="B4025" s="1" t="n">
        <v>45769</v>
      </c>
      <c r="C4025" s="1" t="n">
        <v>45822</v>
      </c>
      <c r="D4025" t="inlineStr">
        <is>
          <t>VÄSTERNORRLANDS LÄN</t>
        </is>
      </c>
      <c r="E4025" t="inlineStr">
        <is>
          <t>SOLLEFTEÅ</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19205-2025</t>
        </is>
      </c>
      <c r="B4026" s="1" t="n">
        <v>45769</v>
      </c>
      <c r="C4026" s="1" t="n">
        <v>45822</v>
      </c>
      <c r="D4026" t="inlineStr">
        <is>
          <t>VÄSTERNORRLANDS LÄN</t>
        </is>
      </c>
      <c r="E4026" t="inlineStr">
        <is>
          <t>SOLLEFTEÅ</t>
        </is>
      </c>
      <c r="F4026" t="inlineStr">
        <is>
          <t>SCA</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19207-2025</t>
        </is>
      </c>
      <c r="B4027" s="1" t="n">
        <v>45769</v>
      </c>
      <c r="C4027" s="1" t="n">
        <v>45822</v>
      </c>
      <c r="D4027" t="inlineStr">
        <is>
          <t>VÄSTERNORRLANDS LÄN</t>
        </is>
      </c>
      <c r="E4027" t="inlineStr">
        <is>
          <t>SOLLEFTEÅ</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19682-2025</t>
        </is>
      </c>
      <c r="B4028" s="1" t="n">
        <v>45770</v>
      </c>
      <c r="C4028" s="1" t="n">
        <v>45822</v>
      </c>
      <c r="D4028" t="inlineStr">
        <is>
          <t>VÄSTERNORRLANDS LÄN</t>
        </is>
      </c>
      <c r="E4028" t="inlineStr">
        <is>
          <t>SOLLEFTEÅ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19489-2025</t>
        </is>
      </c>
      <c r="B4029" s="1" t="n">
        <v>45770</v>
      </c>
      <c r="C4029" s="1" t="n">
        <v>45822</v>
      </c>
      <c r="D4029" t="inlineStr">
        <is>
          <t>VÄSTERNORRLANDS LÄN</t>
        </is>
      </c>
      <c r="E4029" t="inlineStr">
        <is>
          <t>SOLLEFTEÅ</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19635-2025</t>
        </is>
      </c>
      <c r="B4030" s="1" t="n">
        <v>45770</v>
      </c>
      <c r="C4030" s="1" t="n">
        <v>45822</v>
      </c>
      <c r="D4030" t="inlineStr">
        <is>
          <t>VÄSTERNORRLANDS LÄN</t>
        </is>
      </c>
      <c r="E4030" t="inlineStr">
        <is>
          <t>SOLLEFTEÅ</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19633-2025</t>
        </is>
      </c>
      <c r="B4031" s="1" t="n">
        <v>45770</v>
      </c>
      <c r="C4031" s="1" t="n">
        <v>45822</v>
      </c>
      <c r="D4031" t="inlineStr">
        <is>
          <t>VÄSTERNORRLANDS LÄN</t>
        </is>
      </c>
      <c r="E4031" t="inlineStr">
        <is>
          <t>SOLLEFTEÅ</t>
        </is>
      </c>
      <c r="G4031" t="n">
        <v>9.9</v>
      </c>
      <c r="H4031" t="n">
        <v>0</v>
      </c>
      <c r="I4031" t="n">
        <v>0</v>
      </c>
      <c r="J4031" t="n">
        <v>0</v>
      </c>
      <c r="K4031" t="n">
        <v>0</v>
      </c>
      <c r="L4031" t="n">
        <v>0</v>
      </c>
      <c r="M4031" t="n">
        <v>0</v>
      </c>
      <c r="N4031" t="n">
        <v>0</v>
      </c>
      <c r="O4031" t="n">
        <v>0</v>
      </c>
      <c r="P4031" t="n">
        <v>0</v>
      </c>
      <c r="Q4031" t="n">
        <v>0</v>
      </c>
      <c r="R4031" s="2" t="inlineStr"/>
    </row>
    <row r="4032" ht="15" customHeight="1">
      <c r="A4032" t="inlineStr">
        <is>
          <t>A 19652-2025</t>
        </is>
      </c>
      <c r="B4032" s="1" t="n">
        <v>45770</v>
      </c>
      <c r="C4032" s="1" t="n">
        <v>45822</v>
      </c>
      <c r="D4032" t="inlineStr">
        <is>
          <t>VÄSTERNORRLANDS LÄN</t>
        </is>
      </c>
      <c r="E4032" t="inlineStr">
        <is>
          <t>SOLLEFTEÅ</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19901-2025</t>
        </is>
      </c>
      <c r="B4033" s="1" t="n">
        <v>45771</v>
      </c>
      <c r="C4033" s="1" t="n">
        <v>45822</v>
      </c>
      <c r="D4033" t="inlineStr">
        <is>
          <t>VÄSTERNORRLANDS LÄN</t>
        </is>
      </c>
      <c r="E4033" t="inlineStr">
        <is>
          <t>SOLLEFTEÅ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19929-2025</t>
        </is>
      </c>
      <c r="B4034" s="1" t="n">
        <v>45771</v>
      </c>
      <c r="C4034" s="1" t="n">
        <v>45822</v>
      </c>
      <c r="D4034" t="inlineStr">
        <is>
          <t>VÄSTERNORRLANDS LÄN</t>
        </is>
      </c>
      <c r="E4034" t="inlineStr">
        <is>
          <t>SOLLEFTEÅ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19949-2025</t>
        </is>
      </c>
      <c r="B4035" s="1" t="n">
        <v>45771</v>
      </c>
      <c r="C4035" s="1" t="n">
        <v>45822</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19932-2025</t>
        </is>
      </c>
      <c r="B4036" s="1" t="n">
        <v>45771</v>
      </c>
      <c r="C4036" s="1" t="n">
        <v>45822</v>
      </c>
      <c r="D4036" t="inlineStr">
        <is>
          <t>VÄSTERNORRLANDS LÄN</t>
        </is>
      </c>
      <c r="E4036" t="inlineStr">
        <is>
          <t>SOLLEFTEÅ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19892-2025</t>
        </is>
      </c>
      <c r="B4037" s="1" t="n">
        <v>45771</v>
      </c>
      <c r="C4037" s="1" t="n">
        <v>45822</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19936-2025</t>
        </is>
      </c>
      <c r="B4038" s="1" t="n">
        <v>45771</v>
      </c>
      <c r="C4038" s="1" t="n">
        <v>45822</v>
      </c>
      <c r="D4038" t="inlineStr">
        <is>
          <t>VÄSTERNORRLANDS LÄN</t>
        </is>
      </c>
      <c r="E4038" t="inlineStr">
        <is>
          <t>SOLLEFTEÅ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19945-2025</t>
        </is>
      </c>
      <c r="B4039" s="1" t="n">
        <v>45771</v>
      </c>
      <c r="C4039" s="1" t="n">
        <v>45822</v>
      </c>
      <c r="D4039" t="inlineStr">
        <is>
          <t>VÄSTERNORRLANDS LÄN</t>
        </is>
      </c>
      <c r="E4039" t="inlineStr">
        <is>
          <t>SOLLEFTEÅ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19749-2025</t>
        </is>
      </c>
      <c r="B4040" s="1" t="n">
        <v>45771</v>
      </c>
      <c r="C4040" s="1" t="n">
        <v>45822</v>
      </c>
      <c r="D4040" t="inlineStr">
        <is>
          <t>VÄSTERNORRLANDS LÄN</t>
        </is>
      </c>
      <c r="E4040" t="inlineStr">
        <is>
          <t>SOLLEFTEÅ</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20204-2025</t>
        </is>
      </c>
      <c r="B4041" s="1" t="n">
        <v>45772</v>
      </c>
      <c r="C4041" s="1" t="n">
        <v>45822</v>
      </c>
      <c r="D4041" t="inlineStr">
        <is>
          <t>VÄSTERNORRLANDS LÄN</t>
        </is>
      </c>
      <c r="E4041" t="inlineStr">
        <is>
          <t>SOLLEFTEÅ</t>
        </is>
      </c>
      <c r="F4041" t="inlineStr">
        <is>
          <t>SCA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20205-2025</t>
        </is>
      </c>
      <c r="B4042" s="1" t="n">
        <v>45772</v>
      </c>
      <c r="C4042" s="1" t="n">
        <v>45822</v>
      </c>
      <c r="D4042" t="inlineStr">
        <is>
          <t>VÄSTERNORRLANDS LÄN</t>
        </is>
      </c>
      <c r="E4042" t="inlineStr">
        <is>
          <t>SOLLEFTEÅ</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20151-2025</t>
        </is>
      </c>
      <c r="B4043" s="1" t="n">
        <v>45772</v>
      </c>
      <c r="C4043" s="1" t="n">
        <v>45822</v>
      </c>
      <c r="D4043" t="inlineStr">
        <is>
          <t>VÄSTERNORRLANDS LÄN</t>
        </is>
      </c>
      <c r="E4043" t="inlineStr">
        <is>
          <t>SOLLEFTEÅ</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20183-2025</t>
        </is>
      </c>
      <c r="B4044" s="1" t="n">
        <v>45772</v>
      </c>
      <c r="C4044" s="1" t="n">
        <v>45822</v>
      </c>
      <c r="D4044" t="inlineStr">
        <is>
          <t>VÄSTERNORRLANDS LÄN</t>
        </is>
      </c>
      <c r="E4044" t="inlineStr">
        <is>
          <t>SOLLEFTEÅ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20133-2025</t>
        </is>
      </c>
      <c r="B4045" s="1" t="n">
        <v>45772</v>
      </c>
      <c r="C4045" s="1" t="n">
        <v>45822</v>
      </c>
      <c r="D4045" t="inlineStr">
        <is>
          <t>VÄSTERNORRLANDS LÄN</t>
        </is>
      </c>
      <c r="E4045" t="inlineStr">
        <is>
          <t>SOLLEFTEÅ</t>
        </is>
      </c>
      <c r="F4045" t="inlineStr">
        <is>
          <t>SCA</t>
        </is>
      </c>
      <c r="G4045" t="n">
        <v>58.2</v>
      </c>
      <c r="H4045" t="n">
        <v>0</v>
      </c>
      <c r="I4045" t="n">
        <v>0</v>
      </c>
      <c r="J4045" t="n">
        <v>0</v>
      </c>
      <c r="K4045" t="n">
        <v>0</v>
      </c>
      <c r="L4045" t="n">
        <v>0</v>
      </c>
      <c r="M4045" t="n">
        <v>0</v>
      </c>
      <c r="N4045" t="n">
        <v>0</v>
      </c>
      <c r="O4045" t="n">
        <v>0</v>
      </c>
      <c r="P4045" t="n">
        <v>0</v>
      </c>
      <c r="Q4045" t="n">
        <v>0</v>
      </c>
      <c r="R4045" s="2" t="inlineStr"/>
    </row>
    <row r="4046" ht="15" customHeight="1">
      <c r="A4046" t="inlineStr">
        <is>
          <t>A 20150-2025</t>
        </is>
      </c>
      <c r="B4046" s="1" t="n">
        <v>45772</v>
      </c>
      <c r="C4046" s="1" t="n">
        <v>45822</v>
      </c>
      <c r="D4046" t="inlineStr">
        <is>
          <t>VÄSTERNORRLANDS LÄN</t>
        </is>
      </c>
      <c r="E4046" t="inlineStr">
        <is>
          <t>SOLLEFTEÅ</t>
        </is>
      </c>
      <c r="F4046" t="inlineStr">
        <is>
          <t>SCA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20184-2025</t>
        </is>
      </c>
      <c r="B4047" s="1" t="n">
        <v>45772</v>
      </c>
      <c r="C4047" s="1" t="n">
        <v>45822</v>
      </c>
      <c r="D4047" t="inlineStr">
        <is>
          <t>VÄSTERNORRLANDS LÄN</t>
        </is>
      </c>
      <c r="E4047" t="inlineStr">
        <is>
          <t>SOLLEFTEÅ</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20101-2025</t>
        </is>
      </c>
      <c r="B4048" s="1" t="n">
        <v>45772</v>
      </c>
      <c r="C4048" s="1" t="n">
        <v>45822</v>
      </c>
      <c r="D4048" t="inlineStr">
        <is>
          <t>VÄSTERNORRLANDS LÄN</t>
        </is>
      </c>
      <c r="E4048" t="inlineStr">
        <is>
          <t>SOLLEFTEÅ</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20335-2025</t>
        </is>
      </c>
      <c r="B4049" s="1" t="n">
        <v>45775</v>
      </c>
      <c r="C4049" s="1" t="n">
        <v>45822</v>
      </c>
      <c r="D4049" t="inlineStr">
        <is>
          <t>VÄSTERNORRLANDS LÄN</t>
        </is>
      </c>
      <c r="E4049" t="inlineStr">
        <is>
          <t>SOLLEFTEÅ</t>
        </is>
      </c>
      <c r="F4049" t="inlineStr">
        <is>
          <t>SCA</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20550-2025</t>
        </is>
      </c>
      <c r="B4050" s="1" t="n">
        <v>45775</v>
      </c>
      <c r="C4050" s="1" t="n">
        <v>45822</v>
      </c>
      <c r="D4050" t="inlineStr">
        <is>
          <t>VÄSTERNORRLANDS LÄN</t>
        </is>
      </c>
      <c r="E4050" t="inlineStr">
        <is>
          <t>SOLLEFTEÅ</t>
        </is>
      </c>
      <c r="F4050" t="inlineStr">
        <is>
          <t>SCA</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20437-2025</t>
        </is>
      </c>
      <c r="B4051" s="1" t="n">
        <v>45775</v>
      </c>
      <c r="C4051" s="1" t="n">
        <v>45822</v>
      </c>
      <c r="D4051" t="inlineStr">
        <is>
          <t>VÄSTERNORRLANDS LÄN</t>
        </is>
      </c>
      <c r="E4051" t="inlineStr">
        <is>
          <t>SOLLEFTEÅ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20458-2025</t>
        </is>
      </c>
      <c r="B4052" s="1" t="n">
        <v>45775</v>
      </c>
      <c r="C4052" s="1" t="n">
        <v>45822</v>
      </c>
      <c r="D4052" t="inlineStr">
        <is>
          <t>VÄSTERNORRLANDS LÄN</t>
        </is>
      </c>
      <c r="E4052" t="inlineStr">
        <is>
          <t>SOLLEFTEÅ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20334-2025</t>
        </is>
      </c>
      <c r="B4053" s="1" t="n">
        <v>45775</v>
      </c>
      <c r="C4053" s="1" t="n">
        <v>45822</v>
      </c>
      <c r="D4053" t="inlineStr">
        <is>
          <t>VÄSTERNORRLANDS LÄN</t>
        </is>
      </c>
      <c r="E4053" t="inlineStr">
        <is>
          <t>SOLLEFTEÅ</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20389-2025</t>
        </is>
      </c>
      <c r="B4054" s="1" t="n">
        <v>45775</v>
      </c>
      <c r="C4054" s="1" t="n">
        <v>45822</v>
      </c>
      <c r="D4054" t="inlineStr">
        <is>
          <t>VÄSTERNORRLANDS LÄN</t>
        </is>
      </c>
      <c r="E4054" t="inlineStr">
        <is>
          <t>SOLLEFTEÅ</t>
        </is>
      </c>
      <c r="F4054" t="inlineStr">
        <is>
          <t>SCA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20638-2025</t>
        </is>
      </c>
      <c r="B4055" s="1" t="n">
        <v>45776</v>
      </c>
      <c r="C4055" s="1" t="n">
        <v>45822</v>
      </c>
      <c r="D4055" t="inlineStr">
        <is>
          <t>VÄSTERNORRLANDS LÄN</t>
        </is>
      </c>
      <c r="E4055" t="inlineStr">
        <is>
          <t>SOLLEFTEÅ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20793-2025</t>
        </is>
      </c>
      <c r="B4056" s="1" t="n">
        <v>45776</v>
      </c>
      <c r="C4056" s="1" t="n">
        <v>45822</v>
      </c>
      <c r="D4056" t="inlineStr">
        <is>
          <t>VÄSTERNORRLANDS LÄN</t>
        </is>
      </c>
      <c r="E4056" t="inlineStr">
        <is>
          <t>SOLLEFTEÅ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20725-2025</t>
        </is>
      </c>
      <c r="B4057" s="1" t="n">
        <v>45776</v>
      </c>
      <c r="C4057" s="1" t="n">
        <v>45822</v>
      </c>
      <c r="D4057" t="inlineStr">
        <is>
          <t>VÄSTERNORRLANDS LÄN</t>
        </is>
      </c>
      <c r="E4057" t="inlineStr">
        <is>
          <t>SOLLEFTEÅ</t>
        </is>
      </c>
      <c r="F4057" t="inlineStr">
        <is>
          <t>SCA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20757-2025</t>
        </is>
      </c>
      <c r="B4058" s="1" t="n">
        <v>45776</v>
      </c>
      <c r="C4058" s="1" t="n">
        <v>45822</v>
      </c>
      <c r="D4058" t="inlineStr">
        <is>
          <t>VÄSTERNORRLANDS LÄN</t>
        </is>
      </c>
      <c r="E4058" t="inlineStr">
        <is>
          <t>SOLLEFTEÅ</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21109-2025</t>
        </is>
      </c>
      <c r="B4059" s="1" t="n">
        <v>45777</v>
      </c>
      <c r="C4059" s="1" t="n">
        <v>45822</v>
      </c>
      <c r="D4059" t="inlineStr">
        <is>
          <t>VÄSTERNORRLANDS LÄN</t>
        </is>
      </c>
      <c r="E4059" t="inlineStr">
        <is>
          <t>SOLLEFTEÅ</t>
        </is>
      </c>
      <c r="F4059" t="inlineStr">
        <is>
          <t>SCA</t>
        </is>
      </c>
      <c r="G4059" t="n">
        <v>38.2</v>
      </c>
      <c r="H4059" t="n">
        <v>0</v>
      </c>
      <c r="I4059" t="n">
        <v>0</v>
      </c>
      <c r="J4059" t="n">
        <v>0</v>
      </c>
      <c r="K4059" t="n">
        <v>0</v>
      </c>
      <c r="L4059" t="n">
        <v>0</v>
      </c>
      <c r="M4059" t="n">
        <v>0</v>
      </c>
      <c r="N4059" t="n">
        <v>0</v>
      </c>
      <c r="O4059" t="n">
        <v>0</v>
      </c>
      <c r="P4059" t="n">
        <v>0</v>
      </c>
      <c r="Q4059" t="n">
        <v>0</v>
      </c>
      <c r="R4059" s="2" t="inlineStr"/>
    </row>
    <row r="4060" ht="15" customHeight="1">
      <c r="A4060" t="inlineStr">
        <is>
          <t>A 20867-2025</t>
        </is>
      </c>
      <c r="B4060" s="1" t="n">
        <v>45777</v>
      </c>
      <c r="C4060" s="1" t="n">
        <v>45822</v>
      </c>
      <c r="D4060" t="inlineStr">
        <is>
          <t>VÄSTERNORRLANDS LÄN</t>
        </is>
      </c>
      <c r="E4060" t="inlineStr">
        <is>
          <t>SOLLEFTEÅ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21088-2025</t>
        </is>
      </c>
      <c r="B4061" s="1" t="n">
        <v>45777</v>
      </c>
      <c r="C4061" s="1" t="n">
        <v>45822</v>
      </c>
      <c r="D4061" t="inlineStr">
        <is>
          <t>VÄSTERNORRLANDS LÄN</t>
        </is>
      </c>
      <c r="E4061" t="inlineStr">
        <is>
          <t>SOLLEFTEÅ</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21089-2025</t>
        </is>
      </c>
      <c r="B4062" s="1" t="n">
        <v>45777</v>
      </c>
      <c r="C4062" s="1" t="n">
        <v>45822</v>
      </c>
      <c r="D4062" t="inlineStr">
        <is>
          <t>VÄSTERNORRLANDS LÄN</t>
        </is>
      </c>
      <c r="E4062" t="inlineStr">
        <is>
          <t>SOLLEFTEÅ</t>
        </is>
      </c>
      <c r="F4062" t="inlineStr">
        <is>
          <t>SCA</t>
        </is>
      </c>
      <c r="G4062" t="n">
        <v>19.9</v>
      </c>
      <c r="H4062" t="n">
        <v>0</v>
      </c>
      <c r="I4062" t="n">
        <v>0</v>
      </c>
      <c r="J4062" t="n">
        <v>0</v>
      </c>
      <c r="K4062" t="n">
        <v>0</v>
      </c>
      <c r="L4062" t="n">
        <v>0</v>
      </c>
      <c r="M4062" t="n">
        <v>0</v>
      </c>
      <c r="N4062" t="n">
        <v>0</v>
      </c>
      <c r="O4062" t="n">
        <v>0</v>
      </c>
      <c r="P4062" t="n">
        <v>0</v>
      </c>
      <c r="Q4062" t="n">
        <v>0</v>
      </c>
      <c r="R4062" s="2" t="inlineStr"/>
    </row>
    <row r="4063" ht="15" customHeight="1">
      <c r="A4063" t="inlineStr">
        <is>
          <t>A 21166-2025</t>
        </is>
      </c>
      <c r="B4063" s="1" t="n">
        <v>45779</v>
      </c>
      <c r="C4063" s="1" t="n">
        <v>45822</v>
      </c>
      <c r="D4063" t="inlineStr">
        <is>
          <t>VÄSTERNORRLANDS LÄN</t>
        </is>
      </c>
      <c r="E4063" t="inlineStr">
        <is>
          <t>SOLLEFTEÅ</t>
        </is>
      </c>
      <c r="F4063" t="inlineStr">
        <is>
          <t>SCA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21269-2025</t>
        </is>
      </c>
      <c r="B4064" s="1" t="n">
        <v>45779</v>
      </c>
      <c r="C4064" s="1" t="n">
        <v>45822</v>
      </c>
      <c r="D4064" t="inlineStr">
        <is>
          <t>VÄSTERNORRLANDS LÄN</t>
        </is>
      </c>
      <c r="E4064" t="inlineStr">
        <is>
          <t>SOLLEFTEÅ</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21346-2025</t>
        </is>
      </c>
      <c r="B4065" s="1" t="n">
        <v>45782</v>
      </c>
      <c r="C4065" s="1" t="n">
        <v>45822</v>
      </c>
      <c r="D4065" t="inlineStr">
        <is>
          <t>VÄSTERNORRLANDS LÄN</t>
        </is>
      </c>
      <c r="E4065" t="inlineStr">
        <is>
          <t>SOLLEFTEÅ</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21489-2025</t>
        </is>
      </c>
      <c r="B4066" s="1" t="n">
        <v>45782</v>
      </c>
      <c r="C4066" s="1" t="n">
        <v>45822</v>
      </c>
      <c r="D4066" t="inlineStr">
        <is>
          <t>VÄSTERNORRLANDS LÄN</t>
        </is>
      </c>
      <c r="E4066" t="inlineStr">
        <is>
          <t>SOLLEFTEÅ</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21491-2025</t>
        </is>
      </c>
      <c r="B4067" s="1" t="n">
        <v>45782</v>
      </c>
      <c r="C4067" s="1" t="n">
        <v>45822</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21553-2025</t>
        </is>
      </c>
      <c r="B4068" s="1" t="n">
        <v>45782</v>
      </c>
      <c r="C4068" s="1" t="n">
        <v>45822</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21348-2025</t>
        </is>
      </c>
      <c r="B4069" s="1" t="n">
        <v>45782</v>
      </c>
      <c r="C4069" s="1" t="n">
        <v>45822</v>
      </c>
      <c r="D4069" t="inlineStr">
        <is>
          <t>VÄSTERNORRLANDS LÄN</t>
        </is>
      </c>
      <c r="E4069" t="inlineStr">
        <is>
          <t>SOLLEFTEÅ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21481-2025</t>
        </is>
      </c>
      <c r="B4070" s="1" t="n">
        <v>45782</v>
      </c>
      <c r="C4070" s="1" t="n">
        <v>45822</v>
      </c>
      <c r="D4070" t="inlineStr">
        <is>
          <t>VÄSTERNORRLANDS LÄN</t>
        </is>
      </c>
      <c r="E4070" t="inlineStr">
        <is>
          <t>SOLLEFTEÅ</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21429-2025</t>
        </is>
      </c>
      <c r="B4071" s="1" t="n">
        <v>45782</v>
      </c>
      <c r="C4071" s="1" t="n">
        <v>45822</v>
      </c>
      <c r="D4071" t="inlineStr">
        <is>
          <t>VÄSTERNORRLANDS LÄN</t>
        </is>
      </c>
      <c r="E4071" t="inlineStr">
        <is>
          <t>SOLLEFTEÅ</t>
        </is>
      </c>
      <c r="F4071" t="inlineStr">
        <is>
          <t>SCA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21555-2025</t>
        </is>
      </c>
      <c r="B4072" s="1" t="n">
        <v>45782</v>
      </c>
      <c r="C4072" s="1" t="n">
        <v>45822</v>
      </c>
      <c r="D4072" t="inlineStr">
        <is>
          <t>VÄSTERNORRLANDS LÄN</t>
        </is>
      </c>
      <c r="E4072" t="inlineStr">
        <is>
          <t>SOLLEFTEÅ</t>
        </is>
      </c>
      <c r="F4072" t="inlineStr">
        <is>
          <t>SCA</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21564-2025</t>
        </is>
      </c>
      <c r="B4073" s="1" t="n">
        <v>45782</v>
      </c>
      <c r="C4073" s="1" t="n">
        <v>45822</v>
      </c>
      <c r="D4073" t="inlineStr">
        <is>
          <t>VÄSTERNORRLANDS LÄN</t>
        </is>
      </c>
      <c r="E4073" t="inlineStr">
        <is>
          <t>SOLLEFTEÅ</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21455-2025</t>
        </is>
      </c>
      <c r="B4074" s="1" t="n">
        <v>45782</v>
      </c>
      <c r="C4074" s="1" t="n">
        <v>45822</v>
      </c>
      <c r="D4074" t="inlineStr">
        <is>
          <t>VÄSTERNORRLANDS LÄN</t>
        </is>
      </c>
      <c r="E4074" t="inlineStr">
        <is>
          <t>SOLLEFTEÅ</t>
        </is>
      </c>
      <c r="F4074" t="inlineStr">
        <is>
          <t>SCA</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21565-2025</t>
        </is>
      </c>
      <c r="B4075" s="1" t="n">
        <v>45782</v>
      </c>
      <c r="C4075" s="1" t="n">
        <v>45822</v>
      </c>
      <c r="D4075" t="inlineStr">
        <is>
          <t>VÄSTERNORRLANDS LÄN</t>
        </is>
      </c>
      <c r="E4075" t="inlineStr">
        <is>
          <t>SOLLEFTEÅ</t>
        </is>
      </c>
      <c r="F4075" t="inlineStr">
        <is>
          <t>SCA</t>
        </is>
      </c>
      <c r="G4075" t="n">
        <v>17.4</v>
      </c>
      <c r="H4075" t="n">
        <v>0</v>
      </c>
      <c r="I4075" t="n">
        <v>0</v>
      </c>
      <c r="J4075" t="n">
        <v>0</v>
      </c>
      <c r="K4075" t="n">
        <v>0</v>
      </c>
      <c r="L4075" t="n">
        <v>0</v>
      </c>
      <c r="M4075" t="n">
        <v>0</v>
      </c>
      <c r="N4075" t="n">
        <v>0</v>
      </c>
      <c r="O4075" t="n">
        <v>0</v>
      </c>
      <c r="P4075" t="n">
        <v>0</v>
      </c>
      <c r="Q4075" t="n">
        <v>0</v>
      </c>
      <c r="R4075" s="2" t="inlineStr"/>
    </row>
    <row r="4076" ht="15" customHeight="1">
      <c r="A4076" t="inlineStr">
        <is>
          <t>A 21687-2025</t>
        </is>
      </c>
      <c r="B4076" s="1" t="n">
        <v>45783</v>
      </c>
      <c r="C4076" s="1" t="n">
        <v>45822</v>
      </c>
      <c r="D4076" t="inlineStr">
        <is>
          <t>VÄSTERNORRLANDS LÄN</t>
        </is>
      </c>
      <c r="E4076" t="inlineStr">
        <is>
          <t>SOLLEFTEÅ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21684-2025</t>
        </is>
      </c>
      <c r="B4077" s="1" t="n">
        <v>45783</v>
      </c>
      <c r="C4077" s="1" t="n">
        <v>45822</v>
      </c>
      <c r="D4077" t="inlineStr">
        <is>
          <t>VÄSTERNORRLANDS LÄN</t>
        </is>
      </c>
      <c r="E4077" t="inlineStr">
        <is>
          <t>SOLLEFTEÅ</t>
        </is>
      </c>
      <c r="F4077" t="inlineStr">
        <is>
          <t>SCA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21669-2025</t>
        </is>
      </c>
      <c r="B4078" s="1" t="n">
        <v>45783</v>
      </c>
      <c r="C4078" s="1" t="n">
        <v>45822</v>
      </c>
      <c r="D4078" t="inlineStr">
        <is>
          <t>VÄSTERNORRLANDS LÄN</t>
        </is>
      </c>
      <c r="E4078" t="inlineStr">
        <is>
          <t>SOLLEFTEÅ</t>
        </is>
      </c>
      <c r="F4078" t="inlineStr">
        <is>
          <t>SCA</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21863-2025</t>
        </is>
      </c>
      <c r="B4079" s="1" t="n">
        <v>45784</v>
      </c>
      <c r="C4079" s="1" t="n">
        <v>45822</v>
      </c>
      <c r="D4079" t="inlineStr">
        <is>
          <t>VÄSTERNORRLANDS LÄN</t>
        </is>
      </c>
      <c r="E4079" t="inlineStr">
        <is>
          <t>SOLLEFTEÅ</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21897-2025</t>
        </is>
      </c>
      <c r="B4080" s="1" t="n">
        <v>45784</v>
      </c>
      <c r="C4080" s="1" t="n">
        <v>45822</v>
      </c>
      <c r="D4080" t="inlineStr">
        <is>
          <t>VÄSTERNORRLANDS LÄN</t>
        </is>
      </c>
      <c r="E4080" t="inlineStr">
        <is>
          <t>SOLLEFTEÅ</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21987-2025</t>
        </is>
      </c>
      <c r="B4081" s="1" t="n">
        <v>45784</v>
      </c>
      <c r="C4081" s="1" t="n">
        <v>45822</v>
      </c>
      <c r="D4081" t="inlineStr">
        <is>
          <t>VÄSTERNORRLANDS LÄN</t>
        </is>
      </c>
      <c r="E4081" t="inlineStr">
        <is>
          <t>SOLLEFTEÅ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21983-2025</t>
        </is>
      </c>
      <c r="B4082" s="1" t="n">
        <v>45784</v>
      </c>
      <c r="C4082" s="1" t="n">
        <v>45822</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21985-2025</t>
        </is>
      </c>
      <c r="B4083" s="1" t="n">
        <v>45784</v>
      </c>
      <c r="C4083" s="1" t="n">
        <v>45822</v>
      </c>
      <c r="D4083" t="inlineStr">
        <is>
          <t>VÄSTERNORRLANDS LÄN</t>
        </is>
      </c>
      <c r="E4083" t="inlineStr">
        <is>
          <t>SOLLEFTEÅ</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21896-2025</t>
        </is>
      </c>
      <c r="B4084" s="1" t="n">
        <v>45784</v>
      </c>
      <c r="C4084" s="1" t="n">
        <v>45822</v>
      </c>
      <c r="D4084" t="inlineStr">
        <is>
          <t>VÄSTERNORRLANDS LÄN</t>
        </is>
      </c>
      <c r="E4084" t="inlineStr">
        <is>
          <t>SOLLEFTEÅ</t>
        </is>
      </c>
      <c r="G4084" t="n">
        <v>16.1</v>
      </c>
      <c r="H4084" t="n">
        <v>0</v>
      </c>
      <c r="I4084" t="n">
        <v>0</v>
      </c>
      <c r="J4084" t="n">
        <v>0</v>
      </c>
      <c r="K4084" t="n">
        <v>0</v>
      </c>
      <c r="L4084" t="n">
        <v>0</v>
      </c>
      <c r="M4084" t="n">
        <v>0</v>
      </c>
      <c r="N4084" t="n">
        <v>0</v>
      </c>
      <c r="O4084" t="n">
        <v>0</v>
      </c>
      <c r="P4084" t="n">
        <v>0</v>
      </c>
      <c r="Q4084" t="n">
        <v>0</v>
      </c>
      <c r="R4084" s="2" t="inlineStr"/>
    </row>
    <row r="4085" ht="15" customHeight="1">
      <c r="A4085" t="inlineStr">
        <is>
          <t>A 21898-2025</t>
        </is>
      </c>
      <c r="B4085" s="1" t="n">
        <v>45784</v>
      </c>
      <c r="C4085" s="1" t="n">
        <v>45822</v>
      </c>
      <c r="D4085" t="inlineStr">
        <is>
          <t>VÄSTERNORRLANDS LÄN</t>
        </is>
      </c>
      <c r="E4085" t="inlineStr">
        <is>
          <t>SOLLEFTEÅ</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22184-2025</t>
        </is>
      </c>
      <c r="B4086" s="1" t="n">
        <v>45785</v>
      </c>
      <c r="C4086" s="1" t="n">
        <v>45822</v>
      </c>
      <c r="D4086" t="inlineStr">
        <is>
          <t>VÄSTERNORRLANDS LÄN</t>
        </is>
      </c>
      <c r="E4086" t="inlineStr">
        <is>
          <t>SOLLEFTEÅ</t>
        </is>
      </c>
      <c r="F4086" t="inlineStr">
        <is>
          <t>SCA</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22205-2025</t>
        </is>
      </c>
      <c r="B4087" s="1" t="n">
        <v>45785</v>
      </c>
      <c r="C4087" s="1" t="n">
        <v>45822</v>
      </c>
      <c r="D4087" t="inlineStr">
        <is>
          <t>VÄSTERNORRLANDS LÄN</t>
        </is>
      </c>
      <c r="E4087" t="inlineStr">
        <is>
          <t>SOLLEFTEÅ</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22215-2025</t>
        </is>
      </c>
      <c r="B4088" s="1" t="n">
        <v>45785</v>
      </c>
      <c r="C4088" s="1" t="n">
        <v>45822</v>
      </c>
      <c r="D4088" t="inlineStr">
        <is>
          <t>VÄSTERNORRLANDS LÄN</t>
        </is>
      </c>
      <c r="E4088" t="inlineStr">
        <is>
          <t>SOLLEFTEÅ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22218-2025</t>
        </is>
      </c>
      <c r="B4089" s="1" t="n">
        <v>45785</v>
      </c>
      <c r="C4089" s="1" t="n">
        <v>45822</v>
      </c>
      <c r="D4089" t="inlineStr">
        <is>
          <t>VÄSTERNORRLANDS LÄN</t>
        </is>
      </c>
      <c r="E4089" t="inlineStr">
        <is>
          <t>SOLLEFTEÅ</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22036-2025</t>
        </is>
      </c>
      <c r="B4090" s="1" t="n">
        <v>45785</v>
      </c>
      <c r="C4090" s="1" t="n">
        <v>45822</v>
      </c>
      <c r="D4090" t="inlineStr">
        <is>
          <t>VÄSTERNORRLANDS LÄN</t>
        </is>
      </c>
      <c r="E4090" t="inlineStr">
        <is>
          <t>SOLLEFTEÅ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22217-2025</t>
        </is>
      </c>
      <c r="B4091" s="1" t="n">
        <v>45785</v>
      </c>
      <c r="C4091" s="1" t="n">
        <v>45822</v>
      </c>
      <c r="D4091" t="inlineStr">
        <is>
          <t>VÄSTERNORRLANDS LÄN</t>
        </is>
      </c>
      <c r="E4091" t="inlineStr">
        <is>
          <t>SOLLEFTEÅ</t>
        </is>
      </c>
      <c r="F4091" t="inlineStr">
        <is>
          <t>SCA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22046-2025</t>
        </is>
      </c>
      <c r="B4092" s="1" t="n">
        <v>45785</v>
      </c>
      <c r="C4092" s="1" t="n">
        <v>45822</v>
      </c>
      <c r="D4092" t="inlineStr">
        <is>
          <t>VÄSTERNORRLANDS LÄN</t>
        </is>
      </c>
      <c r="E4092" t="inlineStr">
        <is>
          <t>SOLLEFTEÅ</t>
        </is>
      </c>
      <c r="F4092" t="inlineStr">
        <is>
          <t>SCA</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22106-2025</t>
        </is>
      </c>
      <c r="B4093" s="1" t="n">
        <v>45785</v>
      </c>
      <c r="C4093" s="1" t="n">
        <v>45822</v>
      </c>
      <c r="D4093" t="inlineStr">
        <is>
          <t>VÄSTERNORRLANDS LÄN</t>
        </is>
      </c>
      <c r="E4093" t="inlineStr">
        <is>
          <t>SOLLEFTEÅ</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22166-2025</t>
        </is>
      </c>
      <c r="B4094" s="1" t="n">
        <v>45785</v>
      </c>
      <c r="C4094" s="1" t="n">
        <v>45822</v>
      </c>
      <c r="D4094" t="inlineStr">
        <is>
          <t>VÄSTERNORRLANDS LÄN</t>
        </is>
      </c>
      <c r="E4094" t="inlineStr">
        <is>
          <t>SOLLEFTEÅ</t>
        </is>
      </c>
      <c r="F4094" t="inlineStr">
        <is>
          <t>SCA</t>
        </is>
      </c>
      <c r="G4094" t="n">
        <v>10.8</v>
      </c>
      <c r="H4094" t="n">
        <v>0</v>
      </c>
      <c r="I4094" t="n">
        <v>0</v>
      </c>
      <c r="J4094" t="n">
        <v>0</v>
      </c>
      <c r="K4094" t="n">
        <v>0</v>
      </c>
      <c r="L4094" t="n">
        <v>0</v>
      </c>
      <c r="M4094" t="n">
        <v>0</v>
      </c>
      <c r="N4094" t="n">
        <v>0</v>
      </c>
      <c r="O4094" t="n">
        <v>0</v>
      </c>
      <c r="P4094" t="n">
        <v>0</v>
      </c>
      <c r="Q4094" t="n">
        <v>0</v>
      </c>
      <c r="R4094" s="2" t="inlineStr"/>
    </row>
    <row r="4095" ht="15" customHeight="1">
      <c r="A4095" t="inlineStr">
        <is>
          <t>A 22255-2025</t>
        </is>
      </c>
      <c r="B4095" s="1" t="n">
        <v>45785</v>
      </c>
      <c r="C4095" s="1" t="n">
        <v>45822</v>
      </c>
      <c r="D4095" t="inlineStr">
        <is>
          <t>VÄSTERNORRLANDS LÄN</t>
        </is>
      </c>
      <c r="E4095" t="inlineStr">
        <is>
          <t>SOLLEFTEÅ</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22182-2025</t>
        </is>
      </c>
      <c r="B4096" s="1" t="n">
        <v>45785</v>
      </c>
      <c r="C4096" s="1" t="n">
        <v>45822</v>
      </c>
      <c r="D4096" t="inlineStr">
        <is>
          <t>VÄSTERNORRLANDS LÄN</t>
        </is>
      </c>
      <c r="E4096" t="inlineStr">
        <is>
          <t>SOLLEFTEÅ</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22207-2025</t>
        </is>
      </c>
      <c r="B4097" s="1" t="n">
        <v>45785</v>
      </c>
      <c r="C4097" s="1" t="n">
        <v>45822</v>
      </c>
      <c r="D4097" t="inlineStr">
        <is>
          <t>VÄSTERNORRLANDS LÄN</t>
        </is>
      </c>
      <c r="E4097" t="inlineStr">
        <is>
          <t>SOLLEFTEÅ</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22211-2025</t>
        </is>
      </c>
      <c r="B4098" s="1" t="n">
        <v>45785</v>
      </c>
      <c r="C4098" s="1" t="n">
        <v>45822</v>
      </c>
      <c r="D4098" t="inlineStr">
        <is>
          <t>VÄSTERNORRLANDS LÄN</t>
        </is>
      </c>
      <c r="E4098" t="inlineStr">
        <is>
          <t>SOLLEFTEÅ</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22287-2025</t>
        </is>
      </c>
      <c r="B4099" s="1" t="n">
        <v>45786</v>
      </c>
      <c r="C4099" s="1" t="n">
        <v>45822</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22390-2025</t>
        </is>
      </c>
      <c r="B4100" s="1" t="n">
        <v>45786</v>
      </c>
      <c r="C4100" s="1" t="n">
        <v>45822</v>
      </c>
      <c r="D4100" t="inlineStr">
        <is>
          <t>VÄSTERNORRLANDS LÄN</t>
        </is>
      </c>
      <c r="E4100" t="inlineStr">
        <is>
          <t>SOLLEFTEÅ</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22391-2025</t>
        </is>
      </c>
      <c r="B4101" s="1" t="n">
        <v>45786</v>
      </c>
      <c r="C4101" s="1" t="n">
        <v>45822</v>
      </c>
      <c r="D4101" t="inlineStr">
        <is>
          <t>VÄSTERNORRLANDS LÄN</t>
        </is>
      </c>
      <c r="E4101" t="inlineStr">
        <is>
          <t>SOLLEFTEÅ</t>
        </is>
      </c>
      <c r="G4101" t="n">
        <v>11.6</v>
      </c>
      <c r="H4101" t="n">
        <v>0</v>
      </c>
      <c r="I4101" t="n">
        <v>0</v>
      </c>
      <c r="J4101" t="n">
        <v>0</v>
      </c>
      <c r="K4101" t="n">
        <v>0</v>
      </c>
      <c r="L4101" t="n">
        <v>0</v>
      </c>
      <c r="M4101" t="n">
        <v>0</v>
      </c>
      <c r="N4101" t="n">
        <v>0</v>
      </c>
      <c r="O4101" t="n">
        <v>0</v>
      </c>
      <c r="P4101" t="n">
        <v>0</v>
      </c>
      <c r="Q4101" t="n">
        <v>0</v>
      </c>
      <c r="R4101" s="2" t="inlineStr"/>
    </row>
    <row r="4102" ht="15" customHeight="1">
      <c r="A4102" t="inlineStr">
        <is>
          <t>A 22446-2025</t>
        </is>
      </c>
      <c r="B4102" s="1" t="n">
        <v>45786</v>
      </c>
      <c r="C4102" s="1" t="n">
        <v>45822</v>
      </c>
      <c r="D4102" t="inlineStr">
        <is>
          <t>VÄSTERNORRLANDS LÄN</t>
        </is>
      </c>
      <c r="E4102" t="inlineStr">
        <is>
          <t>SOLLEFTEÅ</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22514-2025</t>
        </is>
      </c>
      <c r="B4103" s="1" t="n">
        <v>45786</v>
      </c>
      <c r="C4103" s="1" t="n">
        <v>45822</v>
      </c>
      <c r="D4103" t="inlineStr">
        <is>
          <t>VÄSTERNORRLANDS LÄN</t>
        </is>
      </c>
      <c r="E4103" t="inlineStr">
        <is>
          <t>SOLLEFTEÅ</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22444-2025</t>
        </is>
      </c>
      <c r="B4104" s="1" t="n">
        <v>45786</v>
      </c>
      <c r="C4104" s="1" t="n">
        <v>45822</v>
      </c>
      <c r="D4104" t="inlineStr">
        <is>
          <t>VÄSTERNORRLANDS LÄN</t>
        </is>
      </c>
      <c r="E4104" t="inlineStr">
        <is>
          <t>SOLLEFTEÅ</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22569-2025</t>
        </is>
      </c>
      <c r="B4105" s="1" t="n">
        <v>45789</v>
      </c>
      <c r="C4105" s="1" t="n">
        <v>45822</v>
      </c>
      <c r="D4105" t="inlineStr">
        <is>
          <t>VÄSTERNORRLANDS LÄN</t>
        </is>
      </c>
      <c r="E4105" t="inlineStr">
        <is>
          <t>SOLLEFTEÅ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22767-2025</t>
        </is>
      </c>
      <c r="B4106" s="1" t="n">
        <v>45789</v>
      </c>
      <c r="C4106" s="1" t="n">
        <v>45822</v>
      </c>
      <c r="D4106" t="inlineStr">
        <is>
          <t>VÄSTERNORRLANDS LÄN</t>
        </is>
      </c>
      <c r="E4106" t="inlineStr">
        <is>
          <t>SOLLEFTEÅ</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22810-2025</t>
        </is>
      </c>
      <c r="B4107" s="1" t="n">
        <v>45789</v>
      </c>
      <c r="C4107" s="1" t="n">
        <v>45822</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22694-2025</t>
        </is>
      </c>
      <c r="B4108" s="1" t="n">
        <v>45789</v>
      </c>
      <c r="C4108" s="1" t="n">
        <v>45822</v>
      </c>
      <c r="D4108" t="inlineStr">
        <is>
          <t>VÄSTERNORRLANDS LÄN</t>
        </is>
      </c>
      <c r="E4108" t="inlineStr">
        <is>
          <t>SOLLEFTEÅ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22815-2025</t>
        </is>
      </c>
      <c r="B4109" s="1" t="n">
        <v>45789</v>
      </c>
      <c r="C4109" s="1" t="n">
        <v>45822</v>
      </c>
      <c r="D4109" t="inlineStr">
        <is>
          <t>VÄSTERNORRLANDS LÄN</t>
        </is>
      </c>
      <c r="E4109" t="inlineStr">
        <is>
          <t>SOLLEFTEÅ</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22803-2025</t>
        </is>
      </c>
      <c r="B4110" s="1" t="n">
        <v>45789</v>
      </c>
      <c r="C4110" s="1" t="n">
        <v>45822</v>
      </c>
      <c r="D4110" t="inlineStr">
        <is>
          <t>VÄSTERNORRLANDS LÄN</t>
        </is>
      </c>
      <c r="E4110" t="inlineStr">
        <is>
          <t>SOLLEFTEÅ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22704-2025</t>
        </is>
      </c>
      <c r="B4111" s="1" t="n">
        <v>45789</v>
      </c>
      <c r="C4111" s="1" t="n">
        <v>45822</v>
      </c>
      <c r="D4111" t="inlineStr">
        <is>
          <t>VÄSTERNORRLANDS LÄN</t>
        </is>
      </c>
      <c r="E4111" t="inlineStr">
        <is>
          <t>SOLLEFTEÅ</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22615-2025</t>
        </is>
      </c>
      <c r="B4112" s="1" t="n">
        <v>45789</v>
      </c>
      <c r="C4112" s="1" t="n">
        <v>45822</v>
      </c>
      <c r="D4112" t="inlineStr">
        <is>
          <t>VÄSTERNORRLANDS LÄN</t>
        </is>
      </c>
      <c r="E4112" t="inlineStr">
        <is>
          <t>SOLLEFTEÅ</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22562-2025</t>
        </is>
      </c>
      <c r="B4113" s="1" t="n">
        <v>45789</v>
      </c>
      <c r="C4113" s="1" t="n">
        <v>45822</v>
      </c>
      <c r="D4113" t="inlineStr">
        <is>
          <t>VÄSTERNORRLANDS LÄN</t>
        </is>
      </c>
      <c r="E4113" t="inlineStr">
        <is>
          <t>SOLLEFTEÅ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22737-2025</t>
        </is>
      </c>
      <c r="B4114" s="1" t="n">
        <v>45789</v>
      </c>
      <c r="C4114" s="1" t="n">
        <v>45822</v>
      </c>
      <c r="D4114" t="inlineStr">
        <is>
          <t>VÄSTERNORRLANDS LÄN</t>
        </is>
      </c>
      <c r="E4114" t="inlineStr">
        <is>
          <t>SOLLEFTEÅ</t>
        </is>
      </c>
      <c r="G4114" t="n">
        <v>15.6</v>
      </c>
      <c r="H4114" t="n">
        <v>0</v>
      </c>
      <c r="I4114" t="n">
        <v>0</v>
      </c>
      <c r="J4114" t="n">
        <v>0</v>
      </c>
      <c r="K4114" t="n">
        <v>0</v>
      </c>
      <c r="L4114" t="n">
        <v>0</v>
      </c>
      <c r="M4114" t="n">
        <v>0</v>
      </c>
      <c r="N4114" t="n">
        <v>0</v>
      </c>
      <c r="O4114" t="n">
        <v>0</v>
      </c>
      <c r="P4114" t="n">
        <v>0</v>
      </c>
      <c r="Q4114" t="n">
        <v>0</v>
      </c>
      <c r="R4114" s="2" t="inlineStr"/>
    </row>
    <row r="4115" ht="15" customHeight="1">
      <c r="A4115" t="inlineStr">
        <is>
          <t>A 22853-2025</t>
        </is>
      </c>
      <c r="B4115" s="1" t="n">
        <v>45790</v>
      </c>
      <c r="C4115" s="1" t="n">
        <v>45822</v>
      </c>
      <c r="D4115" t="inlineStr">
        <is>
          <t>VÄSTERNORRLANDS LÄN</t>
        </is>
      </c>
      <c r="E4115" t="inlineStr">
        <is>
          <t>SOLLEFTEÅ</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22854-2025</t>
        </is>
      </c>
      <c r="B4116" s="1" t="n">
        <v>45790</v>
      </c>
      <c r="C4116" s="1" t="n">
        <v>45822</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23025-2025</t>
        </is>
      </c>
      <c r="B4117" s="1" t="n">
        <v>45790</v>
      </c>
      <c r="C4117" s="1" t="n">
        <v>45822</v>
      </c>
      <c r="D4117" t="inlineStr">
        <is>
          <t>VÄSTERNORRLANDS LÄN</t>
        </is>
      </c>
      <c r="E4117" t="inlineStr">
        <is>
          <t>SOLLEFTEÅ</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22866-2025</t>
        </is>
      </c>
      <c r="B4118" s="1" t="n">
        <v>45790</v>
      </c>
      <c r="C4118" s="1" t="n">
        <v>45822</v>
      </c>
      <c r="D4118" t="inlineStr">
        <is>
          <t>VÄSTERNORRLANDS LÄN</t>
        </is>
      </c>
      <c r="E4118" t="inlineStr">
        <is>
          <t>SOLLEFTEÅ</t>
        </is>
      </c>
      <c r="F4118" t="inlineStr">
        <is>
          <t>SCA</t>
        </is>
      </c>
      <c r="G4118" t="n">
        <v>16.2</v>
      </c>
      <c r="H4118" t="n">
        <v>0</v>
      </c>
      <c r="I4118" t="n">
        <v>0</v>
      </c>
      <c r="J4118" t="n">
        <v>0</v>
      </c>
      <c r="K4118" t="n">
        <v>0</v>
      </c>
      <c r="L4118" t="n">
        <v>0</v>
      </c>
      <c r="M4118" t="n">
        <v>0</v>
      </c>
      <c r="N4118" t="n">
        <v>0</v>
      </c>
      <c r="O4118" t="n">
        <v>0</v>
      </c>
      <c r="P4118" t="n">
        <v>0</v>
      </c>
      <c r="Q4118" t="n">
        <v>0</v>
      </c>
      <c r="R4118" s="2" t="inlineStr"/>
    </row>
    <row r="4119" ht="15" customHeight="1">
      <c r="A4119" t="inlineStr">
        <is>
          <t>A 23345-2025</t>
        </is>
      </c>
      <c r="B4119" s="1" t="n">
        <v>45791</v>
      </c>
      <c r="C4119" s="1" t="n">
        <v>45822</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23090-2025</t>
        </is>
      </c>
      <c r="B4120" s="1" t="n">
        <v>45791</v>
      </c>
      <c r="C4120" s="1" t="n">
        <v>45822</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23160-2025</t>
        </is>
      </c>
      <c r="B4121" s="1" t="n">
        <v>45791</v>
      </c>
      <c r="C4121" s="1" t="n">
        <v>45822</v>
      </c>
      <c r="D4121" t="inlineStr">
        <is>
          <t>VÄSTERNORRLANDS LÄN</t>
        </is>
      </c>
      <c r="E4121" t="inlineStr">
        <is>
          <t>SOLLEFTEÅ</t>
        </is>
      </c>
      <c r="F4121" t="inlineStr">
        <is>
          <t>SCA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23347-2025</t>
        </is>
      </c>
      <c r="B4122" s="1" t="n">
        <v>45791</v>
      </c>
      <c r="C4122" s="1" t="n">
        <v>45822</v>
      </c>
      <c r="D4122" t="inlineStr">
        <is>
          <t>VÄSTERNORRLANDS LÄN</t>
        </is>
      </c>
      <c r="E4122" t="inlineStr">
        <is>
          <t>SOLLEFTEÅ</t>
        </is>
      </c>
      <c r="F4122" t="inlineStr">
        <is>
          <t>SCA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23339-2025</t>
        </is>
      </c>
      <c r="B4123" s="1" t="n">
        <v>45791</v>
      </c>
      <c r="C4123" s="1" t="n">
        <v>45822</v>
      </c>
      <c r="D4123" t="inlineStr">
        <is>
          <t>VÄSTERNORRLANDS LÄN</t>
        </is>
      </c>
      <c r="E4123" t="inlineStr">
        <is>
          <t>SOLLEFTEÅ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23318-2025</t>
        </is>
      </c>
      <c r="B4124" s="1" t="n">
        <v>45791</v>
      </c>
      <c r="C4124" s="1" t="n">
        <v>45822</v>
      </c>
      <c r="D4124" t="inlineStr">
        <is>
          <t>VÄSTERNORRLANDS LÄN</t>
        </is>
      </c>
      <c r="E4124" t="inlineStr">
        <is>
          <t>SOLLEFTEÅ</t>
        </is>
      </c>
      <c r="F4124" t="inlineStr">
        <is>
          <t>SCA</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23542-2025</t>
        </is>
      </c>
      <c r="B4125" s="1" t="n">
        <v>45792</v>
      </c>
      <c r="C4125" s="1" t="n">
        <v>45822</v>
      </c>
      <c r="D4125" t="inlineStr">
        <is>
          <t>VÄSTERNORRLANDS LÄN</t>
        </is>
      </c>
      <c r="E4125" t="inlineStr">
        <is>
          <t>SOLLEFTEÅ</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23564-2025</t>
        </is>
      </c>
      <c r="B4126" s="1" t="n">
        <v>45792</v>
      </c>
      <c r="C4126" s="1" t="n">
        <v>45822</v>
      </c>
      <c r="D4126" t="inlineStr">
        <is>
          <t>VÄSTERNORRLANDS LÄN</t>
        </is>
      </c>
      <c r="E4126" t="inlineStr">
        <is>
          <t>SOLLEFTEÅ</t>
        </is>
      </c>
      <c r="F4126" t="inlineStr">
        <is>
          <t>Holmen skog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45822</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23633-2025</t>
        </is>
      </c>
      <c r="B4128" s="1" t="n">
        <v>45792</v>
      </c>
      <c r="C4128" s="1" t="n">
        <v>45822</v>
      </c>
      <c r="D4128" t="inlineStr">
        <is>
          <t>VÄSTERNORRLANDS LÄN</t>
        </is>
      </c>
      <c r="E4128" t="inlineStr">
        <is>
          <t>SOLLEFTEÅ</t>
        </is>
      </c>
      <c r="F4128" t="inlineStr">
        <is>
          <t>SCA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23409-2025</t>
        </is>
      </c>
      <c r="B4129" s="1" t="n">
        <v>45792</v>
      </c>
      <c r="C4129" s="1" t="n">
        <v>45822</v>
      </c>
      <c r="D4129" t="inlineStr">
        <is>
          <t>VÄSTERNORRLANDS LÄN</t>
        </is>
      </c>
      <c r="E4129" t="inlineStr">
        <is>
          <t>SOLLEFTEÅ</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23478-2025</t>
        </is>
      </c>
      <c r="B4130" s="1" t="n">
        <v>45792</v>
      </c>
      <c r="C4130" s="1" t="n">
        <v>45822</v>
      </c>
      <c r="D4130" t="inlineStr">
        <is>
          <t>VÄSTERNORRLANDS LÄN</t>
        </is>
      </c>
      <c r="E4130" t="inlineStr">
        <is>
          <t>SOLLEFTEÅ</t>
        </is>
      </c>
      <c r="F4130" t="inlineStr">
        <is>
          <t>Holmen skog AB</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23522-2025</t>
        </is>
      </c>
      <c r="B4131" s="1" t="n">
        <v>45792</v>
      </c>
      <c r="C4131" s="1" t="n">
        <v>45822</v>
      </c>
      <c r="D4131" t="inlineStr">
        <is>
          <t>VÄSTERNORRLANDS LÄN</t>
        </is>
      </c>
      <c r="E4131" t="inlineStr">
        <is>
          <t>SOLLEFTEÅ</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23634-2025</t>
        </is>
      </c>
      <c r="B4132" s="1" t="n">
        <v>45792</v>
      </c>
      <c r="C4132" s="1" t="n">
        <v>45822</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23871-2025</t>
        </is>
      </c>
      <c r="B4133" s="1" t="n">
        <v>45793</v>
      </c>
      <c r="C4133" s="1" t="n">
        <v>45822</v>
      </c>
      <c r="D4133" t="inlineStr">
        <is>
          <t>VÄSTERNORRLANDS LÄN</t>
        </is>
      </c>
      <c r="E4133" t="inlineStr">
        <is>
          <t>SOLLEFTEÅ</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23734-2025</t>
        </is>
      </c>
      <c r="B4134" s="1" t="n">
        <v>45793</v>
      </c>
      <c r="C4134" s="1" t="n">
        <v>45822</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23889-2025</t>
        </is>
      </c>
      <c r="B4135" s="1" t="n">
        <v>45793</v>
      </c>
      <c r="C4135" s="1" t="n">
        <v>45822</v>
      </c>
      <c r="D4135" t="inlineStr">
        <is>
          <t>VÄSTERNORRLANDS LÄN</t>
        </is>
      </c>
      <c r="E4135" t="inlineStr">
        <is>
          <t>SOLLEFTEÅ</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23735-2025</t>
        </is>
      </c>
      <c r="B4136" s="1" t="n">
        <v>45793</v>
      </c>
      <c r="C4136" s="1" t="n">
        <v>45822</v>
      </c>
      <c r="D4136" t="inlineStr">
        <is>
          <t>VÄSTERNORRLANDS LÄN</t>
        </is>
      </c>
      <c r="E4136" t="inlineStr">
        <is>
          <t>SOLLEFTEÅ</t>
        </is>
      </c>
      <c r="F4136" t="inlineStr">
        <is>
          <t>SCA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23738-2025</t>
        </is>
      </c>
      <c r="B4137" s="1" t="n">
        <v>45793</v>
      </c>
      <c r="C4137" s="1" t="n">
        <v>45822</v>
      </c>
      <c r="D4137" t="inlineStr">
        <is>
          <t>VÄSTERNORRLANDS LÄN</t>
        </is>
      </c>
      <c r="E4137" t="inlineStr">
        <is>
          <t>SOLLEFTEÅ</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23997-2025</t>
        </is>
      </c>
      <c r="B4138" s="1" t="n">
        <v>45796</v>
      </c>
      <c r="C4138" s="1" t="n">
        <v>45822</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23977-2025</t>
        </is>
      </c>
      <c r="B4139" s="1" t="n">
        <v>45796</v>
      </c>
      <c r="C4139" s="1" t="n">
        <v>45822</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23974-2025</t>
        </is>
      </c>
      <c r="B4140" s="1" t="n">
        <v>45796</v>
      </c>
      <c r="C4140" s="1" t="n">
        <v>45822</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24420-2025</t>
        </is>
      </c>
      <c r="B4141" s="1" t="n">
        <v>45797</v>
      </c>
      <c r="C4141" s="1" t="n">
        <v>45822</v>
      </c>
      <c r="D4141" t="inlineStr">
        <is>
          <t>VÄSTERNORRLANDS LÄN</t>
        </is>
      </c>
      <c r="E4141" t="inlineStr">
        <is>
          <t>SOLLEFTEÅ</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24393-2025</t>
        </is>
      </c>
      <c r="B4142" s="1" t="n">
        <v>45797</v>
      </c>
      <c r="C4142" s="1" t="n">
        <v>45822</v>
      </c>
      <c r="D4142" t="inlineStr">
        <is>
          <t>VÄSTERNORRLANDS LÄN</t>
        </is>
      </c>
      <c r="E4142" t="inlineStr">
        <is>
          <t>SOLLEFTEÅ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24552-2025</t>
        </is>
      </c>
      <c r="B4143" s="1" t="n">
        <v>45798</v>
      </c>
      <c r="C4143" s="1" t="n">
        <v>45822</v>
      </c>
      <c r="D4143" t="inlineStr">
        <is>
          <t>VÄSTERNORRLANDS LÄN</t>
        </is>
      </c>
      <c r="E4143" t="inlineStr">
        <is>
          <t>SOLLEFTEÅ</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24693-2025</t>
        </is>
      </c>
      <c r="B4144" s="1" t="n">
        <v>45798</v>
      </c>
      <c r="C4144" s="1" t="n">
        <v>45822</v>
      </c>
      <c r="D4144" t="inlineStr">
        <is>
          <t>VÄSTERNORRLANDS LÄN</t>
        </is>
      </c>
      <c r="E4144" t="inlineStr">
        <is>
          <t>SOLLEFTEÅ</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24530-2025</t>
        </is>
      </c>
      <c r="B4145" s="1" t="n">
        <v>45798</v>
      </c>
      <c r="C4145" s="1" t="n">
        <v>45822</v>
      </c>
      <c r="D4145" t="inlineStr">
        <is>
          <t>VÄSTERNORRLANDS LÄN</t>
        </is>
      </c>
      <c r="E4145" t="inlineStr">
        <is>
          <t>SOLLEFTEÅ</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24532-2025</t>
        </is>
      </c>
      <c r="B4146" s="1" t="n">
        <v>45798</v>
      </c>
      <c r="C4146" s="1" t="n">
        <v>45822</v>
      </c>
      <c r="D4146" t="inlineStr">
        <is>
          <t>VÄSTERNORRLANDS LÄN</t>
        </is>
      </c>
      <c r="E4146" t="inlineStr">
        <is>
          <t>SOLLEFTEÅ</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24488-2025</t>
        </is>
      </c>
      <c r="B4147" s="1" t="n">
        <v>45798</v>
      </c>
      <c r="C4147" s="1" t="n">
        <v>45822</v>
      </c>
      <c r="D4147" t="inlineStr">
        <is>
          <t>VÄSTERNORRLANDS LÄN</t>
        </is>
      </c>
      <c r="E4147" t="inlineStr">
        <is>
          <t>SOLLEFTEÅ</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24531-2025</t>
        </is>
      </c>
      <c r="B4148" s="1" t="n">
        <v>45798</v>
      </c>
      <c r="C4148" s="1" t="n">
        <v>45822</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24759-2025</t>
        </is>
      </c>
      <c r="B4149" s="1" t="n">
        <v>45799</v>
      </c>
      <c r="C4149" s="1" t="n">
        <v>45822</v>
      </c>
      <c r="D4149" t="inlineStr">
        <is>
          <t>VÄSTERNORRLANDS LÄN</t>
        </is>
      </c>
      <c r="E4149" t="inlineStr">
        <is>
          <t>SOLLEFTEÅ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24760-2025</t>
        </is>
      </c>
      <c r="B4150" s="1" t="n">
        <v>45799</v>
      </c>
      <c r="C4150" s="1" t="n">
        <v>45822</v>
      </c>
      <c r="D4150" t="inlineStr">
        <is>
          <t>VÄSTERNORRLANDS LÄN</t>
        </is>
      </c>
      <c r="E4150" t="inlineStr">
        <is>
          <t>SOLLEFTEÅ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24787-2025</t>
        </is>
      </c>
      <c r="B4151" s="1" t="n">
        <v>45799</v>
      </c>
      <c r="C4151" s="1" t="n">
        <v>45822</v>
      </c>
      <c r="D4151" t="inlineStr">
        <is>
          <t>VÄSTERNORRLANDS LÄN</t>
        </is>
      </c>
      <c r="E4151" t="inlineStr">
        <is>
          <t>SOLLEFTEÅ</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25313-2025</t>
        </is>
      </c>
      <c r="B4152" s="1" t="n">
        <v>45799</v>
      </c>
      <c r="C4152" s="1" t="n">
        <v>45822</v>
      </c>
      <c r="D4152" t="inlineStr">
        <is>
          <t>VÄSTERNORRLANDS LÄN</t>
        </is>
      </c>
      <c r="E4152" t="inlineStr">
        <is>
          <t>SOLLEFTEÅ</t>
        </is>
      </c>
      <c r="F4152" t="inlineStr">
        <is>
          <t>Kommuner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24730-2025</t>
        </is>
      </c>
      <c r="B4153" s="1" t="n">
        <v>45799</v>
      </c>
      <c r="C4153" s="1" t="n">
        <v>45822</v>
      </c>
      <c r="D4153" t="inlineStr">
        <is>
          <t>VÄSTERNORRLANDS LÄN</t>
        </is>
      </c>
      <c r="E4153" t="inlineStr">
        <is>
          <t>SOLLEFTEÅ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25181-2025</t>
        </is>
      </c>
      <c r="B4154" s="1" t="n">
        <v>45800</v>
      </c>
      <c r="C4154" s="1" t="n">
        <v>45822</v>
      </c>
      <c r="D4154" t="inlineStr">
        <is>
          <t>VÄSTERNORRLANDS LÄN</t>
        </is>
      </c>
      <c r="E4154" t="inlineStr">
        <is>
          <t>SOLLEFTEÅ</t>
        </is>
      </c>
      <c r="G4154" t="n">
        <v>15.6</v>
      </c>
      <c r="H4154" t="n">
        <v>0</v>
      </c>
      <c r="I4154" t="n">
        <v>0</v>
      </c>
      <c r="J4154" t="n">
        <v>0</v>
      </c>
      <c r="K4154" t="n">
        <v>0</v>
      </c>
      <c r="L4154" t="n">
        <v>0</v>
      </c>
      <c r="M4154" t="n">
        <v>0</v>
      </c>
      <c r="N4154" t="n">
        <v>0</v>
      </c>
      <c r="O4154" t="n">
        <v>0</v>
      </c>
      <c r="P4154" t="n">
        <v>0</v>
      </c>
      <c r="Q4154" t="n">
        <v>0</v>
      </c>
      <c r="R4154" s="2" t="inlineStr"/>
    </row>
    <row r="4155" ht="15" customHeight="1">
      <c r="A4155" t="inlineStr">
        <is>
          <t>A 25238-2025</t>
        </is>
      </c>
      <c r="B4155" s="1" t="n">
        <v>45800</v>
      </c>
      <c r="C4155" s="1" t="n">
        <v>45822</v>
      </c>
      <c r="D4155" t="inlineStr">
        <is>
          <t>VÄSTERNORRLANDS LÄN</t>
        </is>
      </c>
      <c r="E4155" t="inlineStr">
        <is>
          <t>SOLLEFTEÅ</t>
        </is>
      </c>
      <c r="F4155" t="inlineStr">
        <is>
          <t>SCA</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25242-2025</t>
        </is>
      </c>
      <c r="B4156" s="1" t="n">
        <v>45800</v>
      </c>
      <c r="C4156" s="1" t="n">
        <v>45822</v>
      </c>
      <c r="D4156" t="inlineStr">
        <is>
          <t>VÄSTERNORRLANDS LÄN</t>
        </is>
      </c>
      <c r="E4156" t="inlineStr">
        <is>
          <t>SOLLEFTEÅ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25297-2025</t>
        </is>
      </c>
      <c r="B4157" s="1" t="n">
        <v>45800</v>
      </c>
      <c r="C4157" s="1" t="n">
        <v>45822</v>
      </c>
      <c r="D4157" t="inlineStr">
        <is>
          <t>VÄSTERNORRLANDS LÄN</t>
        </is>
      </c>
      <c r="E4157" t="inlineStr">
        <is>
          <t>SOLLEFTEÅ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25207-2025</t>
        </is>
      </c>
      <c r="B4158" s="1" t="n">
        <v>45800</v>
      </c>
      <c r="C4158" s="1" t="n">
        <v>45822</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25243-2025</t>
        </is>
      </c>
      <c r="B4159" s="1" t="n">
        <v>45800</v>
      </c>
      <c r="C4159" s="1" t="n">
        <v>45822</v>
      </c>
      <c r="D4159" t="inlineStr">
        <is>
          <t>VÄSTERNORRLANDS LÄN</t>
        </is>
      </c>
      <c r="E4159" t="inlineStr">
        <is>
          <t>SOLLEFTEÅ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25145-2025</t>
        </is>
      </c>
      <c r="B4160" s="1" t="n">
        <v>45800</v>
      </c>
      <c r="C4160" s="1" t="n">
        <v>45822</v>
      </c>
      <c r="D4160" t="inlineStr">
        <is>
          <t>VÄSTERNORRLANDS LÄN</t>
        </is>
      </c>
      <c r="E4160" t="inlineStr">
        <is>
          <t>SOLLEFTEÅ</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25132-2025</t>
        </is>
      </c>
      <c r="B4161" s="1" t="n">
        <v>45800</v>
      </c>
      <c r="C4161" s="1" t="n">
        <v>45822</v>
      </c>
      <c r="D4161" t="inlineStr">
        <is>
          <t>VÄSTERNORRLANDS LÄN</t>
        </is>
      </c>
      <c r="E4161" t="inlineStr">
        <is>
          <t>SOLLEFTEÅ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25517-2025</t>
        </is>
      </c>
      <c r="B4162" s="1" t="n">
        <v>45803</v>
      </c>
      <c r="C4162" s="1" t="n">
        <v>45822</v>
      </c>
      <c r="D4162" t="inlineStr">
        <is>
          <t>VÄSTERNORRLANDS LÄN</t>
        </is>
      </c>
      <c r="E4162" t="inlineStr">
        <is>
          <t>SOLLEFTEÅ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25854-2025</t>
        </is>
      </c>
      <c r="B4163" s="1" t="n">
        <v>45804</v>
      </c>
      <c r="C4163" s="1" t="n">
        <v>45822</v>
      </c>
      <c r="D4163" t="inlineStr">
        <is>
          <t>VÄSTERNORRLANDS LÄN</t>
        </is>
      </c>
      <c r="E4163" t="inlineStr">
        <is>
          <t>SOLLEFTEÅ</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25855-2025</t>
        </is>
      </c>
      <c r="B4164" s="1" t="n">
        <v>45804</v>
      </c>
      <c r="C4164" s="1" t="n">
        <v>45822</v>
      </c>
      <c r="D4164" t="inlineStr">
        <is>
          <t>VÄSTERNORRLANDS LÄN</t>
        </is>
      </c>
      <c r="E4164" t="inlineStr">
        <is>
          <t>SOLLEFTEÅ</t>
        </is>
      </c>
      <c r="F4164" t="inlineStr">
        <is>
          <t>SCA</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25903-2025</t>
        </is>
      </c>
      <c r="B4165" s="1" t="n">
        <v>45804</v>
      </c>
      <c r="C4165" s="1" t="n">
        <v>45822</v>
      </c>
      <c r="D4165" t="inlineStr">
        <is>
          <t>VÄSTERNORRLANDS LÄN</t>
        </is>
      </c>
      <c r="E4165" t="inlineStr">
        <is>
          <t>SOLLEFTEÅ</t>
        </is>
      </c>
      <c r="F4165" t="inlineStr">
        <is>
          <t>SCA</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25939-2025</t>
        </is>
      </c>
      <c r="B4166" s="1" t="n">
        <v>45804</v>
      </c>
      <c r="C4166" s="1" t="n">
        <v>45822</v>
      </c>
      <c r="D4166" t="inlineStr">
        <is>
          <t>VÄSTERNORRLANDS LÄN</t>
        </is>
      </c>
      <c r="E4166" t="inlineStr">
        <is>
          <t>SOLLEFTEÅ</t>
        </is>
      </c>
      <c r="F4166" t="inlineStr">
        <is>
          <t>SCA</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25943-2025</t>
        </is>
      </c>
      <c r="B4167" s="1" t="n">
        <v>45804</v>
      </c>
      <c r="C4167" s="1" t="n">
        <v>45822</v>
      </c>
      <c r="D4167" t="inlineStr">
        <is>
          <t>VÄSTERNORRLANDS LÄN</t>
        </is>
      </c>
      <c r="E4167" t="inlineStr">
        <is>
          <t>SOLLEFTEÅ</t>
        </is>
      </c>
      <c r="F4167" t="inlineStr">
        <is>
          <t>SCA</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25963-2025</t>
        </is>
      </c>
      <c r="B4168" s="1" t="n">
        <v>45804</v>
      </c>
      <c r="C4168" s="1" t="n">
        <v>45822</v>
      </c>
      <c r="D4168" t="inlineStr">
        <is>
          <t>VÄSTERNORRLANDS LÄN</t>
        </is>
      </c>
      <c r="E4168" t="inlineStr">
        <is>
          <t>SOLLEFTEÅ</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25790-2025</t>
        </is>
      </c>
      <c r="B4169" s="1" t="n">
        <v>45804</v>
      </c>
      <c r="C4169" s="1" t="n">
        <v>45822</v>
      </c>
      <c r="D4169" t="inlineStr">
        <is>
          <t>VÄSTERNORRLANDS LÄN</t>
        </is>
      </c>
      <c r="E4169" t="inlineStr">
        <is>
          <t>SOLLEFTEÅ</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25954-2025</t>
        </is>
      </c>
      <c r="B4170" s="1" t="n">
        <v>45804</v>
      </c>
      <c r="C4170" s="1" t="n">
        <v>45822</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26019-2025</t>
        </is>
      </c>
      <c r="B4171" s="1" t="n">
        <v>45804</v>
      </c>
      <c r="C4171" s="1" t="n">
        <v>45822</v>
      </c>
      <c r="D4171" t="inlineStr">
        <is>
          <t>VÄSTERNORRLANDS LÄN</t>
        </is>
      </c>
      <c r="E4171" t="inlineStr">
        <is>
          <t>SOLLEFTEÅ</t>
        </is>
      </c>
      <c r="F4171" t="inlineStr">
        <is>
          <t>SCA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25833-2025</t>
        </is>
      </c>
      <c r="B4172" s="1" t="n">
        <v>45804</v>
      </c>
      <c r="C4172" s="1" t="n">
        <v>45822</v>
      </c>
      <c r="D4172" t="inlineStr">
        <is>
          <t>VÄSTERNORRLANDS LÄN</t>
        </is>
      </c>
      <c r="E4172" t="inlineStr">
        <is>
          <t>SOLLEFTEÅ</t>
        </is>
      </c>
      <c r="F4172" t="inlineStr">
        <is>
          <t>SCA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25919-2025</t>
        </is>
      </c>
      <c r="B4173" s="1" t="n">
        <v>45804</v>
      </c>
      <c r="C4173" s="1" t="n">
        <v>45822</v>
      </c>
      <c r="D4173" t="inlineStr">
        <is>
          <t>VÄSTERNORRLANDS LÄN</t>
        </is>
      </c>
      <c r="E4173" t="inlineStr">
        <is>
          <t>SOLLEFTEÅ</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25856-2025</t>
        </is>
      </c>
      <c r="B4174" s="1" t="n">
        <v>45804</v>
      </c>
      <c r="C4174" s="1" t="n">
        <v>45822</v>
      </c>
      <c r="D4174" t="inlineStr">
        <is>
          <t>VÄSTERNORRLANDS LÄN</t>
        </is>
      </c>
      <c r="E4174" t="inlineStr">
        <is>
          <t>SOLLEFTEÅ</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25857-2025</t>
        </is>
      </c>
      <c r="B4175" s="1" t="n">
        <v>45804</v>
      </c>
      <c r="C4175" s="1" t="n">
        <v>45822</v>
      </c>
      <c r="D4175" t="inlineStr">
        <is>
          <t>VÄSTERNORRLANDS LÄN</t>
        </is>
      </c>
      <c r="E4175" t="inlineStr">
        <is>
          <t>SOLLEFTEÅ</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26014-2025</t>
        </is>
      </c>
      <c r="B4176" s="1" t="n">
        <v>45804</v>
      </c>
      <c r="C4176" s="1" t="n">
        <v>45822</v>
      </c>
      <c r="D4176" t="inlineStr">
        <is>
          <t>VÄSTERNORRLANDS LÄN</t>
        </is>
      </c>
      <c r="E4176" t="inlineStr">
        <is>
          <t>SOLLEFTEÅ</t>
        </is>
      </c>
      <c r="F4176" t="inlineStr">
        <is>
          <t>SCA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25945-2025</t>
        </is>
      </c>
      <c r="B4177" s="1" t="n">
        <v>45804</v>
      </c>
      <c r="C4177" s="1" t="n">
        <v>45822</v>
      </c>
      <c r="D4177" t="inlineStr">
        <is>
          <t>VÄSTERNORRLANDS LÄN</t>
        </is>
      </c>
      <c r="E4177" t="inlineStr">
        <is>
          <t>SOLLEFTEÅ</t>
        </is>
      </c>
      <c r="F4177" t="inlineStr">
        <is>
          <t>SCA</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26088-2025</t>
        </is>
      </c>
      <c r="B4178" s="1" t="n">
        <v>45805</v>
      </c>
      <c r="C4178" s="1" t="n">
        <v>45822</v>
      </c>
      <c r="D4178" t="inlineStr">
        <is>
          <t>VÄSTERNORRLANDS LÄN</t>
        </is>
      </c>
      <c r="E4178" t="inlineStr">
        <is>
          <t>SOLLEFTEÅ</t>
        </is>
      </c>
      <c r="F4178" t="inlineStr">
        <is>
          <t>SCA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26338-2025</t>
        </is>
      </c>
      <c r="B4179" s="1" t="n">
        <v>45805</v>
      </c>
      <c r="C4179" s="1" t="n">
        <v>45822</v>
      </c>
      <c r="D4179" t="inlineStr">
        <is>
          <t>VÄSTERNORRLANDS LÄN</t>
        </is>
      </c>
      <c r="E4179" t="inlineStr">
        <is>
          <t>SOLLEFTEÅ</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26341-2025</t>
        </is>
      </c>
      <c r="B4180" s="1" t="n">
        <v>45805</v>
      </c>
      <c r="C4180" s="1" t="n">
        <v>45822</v>
      </c>
      <c r="D4180" t="inlineStr">
        <is>
          <t>VÄSTERNORRLANDS LÄN</t>
        </is>
      </c>
      <c r="E4180" t="inlineStr">
        <is>
          <t>SOLLEFTEÅ</t>
        </is>
      </c>
      <c r="F4180" t="inlineStr">
        <is>
          <t>SCA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26409-2025</t>
        </is>
      </c>
      <c r="B4181" s="1" t="n">
        <v>45807</v>
      </c>
      <c r="C4181" s="1" t="n">
        <v>45822</v>
      </c>
      <c r="D4181" t="inlineStr">
        <is>
          <t>VÄSTERNORRLANDS LÄN</t>
        </is>
      </c>
      <c r="E4181" t="inlineStr">
        <is>
          <t>SOLLEFTEÅ</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26478-2025</t>
        </is>
      </c>
      <c r="B4182" s="1" t="n">
        <v>45807</v>
      </c>
      <c r="C4182" s="1" t="n">
        <v>45822</v>
      </c>
      <c r="D4182" t="inlineStr">
        <is>
          <t>VÄSTERNORRLANDS LÄN</t>
        </is>
      </c>
      <c r="E4182" t="inlineStr">
        <is>
          <t>SOLLEFTEÅ</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26477-2025</t>
        </is>
      </c>
      <c r="B4183" s="1" t="n">
        <v>45807</v>
      </c>
      <c r="C4183" s="1" t="n">
        <v>45822</v>
      </c>
      <c r="D4183" t="inlineStr">
        <is>
          <t>VÄSTERNORRLANDS LÄN</t>
        </is>
      </c>
      <c r="E4183" t="inlineStr">
        <is>
          <t>SOLLEFTEÅ</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26426-2025</t>
        </is>
      </c>
      <c r="B4184" s="1" t="n">
        <v>45807</v>
      </c>
      <c r="C4184" s="1" t="n">
        <v>45822</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26570-2025</t>
        </is>
      </c>
      <c r="B4185" s="1" t="n">
        <v>45807</v>
      </c>
      <c r="C4185" s="1" t="n">
        <v>45822</v>
      </c>
      <c r="D4185" t="inlineStr">
        <is>
          <t>VÄSTERNORRLANDS LÄN</t>
        </is>
      </c>
      <c r="E4185" t="inlineStr">
        <is>
          <t>SOLLEFTEÅ</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26641-2025</t>
        </is>
      </c>
      <c r="B4186" s="1" t="n">
        <v>45810</v>
      </c>
      <c r="C4186" s="1" t="n">
        <v>45822</v>
      </c>
      <c r="D4186" t="inlineStr">
        <is>
          <t>VÄSTERNORRLANDS LÄN</t>
        </is>
      </c>
      <c r="E4186" t="inlineStr">
        <is>
          <t>SOLLEFTEÅ</t>
        </is>
      </c>
      <c r="F4186" t="inlineStr">
        <is>
          <t>SCA</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26733-2025</t>
        </is>
      </c>
      <c r="B4187" s="1" t="n">
        <v>45810</v>
      </c>
      <c r="C4187" s="1" t="n">
        <v>45822</v>
      </c>
      <c r="D4187" t="inlineStr">
        <is>
          <t>VÄSTERNORRLANDS LÄN</t>
        </is>
      </c>
      <c r="E4187" t="inlineStr">
        <is>
          <t>SOLLEFTEÅ</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26642-2025</t>
        </is>
      </c>
      <c r="B4188" s="1" t="n">
        <v>45810</v>
      </c>
      <c r="C4188" s="1" t="n">
        <v>45822</v>
      </c>
      <c r="D4188" t="inlineStr">
        <is>
          <t>VÄSTERNORRLANDS LÄN</t>
        </is>
      </c>
      <c r="E4188" t="inlineStr">
        <is>
          <t>SOLLEFTEÅ</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27045-2025</t>
        </is>
      </c>
      <c r="B4189" s="1" t="n">
        <v>45811</v>
      </c>
      <c r="C4189" s="1" t="n">
        <v>45822</v>
      </c>
      <c r="D4189" t="inlineStr">
        <is>
          <t>VÄSTERNORRLANDS LÄN</t>
        </is>
      </c>
      <c r="E4189" t="inlineStr">
        <is>
          <t>SOLLEFTEÅ</t>
        </is>
      </c>
      <c r="F4189" t="inlineStr">
        <is>
          <t>SCA</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26938-2025</t>
        </is>
      </c>
      <c r="B4190" s="1" t="n">
        <v>45811</v>
      </c>
      <c r="C4190" s="1" t="n">
        <v>45822</v>
      </c>
      <c r="D4190" t="inlineStr">
        <is>
          <t>VÄSTERNORRLANDS LÄN</t>
        </is>
      </c>
      <c r="E4190" t="inlineStr">
        <is>
          <t>SOLLEFTEÅ</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26935-2025</t>
        </is>
      </c>
      <c r="B4191" s="1" t="n">
        <v>45811</v>
      </c>
      <c r="C4191" s="1" t="n">
        <v>45822</v>
      </c>
      <c r="D4191" t="inlineStr">
        <is>
          <t>VÄSTERNORRLANDS LÄN</t>
        </is>
      </c>
      <c r="E4191" t="inlineStr">
        <is>
          <t>SOLLEFTEÅ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26937-2025</t>
        </is>
      </c>
      <c r="B4192" s="1" t="n">
        <v>45811</v>
      </c>
      <c r="C4192" s="1" t="n">
        <v>45822</v>
      </c>
      <c r="D4192" t="inlineStr">
        <is>
          <t>VÄSTERNORRLANDS LÄN</t>
        </is>
      </c>
      <c r="E4192" t="inlineStr">
        <is>
          <t>SOLLEFTEÅ</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26952-2025</t>
        </is>
      </c>
      <c r="B4193" s="1" t="n">
        <v>45811</v>
      </c>
      <c r="C4193" s="1" t="n">
        <v>45822</v>
      </c>
      <c r="D4193" t="inlineStr">
        <is>
          <t>VÄSTERNORRLANDS LÄN</t>
        </is>
      </c>
      <c r="E4193" t="inlineStr">
        <is>
          <t>SOLLEFTEÅ</t>
        </is>
      </c>
      <c r="F4193" t="inlineStr">
        <is>
          <t>SCA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26916-2025</t>
        </is>
      </c>
      <c r="B4194" s="1" t="n">
        <v>45811</v>
      </c>
      <c r="C4194" s="1" t="n">
        <v>45822</v>
      </c>
      <c r="D4194" t="inlineStr">
        <is>
          <t>VÄSTERNORRLANDS LÄN</t>
        </is>
      </c>
      <c r="E4194" t="inlineStr">
        <is>
          <t>SOLLEFTEÅ</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26921-2025</t>
        </is>
      </c>
      <c r="B4195" s="1" t="n">
        <v>45811</v>
      </c>
      <c r="C4195" s="1" t="n">
        <v>45822</v>
      </c>
      <c r="D4195" t="inlineStr">
        <is>
          <t>VÄSTERNORRLANDS LÄN</t>
        </is>
      </c>
      <c r="E4195" t="inlineStr">
        <is>
          <t>SOLLEFTEÅ</t>
        </is>
      </c>
      <c r="F4195" t="inlineStr">
        <is>
          <t>SCA</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26953-2025</t>
        </is>
      </c>
      <c r="B4196" s="1" t="n">
        <v>45811</v>
      </c>
      <c r="C4196" s="1" t="n">
        <v>45822</v>
      </c>
      <c r="D4196" t="inlineStr">
        <is>
          <t>VÄSTERNORRLANDS LÄN</t>
        </is>
      </c>
      <c r="E4196" t="inlineStr">
        <is>
          <t>SOLLEFTEÅ</t>
        </is>
      </c>
      <c r="F4196" t="inlineStr">
        <is>
          <t>SCA</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26896-2025</t>
        </is>
      </c>
      <c r="B4197" s="1" t="n">
        <v>45811</v>
      </c>
      <c r="C4197" s="1" t="n">
        <v>45822</v>
      </c>
      <c r="D4197" t="inlineStr">
        <is>
          <t>VÄSTERNORRLANDS LÄN</t>
        </is>
      </c>
      <c r="E4197" t="inlineStr">
        <is>
          <t>SOLLEFTEÅ</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27288-2025</t>
        </is>
      </c>
      <c r="B4198" s="1" t="n">
        <v>45812</v>
      </c>
      <c r="C4198" s="1" t="n">
        <v>45822</v>
      </c>
      <c r="D4198" t="inlineStr">
        <is>
          <t>VÄSTERNORRLANDS LÄN</t>
        </is>
      </c>
      <c r="E4198" t="inlineStr">
        <is>
          <t>SOLLEFTEÅ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27407-2025</t>
        </is>
      </c>
      <c r="B4199" s="1" t="n">
        <v>45812</v>
      </c>
      <c r="C4199" s="1" t="n">
        <v>45822</v>
      </c>
      <c r="D4199" t="inlineStr">
        <is>
          <t>VÄSTERNORRLANDS LÄN</t>
        </is>
      </c>
      <c r="E4199" t="inlineStr">
        <is>
          <t>SOLLEFTEÅ</t>
        </is>
      </c>
      <c r="G4199" t="n">
        <v>23.2</v>
      </c>
      <c r="H4199" t="n">
        <v>0</v>
      </c>
      <c r="I4199" t="n">
        <v>0</v>
      </c>
      <c r="J4199" t="n">
        <v>0</v>
      </c>
      <c r="K4199" t="n">
        <v>0</v>
      </c>
      <c r="L4199" t="n">
        <v>0</v>
      </c>
      <c r="M4199" t="n">
        <v>0</v>
      </c>
      <c r="N4199" t="n">
        <v>0</v>
      </c>
      <c r="O4199" t="n">
        <v>0</v>
      </c>
      <c r="P4199" t="n">
        <v>0</v>
      </c>
      <c r="Q4199" t="n">
        <v>0</v>
      </c>
      <c r="R4199" s="2" t="inlineStr"/>
    </row>
    <row r="4200" ht="15" customHeight="1">
      <c r="A4200" t="inlineStr">
        <is>
          <t>A 27167-2025</t>
        </is>
      </c>
      <c r="B4200" s="1" t="n">
        <v>45812</v>
      </c>
      <c r="C4200" s="1" t="n">
        <v>45822</v>
      </c>
      <c r="D4200" t="inlineStr">
        <is>
          <t>VÄSTERNORRLANDS LÄN</t>
        </is>
      </c>
      <c r="E4200" t="inlineStr">
        <is>
          <t>SOLLEFTEÅ</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27142-2025</t>
        </is>
      </c>
      <c r="B4201" s="1" t="n">
        <v>45812</v>
      </c>
      <c r="C4201" s="1" t="n">
        <v>45822</v>
      </c>
      <c r="D4201" t="inlineStr">
        <is>
          <t>VÄSTERNORRLANDS LÄN</t>
        </is>
      </c>
      <c r="E4201" t="inlineStr">
        <is>
          <t>SOLLEFTEÅ</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27519-2025</t>
        </is>
      </c>
      <c r="B4202" s="1" t="n">
        <v>45813</v>
      </c>
      <c r="C4202" s="1" t="n">
        <v>45822</v>
      </c>
      <c r="D4202" t="inlineStr">
        <is>
          <t>VÄSTERNORRLANDS LÄN</t>
        </is>
      </c>
      <c r="E4202" t="inlineStr">
        <is>
          <t>SOLLEFTEÅ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27427-2025</t>
        </is>
      </c>
      <c r="B4203" s="1" t="n">
        <v>45813</v>
      </c>
      <c r="C4203" s="1" t="n">
        <v>45822</v>
      </c>
      <c r="D4203" t="inlineStr">
        <is>
          <t>VÄSTERNORRLANDS LÄN</t>
        </is>
      </c>
      <c r="E4203" t="inlineStr">
        <is>
          <t>SOLLEFTEÅ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27590-2025</t>
        </is>
      </c>
      <c r="B4204" s="1" t="n">
        <v>45813</v>
      </c>
      <c r="C4204" s="1" t="n">
        <v>45822</v>
      </c>
      <c r="D4204" t="inlineStr">
        <is>
          <t>VÄSTERNORRLANDS LÄN</t>
        </is>
      </c>
      <c r="E4204" t="inlineStr">
        <is>
          <t>SOLLEFTEÅ</t>
        </is>
      </c>
      <c r="G4204" t="n">
        <v>53.5</v>
      </c>
      <c r="H4204" t="n">
        <v>0</v>
      </c>
      <c r="I4204" t="n">
        <v>0</v>
      </c>
      <c r="J4204" t="n">
        <v>0</v>
      </c>
      <c r="K4204" t="n">
        <v>0</v>
      </c>
      <c r="L4204" t="n">
        <v>0</v>
      </c>
      <c r="M4204" t="n">
        <v>0</v>
      </c>
      <c r="N4204" t="n">
        <v>0</v>
      </c>
      <c r="O4204" t="n">
        <v>0</v>
      </c>
      <c r="P4204" t="n">
        <v>0</v>
      </c>
      <c r="Q4204" t="n">
        <v>0</v>
      </c>
      <c r="R4204" s="2" t="inlineStr"/>
    </row>
    <row r="4205" ht="15" customHeight="1">
      <c r="A4205" t="inlineStr">
        <is>
          <t>A 27592-2025</t>
        </is>
      </c>
      <c r="B4205" s="1" t="n">
        <v>45813</v>
      </c>
      <c r="C4205" s="1" t="n">
        <v>45822</v>
      </c>
      <c r="D4205" t="inlineStr">
        <is>
          <t>VÄSTERNORRLANDS LÄN</t>
        </is>
      </c>
      <c r="E4205" t="inlineStr">
        <is>
          <t>SOLLEFTEÅ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27660-2025</t>
        </is>
      </c>
      <c r="B4206" s="1" t="n">
        <v>45813</v>
      </c>
      <c r="C4206" s="1" t="n">
        <v>45822</v>
      </c>
      <c r="D4206" t="inlineStr">
        <is>
          <t>VÄSTERNORRLANDS LÄN</t>
        </is>
      </c>
      <c r="E4206" t="inlineStr">
        <is>
          <t>SOLLEFTEÅ</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27748-2025</t>
        </is>
      </c>
      <c r="B4207" s="1" t="n">
        <v>45815</v>
      </c>
      <c r="C4207" s="1" t="n">
        <v>45822</v>
      </c>
      <c r="D4207" t="inlineStr">
        <is>
          <t>VÄSTERNORRLANDS LÄN</t>
        </is>
      </c>
      <c r="E4207" t="inlineStr">
        <is>
          <t>SOLLEFTEÅ</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27956-2025</t>
        </is>
      </c>
      <c r="B4208" s="1" t="n">
        <v>45817</v>
      </c>
      <c r="C4208" s="1" t="n">
        <v>45822</v>
      </c>
      <c r="D4208" t="inlineStr">
        <is>
          <t>VÄSTERNORRLANDS LÄN</t>
        </is>
      </c>
      <c r="E4208" t="inlineStr">
        <is>
          <t>SOLLEFTEÅ</t>
        </is>
      </c>
      <c r="F4208" t="inlineStr">
        <is>
          <t>Holmen skog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27822-2025</t>
        </is>
      </c>
      <c r="B4209" s="1" t="n">
        <v>45817</v>
      </c>
      <c r="C4209" s="1" t="n">
        <v>45822</v>
      </c>
      <c r="D4209" t="inlineStr">
        <is>
          <t>VÄSTERNORRLANDS LÄN</t>
        </is>
      </c>
      <c r="E4209" t="inlineStr">
        <is>
          <t>SOLLEFTEÅ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28142-2025</t>
        </is>
      </c>
      <c r="B4210" s="1" t="n">
        <v>45818</v>
      </c>
      <c r="C4210" s="1" t="n">
        <v>45822</v>
      </c>
      <c r="D4210" t="inlineStr">
        <is>
          <t>VÄSTERNORRLANDS LÄN</t>
        </is>
      </c>
      <c r="E4210" t="inlineStr">
        <is>
          <t>SOLLEFTEÅ</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28140-2025</t>
        </is>
      </c>
      <c r="B4211" s="1" t="n">
        <v>45818</v>
      </c>
      <c r="C4211" s="1" t="n">
        <v>45822</v>
      </c>
      <c r="D4211" t="inlineStr">
        <is>
          <t>VÄSTERNORRLANDS LÄN</t>
        </is>
      </c>
      <c r="E4211" t="inlineStr">
        <is>
          <t>SOLLEFTEÅ</t>
        </is>
      </c>
      <c r="F4211" t="inlineStr">
        <is>
          <t>SCA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28195-2025</t>
        </is>
      </c>
      <c r="B4212" s="1" t="n">
        <v>45818</v>
      </c>
      <c r="C4212" s="1" t="n">
        <v>45822</v>
      </c>
      <c r="D4212" t="inlineStr">
        <is>
          <t>VÄSTERNORRLANDS LÄN</t>
        </is>
      </c>
      <c r="E4212" t="inlineStr">
        <is>
          <t>SOLLEFTEÅ</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28510-2025</t>
        </is>
      </c>
      <c r="B4213" s="1" t="n">
        <v>45819</v>
      </c>
      <c r="C4213" s="1" t="n">
        <v>45822</v>
      </c>
      <c r="D4213" t="inlineStr">
        <is>
          <t>VÄSTERNORRLANDS LÄN</t>
        </is>
      </c>
      <c r="E4213" t="inlineStr">
        <is>
          <t>SOLLEFTEÅ</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28658-2025</t>
        </is>
      </c>
      <c r="B4214" s="1" t="n">
        <v>45819</v>
      </c>
      <c r="C4214" s="1" t="n">
        <v>45822</v>
      </c>
      <c r="D4214" t="inlineStr">
        <is>
          <t>VÄSTERNORRLANDS LÄN</t>
        </is>
      </c>
      <c r="E4214" t="inlineStr">
        <is>
          <t>SOLLEFTEÅ</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28579-2025</t>
        </is>
      </c>
      <c r="B4215" s="1" t="n">
        <v>45819</v>
      </c>
      <c r="C4215" s="1" t="n">
        <v>45822</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28672-2025</t>
        </is>
      </c>
      <c r="B4216" s="1" t="n">
        <v>45819</v>
      </c>
      <c r="C4216" s="1" t="n">
        <v>45822</v>
      </c>
      <c r="D4216" t="inlineStr">
        <is>
          <t>VÄSTERNORRLANDS LÄN</t>
        </is>
      </c>
      <c r="E4216" t="inlineStr">
        <is>
          <t>SOLLEFTEÅ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28698-2025</t>
        </is>
      </c>
      <c r="B4217" s="1" t="n">
        <v>45820</v>
      </c>
      <c r="C4217" s="1" t="n">
        <v>45822</v>
      </c>
      <c r="D4217" t="inlineStr">
        <is>
          <t>VÄSTERNORRLANDS LÄN</t>
        </is>
      </c>
      <c r="E4217" t="inlineStr">
        <is>
          <t>SOLLEFTEÅ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28686-2025</t>
        </is>
      </c>
      <c r="B4218" s="1" t="n">
        <v>45819</v>
      </c>
      <c r="C4218" s="1" t="n">
        <v>45822</v>
      </c>
      <c r="D4218" t="inlineStr">
        <is>
          <t>VÄSTERNORRLANDS LÄN</t>
        </is>
      </c>
      <c r="E4218" t="inlineStr">
        <is>
          <t>SOLLEFTEÅ</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28743-2025</t>
        </is>
      </c>
      <c r="B4219" s="1" t="n">
        <v>45820</v>
      </c>
      <c r="C4219" s="1" t="n">
        <v>45822</v>
      </c>
      <c r="D4219" t="inlineStr">
        <is>
          <t>VÄSTERNORRLANDS LÄN</t>
        </is>
      </c>
      <c r="E4219" t="inlineStr">
        <is>
          <t>SOLLEFTEÅ</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28719-2025</t>
        </is>
      </c>
      <c r="B4220" s="1" t="n">
        <v>45820</v>
      </c>
      <c r="C4220" s="1" t="n">
        <v>45822</v>
      </c>
      <c r="D4220" t="inlineStr">
        <is>
          <t>VÄSTERNORRLANDS LÄN</t>
        </is>
      </c>
      <c r="E4220" t="inlineStr">
        <is>
          <t>SOLLEFTEÅ</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29103-2025</t>
        </is>
      </c>
      <c r="B4221" s="1" t="n">
        <v>45821</v>
      </c>
      <c r="C4221" s="1" t="n">
        <v>45822</v>
      </c>
      <c r="D4221" t="inlineStr">
        <is>
          <t>VÄSTERNORRLANDS LÄN</t>
        </is>
      </c>
      <c r="E4221" t="inlineStr">
        <is>
          <t>SOLLEFTEÅ</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29142-2025</t>
        </is>
      </c>
      <c r="B4222" s="1" t="n">
        <v>45821</v>
      </c>
      <c r="C4222" s="1" t="n">
        <v>45822</v>
      </c>
      <c r="D4222" t="inlineStr">
        <is>
          <t>VÄSTERNORRLANDS LÄN</t>
        </is>
      </c>
      <c r="E4222" t="inlineStr">
        <is>
          <t>SOLLEFTEÅ</t>
        </is>
      </c>
      <c r="F4222" t="inlineStr">
        <is>
          <t>SCA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28998-2025</t>
        </is>
      </c>
      <c r="B4223" s="1" t="n">
        <v>45821</v>
      </c>
      <c r="C4223" s="1" t="n">
        <v>45822</v>
      </c>
      <c r="D4223" t="inlineStr">
        <is>
          <t>VÄSTERNORRLANDS LÄN</t>
        </is>
      </c>
      <c r="E4223" t="inlineStr">
        <is>
          <t>SOLLEFTEÅ</t>
        </is>
      </c>
      <c r="F4223" t="inlineStr">
        <is>
          <t>SCA</t>
        </is>
      </c>
      <c r="G4223" t="n">
        <v>14.2</v>
      </c>
      <c r="H4223" t="n">
        <v>0</v>
      </c>
      <c r="I4223" t="n">
        <v>0</v>
      </c>
      <c r="J4223" t="n">
        <v>0</v>
      </c>
      <c r="K4223" t="n">
        <v>0</v>
      </c>
      <c r="L4223" t="n">
        <v>0</v>
      </c>
      <c r="M4223" t="n">
        <v>0</v>
      </c>
      <c r="N4223" t="n">
        <v>0</v>
      </c>
      <c r="O4223" t="n">
        <v>0</v>
      </c>
      <c r="P4223" t="n">
        <v>0</v>
      </c>
      <c r="Q4223" t="n">
        <v>0</v>
      </c>
      <c r="R4223" s="2" t="inlineStr"/>
    </row>
    <row r="4224" ht="15" customHeight="1">
      <c r="A4224" t="inlineStr">
        <is>
          <t>A 29125-2025</t>
        </is>
      </c>
      <c r="B4224" s="1" t="n">
        <v>45821</v>
      </c>
      <c r="C4224" s="1" t="n">
        <v>45822</v>
      </c>
      <c r="D4224" t="inlineStr">
        <is>
          <t>VÄSTERNORRLANDS LÄN</t>
        </is>
      </c>
      <c r="E4224" t="inlineStr">
        <is>
          <t>SOLLEFTEÅ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28993-2025</t>
        </is>
      </c>
      <c r="B4225" s="1" t="n">
        <v>45821</v>
      </c>
      <c r="C4225" s="1" t="n">
        <v>45822</v>
      </c>
      <c r="D4225" t="inlineStr">
        <is>
          <t>VÄSTERNORRLANDS LÄN</t>
        </is>
      </c>
      <c r="E4225" t="inlineStr">
        <is>
          <t>SOLLEFTEÅ</t>
        </is>
      </c>
      <c r="F4225" t="inlineStr">
        <is>
          <t>SCA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28994-2025</t>
        </is>
      </c>
      <c r="B4226" s="1" t="n">
        <v>45821</v>
      </c>
      <c r="C4226" s="1" t="n">
        <v>45822</v>
      </c>
      <c r="D4226" t="inlineStr">
        <is>
          <t>VÄSTERNORRLANDS LÄN</t>
        </is>
      </c>
      <c r="E4226" t="inlineStr">
        <is>
          <t>SOLLEFTEÅ</t>
        </is>
      </c>
      <c r="F4226" t="inlineStr">
        <is>
          <t>SCA</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29039-2025</t>
        </is>
      </c>
      <c r="B4227" s="1" t="n">
        <v>45821</v>
      </c>
      <c r="C4227" s="1" t="n">
        <v>45822</v>
      </c>
      <c r="D4227" t="inlineStr">
        <is>
          <t>VÄSTERNORRLANDS LÄN</t>
        </is>
      </c>
      <c r="E4227" t="inlineStr">
        <is>
          <t>SOLLEFTEÅ</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28995-2025</t>
        </is>
      </c>
      <c r="B4228" s="1" t="n">
        <v>45821</v>
      </c>
      <c r="C4228" s="1" t="n">
        <v>45822</v>
      </c>
      <c r="D4228" t="inlineStr">
        <is>
          <t>VÄSTERNORRLANDS LÄN</t>
        </is>
      </c>
      <c r="E4228" t="inlineStr">
        <is>
          <t>SOLLEFTEÅ</t>
        </is>
      </c>
      <c r="F4228" t="inlineStr">
        <is>
          <t>SCA</t>
        </is>
      </c>
      <c r="G4228" t="n">
        <v>3.9</v>
      </c>
      <c r="H4228" t="n">
        <v>0</v>
      </c>
      <c r="I4228" t="n">
        <v>0</v>
      </c>
      <c r="J4228" t="n">
        <v>0</v>
      </c>
      <c r="K4228" t="n">
        <v>0</v>
      </c>
      <c r="L4228" t="n">
        <v>0</v>
      </c>
      <c r="M4228" t="n">
        <v>0</v>
      </c>
      <c r="N4228" t="n">
        <v>0</v>
      </c>
      <c r="O4228" t="n">
        <v>0</v>
      </c>
      <c r="P4228" t="n">
        <v>0</v>
      </c>
      <c r="Q4228" t="n">
        <v>0</v>
      </c>
      <c r="R4228" s="2" t="inlineStr"/>
    </row>
    <row r="4229">
      <c r="A4229" t="inlineStr">
        <is>
          <t>A 29011-2025</t>
        </is>
      </c>
      <c r="B4229" s="1" t="n">
        <v>45821</v>
      </c>
      <c r="C4229" s="1" t="n">
        <v>45822</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2025-06-15T00:11:59Z</dcterms:created>
  <dcterms:modified xmlns:dcterms="http://purl.org/dc/terms/" xmlns:xsi="http://www.w3.org/2001/XMLSchema-instance" xsi:type="dcterms:W3CDTF">2025-06-15T00:12:12Z</dcterms:modified>
</cp:coreProperties>
</file>