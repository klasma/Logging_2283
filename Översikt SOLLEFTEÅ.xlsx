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46161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46161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46161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46161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46161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46161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46161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46161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25521-2025</t>
        </is>
      </c>
      <c r="B11" s="1" t="n">
        <v>45803</v>
      </c>
      <c r="C11" s="1" t="n">
        <v>46161</v>
      </c>
      <c r="D11" t="inlineStr">
        <is>
          <t>VÄSTERNORRLANDS LÄN</t>
        </is>
      </c>
      <c r="E11" t="inlineStr">
        <is>
          <t>SOLLEFTEÅ</t>
        </is>
      </c>
      <c r="F11" t="inlineStr">
        <is>
          <t>SCA</t>
        </is>
      </c>
      <c r="G11" t="n">
        <v>7.8</v>
      </c>
      <c r="H11" t="n">
        <v>5</v>
      </c>
      <c r="I11" t="n">
        <v>5</v>
      </c>
      <c r="J11" t="n">
        <v>14</v>
      </c>
      <c r="K11" t="n">
        <v>1</v>
      </c>
      <c r="L11" t="n">
        <v>0</v>
      </c>
      <c r="M11" t="n">
        <v>0</v>
      </c>
      <c r="N11" t="n">
        <v>0</v>
      </c>
      <c r="O11" t="n">
        <v>15</v>
      </c>
      <c r="P11" t="n">
        <v>1</v>
      </c>
      <c r="Q11" t="n">
        <v>21</v>
      </c>
      <c r="R1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1">
        <f>HYPERLINK("https://klasma.github.io/Logging_2283/artfynd/A 25521-2025 artfynd.xlsx", "A 25521-2025")</f>
        <v/>
      </c>
      <c r="T11">
        <f>HYPERLINK("https://klasma.github.io/Logging_2283/kartor/A 25521-2025 karta.png", "A 25521-2025")</f>
        <v/>
      </c>
      <c r="V11">
        <f>HYPERLINK("https://klasma.github.io/Logging_2283/klagomål/A 25521-2025 FSC-klagomål.docx", "A 25521-2025")</f>
        <v/>
      </c>
      <c r="W11">
        <f>HYPERLINK("https://klasma.github.io/Logging_2283/klagomålsmail/A 25521-2025 FSC-klagomål mail.docx", "A 25521-2025")</f>
        <v/>
      </c>
      <c r="X11">
        <f>HYPERLINK("https://klasma.github.io/Logging_2283/tillsyn/A 25521-2025 tillsynsbegäran.docx", "A 25521-2025")</f>
        <v/>
      </c>
      <c r="Y11">
        <f>HYPERLINK("https://klasma.github.io/Logging_2283/tillsynsmail/A 25521-2025 tillsynsbegäran mail.docx", "A 25521-2025")</f>
        <v/>
      </c>
      <c r="Z11">
        <f>HYPERLINK("https://klasma.github.io/Logging_2283/fåglar/A 25521-2025 prioriterade fågelarter.docx", "A 25521-2025")</f>
        <v/>
      </c>
    </row>
    <row r="12" ht="15" customHeight="1">
      <c r="A12" t="inlineStr">
        <is>
          <t>A 57942-2021</t>
        </is>
      </c>
      <c r="B12" s="1" t="n">
        <v>44487</v>
      </c>
      <c r="C12" s="1" t="n">
        <v>46161</v>
      </c>
      <c r="D12" t="inlineStr">
        <is>
          <t>VÄSTERNORRLANDS LÄN</t>
        </is>
      </c>
      <c r="E12" t="inlineStr">
        <is>
          <t>SOLLEFTEÅ</t>
        </is>
      </c>
      <c r="F12" t="inlineStr">
        <is>
          <t>Holmen skog AB</t>
        </is>
      </c>
      <c r="G12" t="n">
        <v>14.2</v>
      </c>
      <c r="H12" t="n">
        <v>6</v>
      </c>
      <c r="I12" t="n">
        <v>4</v>
      </c>
      <c r="J12" t="n">
        <v>12</v>
      </c>
      <c r="K12" t="n">
        <v>4</v>
      </c>
      <c r="L12" t="n">
        <v>0</v>
      </c>
      <c r="M12" t="n">
        <v>0</v>
      </c>
      <c r="N12" t="n">
        <v>0</v>
      </c>
      <c r="O12" t="n">
        <v>16</v>
      </c>
      <c r="P12" t="n">
        <v>4</v>
      </c>
      <c r="Q12" t="n">
        <v>20</v>
      </c>
      <c r="R12" s="2" t="inlineStr">
        <is>
          <t>Blackticka
Doftticka
Knärot
Ulltickeporing
Garnlav
Granticka
Kolflarnlav
Lunglav
Rosenticka
Spillkråka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26948-2024</t>
        </is>
      </c>
      <c r="B13" s="1" t="n">
        <v>45470</v>
      </c>
      <c r="C13" s="1" t="n">
        <v>46161</v>
      </c>
      <c r="D13" t="inlineStr">
        <is>
          <t>VÄSTERNORRLANDS LÄN</t>
        </is>
      </c>
      <c r="E13" t="inlineStr">
        <is>
          <t>SOLLEFTEÅ</t>
        </is>
      </c>
      <c r="F13" t="inlineStr">
        <is>
          <t>SCA</t>
        </is>
      </c>
      <c r="G13" t="n">
        <v>8.1</v>
      </c>
      <c r="H13" t="n">
        <v>6</v>
      </c>
      <c r="I13" t="n">
        <v>2</v>
      </c>
      <c r="J13" t="n">
        <v>12</v>
      </c>
      <c r="K13" t="n">
        <v>3</v>
      </c>
      <c r="L13" t="n">
        <v>0</v>
      </c>
      <c r="M13" t="n">
        <v>0</v>
      </c>
      <c r="N13" t="n">
        <v>0</v>
      </c>
      <c r="O13" t="n">
        <v>15</v>
      </c>
      <c r="P13" t="n">
        <v>3</v>
      </c>
      <c r="Q13" t="n">
        <v>20</v>
      </c>
      <c r="R1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3">
        <f>HYPERLINK("https://klasma.github.io/Logging_2283/artfynd/A 26948-2024 artfynd.xlsx", "A 26948-2024")</f>
        <v/>
      </c>
      <c r="T13">
        <f>HYPERLINK("https://klasma.github.io/Logging_2283/kartor/A 26948-2024 karta.png", "A 26948-2024")</f>
        <v/>
      </c>
      <c r="V13">
        <f>HYPERLINK("https://klasma.github.io/Logging_2283/klagomål/A 26948-2024 FSC-klagomål.docx", "A 26948-2024")</f>
        <v/>
      </c>
      <c r="W13">
        <f>HYPERLINK("https://klasma.github.io/Logging_2283/klagomålsmail/A 26948-2024 FSC-klagomål mail.docx", "A 26948-2024")</f>
        <v/>
      </c>
      <c r="X13">
        <f>HYPERLINK("https://klasma.github.io/Logging_2283/tillsyn/A 26948-2024 tillsynsbegäran.docx", "A 26948-2024")</f>
        <v/>
      </c>
      <c r="Y13">
        <f>HYPERLINK("https://klasma.github.io/Logging_2283/tillsynsmail/A 26948-2024 tillsynsbegäran mail.docx", "A 26948-2024")</f>
        <v/>
      </c>
      <c r="Z13">
        <f>HYPERLINK("https://klasma.github.io/Logging_2283/fåglar/A 26948-2024 prioriterade fågelarter.docx", "A 26948-2024")</f>
        <v/>
      </c>
    </row>
    <row r="14" ht="15" customHeight="1">
      <c r="A14" t="inlineStr">
        <is>
          <t>A 47366-2024</t>
        </is>
      </c>
      <c r="B14" s="1" t="n">
        <v>45587</v>
      </c>
      <c r="C14" s="1" t="n">
        <v>46161</v>
      </c>
      <c r="D14" t="inlineStr">
        <is>
          <t>VÄSTERNORRLANDS LÄN</t>
        </is>
      </c>
      <c r="E14" t="inlineStr">
        <is>
          <t>SOLLEFTEÅ</t>
        </is>
      </c>
      <c r="F14" t="inlineStr">
        <is>
          <t>SCA</t>
        </is>
      </c>
      <c r="G14" t="n">
        <v>4.3</v>
      </c>
      <c r="H14" t="n">
        <v>9</v>
      </c>
      <c r="I14" t="n">
        <v>6</v>
      </c>
      <c r="J14" t="n">
        <v>10</v>
      </c>
      <c r="K14" t="n">
        <v>2</v>
      </c>
      <c r="L14" t="n">
        <v>0</v>
      </c>
      <c r="M14" t="n">
        <v>0</v>
      </c>
      <c r="N14" t="n">
        <v>0</v>
      </c>
      <c r="O14" t="n">
        <v>12</v>
      </c>
      <c r="P14" t="n">
        <v>2</v>
      </c>
      <c r="Q14" t="n">
        <v>20</v>
      </c>
      <c r="R14" s="2" t="inlineStr">
        <is>
          <t>Knärot
Rynkskinn
Gammelgransskål
Garnlav
Granticka
Järpe
Lunglav
Rosenticka
Spillkråka
Talltita
Tretåig hackspett
Ullticka
Bollvitmossa
Lappranunkel
Spindelblomster
Stuplav
Trådticka
Vedticka
Lavskrika
Fläcknycklar</t>
        </is>
      </c>
      <c r="S14">
        <f>HYPERLINK("https://klasma.github.io/Logging_2283/artfynd/A 47366-2024 artfynd.xlsx", "A 47366-2024")</f>
        <v/>
      </c>
      <c r="T14">
        <f>HYPERLINK("https://klasma.github.io/Logging_2283/kartor/A 47366-2024 karta.png", "A 47366-2024")</f>
        <v/>
      </c>
      <c r="U14">
        <f>HYPERLINK("https://klasma.github.io/Logging_2283/knärot/A 47366-2024 karta knärot.png", "A 47366-2024")</f>
        <v/>
      </c>
      <c r="V14">
        <f>HYPERLINK("https://klasma.github.io/Logging_2283/klagomål/A 47366-2024 FSC-klagomål.docx", "A 47366-2024")</f>
        <v/>
      </c>
      <c r="W14">
        <f>HYPERLINK("https://klasma.github.io/Logging_2283/klagomålsmail/A 47366-2024 FSC-klagomål mail.docx", "A 47366-2024")</f>
        <v/>
      </c>
      <c r="X14">
        <f>HYPERLINK("https://klasma.github.io/Logging_2283/tillsyn/A 47366-2024 tillsynsbegäran.docx", "A 47366-2024")</f>
        <v/>
      </c>
      <c r="Y14">
        <f>HYPERLINK("https://klasma.github.io/Logging_2283/tillsynsmail/A 47366-2024 tillsynsbegäran mail.docx", "A 47366-2024")</f>
        <v/>
      </c>
      <c r="Z14">
        <f>HYPERLINK("https://klasma.github.io/Logging_2283/fåglar/A 47366-2024 prioriterade fågelarter.docx", "A 47366-2024")</f>
        <v/>
      </c>
    </row>
    <row r="15" ht="15" customHeight="1">
      <c r="A15" t="inlineStr">
        <is>
          <t>A 13896-2023</t>
        </is>
      </c>
      <c r="B15" s="1" t="n">
        <v>45008</v>
      </c>
      <c r="C15" s="1" t="n">
        <v>46161</v>
      </c>
      <c r="D15" t="inlineStr">
        <is>
          <t>VÄSTERNORRLANDS LÄN</t>
        </is>
      </c>
      <c r="E15" t="inlineStr">
        <is>
          <t>SOLLEFTEÅ</t>
        </is>
      </c>
      <c r="F15" t="inlineStr">
        <is>
          <t>SCA</t>
        </is>
      </c>
      <c r="G15" t="n">
        <v>20.3</v>
      </c>
      <c r="H15" t="n">
        <v>5</v>
      </c>
      <c r="I15" t="n">
        <v>5</v>
      </c>
      <c r="J15" t="n">
        <v>11</v>
      </c>
      <c r="K15" t="n">
        <v>2</v>
      </c>
      <c r="L15" t="n">
        <v>0</v>
      </c>
      <c r="M15" t="n">
        <v>0</v>
      </c>
      <c r="N15" t="n">
        <v>0</v>
      </c>
      <c r="O15" t="n">
        <v>13</v>
      </c>
      <c r="P15" t="n">
        <v>2</v>
      </c>
      <c r="Q15" t="n">
        <v>19</v>
      </c>
      <c r="R15" s="2" t="inlineStr">
        <is>
          <t>Knärot
Ulltickeporing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37489-2025</t>
        </is>
      </c>
      <c r="B16" s="1" t="n">
        <v>45877</v>
      </c>
      <c r="C16" s="1" t="n">
        <v>46161</v>
      </c>
      <c r="D16" t="inlineStr">
        <is>
          <t>VÄSTERNORRLANDS LÄN</t>
        </is>
      </c>
      <c r="E16" t="inlineStr">
        <is>
          <t>SOLLEFTEÅ</t>
        </is>
      </c>
      <c r="F16" t="inlineStr">
        <is>
          <t>SCA</t>
        </is>
      </c>
      <c r="G16" t="n">
        <v>2.2</v>
      </c>
      <c r="H16" t="n">
        <v>5</v>
      </c>
      <c r="I16" t="n">
        <v>1</v>
      </c>
      <c r="J16" t="n">
        <v>15</v>
      </c>
      <c r="K16" t="n">
        <v>3</v>
      </c>
      <c r="L16" t="n">
        <v>0</v>
      </c>
      <c r="M16" t="n">
        <v>0</v>
      </c>
      <c r="N16" t="n">
        <v>0</v>
      </c>
      <c r="O16" t="n">
        <v>18</v>
      </c>
      <c r="P16" t="n">
        <v>3</v>
      </c>
      <c r="Q16" t="n">
        <v>19</v>
      </c>
      <c r="R16" s="2" t="inlineStr">
        <is>
          <t>Doftticka
Gräddporing
Knärot
Aspbarkgnagare
Brunpudrad nållav
Doftskinn
Dvärgbägarlav
Gammelgransskål
Garnlav
Granticka
Kolflarnlav
Lunglav
Nordtagging
Spillkråka
Talltita
Tretåig hackspett
Ullticka
Vitgrynig nållav
Vedticka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29232-2025</t>
        </is>
      </c>
      <c r="B17" s="1" t="n">
        <v>45824</v>
      </c>
      <c r="C17" s="1" t="n">
        <v>46161</v>
      </c>
      <c r="D17" t="inlineStr">
        <is>
          <t>VÄSTERNORRLANDS LÄN</t>
        </is>
      </c>
      <c r="E17" t="inlineStr">
        <is>
          <t>SOLLEFTEÅ</t>
        </is>
      </c>
      <c r="F17" t="inlineStr">
        <is>
          <t>SCA</t>
        </is>
      </c>
      <c r="G17" t="n">
        <v>6.5</v>
      </c>
      <c r="H17" t="n">
        <v>5</v>
      </c>
      <c r="I17" t="n">
        <v>4</v>
      </c>
      <c r="J17" t="n">
        <v>12</v>
      </c>
      <c r="K17" t="n">
        <v>1</v>
      </c>
      <c r="L17" t="n">
        <v>0</v>
      </c>
      <c r="M17" t="n">
        <v>0</v>
      </c>
      <c r="N17" t="n">
        <v>0</v>
      </c>
      <c r="O17" t="n">
        <v>13</v>
      </c>
      <c r="P17" t="n">
        <v>1</v>
      </c>
      <c r="Q17" t="n">
        <v>19</v>
      </c>
      <c r="R17" s="2" t="inlineStr">
        <is>
          <t>Rynkskinn
Gammelgransskål
Garnlav
Granticka
Järpe
Luddfingersvamp
Lunglav
Rosenticka
Talltita
Tretåig hackspett
Ullticka
Vedskivlav
Vitgrynig nållav
Bårdlav
Luddlav
Stuplav
Vedticka
Kungsfågel
Lavskrika</t>
        </is>
      </c>
      <c r="S17">
        <f>HYPERLINK("https://klasma.github.io/Logging_2283/artfynd/A 29232-2025 artfynd.xlsx", "A 29232-2025")</f>
        <v/>
      </c>
      <c r="T17">
        <f>HYPERLINK("https://klasma.github.io/Logging_2283/kartor/A 29232-2025 karta.png", "A 29232-2025")</f>
        <v/>
      </c>
      <c r="V17">
        <f>HYPERLINK("https://klasma.github.io/Logging_2283/klagomål/A 29232-2025 FSC-klagomål.docx", "A 29232-2025")</f>
        <v/>
      </c>
      <c r="W17">
        <f>HYPERLINK("https://klasma.github.io/Logging_2283/klagomålsmail/A 29232-2025 FSC-klagomål mail.docx", "A 29232-2025")</f>
        <v/>
      </c>
      <c r="X17">
        <f>HYPERLINK("https://klasma.github.io/Logging_2283/tillsyn/A 29232-2025 tillsynsbegäran.docx", "A 29232-2025")</f>
        <v/>
      </c>
      <c r="Y17">
        <f>HYPERLINK("https://klasma.github.io/Logging_2283/tillsynsmail/A 29232-2025 tillsynsbegäran mail.docx", "A 29232-2025")</f>
        <v/>
      </c>
      <c r="Z17">
        <f>HYPERLINK("https://klasma.github.io/Logging_2283/fåglar/A 29232-2025 prioriterade fågelarter.docx", "A 29232-2025")</f>
        <v/>
      </c>
    </row>
    <row r="18" ht="15" customHeight="1">
      <c r="A18" t="inlineStr">
        <is>
          <t>A 17379-2026</t>
        </is>
      </c>
      <c r="B18" s="1" t="n">
        <v>46119</v>
      </c>
      <c r="C18" s="1" t="n">
        <v>46161</v>
      </c>
      <c r="D18" t="inlineStr">
        <is>
          <t>VÄSTERNORRLANDS LÄN</t>
        </is>
      </c>
      <c r="E18" t="inlineStr">
        <is>
          <t>SOLLEFTEÅ</t>
        </is>
      </c>
      <c r="G18" t="n">
        <v>21.5</v>
      </c>
      <c r="H18" t="n">
        <v>5</v>
      </c>
      <c r="I18" t="n">
        <v>3</v>
      </c>
      <c r="J18" t="n">
        <v>10</v>
      </c>
      <c r="K18" t="n">
        <v>4</v>
      </c>
      <c r="L18" t="n">
        <v>0</v>
      </c>
      <c r="M18" t="n">
        <v>0</v>
      </c>
      <c r="N18" t="n">
        <v>0</v>
      </c>
      <c r="O18" t="n">
        <v>14</v>
      </c>
      <c r="P18" t="n">
        <v>4</v>
      </c>
      <c r="Q18" t="n">
        <v>19</v>
      </c>
      <c r="R18" s="2" t="inlineStr">
        <is>
          <t>Blackticka
Knärot
Rynkskinn
Ulltickeporing
Doftskinn
Gammelgransskål
Garnlav
Lunglav
Rosenticka
Skogshare
Spillkråka
Stjärntagging
Tretåig hackspett
Ullticka
Bårdlav
Stuplav
Vedticka
Lavskrika
Revlummer</t>
        </is>
      </c>
      <c r="S18">
        <f>HYPERLINK("https://klasma.github.io/Logging_2283/artfynd/A 17379-2026 artfynd.xlsx", "A 17379-2026")</f>
        <v/>
      </c>
      <c r="T18">
        <f>HYPERLINK("https://klasma.github.io/Logging_2283/kartor/A 17379-2026 karta.png", "A 17379-2026")</f>
        <v/>
      </c>
      <c r="U18">
        <f>HYPERLINK("https://klasma.github.io/Logging_2283/knärot/A 17379-2026 karta knärot.png", "A 17379-2026")</f>
        <v/>
      </c>
      <c r="V18">
        <f>HYPERLINK("https://klasma.github.io/Logging_2283/klagomål/A 17379-2026 FSC-klagomål.docx", "A 17379-2026")</f>
        <v/>
      </c>
      <c r="W18">
        <f>HYPERLINK("https://klasma.github.io/Logging_2283/klagomålsmail/A 17379-2026 FSC-klagomål mail.docx", "A 17379-2026")</f>
        <v/>
      </c>
      <c r="X18">
        <f>HYPERLINK("https://klasma.github.io/Logging_2283/tillsyn/A 17379-2026 tillsynsbegäran.docx", "A 17379-2026")</f>
        <v/>
      </c>
      <c r="Y18">
        <f>HYPERLINK("https://klasma.github.io/Logging_2283/tillsynsmail/A 17379-2026 tillsynsbegäran mail.docx", "A 17379-2026")</f>
        <v/>
      </c>
      <c r="Z18">
        <f>HYPERLINK("https://klasma.github.io/Logging_2283/fåglar/A 17379-2026 prioriterade fågelarter.docx", "A 17379-2026")</f>
        <v/>
      </c>
    </row>
    <row r="19" ht="15" customHeight="1">
      <c r="A19" t="inlineStr">
        <is>
          <t>A 38270-2025</t>
        </is>
      </c>
      <c r="B19" s="1" t="n">
        <v>45883.40696759259</v>
      </c>
      <c r="C19" s="1" t="n">
        <v>46161</v>
      </c>
      <c r="D19" t="inlineStr">
        <is>
          <t>VÄSTERNORRLANDS LÄN</t>
        </is>
      </c>
      <c r="E19" t="inlineStr">
        <is>
          <t>SOLLEFTEÅ</t>
        </is>
      </c>
      <c r="F19" t="inlineStr">
        <is>
          <t>SCA</t>
        </is>
      </c>
      <c r="G19" t="n">
        <v>16</v>
      </c>
      <c r="H19" t="n">
        <v>0</v>
      </c>
      <c r="I19" t="n">
        <v>5</v>
      </c>
      <c r="J19" t="n">
        <v>11</v>
      </c>
      <c r="K19" t="n">
        <v>2</v>
      </c>
      <c r="L19" t="n">
        <v>0</v>
      </c>
      <c r="M19" t="n">
        <v>0</v>
      </c>
      <c r="N19" t="n">
        <v>0</v>
      </c>
      <c r="O19" t="n">
        <v>13</v>
      </c>
      <c r="P19" t="n">
        <v>2</v>
      </c>
      <c r="Q19" t="n">
        <v>18</v>
      </c>
      <c r="R19" s="2" t="inlineStr">
        <is>
          <t>Gräddporing
Smalfotad taggsvamp
Blå taggsvamp
Blågrå svartspik
Dvärgbägarlav
Garnlav
Kolflarnlav
Lunglav
Reliktbock
Svart taggsvamp agg.
Tallticka
Vedflamlav
Vedskivlav
Dropptaggsvamp
Norrlandslav
Skarp dropptaggsvamp
Stuplav
Vedticka</t>
        </is>
      </c>
      <c r="S19">
        <f>HYPERLINK("https://klasma.github.io/Logging_2283/artfynd/A 38270-2025 artfynd.xlsx", "A 38270-2025")</f>
        <v/>
      </c>
      <c r="T19">
        <f>HYPERLINK("https://klasma.github.io/Logging_2283/kartor/A 38270-2025 karta.png", "A 38270-2025")</f>
        <v/>
      </c>
      <c r="V19">
        <f>HYPERLINK("https://klasma.github.io/Logging_2283/klagomål/A 38270-2025 FSC-klagomål.docx", "A 38270-2025")</f>
        <v/>
      </c>
      <c r="W19">
        <f>HYPERLINK("https://klasma.github.io/Logging_2283/klagomålsmail/A 38270-2025 FSC-klagomål mail.docx", "A 38270-2025")</f>
        <v/>
      </c>
      <c r="X19">
        <f>HYPERLINK("https://klasma.github.io/Logging_2283/tillsyn/A 38270-2025 tillsynsbegäran.docx", "A 38270-2025")</f>
        <v/>
      </c>
      <c r="Y19">
        <f>HYPERLINK("https://klasma.github.io/Logging_2283/tillsynsmail/A 38270-2025 tillsynsbegäran mail.docx", "A 38270-2025")</f>
        <v/>
      </c>
    </row>
    <row r="20" ht="15" customHeight="1">
      <c r="A20" t="inlineStr">
        <is>
          <t>A 38268-2025</t>
        </is>
      </c>
      <c r="B20" s="1" t="n">
        <v>45883.40679398148</v>
      </c>
      <c r="C20" s="1" t="n">
        <v>46161</v>
      </c>
      <c r="D20" t="inlineStr">
        <is>
          <t>VÄSTERNORRLANDS LÄN</t>
        </is>
      </c>
      <c r="E20" t="inlineStr">
        <is>
          <t>SOLLEFTEÅ</t>
        </is>
      </c>
      <c r="F20" t="inlineStr">
        <is>
          <t>SCA</t>
        </is>
      </c>
      <c r="G20" t="n">
        <v>5.1</v>
      </c>
      <c r="H20" t="n">
        <v>0</v>
      </c>
      <c r="I20" t="n">
        <v>5</v>
      </c>
      <c r="J20" t="n">
        <v>10</v>
      </c>
      <c r="K20" t="n">
        <v>3</v>
      </c>
      <c r="L20" t="n">
        <v>0</v>
      </c>
      <c r="M20" t="n">
        <v>0</v>
      </c>
      <c r="N20" t="n">
        <v>0</v>
      </c>
      <c r="O20" t="n">
        <v>13</v>
      </c>
      <c r="P20" t="n">
        <v>3</v>
      </c>
      <c r="Q20" t="n">
        <v>18</v>
      </c>
      <c r="R20" s="2" t="inlineStr">
        <is>
          <t>Fläckporing
Gräddporing
Smalfotad taggsvamp
Blågrå svartspik
Dvärgbägarlav
Garnlav
Kolflarnlav
Lunglav
Nordtagging
Skrovlig taggsvamp
Svartvit taggsvamp
Vaddporing
Vedskivlav
Dropptaggsvamp
Luddlav
Skarp dropptaggsvamp
Stuplav
Vedticka</t>
        </is>
      </c>
      <c r="S20">
        <f>HYPERLINK("https://klasma.github.io/Logging_2283/artfynd/A 38268-2025 artfynd.xlsx", "A 38268-2025")</f>
        <v/>
      </c>
      <c r="T20">
        <f>HYPERLINK("https://klasma.github.io/Logging_2283/kartor/A 38268-2025 karta.png", "A 38268-2025")</f>
        <v/>
      </c>
      <c r="V20">
        <f>HYPERLINK("https://klasma.github.io/Logging_2283/klagomål/A 38268-2025 FSC-klagomål.docx", "A 38268-2025")</f>
        <v/>
      </c>
      <c r="W20">
        <f>HYPERLINK("https://klasma.github.io/Logging_2283/klagomålsmail/A 38268-2025 FSC-klagomål mail.docx", "A 38268-2025")</f>
        <v/>
      </c>
      <c r="X20">
        <f>HYPERLINK("https://klasma.github.io/Logging_2283/tillsyn/A 38268-2025 tillsynsbegäran.docx", "A 38268-2025")</f>
        <v/>
      </c>
      <c r="Y20">
        <f>HYPERLINK("https://klasma.github.io/Logging_2283/tillsynsmail/A 38268-2025 tillsynsbegäran mail.docx", "A 38268-2025")</f>
        <v/>
      </c>
    </row>
    <row r="21" ht="15" customHeight="1">
      <c r="A21" t="inlineStr">
        <is>
          <t>A 28059-2025</t>
        </is>
      </c>
      <c r="B21" s="1" t="n">
        <v>45817</v>
      </c>
      <c r="C21" s="1" t="n">
        <v>46161</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19347-2024</t>
        </is>
      </c>
      <c r="B22" s="1" t="n">
        <v>45428</v>
      </c>
      <c r="C22" s="1" t="n">
        <v>46161</v>
      </c>
      <c r="D22" t="inlineStr">
        <is>
          <t>VÄSTERNORRLANDS LÄN</t>
        </is>
      </c>
      <c r="E22" t="inlineStr">
        <is>
          <t>SOLLEFTEÅ</t>
        </is>
      </c>
      <c r="G22" t="n">
        <v>14.5</v>
      </c>
      <c r="H22" t="n">
        <v>6</v>
      </c>
      <c r="I22" t="n">
        <v>2</v>
      </c>
      <c r="J22" t="n">
        <v>12</v>
      </c>
      <c r="K22" t="n">
        <v>1</v>
      </c>
      <c r="L22" t="n">
        <v>0</v>
      </c>
      <c r="M22" t="n">
        <v>0</v>
      </c>
      <c r="N22" t="n">
        <v>0</v>
      </c>
      <c r="O22" t="n">
        <v>13</v>
      </c>
      <c r="P22" t="n">
        <v>1</v>
      </c>
      <c r="Q22" t="n">
        <v>17</v>
      </c>
      <c r="R22" s="2" t="inlineStr">
        <is>
          <t>Knärot
Blanksvart spiklav
Dvärgbägarlav
Gammelgransskål
Garnlav
Kolflarnlav
Lunglav
Skrovellav
Spillkråka
Tallticka
Talltita
Tretåig hackspett
Ullticka
Dropptaggsvamp
Vedticka
Lavskrika
Tjäder</t>
        </is>
      </c>
      <c r="S22">
        <f>HYPERLINK("https://klasma.github.io/Logging_2283/artfynd/A 19347-2024 artfynd.xlsx", "A 19347-2024")</f>
        <v/>
      </c>
      <c r="T22">
        <f>HYPERLINK("https://klasma.github.io/Logging_2283/kartor/A 19347-2024 karta.png", "A 19347-2024")</f>
        <v/>
      </c>
      <c r="U22">
        <f>HYPERLINK("https://klasma.github.io/Logging_2283/knärot/A 19347-2024 karta knärot.png", "A 19347-2024")</f>
        <v/>
      </c>
      <c r="V22">
        <f>HYPERLINK("https://klasma.github.io/Logging_2283/klagomål/A 19347-2024 FSC-klagomål.docx", "A 19347-2024")</f>
        <v/>
      </c>
      <c r="W22">
        <f>HYPERLINK("https://klasma.github.io/Logging_2283/klagomålsmail/A 19347-2024 FSC-klagomål mail.docx", "A 19347-2024")</f>
        <v/>
      </c>
      <c r="X22">
        <f>HYPERLINK("https://klasma.github.io/Logging_2283/tillsyn/A 19347-2024 tillsynsbegäran.docx", "A 19347-2024")</f>
        <v/>
      </c>
      <c r="Y22">
        <f>HYPERLINK("https://klasma.github.io/Logging_2283/tillsynsmail/A 19347-2024 tillsynsbegäran mail.docx", "A 19347-2024")</f>
        <v/>
      </c>
      <c r="Z22">
        <f>HYPERLINK("https://klasma.github.io/Logging_2283/fåglar/A 19347-2024 prioriterade fågelarter.docx", "A 19347-2024")</f>
        <v/>
      </c>
    </row>
    <row r="23" ht="15" customHeight="1">
      <c r="A23" t="inlineStr">
        <is>
          <t>A 48369-2025</t>
        </is>
      </c>
      <c r="B23" s="1" t="n">
        <v>45933</v>
      </c>
      <c r="C23" s="1" t="n">
        <v>46161</v>
      </c>
      <c r="D23" t="inlineStr">
        <is>
          <t>VÄSTERNORRLANDS LÄN</t>
        </is>
      </c>
      <c r="E23" t="inlineStr">
        <is>
          <t>SOLLEFTEÅ</t>
        </is>
      </c>
      <c r="F23" t="inlineStr">
        <is>
          <t>SCA</t>
        </is>
      </c>
      <c r="G23" t="n">
        <v>12.6</v>
      </c>
      <c r="H23" t="n">
        <v>2</v>
      </c>
      <c r="I23" t="n">
        <v>5</v>
      </c>
      <c r="J23" t="n">
        <v>10</v>
      </c>
      <c r="K23" t="n">
        <v>1</v>
      </c>
      <c r="L23" t="n">
        <v>0</v>
      </c>
      <c r="M23" t="n">
        <v>0</v>
      </c>
      <c r="N23" t="n">
        <v>0</v>
      </c>
      <c r="O23" t="n">
        <v>11</v>
      </c>
      <c r="P23" t="n">
        <v>1</v>
      </c>
      <c r="Q23" t="n">
        <v>17</v>
      </c>
      <c r="R23" s="2" t="inlineStr">
        <is>
          <t>Rynkskinn
Brunpudrad nållav
Gammelgransskål
Garnlav
Granticka
Harticka
Kötticka
Lunglav
Tretåig hackspett
Ullticka
Vitgrynig nållav
Gulnål
Luddlav
Stuplav
Trådticka
Vedticka
Revlummer</t>
        </is>
      </c>
      <c r="S23">
        <f>HYPERLINK("https://klasma.github.io/Logging_2283/artfynd/A 48369-2025 artfynd.xlsx", "A 48369-2025")</f>
        <v/>
      </c>
      <c r="T23">
        <f>HYPERLINK("https://klasma.github.io/Logging_2283/kartor/A 48369-2025 karta.png", "A 48369-2025")</f>
        <v/>
      </c>
      <c r="U23">
        <f>HYPERLINK("https://klasma.github.io/Logging_2283/knärot/A 48369-2025 karta knärot.png", "A 48369-2025")</f>
        <v/>
      </c>
      <c r="V23">
        <f>HYPERLINK("https://klasma.github.io/Logging_2283/klagomål/A 48369-2025 FSC-klagomål.docx", "A 48369-2025")</f>
        <v/>
      </c>
      <c r="W23">
        <f>HYPERLINK("https://klasma.github.io/Logging_2283/klagomålsmail/A 48369-2025 FSC-klagomål mail.docx", "A 48369-2025")</f>
        <v/>
      </c>
      <c r="X23">
        <f>HYPERLINK("https://klasma.github.io/Logging_2283/tillsyn/A 48369-2025 tillsynsbegäran.docx", "A 48369-2025")</f>
        <v/>
      </c>
      <c r="Y23">
        <f>HYPERLINK("https://klasma.github.io/Logging_2283/tillsynsmail/A 48369-2025 tillsynsbegäran mail.docx", "A 48369-2025")</f>
        <v/>
      </c>
      <c r="Z23">
        <f>HYPERLINK("https://klasma.github.io/Logging_2283/fåglar/A 48369-2025 prioriterade fågelarter.docx", "A 48369-2025")</f>
        <v/>
      </c>
    </row>
    <row r="24" ht="15" customHeight="1">
      <c r="A24" t="inlineStr">
        <is>
          <t>A 49938-2021</t>
        </is>
      </c>
      <c r="B24" s="1" t="n">
        <v>44455.93498842593</v>
      </c>
      <c r="C24" s="1" t="n">
        <v>46161</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8658-2024</t>
        </is>
      </c>
      <c r="B25" s="1" t="n">
        <v>45356</v>
      </c>
      <c r="C25" s="1" t="n">
        <v>46161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Kötticka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63420-2025</t>
        </is>
      </c>
      <c r="B26" s="1" t="n">
        <v>46013.34195601852</v>
      </c>
      <c r="C26" s="1" t="n">
        <v>46161</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26657-2022</t>
        </is>
      </c>
      <c r="B27" s="1" t="n">
        <v>44739</v>
      </c>
      <c r="C27" s="1" t="n">
        <v>46161</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20312-2022</t>
        </is>
      </c>
      <c r="B28" s="1" t="n">
        <v>44698</v>
      </c>
      <c r="C28" s="1" t="n">
        <v>46161</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46161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46161</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3426-2026</t>
        </is>
      </c>
      <c r="B31" s="1" t="n">
        <v>46042.44835648148</v>
      </c>
      <c r="C31" s="1" t="n">
        <v>46161</v>
      </c>
      <c r="D31" t="inlineStr">
        <is>
          <t>VÄSTERNORRLANDS LÄN</t>
        </is>
      </c>
      <c r="E31" t="inlineStr">
        <is>
          <t>SOLLEFTEÅ</t>
        </is>
      </c>
      <c r="G31" t="n">
        <v>9.9</v>
      </c>
      <c r="H31" t="n">
        <v>6</v>
      </c>
      <c r="I31" t="n">
        <v>2</v>
      </c>
      <c r="J31" t="n">
        <v>9</v>
      </c>
      <c r="K31" t="n">
        <v>2</v>
      </c>
      <c r="L31" t="n">
        <v>0</v>
      </c>
      <c r="M31" t="n">
        <v>0</v>
      </c>
      <c r="N31" t="n">
        <v>0</v>
      </c>
      <c r="O31" t="n">
        <v>11</v>
      </c>
      <c r="P31" t="n">
        <v>2</v>
      </c>
      <c r="Q31" t="n">
        <v>15</v>
      </c>
      <c r="R31" s="2" t="inlineStr">
        <is>
          <t>Knärot
Rynkskinn
Garnlav
Gränsticka
Järpe
Lunglav
Rosenticka
Skogshare
Spillkråka
Tretåig hackspett
Ullticka
Bårdlav
Vedticka
Blåsippa
Revlummer</t>
        </is>
      </c>
      <c r="S31">
        <f>HYPERLINK("https://klasma.github.io/Logging_2283/artfynd/A 3426-2026 artfynd.xlsx", "A 3426-2026")</f>
        <v/>
      </c>
      <c r="T31">
        <f>HYPERLINK("https://klasma.github.io/Logging_2283/kartor/A 3426-2026 karta.png", "A 3426-2026")</f>
        <v/>
      </c>
      <c r="U31">
        <f>HYPERLINK("https://klasma.github.io/Logging_2283/knärot/A 3426-2026 karta knärot.png", "A 3426-2026")</f>
        <v/>
      </c>
      <c r="V31">
        <f>HYPERLINK("https://klasma.github.io/Logging_2283/klagomål/A 3426-2026 FSC-klagomål.docx", "A 3426-2026")</f>
        <v/>
      </c>
      <c r="W31">
        <f>HYPERLINK("https://klasma.github.io/Logging_2283/klagomålsmail/A 3426-2026 FSC-klagomål mail.docx", "A 3426-2026")</f>
        <v/>
      </c>
      <c r="X31">
        <f>HYPERLINK("https://klasma.github.io/Logging_2283/tillsyn/A 3426-2026 tillsynsbegäran.docx", "A 3426-2026")</f>
        <v/>
      </c>
      <c r="Y31">
        <f>HYPERLINK("https://klasma.github.io/Logging_2283/tillsynsmail/A 3426-2026 tillsynsbegäran mail.docx", "A 3426-2026")</f>
        <v/>
      </c>
      <c r="Z31">
        <f>HYPERLINK("https://klasma.github.io/Logging_2283/fåglar/A 3426-2026 prioriterade fågelarter.docx", "A 3426-2026")</f>
        <v/>
      </c>
    </row>
    <row r="32" ht="15" customHeight="1">
      <c r="A32" t="inlineStr">
        <is>
          <t>A 40262-2024</t>
        </is>
      </c>
      <c r="B32" s="1" t="n">
        <v>45554</v>
      </c>
      <c r="C32" s="1" t="n">
        <v>46161</v>
      </c>
      <c r="D32" t="inlineStr">
        <is>
          <t>VÄSTERNORRLANDS LÄN</t>
        </is>
      </c>
      <c r="E32" t="inlineStr">
        <is>
          <t>SOLLEFTEÅ</t>
        </is>
      </c>
      <c r="F32" t="inlineStr">
        <is>
          <t>SCA</t>
        </is>
      </c>
      <c r="G32" t="n">
        <v>17.9</v>
      </c>
      <c r="H32" t="n">
        <v>4</v>
      </c>
      <c r="I32" t="n">
        <v>2</v>
      </c>
      <c r="J32" t="n">
        <v>11</v>
      </c>
      <c r="K32" t="n">
        <v>1</v>
      </c>
      <c r="L32" t="n">
        <v>0</v>
      </c>
      <c r="M32" t="n">
        <v>0</v>
      </c>
      <c r="N32" t="n">
        <v>0</v>
      </c>
      <c r="O32" t="n">
        <v>12</v>
      </c>
      <c r="P32" t="n">
        <v>1</v>
      </c>
      <c r="Q32" t="n">
        <v>14</v>
      </c>
      <c r="R32" s="2" t="inlineStr">
        <is>
          <t>Knärot
Garnlav
Järpe
Kolflarnlav
Kötticka
Motaggsvamp
Rosenticka
Spillkråka
Stjärntagging
Tallticka
Tretåig hackspett
Ullticka
Bollvitmossa
Vedticka</t>
        </is>
      </c>
      <c r="S32">
        <f>HYPERLINK("https://klasma.github.io/Logging_2283/artfynd/A 40262-2024 artfynd.xlsx", "A 40262-2024")</f>
        <v/>
      </c>
      <c r="T32">
        <f>HYPERLINK("https://klasma.github.io/Logging_2283/kartor/A 40262-2024 karta.png", "A 40262-2024")</f>
        <v/>
      </c>
      <c r="U32">
        <f>HYPERLINK("https://klasma.github.io/Logging_2283/knärot/A 40262-2024 karta knärot.png", "A 40262-2024")</f>
        <v/>
      </c>
      <c r="V32">
        <f>HYPERLINK("https://klasma.github.io/Logging_2283/klagomål/A 40262-2024 FSC-klagomål.docx", "A 40262-2024")</f>
        <v/>
      </c>
      <c r="W32">
        <f>HYPERLINK("https://klasma.github.io/Logging_2283/klagomålsmail/A 40262-2024 FSC-klagomål mail.docx", "A 40262-2024")</f>
        <v/>
      </c>
      <c r="X32">
        <f>HYPERLINK("https://klasma.github.io/Logging_2283/tillsyn/A 40262-2024 tillsynsbegäran.docx", "A 40262-2024")</f>
        <v/>
      </c>
      <c r="Y32">
        <f>HYPERLINK("https://klasma.github.io/Logging_2283/tillsynsmail/A 40262-2024 tillsynsbegäran mail.docx", "A 40262-2024")</f>
        <v/>
      </c>
      <c r="Z32">
        <f>HYPERLINK("https://klasma.github.io/Logging_2283/fåglar/A 40262-2024 prioriterade fågelarter.docx", "A 40262-2024")</f>
        <v/>
      </c>
    </row>
    <row r="33" ht="15" customHeight="1">
      <c r="A33" t="inlineStr">
        <is>
          <t>A 33964-2023</t>
        </is>
      </c>
      <c r="B33" s="1" t="n">
        <v>45124</v>
      </c>
      <c r="C33" s="1" t="n">
        <v>46161</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3367-2026</t>
        </is>
      </c>
      <c r="B34" s="1" t="n">
        <v>46042</v>
      </c>
      <c r="C34" s="1" t="n">
        <v>46161</v>
      </c>
      <c r="D34" t="inlineStr">
        <is>
          <t>VÄSTERNORRLANDS LÄN</t>
        </is>
      </c>
      <c r="E34" t="inlineStr">
        <is>
          <t>SOLLEFTEÅ</t>
        </is>
      </c>
      <c r="F34" t="inlineStr">
        <is>
          <t>SCA</t>
        </is>
      </c>
      <c r="G34" t="n">
        <v>12.1</v>
      </c>
      <c r="H34" t="n">
        <v>7</v>
      </c>
      <c r="I34" t="n">
        <v>1</v>
      </c>
      <c r="J34" t="n">
        <v>12</v>
      </c>
      <c r="K34" t="n">
        <v>1</v>
      </c>
      <c r="L34" t="n">
        <v>0</v>
      </c>
      <c r="M34" t="n">
        <v>0</v>
      </c>
      <c r="N34" t="n">
        <v>0</v>
      </c>
      <c r="O34" t="n">
        <v>13</v>
      </c>
      <c r="P34" t="n">
        <v>1</v>
      </c>
      <c r="Q34" t="n">
        <v>14</v>
      </c>
      <c r="R34" s="2" t="inlineStr">
        <is>
          <t>Knärot
Gammelgransskål
Garnlav
Granticka
Harticka
Järpe
Koralltaggsvamp
Lunglav
Spillkråka
Svartvit flugsnappare
Talltita
Tretåig hackspett
Ullticka
Lappranunkel</t>
        </is>
      </c>
      <c r="S34">
        <f>HYPERLINK("https://klasma.github.io/Logging_2283/artfynd/A 3367-2026 artfynd.xlsx", "A 3367-2026")</f>
        <v/>
      </c>
      <c r="T34">
        <f>HYPERLINK("https://klasma.github.io/Logging_2283/kartor/A 3367-2026 karta.png", "A 3367-2026")</f>
        <v/>
      </c>
      <c r="U34">
        <f>HYPERLINK("https://klasma.github.io/Logging_2283/knärot/A 3367-2026 karta knärot.png", "A 3367-2026")</f>
        <v/>
      </c>
      <c r="V34">
        <f>HYPERLINK("https://klasma.github.io/Logging_2283/klagomål/A 3367-2026 FSC-klagomål.docx", "A 3367-2026")</f>
        <v/>
      </c>
      <c r="W34">
        <f>HYPERLINK("https://klasma.github.io/Logging_2283/klagomålsmail/A 3367-2026 FSC-klagomål mail.docx", "A 3367-2026")</f>
        <v/>
      </c>
      <c r="X34">
        <f>HYPERLINK("https://klasma.github.io/Logging_2283/tillsyn/A 3367-2026 tillsynsbegäran.docx", "A 3367-2026")</f>
        <v/>
      </c>
      <c r="Y34">
        <f>HYPERLINK("https://klasma.github.io/Logging_2283/tillsynsmail/A 3367-2026 tillsynsbegäran mail.docx", "A 3367-2026")</f>
        <v/>
      </c>
      <c r="Z34">
        <f>HYPERLINK("https://klasma.github.io/Logging_2283/fåglar/A 3367-2026 prioriterade fågelarter.docx", "A 3367-2026")</f>
        <v/>
      </c>
    </row>
    <row r="35" ht="15" customHeight="1">
      <c r="A35" t="inlineStr">
        <is>
          <t>A 17415-2022</t>
        </is>
      </c>
      <c r="B35" s="1" t="n">
        <v>44678</v>
      </c>
      <c r="C35" s="1" t="n">
        <v>46161</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27635-2024</t>
        </is>
      </c>
      <c r="B36" s="1" t="n">
        <v>45474</v>
      </c>
      <c r="C36" s="1" t="n">
        <v>46161</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22209-2025</t>
        </is>
      </c>
      <c r="B37" s="1" t="n">
        <v>45785.65732638889</v>
      </c>
      <c r="C37" s="1" t="n">
        <v>46161</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46161</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46161</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Kötticka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28161-2024</t>
        </is>
      </c>
      <c r="B40" s="1" t="n">
        <v>45476</v>
      </c>
      <c r="C40" s="1" t="n">
        <v>46161</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39172-2022</t>
        </is>
      </c>
      <c r="B41" s="1" t="n">
        <v>44817</v>
      </c>
      <c r="C41" s="1" t="n">
        <v>46161</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29309-2022</t>
        </is>
      </c>
      <c r="B42" s="1" t="n">
        <v>44750</v>
      </c>
      <c r="C42" s="1" t="n">
        <v>46161</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46161</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32199-2023</t>
        </is>
      </c>
      <c r="B44" s="1" t="n">
        <v>45119</v>
      </c>
      <c r="C44" s="1" t="n">
        <v>46161</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29918-2024</t>
        </is>
      </c>
      <c r="B45" s="1" t="n">
        <v>45487.92841435185</v>
      </c>
      <c r="C45" s="1" t="n">
        <v>46161</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48181-2025</t>
        </is>
      </c>
      <c r="B46" s="1" t="n">
        <v>45933.45269675926</v>
      </c>
      <c r="C46" s="1" t="n">
        <v>46161</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46161</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4839-2025</t>
        </is>
      </c>
      <c r="B48" s="1" t="n">
        <v>45688</v>
      </c>
      <c r="C48" s="1" t="n">
        <v>46161</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46161</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49704-2025</t>
        </is>
      </c>
      <c r="B50" s="1" t="n">
        <v>45939</v>
      </c>
      <c r="C50" s="1" t="n">
        <v>46161</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46161</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Kötticka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46161</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22449-2024</t>
        </is>
      </c>
      <c r="B53" s="1" t="n">
        <v>45446</v>
      </c>
      <c r="C53" s="1" t="n">
        <v>46161</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46161</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32460-2024</t>
        </is>
      </c>
      <c r="B55" s="1" t="n">
        <v>45512</v>
      </c>
      <c r="C55" s="1" t="n">
        <v>46161</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46041-2022</t>
        </is>
      </c>
      <c r="B56" s="1" t="n">
        <v>44846</v>
      </c>
      <c r="C56" s="1" t="n">
        <v>46161</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46161</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61326-2024</t>
        </is>
      </c>
      <c r="B58" s="1" t="n">
        <v>45646</v>
      </c>
      <c r="C58" s="1" t="n">
        <v>46161</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15388-2026</t>
        </is>
      </c>
      <c r="B59" s="1" t="n">
        <v>46106</v>
      </c>
      <c r="C59" s="1" t="n">
        <v>46161</v>
      </c>
      <c r="D59" t="inlineStr">
        <is>
          <t>VÄSTERNORRLANDS LÄN</t>
        </is>
      </c>
      <c r="E59" t="inlineStr">
        <is>
          <t>SOLLEFTEÅ</t>
        </is>
      </c>
      <c r="F59" t="inlineStr">
        <is>
          <t>SCA</t>
        </is>
      </c>
      <c r="G59" t="n">
        <v>16.1</v>
      </c>
      <c r="H59" t="n">
        <v>4</v>
      </c>
      <c r="I59" t="n">
        <v>0</v>
      </c>
      <c r="J59" t="n">
        <v>8</v>
      </c>
      <c r="K59" t="n">
        <v>3</v>
      </c>
      <c r="L59" t="n">
        <v>0</v>
      </c>
      <c r="M59" t="n">
        <v>0</v>
      </c>
      <c r="N59" t="n">
        <v>0</v>
      </c>
      <c r="O59" t="n">
        <v>11</v>
      </c>
      <c r="P59" t="n">
        <v>3</v>
      </c>
      <c r="Q59" t="n">
        <v>11</v>
      </c>
      <c r="R59" s="2" t="inlineStr">
        <is>
          <t>Blackticka
Knärot
Rynkskinn
Gammelgransskål
Garnlav
Lunglav
Spillkråka
Talltita
Tretåig hackspett
Ullticka
Vitgrynig nållav</t>
        </is>
      </c>
      <c r="S59">
        <f>HYPERLINK("https://klasma.github.io/Logging_2283/artfynd/A 15388-2026 artfynd.xlsx", "A 15388-2026")</f>
        <v/>
      </c>
      <c r="T59">
        <f>HYPERLINK("https://klasma.github.io/Logging_2283/kartor/A 15388-2026 karta.png", "A 15388-2026")</f>
        <v/>
      </c>
      <c r="U59">
        <f>HYPERLINK("https://klasma.github.io/Logging_2283/knärot/A 15388-2026 karta knärot.png", "A 15388-2026")</f>
        <v/>
      </c>
      <c r="V59">
        <f>HYPERLINK("https://klasma.github.io/Logging_2283/klagomål/A 15388-2026 FSC-klagomål.docx", "A 15388-2026")</f>
        <v/>
      </c>
      <c r="W59">
        <f>HYPERLINK("https://klasma.github.io/Logging_2283/klagomålsmail/A 15388-2026 FSC-klagomål mail.docx", "A 15388-2026")</f>
        <v/>
      </c>
      <c r="X59">
        <f>HYPERLINK("https://klasma.github.io/Logging_2283/tillsyn/A 15388-2026 tillsynsbegäran.docx", "A 15388-2026")</f>
        <v/>
      </c>
      <c r="Y59">
        <f>HYPERLINK("https://klasma.github.io/Logging_2283/tillsynsmail/A 15388-2026 tillsynsbegäran mail.docx", "A 15388-2026")</f>
        <v/>
      </c>
      <c r="Z59">
        <f>HYPERLINK("https://klasma.github.io/Logging_2283/fåglar/A 15388-2026 prioriterade fågelarter.docx", "A 15388-2026")</f>
        <v/>
      </c>
    </row>
    <row r="60" ht="15" customHeight="1">
      <c r="A60" t="inlineStr">
        <is>
          <t>A 747-2022</t>
        </is>
      </c>
      <c r="B60" s="1" t="n">
        <v>44568</v>
      </c>
      <c r="C60" s="1" t="n">
        <v>46161</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46161</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46161</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43329-2025</t>
        </is>
      </c>
      <c r="B63" s="1" t="n">
        <v>45910.6775</v>
      </c>
      <c r="C63" s="1" t="n">
        <v>46161</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51693-2024</t>
        </is>
      </c>
      <c r="B64" s="1" t="n">
        <v>45607.34570601852</v>
      </c>
      <c r="C64" s="1" t="n">
        <v>46161</v>
      </c>
      <c r="D64" t="inlineStr">
        <is>
          <t>VÄSTERNORRLANDS LÄN</t>
        </is>
      </c>
      <c r="E64" t="inlineStr">
        <is>
          <t>SOLLEFTEÅ</t>
        </is>
      </c>
      <c r="F64" t="inlineStr">
        <is>
          <t>SCA</t>
        </is>
      </c>
      <c r="G64" t="n">
        <v>5.2</v>
      </c>
      <c r="H64" t="n">
        <v>3</v>
      </c>
      <c r="I64" t="n">
        <v>2</v>
      </c>
      <c r="J64" t="n">
        <v>7</v>
      </c>
      <c r="K64" t="n">
        <v>1</v>
      </c>
      <c r="L64" t="n">
        <v>0</v>
      </c>
      <c r="M64" t="n">
        <v>0</v>
      </c>
      <c r="N64" t="n">
        <v>0</v>
      </c>
      <c r="O64" t="n">
        <v>8</v>
      </c>
      <c r="P64" t="n">
        <v>1</v>
      </c>
      <c r="Q64" t="n">
        <v>10</v>
      </c>
      <c r="R64" s="2" t="inlineStr">
        <is>
          <t>Knärot
Garnlav
Granticka
Kolflarnlav
Lunglav
Spillkråka
Tretåig hackspett
Ullticka
Dropptaggsvamp
Skuggblåslav</t>
        </is>
      </c>
      <c r="S64">
        <f>HYPERLINK("https://klasma.github.io/Logging_2283/artfynd/A 51693-2024 artfynd.xlsx", "A 51693-2024")</f>
        <v/>
      </c>
      <c r="T64">
        <f>HYPERLINK("https://klasma.github.io/Logging_2283/kartor/A 51693-2024 karta.png", "A 51693-2024")</f>
        <v/>
      </c>
      <c r="U64">
        <f>HYPERLINK("https://klasma.github.io/Logging_2283/knärot/A 51693-2024 karta knärot.png", "A 51693-2024")</f>
        <v/>
      </c>
      <c r="V64">
        <f>HYPERLINK("https://klasma.github.io/Logging_2283/klagomål/A 51693-2024 FSC-klagomål.docx", "A 51693-2024")</f>
        <v/>
      </c>
      <c r="W64">
        <f>HYPERLINK("https://klasma.github.io/Logging_2283/klagomålsmail/A 51693-2024 FSC-klagomål mail.docx", "A 51693-2024")</f>
        <v/>
      </c>
      <c r="X64">
        <f>HYPERLINK("https://klasma.github.io/Logging_2283/tillsyn/A 51693-2024 tillsynsbegäran.docx", "A 51693-2024")</f>
        <v/>
      </c>
      <c r="Y64">
        <f>HYPERLINK("https://klasma.github.io/Logging_2283/tillsynsmail/A 51693-2024 tillsynsbegäran mail.docx", "A 51693-2024")</f>
        <v/>
      </c>
      <c r="Z64">
        <f>HYPERLINK("https://klasma.github.io/Logging_2283/fåglar/A 51693-2024 prioriterade fågelarter.docx", "A 51693-2024")</f>
        <v/>
      </c>
    </row>
    <row r="65" ht="15" customHeight="1">
      <c r="A65" t="inlineStr">
        <is>
          <t>A 19825-2023</t>
        </is>
      </c>
      <c r="B65" s="1" t="n">
        <v>45051</v>
      </c>
      <c r="C65" s="1" t="n">
        <v>46161</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46161</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46161</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46161</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46161</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14787-2026</t>
        </is>
      </c>
      <c r="B70" s="1" t="n">
        <v>46101</v>
      </c>
      <c r="C70" s="1" t="n">
        <v>46161</v>
      </c>
      <c r="D70" t="inlineStr">
        <is>
          <t>VÄSTERNORRLANDS LÄN</t>
        </is>
      </c>
      <c r="E70" t="inlineStr">
        <is>
          <t>SOLLEFTEÅ</t>
        </is>
      </c>
      <c r="F70" t="inlineStr">
        <is>
          <t>SCA</t>
        </is>
      </c>
      <c r="G70" t="n">
        <v>6.1</v>
      </c>
      <c r="H70" t="n">
        <v>3</v>
      </c>
      <c r="I70" t="n">
        <v>0</v>
      </c>
      <c r="J70" t="n">
        <v>8</v>
      </c>
      <c r="K70" t="n">
        <v>2</v>
      </c>
      <c r="L70" t="n">
        <v>0</v>
      </c>
      <c r="M70" t="n">
        <v>0</v>
      </c>
      <c r="N70" t="n">
        <v>0</v>
      </c>
      <c r="O70" t="n">
        <v>10</v>
      </c>
      <c r="P70" t="n">
        <v>2</v>
      </c>
      <c r="Q70" t="n">
        <v>10</v>
      </c>
      <c r="R70" s="2" t="inlineStr">
        <is>
          <t>Knärot
Ulltickeporing
Gammelgransskål
Garnlav
Järpe
Lunglav
Rosenticka
Tallticka
Tretåig hackspett
Ullticka</t>
        </is>
      </c>
      <c r="S70">
        <f>HYPERLINK("https://klasma.github.io/Logging_2283/artfynd/A 14787-2026 artfynd.xlsx", "A 14787-2026")</f>
        <v/>
      </c>
      <c r="T70">
        <f>HYPERLINK("https://klasma.github.io/Logging_2283/kartor/A 14787-2026 karta.png", "A 14787-2026")</f>
        <v/>
      </c>
      <c r="U70">
        <f>HYPERLINK("https://klasma.github.io/Logging_2283/knärot/A 14787-2026 karta knärot.png", "A 14787-2026")</f>
        <v/>
      </c>
      <c r="V70">
        <f>HYPERLINK("https://klasma.github.io/Logging_2283/klagomål/A 14787-2026 FSC-klagomål.docx", "A 14787-2026")</f>
        <v/>
      </c>
      <c r="W70">
        <f>HYPERLINK("https://klasma.github.io/Logging_2283/klagomålsmail/A 14787-2026 FSC-klagomål mail.docx", "A 14787-2026")</f>
        <v/>
      </c>
      <c r="X70">
        <f>HYPERLINK("https://klasma.github.io/Logging_2283/tillsyn/A 14787-2026 tillsynsbegäran.docx", "A 14787-2026")</f>
        <v/>
      </c>
      <c r="Y70">
        <f>HYPERLINK("https://klasma.github.io/Logging_2283/tillsynsmail/A 14787-2026 tillsynsbegäran mail.docx", "A 14787-2026")</f>
        <v/>
      </c>
      <c r="Z70">
        <f>HYPERLINK("https://klasma.github.io/Logging_2283/fåglar/A 14787-2026 prioriterade fågelarter.docx", "A 14787-2026")</f>
        <v/>
      </c>
    </row>
    <row r="71" ht="15" customHeight="1">
      <c r="A71" t="inlineStr">
        <is>
          <t>A 18084-2026</t>
        </is>
      </c>
      <c r="B71" s="1" t="n">
        <v>46125</v>
      </c>
      <c r="C71" s="1" t="n">
        <v>46161</v>
      </c>
      <c r="D71" t="inlineStr">
        <is>
          <t>VÄSTERNORRLANDS LÄN</t>
        </is>
      </c>
      <c r="E71" t="inlineStr">
        <is>
          <t>SOLLEFTEÅ</t>
        </is>
      </c>
      <c r="G71" t="n">
        <v>29.2</v>
      </c>
      <c r="H71" t="n">
        <v>1</v>
      </c>
      <c r="I71" t="n">
        <v>2</v>
      </c>
      <c r="J71" t="n">
        <v>5</v>
      </c>
      <c r="K71" t="n">
        <v>3</v>
      </c>
      <c r="L71" t="n">
        <v>0</v>
      </c>
      <c r="M71" t="n">
        <v>0</v>
      </c>
      <c r="N71" t="n">
        <v>0</v>
      </c>
      <c r="O71" t="n">
        <v>8</v>
      </c>
      <c r="P71" t="n">
        <v>3</v>
      </c>
      <c r="Q71" t="n">
        <v>10</v>
      </c>
      <c r="R71" s="2" t="inlineStr">
        <is>
          <t>Knärot
Liten hornflikmossa
Rynkskinn
Granticka
Lunglav
Rosenticka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40274-2022</t>
        </is>
      </c>
      <c r="B72" s="1" t="n">
        <v>44820</v>
      </c>
      <c r="C72" s="1" t="n">
        <v>46161</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57790-2024</t>
        </is>
      </c>
      <c r="B73" s="1" t="n">
        <v>45631</v>
      </c>
      <c r="C73" s="1" t="n">
        <v>46161</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24755-2024</t>
        </is>
      </c>
      <c r="B74" s="1" t="n">
        <v>45460</v>
      </c>
      <c r="C74" s="1" t="n">
        <v>46161</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12865-2024</t>
        </is>
      </c>
      <c r="B75" s="1" t="n">
        <v>45384</v>
      </c>
      <c r="C75" s="1" t="n">
        <v>46161</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39197-2025</t>
        </is>
      </c>
      <c r="B76" s="1" t="n">
        <v>45888.69832175926</v>
      </c>
      <c r="C76" s="1" t="n">
        <v>46161</v>
      </c>
      <c r="D76" t="inlineStr">
        <is>
          <t>VÄSTERNORRLANDS LÄN</t>
        </is>
      </c>
      <c r="E76" t="inlineStr">
        <is>
          <t>SOLLEFTEÅ</t>
        </is>
      </c>
      <c r="G76" t="n">
        <v>1.8</v>
      </c>
      <c r="H76" t="n">
        <v>2</v>
      </c>
      <c r="I76" t="n">
        <v>3</v>
      </c>
      <c r="J76" t="n">
        <v>5</v>
      </c>
      <c r="K76" t="n">
        <v>1</v>
      </c>
      <c r="L76" t="n">
        <v>0</v>
      </c>
      <c r="M76" t="n">
        <v>0</v>
      </c>
      <c r="N76" t="n">
        <v>0</v>
      </c>
      <c r="O76" t="n">
        <v>6</v>
      </c>
      <c r="P76" t="n">
        <v>1</v>
      </c>
      <c r="Q76" t="n">
        <v>9</v>
      </c>
      <c r="R76" s="2" t="inlineStr">
        <is>
          <t>Knärot
Gammelgransskål
Lunglav
Skrovellav
Tretåig hackspett
Ullticka
Stuplav
Trådticka
Vedticka</t>
        </is>
      </c>
      <c r="S76">
        <f>HYPERLINK("https://klasma.github.io/Logging_2283/artfynd/A 39197-2025 artfynd.xlsx", "A 39197-2025")</f>
        <v/>
      </c>
      <c r="T76">
        <f>HYPERLINK("https://klasma.github.io/Logging_2283/kartor/A 39197-2025 karta.png", "A 39197-2025")</f>
        <v/>
      </c>
      <c r="U76">
        <f>HYPERLINK("https://klasma.github.io/Logging_2283/knärot/A 39197-2025 karta knärot.png", "A 39197-2025")</f>
        <v/>
      </c>
      <c r="V76">
        <f>HYPERLINK("https://klasma.github.io/Logging_2283/klagomål/A 39197-2025 FSC-klagomål.docx", "A 39197-2025")</f>
        <v/>
      </c>
      <c r="W76">
        <f>HYPERLINK("https://klasma.github.io/Logging_2283/klagomålsmail/A 39197-2025 FSC-klagomål mail.docx", "A 39197-2025")</f>
        <v/>
      </c>
      <c r="X76">
        <f>HYPERLINK("https://klasma.github.io/Logging_2283/tillsyn/A 39197-2025 tillsynsbegäran.docx", "A 39197-2025")</f>
        <v/>
      </c>
      <c r="Y76">
        <f>HYPERLINK("https://klasma.github.io/Logging_2283/tillsynsmail/A 39197-2025 tillsynsbegäran mail.docx", "A 39197-2025")</f>
        <v/>
      </c>
      <c r="Z76">
        <f>HYPERLINK("https://klasma.github.io/Logging_2283/fåglar/A 39197-2025 prioriterade fågelarter.docx", "A 39197-2025")</f>
        <v/>
      </c>
    </row>
    <row r="77" ht="15" customHeight="1">
      <c r="A77" t="inlineStr">
        <is>
          <t>A 4501-2023</t>
        </is>
      </c>
      <c r="B77" s="1" t="n">
        <v>44952</v>
      </c>
      <c r="C77" s="1" t="n">
        <v>46161</v>
      </c>
      <c r="D77" t="inlineStr">
        <is>
          <t>VÄSTERNORRLANDS LÄN</t>
        </is>
      </c>
      <c r="E77" t="inlineStr">
        <is>
          <t>SOLLEFTEÅ</t>
        </is>
      </c>
      <c r="F77" t="inlineStr">
        <is>
          <t>Övriga Aktiebolag</t>
        </is>
      </c>
      <c r="G77" t="n">
        <v>5.4</v>
      </c>
      <c r="H77" t="n">
        <v>4</v>
      </c>
      <c r="I77" t="n">
        <v>2</v>
      </c>
      <c r="J77" t="n">
        <v>5</v>
      </c>
      <c r="K77" t="n">
        <v>1</v>
      </c>
      <c r="L77" t="n">
        <v>0</v>
      </c>
      <c r="M77" t="n">
        <v>0</v>
      </c>
      <c r="N77" t="n">
        <v>0</v>
      </c>
      <c r="O77" t="n">
        <v>6</v>
      </c>
      <c r="P77" t="n">
        <v>1</v>
      </c>
      <c r="Q77" t="n">
        <v>9</v>
      </c>
      <c r="R77" s="2" t="inlineStr">
        <is>
          <t>Knärot
Garnlav
Lunglav
Rosenticka
Talltita
Ullticka
Korallblylav
Plattlummer
Revlummer</t>
        </is>
      </c>
      <c r="S77">
        <f>HYPERLINK("https://klasma.github.io/Logging_2283/artfynd/A 4501-2023 artfynd.xlsx", "A 4501-2023")</f>
        <v/>
      </c>
      <c r="T77">
        <f>HYPERLINK("https://klasma.github.io/Logging_2283/kartor/A 4501-2023 karta.png", "A 4501-2023")</f>
        <v/>
      </c>
      <c r="U77">
        <f>HYPERLINK("https://klasma.github.io/Logging_2283/knärot/A 4501-2023 karta knärot.png", "A 4501-2023")</f>
        <v/>
      </c>
      <c r="V77">
        <f>HYPERLINK("https://klasma.github.io/Logging_2283/klagomål/A 4501-2023 FSC-klagomål.docx", "A 4501-2023")</f>
        <v/>
      </c>
      <c r="W77">
        <f>HYPERLINK("https://klasma.github.io/Logging_2283/klagomålsmail/A 4501-2023 FSC-klagomål mail.docx", "A 4501-2023")</f>
        <v/>
      </c>
      <c r="X77">
        <f>HYPERLINK("https://klasma.github.io/Logging_2283/tillsyn/A 4501-2023 tillsynsbegäran.docx", "A 4501-2023")</f>
        <v/>
      </c>
      <c r="Y77">
        <f>HYPERLINK("https://klasma.github.io/Logging_2283/tillsynsmail/A 4501-2023 tillsynsbegäran mail.docx", "A 4501-2023")</f>
        <v/>
      </c>
      <c r="Z77">
        <f>HYPERLINK("https://klasma.github.io/Logging_2283/fåglar/A 4501-2023 prioriterade fågelarter.docx", "A 4501-2023")</f>
        <v/>
      </c>
    </row>
    <row r="78" ht="15" customHeight="1">
      <c r="A78" t="inlineStr">
        <is>
          <t>A 26655-2022</t>
        </is>
      </c>
      <c r="B78" s="1" t="n">
        <v>44739</v>
      </c>
      <c r="C78" s="1" t="n">
        <v>46161</v>
      </c>
      <c r="D78" t="inlineStr">
        <is>
          <t>VÄSTERNORRLANDS LÄN</t>
        </is>
      </c>
      <c r="E78" t="inlineStr">
        <is>
          <t>SOLLEFTEÅ</t>
        </is>
      </c>
      <c r="F78" t="inlineStr">
        <is>
          <t>Holmen skog AB</t>
        </is>
      </c>
      <c r="G78" t="n">
        <v>5.8</v>
      </c>
      <c r="H78" t="n">
        <v>3</v>
      </c>
      <c r="I78" t="n">
        <v>1</v>
      </c>
      <c r="J78" t="n">
        <v>6</v>
      </c>
      <c r="K78" t="n">
        <v>2</v>
      </c>
      <c r="L78" t="n">
        <v>0</v>
      </c>
      <c r="M78" t="n">
        <v>0</v>
      </c>
      <c r="N78" t="n">
        <v>0</v>
      </c>
      <c r="O78" t="n">
        <v>8</v>
      </c>
      <c r="P78" t="n">
        <v>2</v>
      </c>
      <c r="Q78" t="n">
        <v>9</v>
      </c>
      <c r="R78" s="2" t="inlineStr">
        <is>
          <t>Knärot
Ulltickeporing
Garnlav
Lunglav
Rosenticka
Talltita
Tretåig hackspett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12146-2025</t>
        </is>
      </c>
      <c r="B79" s="1" t="n">
        <v>45729</v>
      </c>
      <c r="C79" s="1" t="n">
        <v>46161</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45078-2025</t>
        </is>
      </c>
      <c r="B80" s="1" t="n">
        <v>45919</v>
      </c>
      <c r="C80" s="1" t="n">
        <v>46161</v>
      </c>
      <c r="D80" t="inlineStr">
        <is>
          <t>VÄSTERNORRLANDS LÄN</t>
        </is>
      </c>
      <c r="E80" t="inlineStr">
        <is>
          <t>SOLLEFTEÅ</t>
        </is>
      </c>
      <c r="F80" t="inlineStr">
        <is>
          <t>SCA</t>
        </is>
      </c>
      <c r="G80" t="n">
        <v>10.5</v>
      </c>
      <c r="H80" t="n">
        <v>1</v>
      </c>
      <c r="I80" t="n">
        <v>3</v>
      </c>
      <c r="J80" t="n">
        <v>4</v>
      </c>
      <c r="K80" t="n">
        <v>1</v>
      </c>
      <c r="L80" t="n">
        <v>0</v>
      </c>
      <c r="M80" t="n">
        <v>0</v>
      </c>
      <c r="N80" t="n">
        <v>0</v>
      </c>
      <c r="O80" t="n">
        <v>5</v>
      </c>
      <c r="P80" t="n">
        <v>1</v>
      </c>
      <c r="Q80" t="n">
        <v>8</v>
      </c>
      <c r="R80" s="2" t="inlineStr">
        <is>
          <t>Knärot
Garnlav
Lunglav
Mörk kolflarnlav
Vedskivlav
Dropptaggsvamp
Norrlandslav
Stuplav</t>
        </is>
      </c>
      <c r="S80">
        <f>HYPERLINK("https://klasma.github.io/Logging_2283/artfynd/A 45078-2025 artfynd.xlsx", "A 45078-2025")</f>
        <v/>
      </c>
      <c r="T80">
        <f>HYPERLINK("https://klasma.github.io/Logging_2283/kartor/A 45078-2025 karta.png", "A 45078-2025")</f>
        <v/>
      </c>
      <c r="U80">
        <f>HYPERLINK("https://klasma.github.io/Logging_2283/knärot/A 45078-2025 karta knärot.png", "A 45078-2025")</f>
        <v/>
      </c>
      <c r="V80">
        <f>HYPERLINK("https://klasma.github.io/Logging_2283/klagomål/A 45078-2025 FSC-klagomål.docx", "A 45078-2025")</f>
        <v/>
      </c>
      <c r="W80">
        <f>HYPERLINK("https://klasma.github.io/Logging_2283/klagomålsmail/A 45078-2025 FSC-klagomål mail.docx", "A 45078-2025")</f>
        <v/>
      </c>
      <c r="X80">
        <f>HYPERLINK("https://klasma.github.io/Logging_2283/tillsyn/A 45078-2025 tillsynsbegäran.docx", "A 45078-2025")</f>
        <v/>
      </c>
      <c r="Y80">
        <f>HYPERLINK("https://klasma.github.io/Logging_2283/tillsynsmail/A 45078-2025 tillsynsbegäran mail.docx", "A 45078-2025")</f>
        <v/>
      </c>
    </row>
    <row r="81" ht="15" customHeight="1">
      <c r="A81" t="inlineStr">
        <is>
          <t>A 22215-2025</t>
        </is>
      </c>
      <c r="B81" s="1" t="n">
        <v>45785.65803240741</v>
      </c>
      <c r="C81" s="1" t="n">
        <v>46161</v>
      </c>
      <c r="D81" t="inlineStr">
        <is>
          <t>VÄSTERNORRLANDS LÄN</t>
        </is>
      </c>
      <c r="E81" t="inlineStr">
        <is>
          <t>SOLLEFTEÅ</t>
        </is>
      </c>
      <c r="F81" t="inlineStr">
        <is>
          <t>SCA</t>
        </is>
      </c>
      <c r="G81" t="n">
        <v>3.8</v>
      </c>
      <c r="H81" t="n">
        <v>1</v>
      </c>
      <c r="I81" t="n">
        <v>1</v>
      </c>
      <c r="J81" t="n">
        <v>4</v>
      </c>
      <c r="K81" t="n">
        <v>2</v>
      </c>
      <c r="L81" t="n">
        <v>0</v>
      </c>
      <c r="M81" t="n">
        <v>0</v>
      </c>
      <c r="N81" t="n">
        <v>0</v>
      </c>
      <c r="O81" t="n">
        <v>6</v>
      </c>
      <c r="P81" t="n">
        <v>2</v>
      </c>
      <c r="Q81" t="n">
        <v>8</v>
      </c>
      <c r="R81" s="2" t="inlineStr">
        <is>
          <t>Lappticka
Ulltickeporing
Garnlav
Lunglav
Rosenticka
Ullticka
Korallblylav
Blåsippa</t>
        </is>
      </c>
      <c r="S81">
        <f>HYPERLINK("https://klasma.github.io/Logging_2283/artfynd/A 22215-2025 artfynd.xlsx", "A 22215-2025")</f>
        <v/>
      </c>
      <c r="T81">
        <f>HYPERLINK("https://klasma.github.io/Logging_2283/kartor/A 22215-2025 karta.png", "A 22215-2025")</f>
        <v/>
      </c>
      <c r="V81">
        <f>HYPERLINK("https://klasma.github.io/Logging_2283/klagomål/A 22215-2025 FSC-klagomål.docx", "A 22215-2025")</f>
        <v/>
      </c>
      <c r="W81">
        <f>HYPERLINK("https://klasma.github.io/Logging_2283/klagomålsmail/A 22215-2025 FSC-klagomål mail.docx", "A 22215-2025")</f>
        <v/>
      </c>
      <c r="X81">
        <f>HYPERLINK("https://klasma.github.io/Logging_2283/tillsyn/A 22215-2025 tillsynsbegäran.docx", "A 22215-2025")</f>
        <v/>
      </c>
      <c r="Y81">
        <f>HYPERLINK("https://klasma.github.io/Logging_2283/tillsynsmail/A 22215-2025 tillsynsbegäran mail.docx", "A 22215-2025")</f>
        <v/>
      </c>
    </row>
    <row r="82" ht="15" customHeight="1">
      <c r="A82" t="inlineStr">
        <is>
          <t>A 29250-2024</t>
        </is>
      </c>
      <c r="B82" s="1" t="n">
        <v>45482</v>
      </c>
      <c r="C82" s="1" t="n">
        <v>46161</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22783-2025</t>
        </is>
      </c>
      <c r="B83" s="1" t="n">
        <v>45789</v>
      </c>
      <c r="C83" s="1" t="n">
        <v>46161</v>
      </c>
      <c r="D83" t="inlineStr">
        <is>
          <t>VÄSTERNORRLANDS LÄN</t>
        </is>
      </c>
      <c r="E83" t="inlineStr">
        <is>
          <t>SOLLEFTEÅ</t>
        </is>
      </c>
      <c r="G83" t="n">
        <v>27.7</v>
      </c>
      <c r="H83" t="n">
        <v>3</v>
      </c>
      <c r="I83" t="n">
        <v>2</v>
      </c>
      <c r="J83" t="n">
        <v>4</v>
      </c>
      <c r="K83" t="n">
        <v>0</v>
      </c>
      <c r="L83" t="n">
        <v>0</v>
      </c>
      <c r="M83" t="n">
        <v>0</v>
      </c>
      <c r="N83" t="n">
        <v>0</v>
      </c>
      <c r="O83" t="n">
        <v>4</v>
      </c>
      <c r="P83" t="n">
        <v>0</v>
      </c>
      <c r="Q83" t="n">
        <v>8</v>
      </c>
      <c r="R83" s="2" t="inlineStr">
        <is>
          <t>Garnlav
Lunglav
Nordfladdermus
Skrovellav
Bårdlav
Stuplav
Lavskrika
Vattenfladdermus</t>
        </is>
      </c>
      <c r="S83">
        <f>HYPERLINK("https://klasma.github.io/Logging_2283/artfynd/A 22783-2025 artfynd.xlsx", "A 22783-2025")</f>
        <v/>
      </c>
      <c r="T83">
        <f>HYPERLINK("https://klasma.github.io/Logging_2283/kartor/A 22783-2025 karta.png", "A 22783-2025")</f>
        <v/>
      </c>
      <c r="V83">
        <f>HYPERLINK("https://klasma.github.io/Logging_2283/klagomål/A 22783-2025 FSC-klagomål.docx", "A 22783-2025")</f>
        <v/>
      </c>
      <c r="W83">
        <f>HYPERLINK("https://klasma.github.io/Logging_2283/klagomålsmail/A 22783-2025 FSC-klagomål mail.docx", "A 22783-2025")</f>
        <v/>
      </c>
      <c r="X83">
        <f>HYPERLINK("https://klasma.github.io/Logging_2283/tillsyn/A 22783-2025 tillsynsbegäran.docx", "A 22783-2025")</f>
        <v/>
      </c>
      <c r="Y83">
        <f>HYPERLINK("https://klasma.github.io/Logging_2283/tillsynsmail/A 22783-2025 tillsynsbegäran mail.docx", "A 22783-2025")</f>
        <v/>
      </c>
      <c r="Z83">
        <f>HYPERLINK("https://klasma.github.io/Logging_2283/fåglar/A 22783-2025 prioriterade fågelarter.docx", "A 22783-2025")</f>
        <v/>
      </c>
    </row>
    <row r="84" ht="15" customHeight="1">
      <c r="A84" t="inlineStr">
        <is>
          <t>A 22797-2025</t>
        </is>
      </c>
      <c r="B84" s="1" t="n">
        <v>45789</v>
      </c>
      <c r="C84" s="1" t="n">
        <v>46161</v>
      </c>
      <c r="D84" t="inlineStr">
        <is>
          <t>VÄSTERNORRLANDS LÄN</t>
        </is>
      </c>
      <c r="E84" t="inlineStr">
        <is>
          <t>SOLLEFTEÅ</t>
        </is>
      </c>
      <c r="G84" t="n">
        <v>0.9</v>
      </c>
      <c r="H84" t="n">
        <v>2</v>
      </c>
      <c r="I84" t="n">
        <v>0</v>
      </c>
      <c r="J84" t="n">
        <v>8</v>
      </c>
      <c r="K84" t="n">
        <v>0</v>
      </c>
      <c r="L84" t="n">
        <v>0</v>
      </c>
      <c r="M84" t="n">
        <v>0</v>
      </c>
      <c r="N84" t="n">
        <v>0</v>
      </c>
      <c r="O84" t="n">
        <v>8</v>
      </c>
      <c r="P84" t="n">
        <v>0</v>
      </c>
      <c r="Q84" t="n">
        <v>8</v>
      </c>
      <c r="R84" s="2" t="inlineStr">
        <is>
          <t>Blanksvart spiklav
Garnlav
Kolflarnlav
Talltita
Tretåig hackspett
Ullticka
Vedskivlav
Vedtrappmossa</t>
        </is>
      </c>
      <c r="S84">
        <f>HYPERLINK("https://klasma.github.io/Logging_2283/artfynd/A 22797-2025 artfynd.xlsx", "A 22797-2025")</f>
        <v/>
      </c>
      <c r="T84">
        <f>HYPERLINK("https://klasma.github.io/Logging_2283/kartor/A 22797-2025 karta.png", "A 22797-2025")</f>
        <v/>
      </c>
      <c r="V84">
        <f>HYPERLINK("https://klasma.github.io/Logging_2283/klagomål/A 22797-2025 FSC-klagomål.docx", "A 22797-2025")</f>
        <v/>
      </c>
      <c r="W84">
        <f>HYPERLINK("https://klasma.github.io/Logging_2283/klagomålsmail/A 22797-2025 FSC-klagomål mail.docx", "A 22797-2025")</f>
        <v/>
      </c>
      <c r="X84">
        <f>HYPERLINK("https://klasma.github.io/Logging_2283/tillsyn/A 22797-2025 tillsynsbegäran.docx", "A 22797-2025")</f>
        <v/>
      </c>
      <c r="Y84">
        <f>HYPERLINK("https://klasma.github.io/Logging_2283/tillsynsmail/A 22797-2025 tillsynsbegäran mail.docx", "A 22797-2025")</f>
        <v/>
      </c>
      <c r="Z84">
        <f>HYPERLINK("https://klasma.github.io/Logging_2283/fåglar/A 22797-2025 prioriterade fågelarter.docx", "A 22797-2025")</f>
        <v/>
      </c>
    </row>
    <row r="85" ht="15" customHeight="1">
      <c r="A85" t="inlineStr">
        <is>
          <t>A 57317-2024</t>
        </is>
      </c>
      <c r="B85" s="1" t="n">
        <v>45629</v>
      </c>
      <c r="C85" s="1" t="n">
        <v>46161</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11540-2024</t>
        </is>
      </c>
      <c r="B86" s="1" t="n">
        <v>45372</v>
      </c>
      <c r="C86" s="1" t="n">
        <v>46161</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31504-2025</t>
        </is>
      </c>
      <c r="B87" s="1" t="n">
        <v>45833.59438657408</v>
      </c>
      <c r="C87" s="1" t="n">
        <v>46161</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24459-2024</t>
        </is>
      </c>
      <c r="B88" s="1" t="n">
        <v>45457.9678125</v>
      </c>
      <c r="C88" s="1" t="n">
        <v>46161</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47548-2025</t>
        </is>
      </c>
      <c r="B89" s="1" t="n">
        <v>45931.3653125</v>
      </c>
      <c r="C89" s="1" t="n">
        <v>46161</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46161</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29620-2023</t>
        </is>
      </c>
      <c r="B91" s="1" t="n">
        <v>45106</v>
      </c>
      <c r="C91" s="1" t="n">
        <v>46161</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60499-2025</t>
        </is>
      </c>
      <c r="B92" s="1" t="n">
        <v>45995.61760416667</v>
      </c>
      <c r="C92" s="1" t="n">
        <v>46161</v>
      </c>
      <c r="D92" t="inlineStr">
        <is>
          <t>VÄSTERNORRLANDS LÄN</t>
        </is>
      </c>
      <c r="E92" t="inlineStr">
        <is>
          <t>SOLLEFTEÅ</t>
        </is>
      </c>
      <c r="G92" t="n">
        <v>9.5</v>
      </c>
      <c r="H92" t="n">
        <v>1</v>
      </c>
      <c r="I92" t="n">
        <v>2</v>
      </c>
      <c r="J92" t="n">
        <v>5</v>
      </c>
      <c r="K92" t="n">
        <v>1</v>
      </c>
      <c r="L92" t="n">
        <v>0</v>
      </c>
      <c r="M92" t="n">
        <v>0</v>
      </c>
      <c r="N92" t="n">
        <v>0</v>
      </c>
      <c r="O92" t="n">
        <v>6</v>
      </c>
      <c r="P92" t="n">
        <v>1</v>
      </c>
      <c r="Q92" t="n">
        <v>8</v>
      </c>
      <c r="R92" s="2" t="inlineStr">
        <is>
          <t>Rynkskinn
Garnlav
Lunglav
Rosenticka
Talltita
Ullticka
Stuplav
Vedticka</t>
        </is>
      </c>
      <c r="S92">
        <f>HYPERLINK("https://klasma.github.io/Logging_2283/artfynd/A 60499-2025 artfynd.xlsx", "A 60499-2025")</f>
        <v/>
      </c>
      <c r="T92">
        <f>HYPERLINK("https://klasma.github.io/Logging_2283/kartor/A 60499-2025 karta.png", "A 60499-2025")</f>
        <v/>
      </c>
      <c r="V92">
        <f>HYPERLINK("https://klasma.github.io/Logging_2283/klagomål/A 60499-2025 FSC-klagomål.docx", "A 60499-2025")</f>
        <v/>
      </c>
      <c r="W92">
        <f>HYPERLINK("https://klasma.github.io/Logging_2283/klagomålsmail/A 60499-2025 FSC-klagomål mail.docx", "A 60499-2025")</f>
        <v/>
      </c>
      <c r="X92">
        <f>HYPERLINK("https://klasma.github.io/Logging_2283/tillsyn/A 60499-2025 tillsynsbegäran.docx", "A 60499-2025")</f>
        <v/>
      </c>
      <c r="Y92">
        <f>HYPERLINK("https://klasma.github.io/Logging_2283/tillsynsmail/A 60499-2025 tillsynsbegäran mail.docx", "A 60499-2025")</f>
        <v/>
      </c>
      <c r="Z92">
        <f>HYPERLINK("https://klasma.github.io/Logging_2283/fåglar/A 60499-2025 prioriterade fågelarter.docx", "A 60499-2025")</f>
        <v/>
      </c>
    </row>
    <row r="93" ht="15" customHeight="1">
      <c r="A93" t="inlineStr">
        <is>
          <t>A 4930-2025</t>
        </is>
      </c>
      <c r="B93" s="1" t="n">
        <v>45688</v>
      </c>
      <c r="C93" s="1" t="n">
        <v>46161</v>
      </c>
      <c r="D93" t="inlineStr">
        <is>
          <t>VÄSTERNORRLANDS LÄN</t>
        </is>
      </c>
      <c r="E93" t="inlineStr">
        <is>
          <t>SOLLEFTEÅ</t>
        </is>
      </c>
      <c r="F93" t="inlineStr">
        <is>
          <t>Övriga statliga verk och myndigheter</t>
        </is>
      </c>
      <c r="G93" t="n">
        <v>15.3</v>
      </c>
      <c r="H93" t="n">
        <v>4</v>
      </c>
      <c r="I93" t="n">
        <v>1</v>
      </c>
      <c r="J93" t="n">
        <v>5</v>
      </c>
      <c r="K93" t="n">
        <v>2</v>
      </c>
      <c r="L93" t="n">
        <v>0</v>
      </c>
      <c r="M93" t="n">
        <v>0</v>
      </c>
      <c r="N93" t="n">
        <v>0</v>
      </c>
      <c r="O93" t="n">
        <v>7</v>
      </c>
      <c r="P93" t="n">
        <v>2</v>
      </c>
      <c r="Q93" t="n">
        <v>8</v>
      </c>
      <c r="R93" s="2" t="inlineStr">
        <is>
          <t>Doftticka
Rynkskinn
Björktrast
Rosenticka
Spillkråka
Tretåig hackspett
Ullticka
Underviol</t>
        </is>
      </c>
      <c r="S93">
        <f>HYPERLINK("https://klasma.github.io/Logging_2283/artfynd/A 4930-2025 artfynd.xlsx", "A 4930-2025")</f>
        <v/>
      </c>
      <c r="T93">
        <f>HYPERLINK("https://klasma.github.io/Logging_2283/kartor/A 4930-2025 karta.png", "A 4930-2025")</f>
        <v/>
      </c>
      <c r="V93">
        <f>HYPERLINK("https://klasma.github.io/Logging_2283/klagomål/A 4930-2025 FSC-klagomål.docx", "A 4930-2025")</f>
        <v/>
      </c>
      <c r="W93">
        <f>HYPERLINK("https://klasma.github.io/Logging_2283/klagomålsmail/A 4930-2025 FSC-klagomål mail.docx", "A 4930-2025")</f>
        <v/>
      </c>
      <c r="X93">
        <f>HYPERLINK("https://klasma.github.io/Logging_2283/tillsyn/A 4930-2025 tillsynsbegäran.docx", "A 4930-2025")</f>
        <v/>
      </c>
      <c r="Y93">
        <f>HYPERLINK("https://klasma.github.io/Logging_2283/tillsynsmail/A 4930-2025 tillsynsbegäran mail.docx", "A 4930-2025")</f>
        <v/>
      </c>
      <c r="Z93">
        <f>HYPERLINK("https://klasma.github.io/Logging_2283/fåglar/A 4930-2025 prioriterade fågelarter.docx", "A 4930-2025")</f>
        <v/>
      </c>
    </row>
    <row r="94" ht="15" customHeight="1">
      <c r="A94" t="inlineStr">
        <is>
          <t>A 25941-2025</t>
        </is>
      </c>
      <c r="B94" s="1" t="n">
        <v>45804</v>
      </c>
      <c r="C94" s="1" t="n">
        <v>46161</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21345-2023</t>
        </is>
      </c>
      <c r="B95" s="1" t="n">
        <v>45062</v>
      </c>
      <c r="C95" s="1" t="n">
        <v>46161</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11132-2025</t>
        </is>
      </c>
      <c r="B96" s="1" t="n">
        <v>45723.64934027778</v>
      </c>
      <c r="C96" s="1" t="n">
        <v>46161</v>
      </c>
      <c r="D96" t="inlineStr">
        <is>
          <t>VÄSTERNORRLANDS LÄN</t>
        </is>
      </c>
      <c r="E96" t="inlineStr">
        <is>
          <t>SOLLEFTEÅ</t>
        </is>
      </c>
      <c r="G96" t="n">
        <v>18.2</v>
      </c>
      <c r="H96" t="n">
        <v>2</v>
      </c>
      <c r="I96" t="n">
        <v>0</v>
      </c>
      <c r="J96" t="n">
        <v>6</v>
      </c>
      <c r="K96" t="n">
        <v>1</v>
      </c>
      <c r="L96" t="n">
        <v>0</v>
      </c>
      <c r="M96" t="n">
        <v>0</v>
      </c>
      <c r="N96" t="n">
        <v>0</v>
      </c>
      <c r="O96" t="n">
        <v>7</v>
      </c>
      <c r="P96" t="n">
        <v>1</v>
      </c>
      <c r="Q96" t="n">
        <v>8</v>
      </c>
      <c r="R96" s="2" t="inlineStr">
        <is>
          <t>Knärot
Gropig brunbagge
Mörk kolflarnlav
Olisthaerus substriatus
Rosenticka
Ullticka
Vedskivlav
Vanlig padda</t>
        </is>
      </c>
      <c r="S96">
        <f>HYPERLINK("https://klasma.github.io/Logging_2283/artfynd/A 11132-2025 artfynd.xlsx", "A 11132-2025")</f>
        <v/>
      </c>
      <c r="T96">
        <f>HYPERLINK("https://klasma.github.io/Logging_2283/kartor/A 11132-2025 karta.png", "A 11132-2025")</f>
        <v/>
      </c>
      <c r="U96">
        <f>HYPERLINK("https://klasma.github.io/Logging_2283/knärot/A 11132-2025 karta knärot.png", "A 11132-2025")</f>
        <v/>
      </c>
      <c r="V96">
        <f>HYPERLINK("https://klasma.github.io/Logging_2283/klagomål/A 11132-2025 FSC-klagomål.docx", "A 11132-2025")</f>
        <v/>
      </c>
      <c r="W96">
        <f>HYPERLINK("https://klasma.github.io/Logging_2283/klagomålsmail/A 11132-2025 FSC-klagomål mail.docx", "A 11132-2025")</f>
        <v/>
      </c>
      <c r="X96">
        <f>HYPERLINK("https://klasma.github.io/Logging_2283/tillsyn/A 11132-2025 tillsynsbegäran.docx", "A 11132-2025")</f>
        <v/>
      </c>
      <c r="Y96">
        <f>HYPERLINK("https://klasma.github.io/Logging_2283/tillsynsmail/A 11132-2025 tillsynsbegäran mail.docx", "A 11132-2025")</f>
        <v/>
      </c>
    </row>
    <row r="97" ht="15" customHeight="1">
      <c r="A97" t="inlineStr">
        <is>
          <t>A 64131-2023</t>
        </is>
      </c>
      <c r="B97" s="1" t="n">
        <v>45279</v>
      </c>
      <c r="C97" s="1" t="n">
        <v>46161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39071-2023</t>
        </is>
      </c>
      <c r="B98" s="1" t="n">
        <v>45163</v>
      </c>
      <c r="C98" s="1" t="n">
        <v>46161</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Kötticka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32200-2023</t>
        </is>
      </c>
      <c r="B99" s="1" t="n">
        <v>45119</v>
      </c>
      <c r="C99" s="1" t="n">
        <v>46161</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19314-2026</t>
        </is>
      </c>
      <c r="B100" s="1" t="n">
        <v>46133.38590277778</v>
      </c>
      <c r="C100" s="1" t="n">
        <v>46161</v>
      </c>
      <c r="D100" t="inlineStr">
        <is>
          <t>VÄSTERNORRLANDS LÄN</t>
        </is>
      </c>
      <c r="E100" t="inlineStr">
        <is>
          <t>SOLLEFTEÅ</t>
        </is>
      </c>
      <c r="F100" t="inlineStr">
        <is>
          <t>SCA</t>
        </is>
      </c>
      <c r="G100" t="n">
        <v>0.8</v>
      </c>
      <c r="H100" t="n">
        <v>1</v>
      </c>
      <c r="I100" t="n">
        <v>5</v>
      </c>
      <c r="J100" t="n">
        <v>3</v>
      </c>
      <c r="K100" t="n">
        <v>0</v>
      </c>
      <c r="L100" t="n">
        <v>0</v>
      </c>
      <c r="M100" t="n">
        <v>0</v>
      </c>
      <c r="N100" t="n">
        <v>0</v>
      </c>
      <c r="O100" t="n">
        <v>3</v>
      </c>
      <c r="P100" t="n">
        <v>0</v>
      </c>
      <c r="Q100" t="n">
        <v>8</v>
      </c>
      <c r="R100" s="2" t="inlineStr">
        <is>
          <t>Granticka
Lunglav
Ullticka
Bollvitmossa
Gulnål
Gytterlav
Lappranunkel
Skör kvastmossa</t>
        </is>
      </c>
      <c r="S100">
        <f>HYPERLINK("https://klasma.github.io/Logging_2283/artfynd/A 19314-2026 artfynd.xlsx", "A 19314-2026")</f>
        <v/>
      </c>
      <c r="T100">
        <f>HYPERLINK("https://klasma.github.io/Logging_2283/kartor/A 19314-2026 karta.png", "A 19314-2026")</f>
        <v/>
      </c>
      <c r="V100">
        <f>HYPERLINK("https://klasma.github.io/Logging_2283/klagomål/A 19314-2026 FSC-klagomål.docx", "A 19314-2026")</f>
        <v/>
      </c>
      <c r="W100">
        <f>HYPERLINK("https://klasma.github.io/Logging_2283/klagomålsmail/A 19314-2026 FSC-klagomål mail.docx", "A 19314-2026")</f>
        <v/>
      </c>
      <c r="X100">
        <f>HYPERLINK("https://klasma.github.io/Logging_2283/tillsyn/A 19314-2026 tillsynsbegäran.docx", "A 19314-2026")</f>
        <v/>
      </c>
      <c r="Y100">
        <f>HYPERLINK("https://klasma.github.io/Logging_2283/tillsynsmail/A 19314-2026 tillsynsbegäran mail.docx", "A 19314-2026")</f>
        <v/>
      </c>
    </row>
    <row r="101" ht="15" customHeight="1">
      <c r="A101" t="inlineStr">
        <is>
          <t>A 44424-2025</t>
        </is>
      </c>
      <c r="B101" s="1" t="n">
        <v>45916</v>
      </c>
      <c r="C101" s="1" t="n">
        <v>46161</v>
      </c>
      <c r="D101" t="inlineStr">
        <is>
          <t>VÄSTERNORRLANDS LÄN</t>
        </is>
      </c>
      <c r="E101" t="inlineStr">
        <is>
          <t>SOLLEFTEÅ</t>
        </is>
      </c>
      <c r="G101" t="n">
        <v>4.7</v>
      </c>
      <c r="H101" t="n">
        <v>4</v>
      </c>
      <c r="I101" t="n">
        <v>0</v>
      </c>
      <c r="J101" t="n">
        <v>5</v>
      </c>
      <c r="K101" t="n">
        <v>2</v>
      </c>
      <c r="L101" t="n">
        <v>1</v>
      </c>
      <c r="M101" t="n">
        <v>0</v>
      </c>
      <c r="N101" t="n">
        <v>0</v>
      </c>
      <c r="O101" t="n">
        <v>8</v>
      </c>
      <c r="P101" t="n">
        <v>3</v>
      </c>
      <c r="Q101" t="n">
        <v>8</v>
      </c>
      <c r="R101" s="2" t="inlineStr">
        <is>
          <t>Större barkplattbagge
Knärot
Rynkskinn
Harticka
Rosenticka
Spillkråka
Tretåig hackspett
Ullticka</t>
        </is>
      </c>
      <c r="S101">
        <f>HYPERLINK("https://klasma.github.io/Logging_2283/artfynd/A 44424-2025 artfynd.xlsx", "A 44424-2025")</f>
        <v/>
      </c>
      <c r="T101">
        <f>HYPERLINK("https://klasma.github.io/Logging_2283/kartor/A 44424-2025 karta.png", "A 44424-2025")</f>
        <v/>
      </c>
      <c r="U101">
        <f>HYPERLINK("https://klasma.github.io/Logging_2283/knärot/A 44424-2025 karta knärot.png", "A 44424-2025")</f>
        <v/>
      </c>
      <c r="V101">
        <f>HYPERLINK("https://klasma.github.io/Logging_2283/klagomål/A 44424-2025 FSC-klagomål.docx", "A 44424-2025")</f>
        <v/>
      </c>
      <c r="W101">
        <f>HYPERLINK("https://klasma.github.io/Logging_2283/klagomålsmail/A 44424-2025 FSC-klagomål mail.docx", "A 44424-2025")</f>
        <v/>
      </c>
      <c r="X101">
        <f>HYPERLINK("https://klasma.github.io/Logging_2283/tillsyn/A 44424-2025 tillsynsbegäran.docx", "A 44424-2025")</f>
        <v/>
      </c>
      <c r="Y101">
        <f>HYPERLINK("https://klasma.github.io/Logging_2283/tillsynsmail/A 44424-2025 tillsynsbegäran mail.docx", "A 44424-2025")</f>
        <v/>
      </c>
      <c r="Z101">
        <f>HYPERLINK("https://klasma.github.io/Logging_2283/fåglar/A 44424-2025 prioriterade fågelarter.docx", "A 44424-2025")</f>
        <v/>
      </c>
    </row>
    <row r="102" ht="15" customHeight="1">
      <c r="A102" t="inlineStr">
        <is>
          <t>A 3222-2026</t>
        </is>
      </c>
      <c r="B102" s="1" t="n">
        <v>46041</v>
      </c>
      <c r="C102" s="1" t="n">
        <v>46161</v>
      </c>
      <c r="D102" t="inlineStr">
        <is>
          <t>VÄSTERNORRLANDS LÄN</t>
        </is>
      </c>
      <c r="E102" t="inlineStr">
        <is>
          <t>SOLLEFTEÅ</t>
        </is>
      </c>
      <c r="F102" t="inlineStr">
        <is>
          <t>SCA</t>
        </is>
      </c>
      <c r="G102" t="n">
        <v>11.7</v>
      </c>
      <c r="H102" t="n">
        <v>4</v>
      </c>
      <c r="I102" t="n">
        <v>1</v>
      </c>
      <c r="J102" t="n">
        <v>7</v>
      </c>
      <c r="K102" t="n">
        <v>0</v>
      </c>
      <c r="L102" t="n">
        <v>0</v>
      </c>
      <c r="M102" t="n">
        <v>0</v>
      </c>
      <c r="N102" t="n">
        <v>0</v>
      </c>
      <c r="O102" t="n">
        <v>7</v>
      </c>
      <c r="P102" t="n">
        <v>0</v>
      </c>
      <c r="Q102" t="n">
        <v>8</v>
      </c>
      <c r="R102" s="2" t="inlineStr">
        <is>
          <t>Garnlav
Granticka
Harticka
Järpe
Skogshare
Talltita
Tretåig hackspett
Lappranunkel</t>
        </is>
      </c>
      <c r="S102">
        <f>HYPERLINK("https://klasma.github.io/Logging_2283/artfynd/A 3222-2026 artfynd.xlsx", "A 3222-2026")</f>
        <v/>
      </c>
      <c r="T102">
        <f>HYPERLINK("https://klasma.github.io/Logging_2283/kartor/A 3222-2026 karta.png", "A 3222-2026")</f>
        <v/>
      </c>
      <c r="V102">
        <f>HYPERLINK("https://klasma.github.io/Logging_2283/klagomål/A 3222-2026 FSC-klagomål.docx", "A 3222-2026")</f>
        <v/>
      </c>
      <c r="W102">
        <f>HYPERLINK("https://klasma.github.io/Logging_2283/klagomålsmail/A 3222-2026 FSC-klagomål mail.docx", "A 3222-2026")</f>
        <v/>
      </c>
      <c r="X102">
        <f>HYPERLINK("https://klasma.github.io/Logging_2283/tillsyn/A 3222-2026 tillsynsbegäran.docx", "A 3222-2026")</f>
        <v/>
      </c>
      <c r="Y102">
        <f>HYPERLINK("https://klasma.github.io/Logging_2283/tillsynsmail/A 3222-2026 tillsynsbegäran mail.docx", "A 3222-2026")</f>
        <v/>
      </c>
      <c r="Z102">
        <f>HYPERLINK("https://klasma.github.io/Logging_2283/fåglar/A 3222-2026 prioriterade fågelarter.docx", "A 3222-2026")</f>
        <v/>
      </c>
    </row>
    <row r="103" ht="15" customHeight="1">
      <c r="A103" t="inlineStr">
        <is>
          <t>A 5310-2024</t>
        </is>
      </c>
      <c r="B103" s="1" t="n">
        <v>45331</v>
      </c>
      <c r="C103" s="1" t="n">
        <v>46161</v>
      </c>
      <c r="D103" t="inlineStr">
        <is>
          <t>VÄSTERNORRLANDS LÄN</t>
        </is>
      </c>
      <c r="E103" t="inlineStr">
        <is>
          <t>SOLLEFTEÅ</t>
        </is>
      </c>
      <c r="G103" t="n">
        <v>8.5</v>
      </c>
      <c r="H103" t="n">
        <v>2</v>
      </c>
      <c r="I103" t="n">
        <v>3</v>
      </c>
      <c r="J103" t="n">
        <v>4</v>
      </c>
      <c r="K103" t="n">
        <v>1</v>
      </c>
      <c r="L103" t="n">
        <v>0</v>
      </c>
      <c r="M103" t="n">
        <v>0</v>
      </c>
      <c r="N103" t="n">
        <v>0</v>
      </c>
      <c r="O103" t="n">
        <v>5</v>
      </c>
      <c r="P103" t="n">
        <v>1</v>
      </c>
      <c r="Q103" t="n">
        <v>8</v>
      </c>
      <c r="R103" s="2" t="inlineStr">
        <is>
          <t>Knärot
Garnlav
Kortskaftad ärgspik
Rosenticka
Talltita
Barkticka
Bronshjon
Luddlav</t>
        </is>
      </c>
      <c r="S103">
        <f>HYPERLINK("https://klasma.github.io/Logging_2283/artfynd/A 5310-2024 artfynd.xlsx", "A 5310-2024")</f>
        <v/>
      </c>
      <c r="T103">
        <f>HYPERLINK("https://klasma.github.io/Logging_2283/kartor/A 5310-2024 karta.png", "A 5310-2024")</f>
        <v/>
      </c>
      <c r="U103">
        <f>HYPERLINK("https://klasma.github.io/Logging_2283/knärot/A 5310-2024 karta knärot.png", "A 5310-2024")</f>
        <v/>
      </c>
      <c r="V103">
        <f>HYPERLINK("https://klasma.github.io/Logging_2283/klagomål/A 5310-2024 FSC-klagomål.docx", "A 5310-2024")</f>
        <v/>
      </c>
      <c r="W103">
        <f>HYPERLINK("https://klasma.github.io/Logging_2283/klagomålsmail/A 5310-2024 FSC-klagomål mail.docx", "A 5310-2024")</f>
        <v/>
      </c>
      <c r="X103">
        <f>HYPERLINK("https://klasma.github.io/Logging_2283/tillsyn/A 5310-2024 tillsynsbegäran.docx", "A 5310-2024")</f>
        <v/>
      </c>
      <c r="Y103">
        <f>HYPERLINK("https://klasma.github.io/Logging_2283/tillsynsmail/A 5310-2024 tillsynsbegäran mail.docx", "A 5310-2024")</f>
        <v/>
      </c>
      <c r="Z103">
        <f>HYPERLINK("https://klasma.github.io/Logging_2283/fåglar/A 5310-2024 prioriterade fågelarter.docx", "A 5310-2024")</f>
        <v/>
      </c>
    </row>
    <row r="104" ht="15" customHeight="1">
      <c r="A104" t="inlineStr">
        <is>
          <t>A 18014-2022</t>
        </is>
      </c>
      <c r="B104" s="1" t="n">
        <v>44683</v>
      </c>
      <c r="C104" s="1" t="n">
        <v>46161</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agg.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12174-2025</t>
        </is>
      </c>
      <c r="B105" s="1" t="n">
        <v>45729</v>
      </c>
      <c r="C105" s="1" t="n">
        <v>46161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26654-2024</t>
        </is>
      </c>
      <c r="B106" s="1" t="n">
        <v>45469</v>
      </c>
      <c r="C106" s="1" t="n">
        <v>46161</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41666-2024</t>
        </is>
      </c>
      <c r="B107" s="1" t="n">
        <v>45560.65010416666</v>
      </c>
      <c r="C107" s="1" t="n">
        <v>46161</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28997-2025</t>
        </is>
      </c>
      <c r="B108" s="1" t="n">
        <v>45821.38616898148</v>
      </c>
      <c r="C108" s="1" t="n">
        <v>46161</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21253-2025</t>
        </is>
      </c>
      <c r="B109" s="1" t="n">
        <v>45779</v>
      </c>
      <c r="C109" s="1" t="n">
        <v>46161</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55334-2025</t>
        </is>
      </c>
      <c r="B110" s="1" t="n">
        <v>45971.34430555555</v>
      </c>
      <c r="C110" s="1" t="n">
        <v>46161</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55334-2025 artfynd.xlsx", "A 55334-2025")</f>
        <v/>
      </c>
      <c r="T110">
        <f>HYPERLINK("https://klasma.github.io/Logging_2283/kartor/A 55334-2025 karta.png", "A 55334-2025")</f>
        <v/>
      </c>
      <c r="V110">
        <f>HYPERLINK("https://klasma.github.io/Logging_2283/klagomål/A 55334-2025 FSC-klagomål.docx", "A 55334-2025")</f>
        <v/>
      </c>
      <c r="W110">
        <f>HYPERLINK("https://klasma.github.io/Logging_2283/klagomålsmail/A 55334-2025 FSC-klagomål mail.docx", "A 55334-2025")</f>
        <v/>
      </c>
      <c r="X110">
        <f>HYPERLINK("https://klasma.github.io/Logging_2283/tillsyn/A 55334-2025 tillsynsbegäran.docx", "A 55334-2025")</f>
        <v/>
      </c>
      <c r="Y110">
        <f>HYPERLINK("https://klasma.github.io/Logging_2283/tillsynsmail/A 55334-2025 tillsynsbegäran mail.docx", "A 55334-2025")</f>
        <v/>
      </c>
      <c r="Z110">
        <f>HYPERLINK("https://klasma.github.io/Logging_2283/fåglar/A 55334-2025 prioriterade fågelarter.docx", "A 55334-2025")</f>
        <v/>
      </c>
    </row>
    <row r="111" ht="15" customHeight="1">
      <c r="A111" t="inlineStr">
        <is>
          <t>A 38157-2025</t>
        </is>
      </c>
      <c r="B111" s="1" t="n">
        <v>45882.61505787037</v>
      </c>
      <c r="C111" s="1" t="n">
        <v>46161</v>
      </c>
      <c r="D111" t="inlineStr">
        <is>
          <t>VÄSTERNORRLANDS LÄN</t>
        </is>
      </c>
      <c r="E111" t="inlineStr">
        <is>
          <t>SOLLEFTEÅ</t>
        </is>
      </c>
      <c r="F111" t="inlineStr">
        <is>
          <t>SCA</t>
        </is>
      </c>
      <c r="G111" t="n">
        <v>14.9</v>
      </c>
      <c r="H111" t="n">
        <v>0</v>
      </c>
      <c r="I111" t="n">
        <v>0</v>
      </c>
      <c r="J111" t="n">
        <v>4</v>
      </c>
      <c r="K111" t="n">
        <v>3</v>
      </c>
      <c r="L111" t="n">
        <v>0</v>
      </c>
      <c r="M111" t="n">
        <v>0</v>
      </c>
      <c r="N111" t="n">
        <v>0</v>
      </c>
      <c r="O111" t="n">
        <v>7</v>
      </c>
      <c r="P111" t="n">
        <v>3</v>
      </c>
      <c r="Q111" t="n">
        <v>7</v>
      </c>
      <c r="R111" s="2" t="inlineStr">
        <is>
          <t>Fläckporing
Smalfotad taggsvamp
Tajgataggsvamp
Blå taggsvamp
Dvärgbägarlav
Lunglav
Vedskivlav</t>
        </is>
      </c>
      <c r="S111">
        <f>HYPERLINK("https://klasma.github.io/Logging_2283/artfynd/A 38157-2025 artfynd.xlsx", "A 38157-2025")</f>
        <v/>
      </c>
      <c r="T111">
        <f>HYPERLINK("https://klasma.github.io/Logging_2283/kartor/A 38157-2025 karta.png", "A 38157-2025")</f>
        <v/>
      </c>
      <c r="V111">
        <f>HYPERLINK("https://klasma.github.io/Logging_2283/klagomål/A 38157-2025 FSC-klagomål.docx", "A 38157-2025")</f>
        <v/>
      </c>
      <c r="W111">
        <f>HYPERLINK("https://klasma.github.io/Logging_2283/klagomålsmail/A 38157-2025 FSC-klagomål mail.docx", "A 38157-2025")</f>
        <v/>
      </c>
      <c r="X111">
        <f>HYPERLINK("https://klasma.github.io/Logging_2283/tillsyn/A 38157-2025 tillsynsbegäran.docx", "A 38157-2025")</f>
        <v/>
      </c>
      <c r="Y111">
        <f>HYPERLINK("https://klasma.github.io/Logging_2283/tillsynsmail/A 38157-2025 tillsynsbegäran mail.docx", "A 38157-2025")</f>
        <v/>
      </c>
    </row>
    <row r="112" ht="15" customHeight="1">
      <c r="A112" t="inlineStr">
        <is>
          <t>A 57655-2023</t>
        </is>
      </c>
      <c r="B112" s="1" t="n">
        <v>45246</v>
      </c>
      <c r="C112" s="1" t="n">
        <v>46161</v>
      </c>
      <c r="D112" t="inlineStr">
        <is>
          <t>VÄSTERNORRLANDS LÄN</t>
        </is>
      </c>
      <c r="E112" t="inlineStr">
        <is>
          <t>SOLLEFTEÅ</t>
        </is>
      </c>
      <c r="G112" t="n">
        <v>5.1</v>
      </c>
      <c r="H112" t="n">
        <v>2</v>
      </c>
      <c r="I112" t="n">
        <v>4</v>
      </c>
      <c r="J112" t="n">
        <v>2</v>
      </c>
      <c r="K112" t="n">
        <v>0</v>
      </c>
      <c r="L112" t="n">
        <v>0</v>
      </c>
      <c r="M112" t="n">
        <v>0</v>
      </c>
      <c r="N112" t="n">
        <v>0</v>
      </c>
      <c r="O112" t="n">
        <v>2</v>
      </c>
      <c r="P112" t="n">
        <v>0</v>
      </c>
      <c r="Q112" t="n">
        <v>7</v>
      </c>
      <c r="R112" s="2" t="inlineStr">
        <is>
          <t>Lunglav
Spillkråka
Bårdlav
Luddlav
Norrlandslav
Stuplav
Tjäder</t>
        </is>
      </c>
      <c r="S112">
        <f>HYPERLINK("https://klasma.github.io/Logging_2283/artfynd/A 57655-2023 artfynd.xlsx", "A 57655-2023")</f>
        <v/>
      </c>
      <c r="T112">
        <f>HYPERLINK("https://klasma.github.io/Logging_2283/kartor/A 57655-2023 karta.png", "A 57655-2023")</f>
        <v/>
      </c>
      <c r="V112">
        <f>HYPERLINK("https://klasma.github.io/Logging_2283/klagomål/A 57655-2023 FSC-klagomål.docx", "A 57655-2023")</f>
        <v/>
      </c>
      <c r="W112">
        <f>HYPERLINK("https://klasma.github.io/Logging_2283/klagomålsmail/A 57655-2023 FSC-klagomål mail.docx", "A 57655-2023")</f>
        <v/>
      </c>
      <c r="X112">
        <f>HYPERLINK("https://klasma.github.io/Logging_2283/tillsyn/A 57655-2023 tillsynsbegäran.docx", "A 57655-2023")</f>
        <v/>
      </c>
      <c r="Y112">
        <f>HYPERLINK("https://klasma.github.io/Logging_2283/tillsynsmail/A 57655-2023 tillsynsbegäran mail.docx", "A 57655-2023")</f>
        <v/>
      </c>
      <c r="Z112">
        <f>HYPERLINK("https://klasma.github.io/Logging_2283/fåglar/A 57655-2023 prioriterade fågelarter.docx", "A 57655-2023")</f>
        <v/>
      </c>
    </row>
    <row r="113" ht="15" customHeight="1">
      <c r="A113" t="inlineStr">
        <is>
          <t>A 62992-2023</t>
        </is>
      </c>
      <c r="B113" s="1" t="n">
        <v>45272</v>
      </c>
      <c r="C113" s="1" t="n">
        <v>46161</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53121-2022</t>
        </is>
      </c>
      <c r="B114" s="1" t="n">
        <v>44873</v>
      </c>
      <c r="C114" s="1" t="n">
        <v>46161</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46161</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9158-2026</t>
        </is>
      </c>
      <c r="B116" s="1" t="n">
        <v>46070</v>
      </c>
      <c r="C116" s="1" t="n">
        <v>46161</v>
      </c>
      <c r="D116" t="inlineStr">
        <is>
          <t>VÄSTERNORRLANDS LÄN</t>
        </is>
      </c>
      <c r="E116" t="inlineStr">
        <is>
          <t>SOLLEFTEÅ</t>
        </is>
      </c>
      <c r="F116" t="inlineStr">
        <is>
          <t>SCA</t>
        </is>
      </c>
      <c r="G116" t="n">
        <v>19.9</v>
      </c>
      <c r="H116" t="n">
        <v>3</v>
      </c>
      <c r="I116" t="n">
        <v>1</v>
      </c>
      <c r="J116" t="n">
        <v>5</v>
      </c>
      <c r="K116" t="n">
        <v>1</v>
      </c>
      <c r="L116" t="n">
        <v>0</v>
      </c>
      <c r="M116" t="n">
        <v>0</v>
      </c>
      <c r="N116" t="n">
        <v>0</v>
      </c>
      <c r="O116" t="n">
        <v>6</v>
      </c>
      <c r="P116" t="n">
        <v>1</v>
      </c>
      <c r="Q116" t="n">
        <v>7</v>
      </c>
      <c r="R116" s="2" t="inlineStr">
        <is>
          <t>Knärot
Garnlav
Kolflarnlav
Lunglav
Talltita
Tretåig hackspett
Dropptaggsvamp</t>
        </is>
      </c>
      <c r="S116">
        <f>HYPERLINK("https://klasma.github.io/Logging_2283/artfynd/A 9158-2026 artfynd.xlsx", "A 9158-2026")</f>
        <v/>
      </c>
      <c r="T116">
        <f>HYPERLINK("https://klasma.github.io/Logging_2283/kartor/A 9158-2026 karta.png", "A 9158-2026")</f>
        <v/>
      </c>
      <c r="U116">
        <f>HYPERLINK("https://klasma.github.io/Logging_2283/knärot/A 9158-2026 karta knärot.png", "A 9158-2026")</f>
        <v/>
      </c>
      <c r="V116">
        <f>HYPERLINK("https://klasma.github.io/Logging_2283/klagomål/A 9158-2026 FSC-klagomål.docx", "A 9158-2026")</f>
        <v/>
      </c>
      <c r="W116">
        <f>HYPERLINK("https://klasma.github.io/Logging_2283/klagomålsmail/A 9158-2026 FSC-klagomål mail.docx", "A 9158-2026")</f>
        <v/>
      </c>
      <c r="X116">
        <f>HYPERLINK("https://klasma.github.io/Logging_2283/tillsyn/A 9158-2026 tillsynsbegäran.docx", "A 9158-2026")</f>
        <v/>
      </c>
      <c r="Y116">
        <f>HYPERLINK("https://klasma.github.io/Logging_2283/tillsynsmail/A 9158-2026 tillsynsbegäran mail.docx", "A 9158-2026")</f>
        <v/>
      </c>
      <c r="Z116">
        <f>HYPERLINK("https://klasma.github.io/Logging_2283/fåglar/A 9158-2026 prioriterade fågelarter.docx", "A 9158-2026")</f>
        <v/>
      </c>
    </row>
    <row r="117" ht="15" customHeight="1">
      <c r="A117" t="inlineStr">
        <is>
          <t>A 14580-2024</t>
        </is>
      </c>
      <c r="B117" s="1" t="n">
        <v>45394</v>
      </c>
      <c r="C117" s="1" t="n">
        <v>46161</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46161</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15384-2026</t>
        </is>
      </c>
      <c r="B119" s="1" t="n">
        <v>46106</v>
      </c>
      <c r="C119" s="1" t="n">
        <v>46161</v>
      </c>
      <c r="D119" t="inlineStr">
        <is>
          <t>VÄSTERNORRLANDS LÄN</t>
        </is>
      </c>
      <c r="E119" t="inlineStr">
        <is>
          <t>SOLLEFTEÅ</t>
        </is>
      </c>
      <c r="F119" t="inlineStr">
        <is>
          <t>SCA</t>
        </is>
      </c>
      <c r="G119" t="n">
        <v>2.2</v>
      </c>
      <c r="H119" t="n">
        <v>3</v>
      </c>
      <c r="I119" t="n">
        <v>1</v>
      </c>
      <c r="J119" t="n">
        <v>5</v>
      </c>
      <c r="K119" t="n">
        <v>1</v>
      </c>
      <c r="L119" t="n">
        <v>0</v>
      </c>
      <c r="M119" t="n">
        <v>0</v>
      </c>
      <c r="N119" t="n">
        <v>0</v>
      </c>
      <c r="O119" t="n">
        <v>6</v>
      </c>
      <c r="P119" t="n">
        <v>1</v>
      </c>
      <c r="Q119" t="n">
        <v>7</v>
      </c>
      <c r="R119" s="2" t="inlineStr">
        <is>
          <t>Knärot
Garnlav
Lunglav
Spillkråka
Tretåig hackspett
Ullticka
Trådticka</t>
        </is>
      </c>
      <c r="S119">
        <f>HYPERLINK("https://klasma.github.io/Logging_2283/artfynd/A 15384-2026 artfynd.xlsx", "A 15384-2026")</f>
        <v/>
      </c>
      <c r="T119">
        <f>HYPERLINK("https://klasma.github.io/Logging_2283/kartor/A 15384-2026 karta.png", "A 15384-2026")</f>
        <v/>
      </c>
      <c r="U119">
        <f>HYPERLINK("https://klasma.github.io/Logging_2283/knärot/A 15384-2026 karta knärot.png", "A 15384-2026")</f>
        <v/>
      </c>
      <c r="V119">
        <f>HYPERLINK("https://klasma.github.io/Logging_2283/klagomål/A 15384-2026 FSC-klagomål.docx", "A 15384-2026")</f>
        <v/>
      </c>
      <c r="W119">
        <f>HYPERLINK("https://klasma.github.io/Logging_2283/klagomålsmail/A 15384-2026 FSC-klagomål mail.docx", "A 15384-2026")</f>
        <v/>
      </c>
      <c r="X119">
        <f>HYPERLINK("https://klasma.github.io/Logging_2283/tillsyn/A 15384-2026 tillsynsbegäran.docx", "A 15384-2026")</f>
        <v/>
      </c>
      <c r="Y119">
        <f>HYPERLINK("https://klasma.github.io/Logging_2283/tillsynsmail/A 15384-2026 tillsynsbegäran mail.docx", "A 15384-2026")</f>
        <v/>
      </c>
      <c r="Z119">
        <f>HYPERLINK("https://klasma.github.io/Logging_2283/fåglar/A 15384-2026 prioriterade fågelarter.docx", "A 15384-2026")</f>
        <v/>
      </c>
    </row>
    <row r="120" ht="15" customHeight="1">
      <c r="A120" t="inlineStr">
        <is>
          <t>A 55422-2024</t>
        </is>
      </c>
      <c r="B120" s="1" t="n">
        <v>45622.38619212963</v>
      </c>
      <c r="C120" s="1" t="n">
        <v>46161</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715-2023</t>
        </is>
      </c>
      <c r="B121" s="1" t="n">
        <v>44930</v>
      </c>
      <c r="C121" s="1" t="n">
        <v>46161</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16087-2022</t>
        </is>
      </c>
      <c r="B122" s="1" t="n">
        <v>44665</v>
      </c>
      <c r="C122" s="1" t="n">
        <v>46161</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46161</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45692-2025</t>
        </is>
      </c>
      <c r="B124" s="1" t="n">
        <v>45923</v>
      </c>
      <c r="C124" s="1" t="n">
        <v>46161</v>
      </c>
      <c r="D124" t="inlineStr">
        <is>
          <t>VÄSTERNORRLANDS LÄN</t>
        </is>
      </c>
      <c r="E124" t="inlineStr">
        <is>
          <t>SOLLEFTEÅ</t>
        </is>
      </c>
      <c r="F124" t="inlineStr">
        <is>
          <t>SCA</t>
        </is>
      </c>
      <c r="G124" t="n">
        <v>4.9</v>
      </c>
      <c r="H124" t="n">
        <v>2</v>
      </c>
      <c r="I124" t="n">
        <v>1</v>
      </c>
      <c r="J124" t="n">
        <v>4</v>
      </c>
      <c r="K124" t="n">
        <v>1</v>
      </c>
      <c r="L124" t="n">
        <v>0</v>
      </c>
      <c r="M124" t="n">
        <v>0</v>
      </c>
      <c r="N124" t="n">
        <v>0</v>
      </c>
      <c r="O124" t="n">
        <v>5</v>
      </c>
      <c r="P124" t="n">
        <v>1</v>
      </c>
      <c r="Q124" t="n">
        <v>6</v>
      </c>
      <c r="R124" s="2" t="inlineStr">
        <is>
          <t>Knärot
Granticka
Rosenticka
Tretåig hackspett
Ullticka
Vedticka</t>
        </is>
      </c>
      <c r="S124">
        <f>HYPERLINK("https://klasma.github.io/Logging_2283/artfynd/A 45692-2025 artfynd.xlsx", "A 45692-2025")</f>
        <v/>
      </c>
      <c r="T124">
        <f>HYPERLINK("https://klasma.github.io/Logging_2283/kartor/A 45692-2025 karta.png", "A 45692-2025")</f>
        <v/>
      </c>
      <c r="U124">
        <f>HYPERLINK("https://klasma.github.io/Logging_2283/knärot/A 45692-2025 karta knärot.png", "A 45692-2025")</f>
        <v/>
      </c>
      <c r="V124">
        <f>HYPERLINK("https://klasma.github.io/Logging_2283/klagomål/A 45692-2025 FSC-klagomål.docx", "A 45692-2025")</f>
        <v/>
      </c>
      <c r="W124">
        <f>HYPERLINK("https://klasma.github.io/Logging_2283/klagomålsmail/A 45692-2025 FSC-klagomål mail.docx", "A 45692-2025")</f>
        <v/>
      </c>
      <c r="X124">
        <f>HYPERLINK("https://klasma.github.io/Logging_2283/tillsyn/A 45692-2025 tillsynsbegäran.docx", "A 45692-2025")</f>
        <v/>
      </c>
      <c r="Y124">
        <f>HYPERLINK("https://klasma.github.io/Logging_2283/tillsynsmail/A 45692-2025 tillsynsbegäran mail.docx", "A 45692-2025")</f>
        <v/>
      </c>
      <c r="Z124">
        <f>HYPERLINK("https://klasma.github.io/Logging_2283/fåglar/A 45692-2025 prioriterade fågelarter.docx", "A 45692-2025")</f>
        <v/>
      </c>
    </row>
    <row r="125" ht="15" customHeight="1">
      <c r="A125" t="inlineStr">
        <is>
          <t>A 61541-2024</t>
        </is>
      </c>
      <c r="B125" s="1" t="n">
        <v>45646</v>
      </c>
      <c r="C125" s="1" t="n">
        <v>46161</v>
      </c>
      <c r="D125" t="inlineStr">
        <is>
          <t>VÄSTERNORRLANDS LÄN</t>
        </is>
      </c>
      <c r="E125" t="inlineStr">
        <is>
          <t>SOLLEFTEÅ</t>
        </is>
      </c>
      <c r="F125" t="inlineStr">
        <is>
          <t>SCA</t>
        </is>
      </c>
      <c r="G125" t="n">
        <v>6.8</v>
      </c>
      <c r="H125" t="n">
        <v>1</v>
      </c>
      <c r="I125" t="n">
        <v>0</v>
      </c>
      <c r="J125" t="n">
        <v>6</v>
      </c>
      <c r="K125" t="n">
        <v>0</v>
      </c>
      <c r="L125" t="n">
        <v>0</v>
      </c>
      <c r="M125" t="n">
        <v>0</v>
      </c>
      <c r="N125" t="n">
        <v>0</v>
      </c>
      <c r="O125" t="n">
        <v>6</v>
      </c>
      <c r="P125" t="n">
        <v>0</v>
      </c>
      <c r="Q125" t="n">
        <v>6</v>
      </c>
      <c r="R125" s="2" t="inlineStr">
        <is>
          <t>Gammelgransskål
Garnlav
Skogshare
Tretåig hackspett
Ullticka
Vitgrynig nållav</t>
        </is>
      </c>
      <c r="S125">
        <f>HYPERLINK("https://klasma.github.io/Logging_2283/artfynd/A 61541-2024 artfynd.xlsx", "A 61541-2024")</f>
        <v/>
      </c>
      <c r="T125">
        <f>HYPERLINK("https://klasma.github.io/Logging_2283/kartor/A 61541-2024 karta.png", "A 61541-2024")</f>
        <v/>
      </c>
      <c r="V125">
        <f>HYPERLINK("https://klasma.github.io/Logging_2283/klagomål/A 61541-2024 FSC-klagomål.docx", "A 61541-2024")</f>
        <v/>
      </c>
      <c r="W125">
        <f>HYPERLINK("https://klasma.github.io/Logging_2283/klagomålsmail/A 61541-2024 FSC-klagomål mail.docx", "A 61541-2024")</f>
        <v/>
      </c>
      <c r="X125">
        <f>HYPERLINK("https://klasma.github.io/Logging_2283/tillsyn/A 61541-2024 tillsynsbegäran.docx", "A 61541-2024")</f>
        <v/>
      </c>
      <c r="Y125">
        <f>HYPERLINK("https://klasma.github.io/Logging_2283/tillsynsmail/A 61541-2024 tillsynsbegäran mail.docx", "A 61541-2024")</f>
        <v/>
      </c>
      <c r="Z125">
        <f>HYPERLINK("https://klasma.github.io/Logging_2283/fåglar/A 61541-2024 prioriterade fågelarter.docx", "A 61541-2024")</f>
        <v/>
      </c>
    </row>
    <row r="126" ht="15" customHeight="1">
      <c r="A126" t="inlineStr">
        <is>
          <t>A 49747-2025</t>
        </is>
      </c>
      <c r="B126" s="1" t="n">
        <v>45940.34461805555</v>
      </c>
      <c r="C126" s="1" t="n">
        <v>46161</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7334-2025</t>
        </is>
      </c>
      <c r="B127" s="1" t="n">
        <v>45703.35998842592</v>
      </c>
      <c r="C127" s="1" t="n">
        <v>46161</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35406-2024</t>
        </is>
      </c>
      <c r="B128" s="1" t="n">
        <v>45531.40607638889</v>
      </c>
      <c r="C128" s="1" t="n">
        <v>46161</v>
      </c>
      <c r="D128" t="inlineStr">
        <is>
          <t>VÄSTERNORRLANDS LÄN</t>
        </is>
      </c>
      <c r="E128" t="inlineStr">
        <is>
          <t>SOLLEFTEÅ</t>
        </is>
      </c>
      <c r="F128" t="inlineStr">
        <is>
          <t>SCA</t>
        </is>
      </c>
      <c r="G128" t="n">
        <v>3.5</v>
      </c>
      <c r="H128" t="n">
        <v>0</v>
      </c>
      <c r="I128" t="n">
        <v>2</v>
      </c>
      <c r="J128" t="n">
        <v>4</v>
      </c>
      <c r="K128" t="n">
        <v>0</v>
      </c>
      <c r="L128" t="n">
        <v>0</v>
      </c>
      <c r="M128" t="n">
        <v>0</v>
      </c>
      <c r="N128" t="n">
        <v>0</v>
      </c>
      <c r="O128" t="n">
        <v>4</v>
      </c>
      <c r="P128" t="n">
        <v>0</v>
      </c>
      <c r="Q128" t="n">
        <v>6</v>
      </c>
      <c r="R128" s="2" t="inlineStr">
        <is>
          <t>Blå taggsvamp
Kolflarnlav
Orange taggsvamp
Skrovlig taggsvamp
Dropptaggsvamp
Skarp dropptaggsvamp</t>
        </is>
      </c>
      <c r="S128">
        <f>HYPERLINK("https://klasma.github.io/Logging_2283/artfynd/A 35406-2024 artfynd.xlsx", "A 35406-2024")</f>
        <v/>
      </c>
      <c r="T128">
        <f>HYPERLINK("https://klasma.github.io/Logging_2283/kartor/A 35406-2024 karta.png", "A 35406-2024")</f>
        <v/>
      </c>
      <c r="V128">
        <f>HYPERLINK("https://klasma.github.io/Logging_2283/klagomål/A 35406-2024 FSC-klagomål.docx", "A 35406-2024")</f>
        <v/>
      </c>
      <c r="W128">
        <f>HYPERLINK("https://klasma.github.io/Logging_2283/klagomålsmail/A 35406-2024 FSC-klagomål mail.docx", "A 35406-2024")</f>
        <v/>
      </c>
      <c r="X128">
        <f>HYPERLINK("https://klasma.github.io/Logging_2283/tillsyn/A 35406-2024 tillsynsbegäran.docx", "A 35406-2024")</f>
        <v/>
      </c>
      <c r="Y128">
        <f>HYPERLINK("https://klasma.github.io/Logging_2283/tillsynsmail/A 35406-2024 tillsynsbegäran mail.docx", "A 35406-2024")</f>
        <v/>
      </c>
    </row>
    <row r="129" ht="15" customHeight="1">
      <c r="A129" t="inlineStr">
        <is>
          <t>A 61323-2024</t>
        </is>
      </c>
      <c r="B129" s="1" t="n">
        <v>45646</v>
      </c>
      <c r="C129" s="1" t="n">
        <v>46161</v>
      </c>
      <c r="D129" t="inlineStr">
        <is>
          <t>VÄSTERNORRLANDS LÄN</t>
        </is>
      </c>
      <c r="E129" t="inlineStr">
        <is>
          <t>SOLLEFTEÅ</t>
        </is>
      </c>
      <c r="F129" t="inlineStr">
        <is>
          <t>SCA</t>
        </is>
      </c>
      <c r="G129" t="n">
        <v>5.2</v>
      </c>
      <c r="H129" t="n">
        <v>0</v>
      </c>
      <c r="I129" t="n">
        <v>0</v>
      </c>
      <c r="J129" t="n">
        <v>5</v>
      </c>
      <c r="K129" t="n">
        <v>1</v>
      </c>
      <c r="L129" t="n">
        <v>0</v>
      </c>
      <c r="M129" t="n">
        <v>0</v>
      </c>
      <c r="N129" t="n">
        <v>0</v>
      </c>
      <c r="O129" t="n">
        <v>6</v>
      </c>
      <c r="P129" t="n">
        <v>1</v>
      </c>
      <c r="Q129" t="n">
        <v>6</v>
      </c>
      <c r="R129" s="2" t="inlineStr">
        <is>
          <t>Ulltickeporing
Garnlav
Harticka
Rosenticka
Ullticka
Vitgrynig nållav</t>
        </is>
      </c>
      <c r="S129">
        <f>HYPERLINK("https://klasma.github.io/Logging_2283/artfynd/A 61323-2024 artfynd.xlsx", "A 61323-2024")</f>
        <v/>
      </c>
      <c r="T129">
        <f>HYPERLINK("https://klasma.github.io/Logging_2283/kartor/A 61323-2024 karta.png", "A 61323-2024")</f>
        <v/>
      </c>
      <c r="V129">
        <f>HYPERLINK("https://klasma.github.io/Logging_2283/klagomål/A 61323-2024 FSC-klagomål.docx", "A 61323-2024")</f>
        <v/>
      </c>
      <c r="W129">
        <f>HYPERLINK("https://klasma.github.io/Logging_2283/klagomålsmail/A 61323-2024 FSC-klagomål mail.docx", "A 61323-2024")</f>
        <v/>
      </c>
      <c r="X129">
        <f>HYPERLINK("https://klasma.github.io/Logging_2283/tillsyn/A 61323-2024 tillsynsbegäran.docx", "A 61323-2024")</f>
        <v/>
      </c>
      <c r="Y129">
        <f>HYPERLINK("https://klasma.github.io/Logging_2283/tillsynsmail/A 61323-2024 tillsynsbegäran mail.docx", "A 61323-2024")</f>
        <v/>
      </c>
    </row>
    <row r="130" ht="15" customHeight="1">
      <c r="A130" t="inlineStr">
        <is>
          <t>A 33321-2025</t>
        </is>
      </c>
      <c r="B130" s="1" t="n">
        <v>45841.34490740741</v>
      </c>
      <c r="C130" s="1" t="n">
        <v>46161</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13250-2025</t>
        </is>
      </c>
      <c r="B131" s="1" t="n">
        <v>45735.49013888889</v>
      </c>
      <c r="C131" s="1" t="n">
        <v>46161</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35632-2025</t>
        </is>
      </c>
      <c r="B132" s="1" t="n">
        <v>45859.44893518519</v>
      </c>
      <c r="C132" s="1" t="n">
        <v>46161</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15666-2025</t>
        </is>
      </c>
      <c r="B133" s="1" t="n">
        <v>45748.4315625</v>
      </c>
      <c r="C133" s="1" t="n">
        <v>46161</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40420-2023</t>
        </is>
      </c>
      <c r="B134" s="1" t="n">
        <v>45169</v>
      </c>
      <c r="C134" s="1" t="n">
        <v>46161</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63038-2025</t>
        </is>
      </c>
      <c r="B135" s="1" t="n">
        <v>46009.61511574074</v>
      </c>
      <c r="C135" s="1" t="n">
        <v>46161</v>
      </c>
      <c r="D135" t="inlineStr">
        <is>
          <t>VÄSTERNORRLANDS LÄN</t>
        </is>
      </c>
      <c r="E135" t="inlineStr">
        <is>
          <t>SOLLEFTEÅ</t>
        </is>
      </c>
      <c r="F135" t="inlineStr">
        <is>
          <t>SCA</t>
        </is>
      </c>
      <c r="G135" t="n">
        <v>2.4</v>
      </c>
      <c r="H135" t="n">
        <v>1</v>
      </c>
      <c r="I135" t="n">
        <v>1</v>
      </c>
      <c r="J135" t="n">
        <v>4</v>
      </c>
      <c r="K135" t="n">
        <v>0</v>
      </c>
      <c r="L135" t="n">
        <v>0</v>
      </c>
      <c r="M135" t="n">
        <v>0</v>
      </c>
      <c r="N135" t="n">
        <v>0</v>
      </c>
      <c r="O135" t="n">
        <v>4</v>
      </c>
      <c r="P135" t="n">
        <v>0</v>
      </c>
      <c r="Q135" t="n">
        <v>6</v>
      </c>
      <c r="R135" s="2" t="inlineStr">
        <is>
          <t>Gammelgransskål
Garnlav
Lunglav
Violettgrå tagellav
Stuplav
Fläcknycklar</t>
        </is>
      </c>
      <c r="S135">
        <f>HYPERLINK("https://klasma.github.io/Logging_2283/artfynd/A 63038-2025 artfynd.xlsx", "A 63038-2025")</f>
        <v/>
      </c>
      <c r="T135">
        <f>HYPERLINK("https://klasma.github.io/Logging_2283/kartor/A 63038-2025 karta.png", "A 63038-2025")</f>
        <v/>
      </c>
      <c r="V135">
        <f>HYPERLINK("https://klasma.github.io/Logging_2283/klagomål/A 63038-2025 FSC-klagomål.docx", "A 63038-2025")</f>
        <v/>
      </c>
      <c r="W135">
        <f>HYPERLINK("https://klasma.github.io/Logging_2283/klagomålsmail/A 63038-2025 FSC-klagomål mail.docx", "A 63038-2025")</f>
        <v/>
      </c>
      <c r="X135">
        <f>HYPERLINK("https://klasma.github.io/Logging_2283/tillsyn/A 63038-2025 tillsynsbegäran.docx", "A 63038-2025")</f>
        <v/>
      </c>
      <c r="Y135">
        <f>HYPERLINK("https://klasma.github.io/Logging_2283/tillsynsmail/A 63038-2025 tillsynsbegäran mail.docx", "A 63038-2025")</f>
        <v/>
      </c>
    </row>
    <row r="136" ht="15" customHeight="1">
      <c r="A136" t="inlineStr">
        <is>
          <t>A 26594-2022</t>
        </is>
      </c>
      <c r="B136" s="1" t="n">
        <v>44739</v>
      </c>
      <c r="C136" s="1" t="n">
        <v>46161</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56141-2025</t>
        </is>
      </c>
      <c r="B137" s="1" t="n">
        <v>45974</v>
      </c>
      <c r="C137" s="1" t="n">
        <v>46161</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36470-2024</t>
        </is>
      </c>
      <c r="B138" s="1" t="n">
        <v>45537</v>
      </c>
      <c r="C138" s="1" t="n">
        <v>46161</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14860-2023</t>
        </is>
      </c>
      <c r="B139" s="1" t="n">
        <v>45015.07157407407</v>
      </c>
      <c r="C139" s="1" t="n">
        <v>46161</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17445-2026</t>
        </is>
      </c>
      <c r="B140" s="1" t="n">
        <v>46120.4488425926</v>
      </c>
      <c r="C140" s="1" t="n">
        <v>46161</v>
      </c>
      <c r="D140" t="inlineStr">
        <is>
          <t>VÄSTERNORRLANDS LÄN</t>
        </is>
      </c>
      <c r="E140" t="inlineStr">
        <is>
          <t>SOLLEFTEÅ</t>
        </is>
      </c>
      <c r="F140" t="inlineStr">
        <is>
          <t>SCA</t>
        </is>
      </c>
      <c r="G140" t="n">
        <v>20.8</v>
      </c>
      <c r="H140" t="n">
        <v>2</v>
      </c>
      <c r="I140" t="n">
        <v>0</v>
      </c>
      <c r="J140" t="n">
        <v>5</v>
      </c>
      <c r="K140" t="n">
        <v>1</v>
      </c>
      <c r="L140" t="n">
        <v>0</v>
      </c>
      <c r="M140" t="n">
        <v>0</v>
      </c>
      <c r="N140" t="n">
        <v>0</v>
      </c>
      <c r="O140" t="n">
        <v>6</v>
      </c>
      <c r="P140" t="n">
        <v>1</v>
      </c>
      <c r="Q140" t="n">
        <v>6</v>
      </c>
      <c r="R140" s="2" t="inlineStr">
        <is>
          <t>Rynkskinn
Garnlav
Rosenticka
Spillkråka
Talltita
Ullticka</t>
        </is>
      </c>
      <c r="S140">
        <f>HYPERLINK("https://klasma.github.io/Logging_2283/artfynd/A 17445-2026 artfynd.xlsx", "A 17445-2026")</f>
        <v/>
      </c>
      <c r="T140">
        <f>HYPERLINK("https://klasma.github.io/Logging_2283/kartor/A 17445-2026 karta.png", "A 17445-2026")</f>
        <v/>
      </c>
      <c r="V140">
        <f>HYPERLINK("https://klasma.github.io/Logging_2283/klagomål/A 17445-2026 FSC-klagomål.docx", "A 17445-2026")</f>
        <v/>
      </c>
      <c r="W140">
        <f>HYPERLINK("https://klasma.github.io/Logging_2283/klagomålsmail/A 17445-2026 FSC-klagomål mail.docx", "A 17445-2026")</f>
        <v/>
      </c>
      <c r="X140">
        <f>HYPERLINK("https://klasma.github.io/Logging_2283/tillsyn/A 17445-2026 tillsynsbegäran.docx", "A 17445-2026")</f>
        <v/>
      </c>
      <c r="Y140">
        <f>HYPERLINK("https://klasma.github.io/Logging_2283/tillsynsmail/A 17445-2026 tillsynsbegäran mail.docx", "A 17445-2026")</f>
        <v/>
      </c>
      <c r="Z140">
        <f>HYPERLINK("https://klasma.github.io/Logging_2283/fåglar/A 17445-2026 prioriterade fågelarter.docx", "A 17445-2026")</f>
        <v/>
      </c>
    </row>
    <row r="141" ht="15" customHeight="1">
      <c r="A141" t="inlineStr">
        <is>
          <t>A 31885-2024</t>
        </is>
      </c>
      <c r="B141" s="1" t="n">
        <v>45509.95769675926</v>
      </c>
      <c r="C141" s="1" t="n">
        <v>46161</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46161</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46161</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46161</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46161</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46161</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4827-2025</t>
        </is>
      </c>
      <c r="B147" s="1" t="n">
        <v>45688</v>
      </c>
      <c r="C147" s="1" t="n">
        <v>46161</v>
      </c>
      <c r="D147" t="inlineStr">
        <is>
          <t>VÄSTERNORRLANDS LÄN</t>
        </is>
      </c>
      <c r="E147" t="inlineStr">
        <is>
          <t>SOLLEFTEÅ</t>
        </is>
      </c>
      <c r="G147" t="n">
        <v>33</v>
      </c>
      <c r="H147" t="n">
        <v>2</v>
      </c>
      <c r="I147" t="n">
        <v>0</v>
      </c>
      <c r="J147" t="n">
        <v>6</v>
      </c>
      <c r="K147" t="n">
        <v>0</v>
      </c>
      <c r="L147" t="n">
        <v>0</v>
      </c>
      <c r="M147" t="n">
        <v>0</v>
      </c>
      <c r="N147" t="n">
        <v>0</v>
      </c>
      <c r="O147" t="n">
        <v>6</v>
      </c>
      <c r="P147" t="n">
        <v>0</v>
      </c>
      <c r="Q147" t="n">
        <v>6</v>
      </c>
      <c r="R147" s="2" t="inlineStr">
        <is>
          <t>Garnlav
Granticka
Lunglav
Talltita
Tretåig hackspett
Ullticka</t>
        </is>
      </c>
      <c r="S147">
        <f>HYPERLINK("https://klasma.github.io/Logging_2283/artfynd/A 4827-2025 artfynd.xlsx", "A 4827-2025")</f>
        <v/>
      </c>
      <c r="T147">
        <f>HYPERLINK("https://klasma.github.io/Logging_2283/kartor/A 4827-2025 karta.png", "A 4827-2025")</f>
        <v/>
      </c>
      <c r="V147">
        <f>HYPERLINK("https://klasma.github.io/Logging_2283/klagomål/A 4827-2025 FSC-klagomål.docx", "A 4827-2025")</f>
        <v/>
      </c>
      <c r="W147">
        <f>HYPERLINK("https://klasma.github.io/Logging_2283/klagomålsmail/A 4827-2025 FSC-klagomål mail.docx", "A 4827-2025")</f>
        <v/>
      </c>
      <c r="X147">
        <f>HYPERLINK("https://klasma.github.io/Logging_2283/tillsyn/A 4827-2025 tillsynsbegäran.docx", "A 4827-2025")</f>
        <v/>
      </c>
      <c r="Y147">
        <f>HYPERLINK("https://klasma.github.io/Logging_2283/tillsynsmail/A 4827-2025 tillsynsbegäran mail.docx", "A 4827-2025")</f>
        <v/>
      </c>
      <c r="Z147">
        <f>HYPERLINK("https://klasma.github.io/Logging_2283/fåglar/A 4827-2025 prioriterade fågelarter.docx", "A 4827-2025")</f>
        <v/>
      </c>
    </row>
    <row r="148" ht="15" customHeight="1">
      <c r="A148" t="inlineStr">
        <is>
          <t>A 26341-2025</t>
        </is>
      </c>
      <c r="B148" s="1" t="n">
        <v>45805</v>
      </c>
      <c r="C148" s="1" t="n">
        <v>46161</v>
      </c>
      <c r="D148" t="inlineStr">
        <is>
          <t>VÄSTERNORRLANDS LÄN</t>
        </is>
      </c>
      <c r="E148" t="inlineStr">
        <is>
          <t>SOLLEFTEÅ</t>
        </is>
      </c>
      <c r="F148" t="inlineStr">
        <is>
          <t>SCA</t>
        </is>
      </c>
      <c r="G148" t="n">
        <v>3.2</v>
      </c>
      <c r="H148" t="n">
        <v>5</v>
      </c>
      <c r="I148" t="n">
        <v>0</v>
      </c>
      <c r="J148" t="n">
        <v>3</v>
      </c>
      <c r="K148" t="n">
        <v>1</v>
      </c>
      <c r="L148" t="n">
        <v>0</v>
      </c>
      <c r="M148" t="n">
        <v>0</v>
      </c>
      <c r="N148" t="n">
        <v>0</v>
      </c>
      <c r="O148" t="n">
        <v>4</v>
      </c>
      <c r="P148" t="n">
        <v>1</v>
      </c>
      <c r="Q148" t="n">
        <v>6</v>
      </c>
      <c r="R148" s="2" t="inlineStr">
        <is>
          <t>Knärot
Lunglav
Talltita
Tretåig hackspett
Lavskrika
Tjäder</t>
        </is>
      </c>
      <c r="S148">
        <f>HYPERLINK("https://klasma.github.io/Logging_2283/artfynd/A 26341-2025 artfynd.xlsx", "A 26341-2025")</f>
        <v/>
      </c>
      <c r="T148">
        <f>HYPERLINK("https://klasma.github.io/Logging_2283/kartor/A 26341-2025 karta.png", "A 26341-2025")</f>
        <v/>
      </c>
      <c r="U148">
        <f>HYPERLINK("https://klasma.github.io/Logging_2283/knärot/A 26341-2025 karta knärot.png", "A 26341-2025")</f>
        <v/>
      </c>
      <c r="V148">
        <f>HYPERLINK("https://klasma.github.io/Logging_2283/klagomål/A 26341-2025 FSC-klagomål.docx", "A 26341-2025")</f>
        <v/>
      </c>
      <c r="W148">
        <f>HYPERLINK("https://klasma.github.io/Logging_2283/klagomålsmail/A 26341-2025 FSC-klagomål mail.docx", "A 26341-2025")</f>
        <v/>
      </c>
      <c r="X148">
        <f>HYPERLINK("https://klasma.github.io/Logging_2283/tillsyn/A 26341-2025 tillsynsbegäran.docx", "A 26341-2025")</f>
        <v/>
      </c>
      <c r="Y148">
        <f>HYPERLINK("https://klasma.github.io/Logging_2283/tillsynsmail/A 26341-2025 tillsynsbegäran mail.docx", "A 26341-2025")</f>
        <v/>
      </c>
      <c r="Z148">
        <f>HYPERLINK("https://klasma.github.io/Logging_2283/fåglar/A 26341-2025 prioriterade fågelarter.docx", "A 26341-2025")</f>
        <v/>
      </c>
    </row>
    <row r="149" ht="15" customHeight="1">
      <c r="A149" t="inlineStr">
        <is>
          <t>A 18100-2025</t>
        </is>
      </c>
      <c r="B149" s="1" t="n">
        <v>45761.55240740741</v>
      </c>
      <c r="C149" s="1" t="n">
        <v>46161</v>
      </c>
      <c r="D149" t="inlineStr">
        <is>
          <t>VÄSTERNORRLANDS LÄN</t>
        </is>
      </c>
      <c r="E149" t="inlineStr">
        <is>
          <t>SOLLEFTEÅ</t>
        </is>
      </c>
      <c r="F149" t="inlineStr">
        <is>
          <t>SCA</t>
        </is>
      </c>
      <c r="G149" t="n">
        <v>3.6</v>
      </c>
      <c r="H149" t="n">
        <v>1</v>
      </c>
      <c r="I149" t="n">
        <v>0</v>
      </c>
      <c r="J149" t="n">
        <v>3</v>
      </c>
      <c r="K149" t="n">
        <v>3</v>
      </c>
      <c r="L149" t="n">
        <v>0</v>
      </c>
      <c r="M149" t="n">
        <v>0</v>
      </c>
      <c r="N149" t="n">
        <v>0</v>
      </c>
      <c r="O149" t="n">
        <v>6</v>
      </c>
      <c r="P149" t="n">
        <v>3</v>
      </c>
      <c r="Q149" t="n">
        <v>6</v>
      </c>
      <c r="R149" s="2" t="inlineStr">
        <is>
          <t>Knärot
Lappticka
Rynkskinn
Granticka
Lunglav
Ullticka</t>
        </is>
      </c>
      <c r="S149">
        <f>HYPERLINK("https://klasma.github.io/Logging_2283/artfynd/A 18100-2025 artfynd.xlsx", "A 18100-2025")</f>
        <v/>
      </c>
      <c r="T149">
        <f>HYPERLINK("https://klasma.github.io/Logging_2283/kartor/A 18100-2025 karta.png", "A 18100-2025")</f>
        <v/>
      </c>
      <c r="U149">
        <f>HYPERLINK("https://klasma.github.io/Logging_2283/knärot/A 18100-2025 karta knärot.png", "A 18100-2025")</f>
        <v/>
      </c>
      <c r="V149">
        <f>HYPERLINK("https://klasma.github.io/Logging_2283/klagomål/A 18100-2025 FSC-klagomål.docx", "A 18100-2025")</f>
        <v/>
      </c>
      <c r="W149">
        <f>HYPERLINK("https://klasma.github.io/Logging_2283/klagomålsmail/A 18100-2025 FSC-klagomål mail.docx", "A 18100-2025")</f>
        <v/>
      </c>
      <c r="X149">
        <f>HYPERLINK("https://klasma.github.io/Logging_2283/tillsyn/A 18100-2025 tillsynsbegäran.docx", "A 18100-2025")</f>
        <v/>
      </c>
      <c r="Y149">
        <f>HYPERLINK("https://klasma.github.io/Logging_2283/tillsynsmail/A 18100-2025 tillsynsbegäran mail.docx", "A 18100-2025")</f>
        <v/>
      </c>
    </row>
    <row r="150" ht="15" customHeight="1">
      <c r="A150" t="inlineStr">
        <is>
          <t>A 29871-2024</t>
        </is>
      </c>
      <c r="B150" s="1" t="n">
        <v>45485.94521990741</v>
      </c>
      <c r="C150" s="1" t="n">
        <v>46161</v>
      </c>
      <c r="D150" t="inlineStr">
        <is>
          <t>VÄSTERNORRLANDS LÄN</t>
        </is>
      </c>
      <c r="E150" t="inlineStr">
        <is>
          <t>SOLLEFTEÅ</t>
        </is>
      </c>
      <c r="F150" t="inlineStr">
        <is>
          <t>SCA</t>
        </is>
      </c>
      <c r="G150" t="n">
        <v>6</v>
      </c>
      <c r="H150" t="n">
        <v>0</v>
      </c>
      <c r="I150" t="n">
        <v>1</v>
      </c>
      <c r="J150" t="n">
        <v>5</v>
      </c>
      <c r="K150" t="n">
        <v>0</v>
      </c>
      <c r="L150" t="n">
        <v>0</v>
      </c>
      <c r="M150" t="n">
        <v>0</v>
      </c>
      <c r="N150" t="n">
        <v>0</v>
      </c>
      <c r="O150" t="n">
        <v>5</v>
      </c>
      <c r="P150" t="n">
        <v>0</v>
      </c>
      <c r="Q150" t="n">
        <v>6</v>
      </c>
      <c r="R150" s="2" t="inlineStr">
        <is>
          <t>Dvärgbägarlav
Garnlav
Lunglav
Nordtagging
Tallticka
Dropptaggsvamp</t>
        </is>
      </c>
      <c r="S150">
        <f>HYPERLINK("https://klasma.github.io/Logging_2283/artfynd/A 29871-2024 artfynd.xlsx", "A 29871-2024")</f>
        <v/>
      </c>
      <c r="T150">
        <f>HYPERLINK("https://klasma.github.io/Logging_2283/kartor/A 29871-2024 karta.png", "A 29871-2024")</f>
        <v/>
      </c>
      <c r="V150">
        <f>HYPERLINK("https://klasma.github.io/Logging_2283/klagomål/A 29871-2024 FSC-klagomål.docx", "A 29871-2024")</f>
        <v/>
      </c>
      <c r="W150">
        <f>HYPERLINK("https://klasma.github.io/Logging_2283/klagomålsmail/A 29871-2024 FSC-klagomål mail.docx", "A 29871-2024")</f>
        <v/>
      </c>
      <c r="X150">
        <f>HYPERLINK("https://klasma.github.io/Logging_2283/tillsyn/A 29871-2024 tillsynsbegäran.docx", "A 29871-2024")</f>
        <v/>
      </c>
      <c r="Y150">
        <f>HYPERLINK("https://klasma.github.io/Logging_2283/tillsynsmail/A 29871-2024 tillsynsbegäran mail.docx", "A 29871-2024")</f>
        <v/>
      </c>
    </row>
    <row r="151" ht="15" customHeight="1">
      <c r="A151" t="inlineStr">
        <is>
          <t>A 20949-2022</t>
        </is>
      </c>
      <c r="B151" s="1" t="n">
        <v>44701.93967592593</v>
      </c>
      <c r="C151" s="1" t="n">
        <v>46161</v>
      </c>
      <c r="D151" t="inlineStr">
        <is>
          <t>VÄSTERNORRLANDS LÄN</t>
        </is>
      </c>
      <c r="E151" t="inlineStr">
        <is>
          <t>SOLLEFTEÅ</t>
        </is>
      </c>
      <c r="F151" t="inlineStr">
        <is>
          <t>SCA</t>
        </is>
      </c>
      <c r="G151" t="n">
        <v>2.2</v>
      </c>
      <c r="H151" t="n">
        <v>1</v>
      </c>
      <c r="I151" t="n">
        <v>0</v>
      </c>
      <c r="J151" t="n">
        <v>5</v>
      </c>
      <c r="K151" t="n">
        <v>0</v>
      </c>
      <c r="L151" t="n">
        <v>0</v>
      </c>
      <c r="M151" t="n">
        <v>0</v>
      </c>
      <c r="N151" t="n">
        <v>0</v>
      </c>
      <c r="O151" t="n">
        <v>5</v>
      </c>
      <c r="P151" t="n">
        <v>0</v>
      </c>
      <c r="Q151" t="n">
        <v>5</v>
      </c>
      <c r="R151" s="2" t="inlineStr">
        <is>
          <t>Garnlav
Kolflarnlav
Lunglav
Tretåig hackspett
Vedskivlav</t>
        </is>
      </c>
      <c r="S151">
        <f>HYPERLINK("https://klasma.github.io/Logging_2283/artfynd/A 20949-2022 artfynd.xlsx", "A 20949-2022")</f>
        <v/>
      </c>
      <c r="T151">
        <f>HYPERLINK("https://klasma.github.io/Logging_2283/kartor/A 20949-2022 karta.png", "A 20949-2022")</f>
        <v/>
      </c>
      <c r="V151">
        <f>HYPERLINK("https://klasma.github.io/Logging_2283/klagomål/A 20949-2022 FSC-klagomål.docx", "A 20949-2022")</f>
        <v/>
      </c>
      <c r="W151">
        <f>HYPERLINK("https://klasma.github.io/Logging_2283/klagomålsmail/A 20949-2022 FSC-klagomål mail.docx", "A 20949-2022")</f>
        <v/>
      </c>
      <c r="X151">
        <f>HYPERLINK("https://klasma.github.io/Logging_2283/tillsyn/A 20949-2022 tillsynsbegäran.docx", "A 20949-2022")</f>
        <v/>
      </c>
      <c r="Y151">
        <f>HYPERLINK("https://klasma.github.io/Logging_2283/tillsynsmail/A 20949-2022 tillsynsbegäran mail.docx", "A 20949-2022")</f>
        <v/>
      </c>
      <c r="Z151">
        <f>HYPERLINK("https://klasma.github.io/Logging_2283/fåglar/A 20949-2022 prioriterade fågelarter.docx", "A 20949-2022")</f>
        <v/>
      </c>
    </row>
    <row r="152" ht="15" customHeight="1">
      <c r="A152" t="inlineStr">
        <is>
          <t>A 11490-2022</t>
        </is>
      </c>
      <c r="B152" s="1" t="n">
        <v>44630.93877314815</v>
      </c>
      <c r="C152" s="1" t="n">
        <v>46161</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2438-2025</t>
        </is>
      </c>
      <c r="B153" s="1" t="n">
        <v>45674.41815972222</v>
      </c>
      <c r="C153" s="1" t="n">
        <v>46161</v>
      </c>
      <c r="D153" t="inlineStr">
        <is>
          <t>VÄSTERNORRLANDS LÄN</t>
        </is>
      </c>
      <c r="E153" t="inlineStr">
        <is>
          <t>SOLLEFTEÅ</t>
        </is>
      </c>
      <c r="G153" t="n">
        <v>6.4</v>
      </c>
      <c r="H153" t="n">
        <v>3</v>
      </c>
      <c r="I153" t="n">
        <v>0</v>
      </c>
      <c r="J153" t="n">
        <v>4</v>
      </c>
      <c r="K153" t="n">
        <v>1</v>
      </c>
      <c r="L153" t="n">
        <v>0</v>
      </c>
      <c r="M153" t="n">
        <v>0</v>
      </c>
      <c r="N153" t="n">
        <v>0</v>
      </c>
      <c r="O153" t="n">
        <v>5</v>
      </c>
      <c r="P153" t="n">
        <v>1</v>
      </c>
      <c r="Q153" t="n">
        <v>5</v>
      </c>
      <c r="R153" s="2" t="inlineStr">
        <is>
          <t>Knärot
Garnlav
Kolflarnlav
Talltita
Tretåig hackspett</t>
        </is>
      </c>
      <c r="S153">
        <f>HYPERLINK("https://klasma.github.io/Logging_2283/artfynd/A 2438-2025 artfynd.xlsx", "A 2438-2025")</f>
        <v/>
      </c>
      <c r="T153">
        <f>HYPERLINK("https://klasma.github.io/Logging_2283/kartor/A 2438-2025 karta.png", "A 2438-2025")</f>
        <v/>
      </c>
      <c r="U153">
        <f>HYPERLINK("https://klasma.github.io/Logging_2283/knärot/A 2438-2025 karta knärot.png", "A 2438-2025")</f>
        <v/>
      </c>
      <c r="V153">
        <f>HYPERLINK("https://klasma.github.io/Logging_2283/klagomål/A 2438-2025 FSC-klagomål.docx", "A 2438-2025")</f>
        <v/>
      </c>
      <c r="W153">
        <f>HYPERLINK("https://klasma.github.io/Logging_2283/klagomålsmail/A 2438-2025 FSC-klagomål mail.docx", "A 2438-2025")</f>
        <v/>
      </c>
      <c r="X153">
        <f>HYPERLINK("https://klasma.github.io/Logging_2283/tillsyn/A 2438-2025 tillsynsbegäran.docx", "A 2438-2025")</f>
        <v/>
      </c>
      <c r="Y153">
        <f>HYPERLINK("https://klasma.github.io/Logging_2283/tillsynsmail/A 2438-2025 tillsynsbegäran mail.docx", "A 2438-2025")</f>
        <v/>
      </c>
      <c r="Z153">
        <f>HYPERLINK("https://klasma.github.io/Logging_2283/fåglar/A 2438-2025 prioriterade fågelarter.docx", "A 2438-2025")</f>
        <v/>
      </c>
    </row>
    <row r="154" ht="15" customHeight="1">
      <c r="A154" t="inlineStr">
        <is>
          <t>A 4552-2022</t>
        </is>
      </c>
      <c r="B154" s="1" t="n">
        <v>44590</v>
      </c>
      <c r="C154" s="1" t="n">
        <v>46161</v>
      </c>
      <c r="D154" t="inlineStr">
        <is>
          <t>VÄSTERNORRLANDS LÄN</t>
        </is>
      </c>
      <c r="E154" t="inlineStr">
        <is>
          <t>SOLLEFTEÅ</t>
        </is>
      </c>
      <c r="F154" t="inlineStr">
        <is>
          <t>SCA</t>
        </is>
      </c>
      <c r="G154" t="n">
        <v>4.4</v>
      </c>
      <c r="H154" t="n">
        <v>0</v>
      </c>
      <c r="I154" t="n">
        <v>1</v>
      </c>
      <c r="J154" t="n">
        <v>4</v>
      </c>
      <c r="K154" t="n">
        <v>0</v>
      </c>
      <c r="L154" t="n">
        <v>0</v>
      </c>
      <c r="M154" t="n">
        <v>0</v>
      </c>
      <c r="N154" t="n">
        <v>0</v>
      </c>
      <c r="O154" t="n">
        <v>4</v>
      </c>
      <c r="P154" t="n">
        <v>0</v>
      </c>
      <c r="Q154" t="n">
        <v>5</v>
      </c>
      <c r="R154" s="2" t="inlineStr">
        <is>
          <t>Gammelgransskål
Garnlav
Skrovlig taggsvamp
Vedskivlav
Skarp dropptaggsvamp</t>
        </is>
      </c>
      <c r="S154">
        <f>HYPERLINK("https://klasma.github.io/Logging_2283/artfynd/A 4552-2022 artfynd.xlsx", "A 4552-2022")</f>
        <v/>
      </c>
      <c r="T154">
        <f>HYPERLINK("https://klasma.github.io/Logging_2283/kartor/A 4552-2022 karta.png", "A 4552-2022")</f>
        <v/>
      </c>
      <c r="V154">
        <f>HYPERLINK("https://klasma.github.io/Logging_2283/klagomål/A 4552-2022 FSC-klagomål.docx", "A 4552-2022")</f>
        <v/>
      </c>
      <c r="W154">
        <f>HYPERLINK("https://klasma.github.io/Logging_2283/klagomålsmail/A 4552-2022 FSC-klagomål mail.docx", "A 4552-2022")</f>
        <v/>
      </c>
      <c r="X154">
        <f>HYPERLINK("https://klasma.github.io/Logging_2283/tillsyn/A 4552-2022 tillsynsbegäran.docx", "A 4552-2022")</f>
        <v/>
      </c>
      <c r="Y154">
        <f>HYPERLINK("https://klasma.github.io/Logging_2283/tillsynsmail/A 4552-2022 tillsynsbegäran mail.docx", "A 4552-2022")</f>
        <v/>
      </c>
    </row>
    <row r="155" ht="15" customHeight="1">
      <c r="A155" t="inlineStr">
        <is>
          <t>A 11547-2025</t>
        </is>
      </c>
      <c r="B155" s="1" t="n">
        <v>45727.34447916667</v>
      </c>
      <c r="C155" s="1" t="n">
        <v>46161</v>
      </c>
      <c r="D155" t="inlineStr">
        <is>
          <t>VÄSTERNORRLANDS LÄN</t>
        </is>
      </c>
      <c r="E155" t="inlineStr">
        <is>
          <t>SOLLEFTEÅ</t>
        </is>
      </c>
      <c r="F155" t="inlineStr">
        <is>
          <t>SCA</t>
        </is>
      </c>
      <c r="G155" t="n">
        <v>2.9</v>
      </c>
      <c r="H155" t="n">
        <v>2</v>
      </c>
      <c r="I155" t="n">
        <v>0</v>
      </c>
      <c r="J155" t="n">
        <v>5</v>
      </c>
      <c r="K155" t="n">
        <v>0</v>
      </c>
      <c r="L155" t="n">
        <v>0</v>
      </c>
      <c r="M155" t="n">
        <v>0</v>
      </c>
      <c r="N155" t="n">
        <v>0</v>
      </c>
      <c r="O155" t="n">
        <v>5</v>
      </c>
      <c r="P155" t="n">
        <v>0</v>
      </c>
      <c r="Q155" t="n">
        <v>5</v>
      </c>
      <c r="R155" s="2" t="inlineStr">
        <is>
          <t>Garnlav
Järpe
Lunglav
Tretåig hackspett
Ullticka</t>
        </is>
      </c>
      <c r="S155">
        <f>HYPERLINK("https://klasma.github.io/Logging_2283/artfynd/A 11547-2025 artfynd.xlsx", "A 11547-2025")</f>
        <v/>
      </c>
      <c r="T155">
        <f>HYPERLINK("https://klasma.github.io/Logging_2283/kartor/A 11547-2025 karta.png", "A 11547-2025")</f>
        <v/>
      </c>
      <c r="V155">
        <f>HYPERLINK("https://klasma.github.io/Logging_2283/klagomål/A 11547-2025 FSC-klagomål.docx", "A 11547-2025")</f>
        <v/>
      </c>
      <c r="W155">
        <f>HYPERLINK("https://klasma.github.io/Logging_2283/klagomålsmail/A 11547-2025 FSC-klagomål mail.docx", "A 11547-2025")</f>
        <v/>
      </c>
      <c r="X155">
        <f>HYPERLINK("https://klasma.github.io/Logging_2283/tillsyn/A 11547-2025 tillsynsbegäran.docx", "A 11547-2025")</f>
        <v/>
      </c>
      <c r="Y155">
        <f>HYPERLINK("https://klasma.github.io/Logging_2283/tillsynsmail/A 11547-2025 tillsynsbegäran mail.docx", "A 11547-2025")</f>
        <v/>
      </c>
      <c r="Z155">
        <f>HYPERLINK("https://klasma.github.io/Logging_2283/fåglar/A 11547-2025 prioriterade fågelarter.docx", "A 11547-2025")</f>
        <v/>
      </c>
    </row>
    <row r="156" ht="15" customHeight="1">
      <c r="A156" t="inlineStr">
        <is>
          <t>A 32216-2023</t>
        </is>
      </c>
      <c r="B156" s="1" t="n">
        <v>45119</v>
      </c>
      <c r="C156" s="1" t="n">
        <v>46161</v>
      </c>
      <c r="D156" t="inlineStr">
        <is>
          <t>VÄSTERNORRLANDS LÄN</t>
        </is>
      </c>
      <c r="E156" t="inlineStr">
        <is>
          <t>SOLLEFTEÅ</t>
        </is>
      </c>
      <c r="F156" t="inlineStr">
        <is>
          <t>SCA</t>
        </is>
      </c>
      <c r="G156" t="n">
        <v>2.2</v>
      </c>
      <c r="H156" t="n">
        <v>1</v>
      </c>
      <c r="I156" t="n">
        <v>0</v>
      </c>
      <c r="J156" t="n">
        <v>4</v>
      </c>
      <c r="K156" t="n">
        <v>1</v>
      </c>
      <c r="L156" t="n">
        <v>0</v>
      </c>
      <c r="M156" t="n">
        <v>0</v>
      </c>
      <c r="N156" t="n">
        <v>0</v>
      </c>
      <c r="O156" t="n">
        <v>5</v>
      </c>
      <c r="P156" t="n">
        <v>1</v>
      </c>
      <c r="Q156" t="n">
        <v>5</v>
      </c>
      <c r="R156" s="2" t="inlineStr">
        <is>
          <t>Rynkskinn
Lunglav
Rosenticka
Tretåig hackspett
Ullticka</t>
        </is>
      </c>
      <c r="S156">
        <f>HYPERLINK("https://klasma.github.io/Logging_2283/artfynd/A 32216-2023 artfynd.xlsx", "A 32216-2023")</f>
        <v/>
      </c>
      <c r="T156">
        <f>HYPERLINK("https://klasma.github.io/Logging_2283/kartor/A 32216-2023 karta.png", "A 32216-2023")</f>
        <v/>
      </c>
      <c r="V156">
        <f>HYPERLINK("https://klasma.github.io/Logging_2283/klagomål/A 32216-2023 FSC-klagomål.docx", "A 32216-2023")</f>
        <v/>
      </c>
      <c r="W156">
        <f>HYPERLINK("https://klasma.github.io/Logging_2283/klagomålsmail/A 32216-2023 FSC-klagomål mail.docx", "A 32216-2023")</f>
        <v/>
      </c>
      <c r="X156">
        <f>HYPERLINK("https://klasma.github.io/Logging_2283/tillsyn/A 32216-2023 tillsynsbegäran.docx", "A 32216-2023")</f>
        <v/>
      </c>
      <c r="Y156">
        <f>HYPERLINK("https://klasma.github.io/Logging_2283/tillsynsmail/A 32216-2023 tillsynsbegäran mail.docx", "A 32216-2023")</f>
        <v/>
      </c>
      <c r="Z156">
        <f>HYPERLINK("https://klasma.github.io/Logging_2283/fåglar/A 32216-2023 prioriterade fågelarter.docx", "A 32216-2023")</f>
        <v/>
      </c>
    </row>
    <row r="157" ht="15" customHeight="1">
      <c r="A157" t="inlineStr">
        <is>
          <t>A 21002-2025</t>
        </is>
      </c>
      <c r="B157" s="1" t="n">
        <v>45777.48998842593</v>
      </c>
      <c r="C157" s="1" t="n">
        <v>46161</v>
      </c>
      <c r="D157" t="inlineStr">
        <is>
          <t>VÄSTERNORRLANDS LÄN</t>
        </is>
      </c>
      <c r="E157" t="inlineStr">
        <is>
          <t>SOLLEFTEÅ</t>
        </is>
      </c>
      <c r="F157" t="inlineStr">
        <is>
          <t>SCA</t>
        </is>
      </c>
      <c r="G157" t="n">
        <v>3.1</v>
      </c>
      <c r="H157" t="n">
        <v>1</v>
      </c>
      <c r="I157" t="n">
        <v>2</v>
      </c>
      <c r="J157" t="n">
        <v>3</v>
      </c>
      <c r="K157" t="n">
        <v>0</v>
      </c>
      <c r="L157" t="n">
        <v>0</v>
      </c>
      <c r="M157" t="n">
        <v>0</v>
      </c>
      <c r="N157" t="n">
        <v>0</v>
      </c>
      <c r="O157" t="n">
        <v>3</v>
      </c>
      <c r="P157" t="n">
        <v>0</v>
      </c>
      <c r="Q157" t="n">
        <v>5</v>
      </c>
      <c r="R157" s="2" t="inlineStr">
        <is>
          <t>Granticka
Tretåig hackspett
Ullticka
Norrlandslav
Vedticka</t>
        </is>
      </c>
      <c r="S157">
        <f>HYPERLINK("https://klasma.github.io/Logging_2283/artfynd/A 21002-2025 artfynd.xlsx", "A 21002-2025")</f>
        <v/>
      </c>
      <c r="T157">
        <f>HYPERLINK("https://klasma.github.io/Logging_2283/kartor/A 21002-2025 karta.png", "A 21002-2025")</f>
        <v/>
      </c>
      <c r="V157">
        <f>HYPERLINK("https://klasma.github.io/Logging_2283/klagomål/A 21002-2025 FSC-klagomål.docx", "A 21002-2025")</f>
        <v/>
      </c>
      <c r="W157">
        <f>HYPERLINK("https://klasma.github.io/Logging_2283/klagomålsmail/A 21002-2025 FSC-klagomål mail.docx", "A 21002-2025")</f>
        <v/>
      </c>
      <c r="X157">
        <f>HYPERLINK("https://klasma.github.io/Logging_2283/tillsyn/A 21002-2025 tillsynsbegäran.docx", "A 21002-2025")</f>
        <v/>
      </c>
      <c r="Y157">
        <f>HYPERLINK("https://klasma.github.io/Logging_2283/tillsynsmail/A 21002-2025 tillsynsbegäran mail.docx", "A 21002-2025")</f>
        <v/>
      </c>
      <c r="Z157">
        <f>HYPERLINK("https://klasma.github.io/Logging_2283/fåglar/A 21002-2025 prioriterade fågelarter.docx", "A 21002-2025")</f>
        <v/>
      </c>
    </row>
    <row r="158" ht="15" customHeight="1">
      <c r="A158" t="inlineStr">
        <is>
          <t>A 30235-2022</t>
        </is>
      </c>
      <c r="B158" s="1" t="n">
        <v>44757</v>
      </c>
      <c r="C158" s="1" t="n">
        <v>46161</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50418-2024</t>
        </is>
      </c>
      <c r="B159" s="1" t="n">
        <v>45601.38575231482</v>
      </c>
      <c r="C159" s="1" t="n">
        <v>46161</v>
      </c>
      <c r="D159" t="inlineStr">
        <is>
          <t>VÄSTERNORRLANDS LÄN</t>
        </is>
      </c>
      <c r="E159" t="inlineStr">
        <is>
          <t>SOLLEFTEÅ</t>
        </is>
      </c>
      <c r="F159" t="inlineStr">
        <is>
          <t>SCA</t>
        </is>
      </c>
      <c r="G159" t="n">
        <v>3.4</v>
      </c>
      <c r="H159" t="n">
        <v>0</v>
      </c>
      <c r="I159" t="n">
        <v>0</v>
      </c>
      <c r="J159" t="n">
        <v>4</v>
      </c>
      <c r="K159" t="n">
        <v>1</v>
      </c>
      <c r="L159" t="n">
        <v>0</v>
      </c>
      <c r="M159" t="n">
        <v>0</v>
      </c>
      <c r="N159" t="n">
        <v>0</v>
      </c>
      <c r="O159" t="n">
        <v>5</v>
      </c>
      <c r="P159" t="n">
        <v>1</v>
      </c>
      <c r="Q159" t="n">
        <v>5</v>
      </c>
      <c r="R159" s="2" t="inlineStr">
        <is>
          <t>Rynkskinn
Garnlav
Granticka
Harticka
Lunglav</t>
        </is>
      </c>
      <c r="S159">
        <f>HYPERLINK("https://klasma.github.io/Logging_2283/artfynd/A 50418-2024 artfynd.xlsx", "A 50418-2024")</f>
        <v/>
      </c>
      <c r="T159">
        <f>HYPERLINK("https://klasma.github.io/Logging_2283/kartor/A 50418-2024 karta.png", "A 50418-2024")</f>
        <v/>
      </c>
      <c r="V159">
        <f>HYPERLINK("https://klasma.github.io/Logging_2283/klagomål/A 50418-2024 FSC-klagomål.docx", "A 50418-2024")</f>
        <v/>
      </c>
      <c r="W159">
        <f>HYPERLINK("https://klasma.github.io/Logging_2283/klagomålsmail/A 50418-2024 FSC-klagomål mail.docx", "A 50418-2024")</f>
        <v/>
      </c>
      <c r="X159">
        <f>HYPERLINK("https://klasma.github.io/Logging_2283/tillsyn/A 50418-2024 tillsynsbegäran.docx", "A 50418-2024")</f>
        <v/>
      </c>
      <c r="Y159">
        <f>HYPERLINK("https://klasma.github.io/Logging_2283/tillsynsmail/A 50418-2024 tillsynsbegäran mail.docx", "A 50418-2024")</f>
        <v/>
      </c>
    </row>
    <row r="160" ht="15" customHeight="1">
      <c r="A160" t="inlineStr">
        <is>
          <t>A 29249-2024</t>
        </is>
      </c>
      <c r="B160" s="1" t="n">
        <v>45482</v>
      </c>
      <c r="C160" s="1" t="n">
        <v>46161</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51341-2025</t>
        </is>
      </c>
      <c r="B161" s="1" t="n">
        <v>45950.42761574074</v>
      </c>
      <c r="C161" s="1" t="n">
        <v>46161</v>
      </c>
      <c r="D161" t="inlineStr">
        <is>
          <t>VÄSTERNORRLANDS LÄN</t>
        </is>
      </c>
      <c r="E161" t="inlineStr">
        <is>
          <t>SOLLEFTEÅ</t>
        </is>
      </c>
      <c r="F161" t="inlineStr">
        <is>
          <t>SCA</t>
        </is>
      </c>
      <c r="G161" t="n">
        <v>5.3</v>
      </c>
      <c r="H161" t="n">
        <v>0</v>
      </c>
      <c r="I161" t="n">
        <v>2</v>
      </c>
      <c r="J161" t="n">
        <v>3</v>
      </c>
      <c r="K161" t="n">
        <v>0</v>
      </c>
      <c r="L161" t="n">
        <v>0</v>
      </c>
      <c r="M161" t="n">
        <v>0</v>
      </c>
      <c r="N161" t="n">
        <v>0</v>
      </c>
      <c r="O161" t="n">
        <v>3</v>
      </c>
      <c r="P161" t="n">
        <v>0</v>
      </c>
      <c r="Q161" t="n">
        <v>5</v>
      </c>
      <c r="R161" s="2" t="inlineStr">
        <is>
          <t>Garnlav
Mörk kolflarnlav
Rosenticka
Dropptaggsvamp
Vedticka</t>
        </is>
      </c>
      <c r="S161">
        <f>HYPERLINK("https://klasma.github.io/Logging_2283/artfynd/A 51341-2025 artfynd.xlsx", "A 51341-2025")</f>
        <v/>
      </c>
      <c r="T161">
        <f>HYPERLINK("https://klasma.github.io/Logging_2283/kartor/A 51341-2025 karta.png", "A 51341-2025")</f>
        <v/>
      </c>
      <c r="V161">
        <f>HYPERLINK("https://klasma.github.io/Logging_2283/klagomål/A 51341-2025 FSC-klagomål.docx", "A 51341-2025")</f>
        <v/>
      </c>
      <c r="W161">
        <f>HYPERLINK("https://klasma.github.io/Logging_2283/klagomålsmail/A 51341-2025 FSC-klagomål mail.docx", "A 51341-2025")</f>
        <v/>
      </c>
      <c r="X161">
        <f>HYPERLINK("https://klasma.github.io/Logging_2283/tillsyn/A 51341-2025 tillsynsbegäran.docx", "A 51341-2025")</f>
        <v/>
      </c>
      <c r="Y161">
        <f>HYPERLINK("https://klasma.github.io/Logging_2283/tillsynsmail/A 51341-2025 tillsynsbegäran mail.docx", "A 51341-2025")</f>
        <v/>
      </c>
    </row>
    <row r="162" ht="15" customHeight="1">
      <c r="A162" t="inlineStr">
        <is>
          <t>A 23319-2025</t>
        </is>
      </c>
      <c r="B162" s="1" t="n">
        <v>45791.61511574074</v>
      </c>
      <c r="C162" s="1" t="n">
        <v>46161</v>
      </c>
      <c r="D162" t="inlineStr">
        <is>
          <t>VÄSTERNORRLANDS LÄN</t>
        </is>
      </c>
      <c r="E162" t="inlineStr">
        <is>
          <t>SOLLEFTEÅ</t>
        </is>
      </c>
      <c r="F162" t="inlineStr">
        <is>
          <t>SCA</t>
        </is>
      </c>
      <c r="G162" t="n">
        <v>5.3</v>
      </c>
      <c r="H162" t="n">
        <v>2</v>
      </c>
      <c r="I162" t="n">
        <v>3</v>
      </c>
      <c r="J162" t="n">
        <v>1</v>
      </c>
      <c r="K162" t="n">
        <v>0</v>
      </c>
      <c r="L162" t="n">
        <v>0</v>
      </c>
      <c r="M162" t="n">
        <v>0</v>
      </c>
      <c r="N162" t="n">
        <v>0</v>
      </c>
      <c r="O162" t="n">
        <v>1</v>
      </c>
      <c r="P162" t="n">
        <v>0</v>
      </c>
      <c r="Q162" t="n">
        <v>5</v>
      </c>
      <c r="R162" s="2" t="inlineStr">
        <is>
          <t>Lunglav
Plattlummer
Skinnlav
Stor aspticka
Revlummer</t>
        </is>
      </c>
      <c r="S162">
        <f>HYPERLINK("https://klasma.github.io/Logging_2283/artfynd/A 23319-2025 artfynd.xlsx", "A 23319-2025")</f>
        <v/>
      </c>
      <c r="T162">
        <f>HYPERLINK("https://klasma.github.io/Logging_2283/kartor/A 23319-2025 karta.png", "A 23319-2025")</f>
        <v/>
      </c>
      <c r="V162">
        <f>HYPERLINK("https://klasma.github.io/Logging_2283/klagomål/A 23319-2025 FSC-klagomål.docx", "A 23319-2025")</f>
        <v/>
      </c>
      <c r="W162">
        <f>HYPERLINK("https://klasma.github.io/Logging_2283/klagomålsmail/A 23319-2025 FSC-klagomål mail.docx", "A 23319-2025")</f>
        <v/>
      </c>
      <c r="X162">
        <f>HYPERLINK("https://klasma.github.io/Logging_2283/tillsyn/A 23319-2025 tillsynsbegäran.docx", "A 23319-2025")</f>
        <v/>
      </c>
      <c r="Y162">
        <f>HYPERLINK("https://klasma.github.io/Logging_2283/tillsynsmail/A 23319-2025 tillsynsbegäran mail.docx", "A 23319-2025")</f>
        <v/>
      </c>
    </row>
    <row r="163" ht="15" customHeight="1">
      <c r="A163" t="inlineStr">
        <is>
          <t>A 44407-2025</t>
        </is>
      </c>
      <c r="B163" s="1" t="n">
        <v>45916.52679398148</v>
      </c>
      <c r="C163" s="1" t="n">
        <v>46161</v>
      </c>
      <c r="D163" t="inlineStr">
        <is>
          <t>VÄSTERNORRLANDS LÄN</t>
        </is>
      </c>
      <c r="E163" t="inlineStr">
        <is>
          <t>SOLLEFTEÅ</t>
        </is>
      </c>
      <c r="G163" t="n">
        <v>4.1</v>
      </c>
      <c r="H163" t="n">
        <v>1</v>
      </c>
      <c r="I163" t="n">
        <v>3</v>
      </c>
      <c r="J163" t="n">
        <v>1</v>
      </c>
      <c r="K163" t="n">
        <v>0</v>
      </c>
      <c r="L163" t="n">
        <v>0</v>
      </c>
      <c r="M163" t="n">
        <v>0</v>
      </c>
      <c r="N163" t="n">
        <v>0</v>
      </c>
      <c r="O163" t="n">
        <v>1</v>
      </c>
      <c r="P163" t="n">
        <v>0</v>
      </c>
      <c r="Q163" t="n">
        <v>5</v>
      </c>
      <c r="R163" s="2" t="inlineStr">
        <is>
          <t>Granticka
Dvärghäxört
Luddlav
Stuplav
Revlummer</t>
        </is>
      </c>
      <c r="S163">
        <f>HYPERLINK("https://klasma.github.io/Logging_2283/artfynd/A 44407-2025 artfynd.xlsx", "A 44407-2025")</f>
        <v/>
      </c>
      <c r="T163">
        <f>HYPERLINK("https://klasma.github.io/Logging_2283/kartor/A 44407-2025 karta.png", "A 44407-2025")</f>
        <v/>
      </c>
      <c r="V163">
        <f>HYPERLINK("https://klasma.github.io/Logging_2283/klagomål/A 44407-2025 FSC-klagomål.docx", "A 44407-2025")</f>
        <v/>
      </c>
      <c r="W163">
        <f>HYPERLINK("https://klasma.github.io/Logging_2283/klagomålsmail/A 44407-2025 FSC-klagomål mail.docx", "A 44407-2025")</f>
        <v/>
      </c>
      <c r="X163">
        <f>HYPERLINK("https://klasma.github.io/Logging_2283/tillsyn/A 44407-2025 tillsynsbegäran.docx", "A 44407-2025")</f>
        <v/>
      </c>
      <c r="Y163">
        <f>HYPERLINK("https://klasma.github.io/Logging_2283/tillsynsmail/A 44407-2025 tillsynsbegäran mail.docx", "A 44407-2025")</f>
        <v/>
      </c>
    </row>
    <row r="164" ht="15" customHeight="1">
      <c r="A164" t="inlineStr">
        <is>
          <t>A 44797-2025</t>
        </is>
      </c>
      <c r="B164" s="1" t="n">
        <v>45918.34486111111</v>
      </c>
      <c r="C164" s="1" t="n">
        <v>46161</v>
      </c>
      <c r="D164" t="inlineStr">
        <is>
          <t>VÄSTERNORRLANDS LÄN</t>
        </is>
      </c>
      <c r="E164" t="inlineStr">
        <is>
          <t>SOLLEFTEÅ</t>
        </is>
      </c>
      <c r="F164" t="inlineStr">
        <is>
          <t>SCA</t>
        </is>
      </c>
      <c r="G164" t="n">
        <v>2.4</v>
      </c>
      <c r="H164" t="n">
        <v>0</v>
      </c>
      <c r="I164" t="n">
        <v>1</v>
      </c>
      <c r="J164" t="n">
        <v>3</v>
      </c>
      <c r="K164" t="n">
        <v>1</v>
      </c>
      <c r="L164" t="n">
        <v>0</v>
      </c>
      <c r="M164" t="n">
        <v>0</v>
      </c>
      <c r="N164" t="n">
        <v>0</v>
      </c>
      <c r="O164" t="n">
        <v>4</v>
      </c>
      <c r="P164" t="n">
        <v>1</v>
      </c>
      <c r="Q164" t="n">
        <v>5</v>
      </c>
      <c r="R164" s="2" t="inlineStr">
        <is>
          <t>Goliatmusseron
Dvärgbägarlav
Orange taggsvamp
Skrovlig taggsvamp
Skarp dropptaggsvamp</t>
        </is>
      </c>
      <c r="S164">
        <f>HYPERLINK("https://klasma.github.io/Logging_2283/artfynd/A 44797-2025 artfynd.xlsx", "A 44797-2025")</f>
        <v/>
      </c>
      <c r="T164">
        <f>HYPERLINK("https://klasma.github.io/Logging_2283/kartor/A 44797-2025 karta.png", "A 44797-2025")</f>
        <v/>
      </c>
      <c r="V164">
        <f>HYPERLINK("https://klasma.github.io/Logging_2283/klagomål/A 44797-2025 FSC-klagomål.docx", "A 44797-2025")</f>
        <v/>
      </c>
      <c r="W164">
        <f>HYPERLINK("https://klasma.github.io/Logging_2283/klagomålsmail/A 44797-2025 FSC-klagomål mail.docx", "A 44797-2025")</f>
        <v/>
      </c>
      <c r="X164">
        <f>HYPERLINK("https://klasma.github.io/Logging_2283/tillsyn/A 44797-2025 tillsynsbegäran.docx", "A 44797-2025")</f>
        <v/>
      </c>
      <c r="Y164">
        <f>HYPERLINK("https://klasma.github.io/Logging_2283/tillsynsmail/A 44797-2025 tillsynsbegäran mail.docx", "A 44797-2025")</f>
        <v/>
      </c>
    </row>
    <row r="165" ht="15" customHeight="1">
      <c r="A165" t="inlineStr">
        <is>
          <t>A 54192-2025</t>
        </is>
      </c>
      <c r="B165" s="1" t="n">
        <v>45964.57350694444</v>
      </c>
      <c r="C165" s="1" t="n">
        <v>46161</v>
      </c>
      <c r="D165" t="inlineStr">
        <is>
          <t>VÄSTERNORRLANDS LÄN</t>
        </is>
      </c>
      <c r="E165" t="inlineStr">
        <is>
          <t>SOLLEFTEÅ</t>
        </is>
      </c>
      <c r="F165" t="inlineStr">
        <is>
          <t>SCA</t>
        </is>
      </c>
      <c r="G165" t="n">
        <v>3.2</v>
      </c>
      <c r="H165" t="n">
        <v>2</v>
      </c>
      <c r="I165" t="n">
        <v>0</v>
      </c>
      <c r="J165" t="n">
        <v>3</v>
      </c>
      <c r="K165" t="n">
        <v>1</v>
      </c>
      <c r="L165" t="n">
        <v>0</v>
      </c>
      <c r="M165" t="n">
        <v>0</v>
      </c>
      <c r="N165" t="n">
        <v>0</v>
      </c>
      <c r="O165" t="n">
        <v>4</v>
      </c>
      <c r="P165" t="n">
        <v>1</v>
      </c>
      <c r="Q165" t="n">
        <v>5</v>
      </c>
      <c r="R165" s="2" t="inlineStr">
        <is>
          <t>Knärot
Garnlav
Kolflarnlav
Lunglav
Tjäder</t>
        </is>
      </c>
      <c r="S165">
        <f>HYPERLINK("https://klasma.github.io/Logging_2283/artfynd/A 54192-2025 artfynd.xlsx", "A 54192-2025")</f>
        <v/>
      </c>
      <c r="T165">
        <f>HYPERLINK("https://klasma.github.io/Logging_2283/kartor/A 54192-2025 karta.png", "A 54192-2025")</f>
        <v/>
      </c>
      <c r="U165">
        <f>HYPERLINK("https://klasma.github.io/Logging_2283/knärot/A 54192-2025 karta knärot.png", "A 54192-2025")</f>
        <v/>
      </c>
      <c r="V165">
        <f>HYPERLINK("https://klasma.github.io/Logging_2283/klagomål/A 54192-2025 FSC-klagomål.docx", "A 54192-2025")</f>
        <v/>
      </c>
      <c r="W165">
        <f>HYPERLINK("https://klasma.github.io/Logging_2283/klagomålsmail/A 54192-2025 FSC-klagomål mail.docx", "A 54192-2025")</f>
        <v/>
      </c>
      <c r="X165">
        <f>HYPERLINK("https://klasma.github.io/Logging_2283/tillsyn/A 54192-2025 tillsynsbegäran.docx", "A 54192-2025")</f>
        <v/>
      </c>
      <c r="Y165">
        <f>HYPERLINK("https://klasma.github.io/Logging_2283/tillsynsmail/A 54192-2025 tillsynsbegäran mail.docx", "A 54192-2025")</f>
        <v/>
      </c>
      <c r="Z165">
        <f>HYPERLINK("https://klasma.github.io/Logging_2283/fåglar/A 54192-2025 prioriterade fågelarter.docx", "A 54192-2025")</f>
        <v/>
      </c>
    </row>
    <row r="166" ht="15" customHeight="1">
      <c r="A166" t="inlineStr">
        <is>
          <t>A 59381-2024</t>
        </is>
      </c>
      <c r="B166" s="1" t="n">
        <v>45638</v>
      </c>
      <c r="C166" s="1" t="n">
        <v>46161</v>
      </c>
      <c r="D166" t="inlineStr">
        <is>
          <t>VÄSTERNORRLANDS LÄN</t>
        </is>
      </c>
      <c r="E166" t="inlineStr">
        <is>
          <t>SOLLEFTEÅ</t>
        </is>
      </c>
      <c r="G166" t="n">
        <v>5.4</v>
      </c>
      <c r="H166" t="n">
        <v>2</v>
      </c>
      <c r="I166" t="n">
        <v>0</v>
      </c>
      <c r="J166" t="n">
        <v>4</v>
      </c>
      <c r="K166" t="n">
        <v>0</v>
      </c>
      <c r="L166" t="n">
        <v>0</v>
      </c>
      <c r="M166" t="n">
        <v>0</v>
      </c>
      <c r="N166" t="n">
        <v>0</v>
      </c>
      <c r="O166" t="n">
        <v>4</v>
      </c>
      <c r="P166" t="n">
        <v>0</v>
      </c>
      <c r="Q166" t="n">
        <v>5</v>
      </c>
      <c r="R166" s="2" t="inlineStr">
        <is>
          <t>Garnlav
Rosenticka
Talltita
Ullticka
Fläcknycklar</t>
        </is>
      </c>
      <c r="S166">
        <f>HYPERLINK("https://klasma.github.io/Logging_2283/artfynd/A 59381-2024 artfynd.xlsx", "A 59381-2024")</f>
        <v/>
      </c>
      <c r="T166">
        <f>HYPERLINK("https://klasma.github.io/Logging_2283/kartor/A 59381-2024 karta.png", "A 59381-2024")</f>
        <v/>
      </c>
      <c r="U166">
        <f>HYPERLINK("https://klasma.github.io/Logging_2283/knärot/A 59381-2024 karta knärot.png", "A 59381-2024")</f>
        <v/>
      </c>
      <c r="V166">
        <f>HYPERLINK("https://klasma.github.io/Logging_2283/klagomål/A 59381-2024 FSC-klagomål.docx", "A 59381-2024")</f>
        <v/>
      </c>
      <c r="W166">
        <f>HYPERLINK("https://klasma.github.io/Logging_2283/klagomålsmail/A 59381-2024 FSC-klagomål mail.docx", "A 59381-2024")</f>
        <v/>
      </c>
      <c r="X166">
        <f>HYPERLINK("https://klasma.github.io/Logging_2283/tillsyn/A 59381-2024 tillsynsbegäran.docx", "A 59381-2024")</f>
        <v/>
      </c>
      <c r="Y166">
        <f>HYPERLINK("https://klasma.github.io/Logging_2283/tillsynsmail/A 59381-2024 tillsynsbegäran mail.docx", "A 59381-2024")</f>
        <v/>
      </c>
      <c r="Z166">
        <f>HYPERLINK("https://klasma.github.io/Logging_2283/fåglar/A 59381-2024 prioriterade fågelarter.docx", "A 59381-2024")</f>
        <v/>
      </c>
    </row>
    <row r="167" ht="15" customHeight="1">
      <c r="A167" t="inlineStr">
        <is>
          <t>A 58362-2025</t>
        </is>
      </c>
      <c r="B167" s="1" t="n">
        <v>45982</v>
      </c>
      <c r="C167" s="1" t="n">
        <v>46161</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27910-2024</t>
        </is>
      </c>
      <c r="B168" s="1" t="n">
        <v>45475</v>
      </c>
      <c r="C168" s="1" t="n">
        <v>46161</v>
      </c>
      <c r="D168" t="inlineStr">
        <is>
          <t>VÄSTERNORRLANDS LÄN</t>
        </is>
      </c>
      <c r="E168" t="inlineStr">
        <is>
          <t>SOLLEFTEÅ</t>
        </is>
      </c>
      <c r="F168" t="inlineStr">
        <is>
          <t>SCA</t>
        </is>
      </c>
      <c r="G168" t="n">
        <v>3.2</v>
      </c>
      <c r="H168" t="n">
        <v>0</v>
      </c>
      <c r="I168" t="n">
        <v>1</v>
      </c>
      <c r="J168" t="n">
        <v>3</v>
      </c>
      <c r="K168" t="n">
        <v>1</v>
      </c>
      <c r="L168" t="n">
        <v>0</v>
      </c>
      <c r="M168" t="n">
        <v>0</v>
      </c>
      <c r="N168" t="n">
        <v>0</v>
      </c>
      <c r="O168" t="n">
        <v>4</v>
      </c>
      <c r="P168" t="n">
        <v>1</v>
      </c>
      <c r="Q168" t="n">
        <v>5</v>
      </c>
      <c r="R168" s="2" t="inlineStr">
        <is>
          <t>Rynkskinn
Gammelgransskål
Rosenticka
Ullticka
Vedticka</t>
        </is>
      </c>
      <c r="S168">
        <f>HYPERLINK("https://klasma.github.io/Logging_2283/artfynd/A 27910-2024 artfynd.xlsx", "A 27910-2024")</f>
        <v/>
      </c>
      <c r="T168">
        <f>HYPERLINK("https://klasma.github.io/Logging_2283/kartor/A 27910-2024 karta.png", "A 27910-2024")</f>
        <v/>
      </c>
      <c r="V168">
        <f>HYPERLINK("https://klasma.github.io/Logging_2283/klagomål/A 27910-2024 FSC-klagomål.docx", "A 27910-2024")</f>
        <v/>
      </c>
      <c r="W168">
        <f>HYPERLINK("https://klasma.github.io/Logging_2283/klagomålsmail/A 27910-2024 FSC-klagomål mail.docx", "A 27910-2024")</f>
        <v/>
      </c>
      <c r="X168">
        <f>HYPERLINK("https://klasma.github.io/Logging_2283/tillsyn/A 27910-2024 tillsynsbegäran.docx", "A 27910-2024")</f>
        <v/>
      </c>
      <c r="Y168">
        <f>HYPERLINK("https://klasma.github.io/Logging_2283/tillsynsmail/A 27910-2024 tillsynsbegäran mail.docx", "A 27910-2024")</f>
        <v/>
      </c>
    </row>
    <row r="169" ht="15" customHeight="1">
      <c r="A169" t="inlineStr">
        <is>
          <t>A 40866-2023</t>
        </is>
      </c>
      <c r="B169" s="1" t="n">
        <v>45173</v>
      </c>
      <c r="C169" s="1" t="n">
        <v>46161</v>
      </c>
      <c r="D169" t="inlineStr">
        <is>
          <t>VÄSTERNORRLANDS LÄN</t>
        </is>
      </c>
      <c r="E169" t="inlineStr">
        <is>
          <t>SOLLEFTEÅ</t>
        </is>
      </c>
      <c r="G169" t="n">
        <v>1.7</v>
      </c>
      <c r="H169" t="n">
        <v>4</v>
      </c>
      <c r="I169" t="n">
        <v>1</v>
      </c>
      <c r="J169" t="n">
        <v>2</v>
      </c>
      <c r="K169" t="n">
        <v>0</v>
      </c>
      <c r="L169" t="n">
        <v>0</v>
      </c>
      <c r="M169" t="n">
        <v>0</v>
      </c>
      <c r="N169" t="n">
        <v>0</v>
      </c>
      <c r="O169" t="n">
        <v>2</v>
      </c>
      <c r="P169" t="n">
        <v>0</v>
      </c>
      <c r="Q169" t="n">
        <v>5</v>
      </c>
      <c r="R169" s="2" t="inlineStr">
        <is>
          <t>Mindre hackspett
Spillkråka
Tibast
Göktyta
Skogsödla</t>
        </is>
      </c>
      <c r="S169">
        <f>HYPERLINK("https://klasma.github.io/Logging_2283/artfynd/A 40866-2023 artfynd.xlsx", "A 40866-2023")</f>
        <v/>
      </c>
      <c r="T169">
        <f>HYPERLINK("https://klasma.github.io/Logging_2283/kartor/A 40866-2023 karta.png", "A 40866-2023")</f>
        <v/>
      </c>
      <c r="V169">
        <f>HYPERLINK("https://klasma.github.io/Logging_2283/klagomål/A 40866-2023 FSC-klagomål.docx", "A 40866-2023")</f>
        <v/>
      </c>
      <c r="W169">
        <f>HYPERLINK("https://klasma.github.io/Logging_2283/klagomålsmail/A 40866-2023 FSC-klagomål mail.docx", "A 40866-2023")</f>
        <v/>
      </c>
      <c r="X169">
        <f>HYPERLINK("https://klasma.github.io/Logging_2283/tillsyn/A 40866-2023 tillsynsbegäran.docx", "A 40866-2023")</f>
        <v/>
      </c>
      <c r="Y169">
        <f>HYPERLINK("https://klasma.github.io/Logging_2283/tillsynsmail/A 40866-2023 tillsynsbegäran mail.docx", "A 40866-2023")</f>
        <v/>
      </c>
      <c r="Z169">
        <f>HYPERLINK("https://klasma.github.io/Logging_2283/fåglar/A 40866-2023 prioriterade fågelarter.docx", "A 40866-2023")</f>
        <v/>
      </c>
    </row>
    <row r="170" ht="15" customHeight="1">
      <c r="A170" t="inlineStr">
        <is>
          <t>A 59662-2023</t>
        </is>
      </c>
      <c r="B170" s="1" t="n">
        <v>45254.96438657407</v>
      </c>
      <c r="C170" s="1" t="n">
        <v>46161</v>
      </c>
      <c r="D170" t="inlineStr">
        <is>
          <t>VÄSTERNORRLANDS LÄN</t>
        </is>
      </c>
      <c r="E170" t="inlineStr">
        <is>
          <t>SOLLEFTEÅ</t>
        </is>
      </c>
      <c r="F170" t="inlineStr">
        <is>
          <t>SCA</t>
        </is>
      </c>
      <c r="G170" t="n">
        <v>4.8</v>
      </c>
      <c r="H170" t="n">
        <v>1</v>
      </c>
      <c r="I170" t="n">
        <v>0</v>
      </c>
      <c r="J170" t="n">
        <v>4</v>
      </c>
      <c r="K170" t="n">
        <v>1</v>
      </c>
      <c r="L170" t="n">
        <v>0</v>
      </c>
      <c r="M170" t="n">
        <v>0</v>
      </c>
      <c r="N170" t="n">
        <v>0</v>
      </c>
      <c r="O170" t="n">
        <v>5</v>
      </c>
      <c r="P170" t="n">
        <v>1</v>
      </c>
      <c r="Q170" t="n">
        <v>5</v>
      </c>
      <c r="R170" s="2" t="inlineStr">
        <is>
          <t>Knärot
Dvärgbägarlav
Kolflarnlav
Koralltaggsvamp
Tallticka</t>
        </is>
      </c>
      <c r="S170">
        <f>HYPERLINK("https://klasma.github.io/Logging_2283/artfynd/A 59662-2023 artfynd.xlsx", "A 59662-2023")</f>
        <v/>
      </c>
      <c r="T170">
        <f>HYPERLINK("https://klasma.github.io/Logging_2283/kartor/A 59662-2023 karta.png", "A 59662-2023")</f>
        <v/>
      </c>
      <c r="U170">
        <f>HYPERLINK("https://klasma.github.io/Logging_2283/knärot/A 59662-2023 karta knärot.png", "A 59662-2023")</f>
        <v/>
      </c>
      <c r="V170">
        <f>HYPERLINK("https://klasma.github.io/Logging_2283/klagomål/A 59662-2023 FSC-klagomål.docx", "A 59662-2023")</f>
        <v/>
      </c>
      <c r="W170">
        <f>HYPERLINK("https://klasma.github.io/Logging_2283/klagomålsmail/A 59662-2023 FSC-klagomål mail.docx", "A 59662-2023")</f>
        <v/>
      </c>
      <c r="X170">
        <f>HYPERLINK("https://klasma.github.io/Logging_2283/tillsyn/A 59662-2023 tillsynsbegäran.docx", "A 59662-2023")</f>
        <v/>
      </c>
      <c r="Y170">
        <f>HYPERLINK("https://klasma.github.io/Logging_2283/tillsynsmail/A 59662-2023 tillsynsbegäran mail.docx", "A 59662-2023")</f>
        <v/>
      </c>
    </row>
    <row r="171" ht="15" customHeight="1">
      <c r="A171" t="inlineStr">
        <is>
          <t>A 27675-2023</t>
        </is>
      </c>
      <c r="B171" s="1" t="n">
        <v>45097</v>
      </c>
      <c r="C171" s="1" t="n">
        <v>46161</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3575-2026</t>
        </is>
      </c>
      <c r="B172" s="1" t="n">
        <v>46042.71269675926</v>
      </c>
      <c r="C172" s="1" t="n">
        <v>46161</v>
      </c>
      <c r="D172" t="inlineStr">
        <is>
          <t>VÄSTERNORRLANDS LÄN</t>
        </is>
      </c>
      <c r="E172" t="inlineStr">
        <is>
          <t>SOLLEFTEÅ</t>
        </is>
      </c>
      <c r="G172" t="n">
        <v>4.7</v>
      </c>
      <c r="H172" t="n">
        <v>0</v>
      </c>
      <c r="I172" t="n">
        <v>1</v>
      </c>
      <c r="J172" t="n">
        <v>4</v>
      </c>
      <c r="K172" t="n">
        <v>0</v>
      </c>
      <c r="L172" t="n">
        <v>0</v>
      </c>
      <c r="M172" t="n">
        <v>0</v>
      </c>
      <c r="N172" t="n">
        <v>0</v>
      </c>
      <c r="O172" t="n">
        <v>4</v>
      </c>
      <c r="P172" t="n">
        <v>0</v>
      </c>
      <c r="Q172" t="n">
        <v>5</v>
      </c>
      <c r="R172" s="2" t="inlineStr">
        <is>
          <t>Garnlav
Rosenticka
Stjärntagging
Ullticka
Vedticka</t>
        </is>
      </c>
      <c r="S172">
        <f>HYPERLINK("https://klasma.github.io/Logging_2283/artfynd/A 3575-2026 artfynd.xlsx", "A 3575-2026")</f>
        <v/>
      </c>
      <c r="T172">
        <f>HYPERLINK("https://klasma.github.io/Logging_2283/kartor/A 3575-2026 karta.png", "A 3575-2026")</f>
        <v/>
      </c>
      <c r="V172">
        <f>HYPERLINK("https://klasma.github.io/Logging_2283/klagomål/A 3575-2026 FSC-klagomål.docx", "A 3575-2026")</f>
        <v/>
      </c>
      <c r="W172">
        <f>HYPERLINK("https://klasma.github.io/Logging_2283/klagomålsmail/A 3575-2026 FSC-klagomål mail.docx", "A 3575-2026")</f>
        <v/>
      </c>
      <c r="X172">
        <f>HYPERLINK("https://klasma.github.io/Logging_2283/tillsyn/A 3575-2026 tillsynsbegäran.docx", "A 3575-2026")</f>
        <v/>
      </c>
      <c r="Y172">
        <f>HYPERLINK("https://klasma.github.io/Logging_2283/tillsynsmail/A 3575-2026 tillsynsbegäran mail.docx", "A 3575-2026")</f>
        <v/>
      </c>
    </row>
    <row r="173" ht="15" customHeight="1">
      <c r="A173" t="inlineStr">
        <is>
          <t>A 56420-2025</t>
        </is>
      </c>
      <c r="B173" s="1" t="n">
        <v>45975</v>
      </c>
      <c r="C173" s="1" t="n">
        <v>46161</v>
      </c>
      <c r="D173" t="inlineStr">
        <is>
          <t>VÄSTERNORRLANDS LÄN</t>
        </is>
      </c>
      <c r="E173" t="inlineStr">
        <is>
          <t>SOLLEFTEÅ</t>
        </is>
      </c>
      <c r="F173" t="inlineStr">
        <is>
          <t>SCA</t>
        </is>
      </c>
      <c r="G173" t="n">
        <v>3.7</v>
      </c>
      <c r="H173" t="n">
        <v>1</v>
      </c>
      <c r="I173" t="n">
        <v>1</v>
      </c>
      <c r="J173" t="n">
        <v>4</v>
      </c>
      <c r="K173" t="n">
        <v>0</v>
      </c>
      <c r="L173" t="n">
        <v>0</v>
      </c>
      <c r="M173" t="n">
        <v>0</v>
      </c>
      <c r="N173" t="n">
        <v>0</v>
      </c>
      <c r="O173" t="n">
        <v>4</v>
      </c>
      <c r="P173" t="n">
        <v>0</v>
      </c>
      <c r="Q173" t="n">
        <v>5</v>
      </c>
      <c r="R173" s="2" t="inlineStr">
        <is>
          <t>Garnlav
Kolflarnlav
Tretåig hackspett
Vedskivlav
Dropptaggsvamp</t>
        </is>
      </c>
      <c r="S173">
        <f>HYPERLINK("https://klasma.github.io/Logging_2283/artfynd/A 56420-2025 artfynd.xlsx", "A 56420-2025")</f>
        <v/>
      </c>
      <c r="T173">
        <f>HYPERLINK("https://klasma.github.io/Logging_2283/kartor/A 56420-2025 karta.png", "A 56420-2025")</f>
        <v/>
      </c>
      <c r="V173">
        <f>HYPERLINK("https://klasma.github.io/Logging_2283/klagomål/A 56420-2025 FSC-klagomål.docx", "A 56420-2025")</f>
        <v/>
      </c>
      <c r="W173">
        <f>HYPERLINK("https://klasma.github.io/Logging_2283/klagomålsmail/A 56420-2025 FSC-klagomål mail.docx", "A 56420-2025")</f>
        <v/>
      </c>
      <c r="X173">
        <f>HYPERLINK("https://klasma.github.io/Logging_2283/tillsyn/A 56420-2025 tillsynsbegäran.docx", "A 56420-2025")</f>
        <v/>
      </c>
      <c r="Y173">
        <f>HYPERLINK("https://klasma.github.io/Logging_2283/tillsynsmail/A 56420-2025 tillsynsbegäran mail.docx", "A 56420-2025")</f>
        <v/>
      </c>
      <c r="Z173">
        <f>HYPERLINK("https://klasma.github.io/Logging_2283/fåglar/A 56420-2025 prioriterade fågelarter.docx", "A 56420-2025")</f>
        <v/>
      </c>
    </row>
    <row r="174" ht="15" customHeight="1">
      <c r="A174" t="inlineStr">
        <is>
          <t>A 33519-2024</t>
        </is>
      </c>
      <c r="B174" s="1" t="n">
        <v>45519</v>
      </c>
      <c r="C174" s="1" t="n">
        <v>46161</v>
      </c>
      <c r="D174" t="inlineStr">
        <is>
          <t>VÄSTERNORRLANDS LÄN</t>
        </is>
      </c>
      <c r="E174" t="inlineStr">
        <is>
          <t>SOLLEFTEÅ</t>
        </is>
      </c>
      <c r="G174" t="n">
        <v>3.6</v>
      </c>
      <c r="H174" t="n">
        <v>0</v>
      </c>
      <c r="I174" t="n">
        <v>1</v>
      </c>
      <c r="J174" t="n">
        <v>4</v>
      </c>
      <c r="K174" t="n">
        <v>0</v>
      </c>
      <c r="L174" t="n">
        <v>0</v>
      </c>
      <c r="M174" t="n">
        <v>0</v>
      </c>
      <c r="N174" t="n">
        <v>0</v>
      </c>
      <c r="O174" t="n">
        <v>4</v>
      </c>
      <c r="P174" t="n">
        <v>0</v>
      </c>
      <c r="Q174" t="n">
        <v>5</v>
      </c>
      <c r="R174" s="2" t="inlineStr">
        <is>
          <t>Garnlav
Kolflarnlav
Skrovlig taggsvamp
Vaddporing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17770-2026</t>
        </is>
      </c>
      <c r="B175" s="1" t="n">
        <v>46122.36533564814</v>
      </c>
      <c r="C175" s="1" t="n">
        <v>46161</v>
      </c>
      <c r="D175" t="inlineStr">
        <is>
          <t>VÄSTERNORRLANDS LÄN</t>
        </is>
      </c>
      <c r="E175" t="inlineStr">
        <is>
          <t>SOLLEFTEÅ</t>
        </is>
      </c>
      <c r="F175" t="inlineStr">
        <is>
          <t>SCA</t>
        </is>
      </c>
      <c r="G175" t="n">
        <v>9.699999999999999</v>
      </c>
      <c r="H175" t="n">
        <v>3</v>
      </c>
      <c r="I175" t="n">
        <v>0</v>
      </c>
      <c r="J175" t="n">
        <v>5</v>
      </c>
      <c r="K175" t="n">
        <v>0</v>
      </c>
      <c r="L175" t="n">
        <v>0</v>
      </c>
      <c r="M175" t="n">
        <v>0</v>
      </c>
      <c r="N175" t="n">
        <v>0</v>
      </c>
      <c r="O175" t="n">
        <v>5</v>
      </c>
      <c r="P175" t="n">
        <v>0</v>
      </c>
      <c r="Q175" t="n">
        <v>5</v>
      </c>
      <c r="R175" s="2" t="inlineStr">
        <is>
          <t>Garnlav
Rosenticka
Spillkråka
Talltita
Tretåig hackspett</t>
        </is>
      </c>
      <c r="S175">
        <f>HYPERLINK("https://klasma.github.io/Logging_2283/artfynd/A 17770-2026 artfynd.xlsx", "A 17770-2026")</f>
        <v/>
      </c>
      <c r="T175">
        <f>HYPERLINK("https://klasma.github.io/Logging_2283/kartor/A 17770-2026 karta.png", "A 17770-2026")</f>
        <v/>
      </c>
      <c r="V175">
        <f>HYPERLINK("https://klasma.github.io/Logging_2283/klagomål/A 17770-2026 FSC-klagomål.docx", "A 17770-2026")</f>
        <v/>
      </c>
      <c r="W175">
        <f>HYPERLINK("https://klasma.github.io/Logging_2283/klagomålsmail/A 17770-2026 FSC-klagomål mail.docx", "A 17770-2026")</f>
        <v/>
      </c>
      <c r="X175">
        <f>HYPERLINK("https://klasma.github.io/Logging_2283/tillsyn/A 17770-2026 tillsynsbegäran.docx", "A 17770-2026")</f>
        <v/>
      </c>
      <c r="Y175">
        <f>HYPERLINK("https://klasma.github.io/Logging_2283/tillsynsmail/A 17770-2026 tillsynsbegäran mail.docx", "A 17770-2026")</f>
        <v/>
      </c>
      <c r="Z175">
        <f>HYPERLINK("https://klasma.github.io/Logging_2283/fåglar/A 17770-2026 prioriterade fågelarter.docx", "A 17770-2026")</f>
        <v/>
      </c>
    </row>
    <row r="176" ht="15" customHeight="1">
      <c r="A176" t="inlineStr">
        <is>
          <t>A 48562-2024</t>
        </is>
      </c>
      <c r="B176" s="1" t="n">
        <v>45593.38597222222</v>
      </c>
      <c r="C176" s="1" t="n">
        <v>46161</v>
      </c>
      <c r="D176" t="inlineStr">
        <is>
          <t>VÄSTERNORRLANDS LÄN</t>
        </is>
      </c>
      <c r="E176" t="inlineStr">
        <is>
          <t>SOLLEFTEÅ</t>
        </is>
      </c>
      <c r="F176" t="inlineStr">
        <is>
          <t>SCA</t>
        </is>
      </c>
      <c r="G176" t="n">
        <v>5.3</v>
      </c>
      <c r="H176" t="n">
        <v>1</v>
      </c>
      <c r="I176" t="n">
        <v>1</v>
      </c>
      <c r="J176" t="n">
        <v>4</v>
      </c>
      <c r="K176" t="n">
        <v>0</v>
      </c>
      <c r="L176" t="n">
        <v>0</v>
      </c>
      <c r="M176" t="n">
        <v>0</v>
      </c>
      <c r="N176" t="n">
        <v>0</v>
      </c>
      <c r="O176" t="n">
        <v>4</v>
      </c>
      <c r="P176" t="n">
        <v>0</v>
      </c>
      <c r="Q176" t="n">
        <v>5</v>
      </c>
      <c r="R176" s="2" t="inlineStr">
        <is>
          <t>Gammelgransskål
Garnlav
Lunglav
Vitgrynig nållav
Lappranunkel</t>
        </is>
      </c>
      <c r="S176">
        <f>HYPERLINK("https://klasma.github.io/Logging_2283/artfynd/A 48562-2024 artfynd.xlsx", "A 48562-2024")</f>
        <v/>
      </c>
      <c r="T176">
        <f>HYPERLINK("https://klasma.github.io/Logging_2283/kartor/A 48562-2024 karta.png", "A 48562-2024")</f>
        <v/>
      </c>
      <c r="V176">
        <f>HYPERLINK("https://klasma.github.io/Logging_2283/klagomål/A 48562-2024 FSC-klagomål.docx", "A 48562-2024")</f>
        <v/>
      </c>
      <c r="W176">
        <f>HYPERLINK("https://klasma.github.io/Logging_2283/klagomålsmail/A 48562-2024 FSC-klagomål mail.docx", "A 48562-2024")</f>
        <v/>
      </c>
      <c r="X176">
        <f>HYPERLINK("https://klasma.github.io/Logging_2283/tillsyn/A 48562-2024 tillsynsbegäran.docx", "A 48562-2024")</f>
        <v/>
      </c>
      <c r="Y176">
        <f>HYPERLINK("https://klasma.github.io/Logging_2283/tillsynsmail/A 48562-2024 tillsynsbegäran mail.docx", "A 48562-2024")</f>
        <v/>
      </c>
    </row>
    <row r="177" ht="15" customHeight="1">
      <c r="A177" t="inlineStr">
        <is>
          <t>A 41169-2022</t>
        </is>
      </c>
      <c r="B177" s="1" t="n">
        <v>44825</v>
      </c>
      <c r="C177" s="1" t="n">
        <v>46161</v>
      </c>
      <c r="D177" t="inlineStr">
        <is>
          <t>VÄSTERNORRLANDS LÄN</t>
        </is>
      </c>
      <c r="E177" t="inlineStr">
        <is>
          <t>SOLLEFTEÅ</t>
        </is>
      </c>
      <c r="F177" t="inlineStr">
        <is>
          <t>SCA</t>
        </is>
      </c>
      <c r="G177" t="n">
        <v>1.8</v>
      </c>
      <c r="H177" t="n">
        <v>2</v>
      </c>
      <c r="I177" t="n">
        <v>1</v>
      </c>
      <c r="J177" t="n">
        <v>4</v>
      </c>
      <c r="K177" t="n">
        <v>0</v>
      </c>
      <c r="L177" t="n">
        <v>0</v>
      </c>
      <c r="M177" t="n">
        <v>0</v>
      </c>
      <c r="N177" t="n">
        <v>0</v>
      </c>
      <c r="O177" t="n">
        <v>4</v>
      </c>
      <c r="P177" t="n">
        <v>0</v>
      </c>
      <c r="Q177" t="n">
        <v>5</v>
      </c>
      <c r="R177" s="2" t="inlineStr">
        <is>
          <t>Spillkråka
Tretåig hackspett
Ullticka
Vedskivlav
Vedticka</t>
        </is>
      </c>
      <c r="S177">
        <f>HYPERLINK("https://klasma.github.io/Logging_2283/artfynd/A 41169-2022 artfynd.xlsx", "A 41169-2022")</f>
        <v/>
      </c>
      <c r="T177">
        <f>HYPERLINK("https://klasma.github.io/Logging_2283/kartor/A 41169-2022 karta.png", "A 41169-2022")</f>
        <v/>
      </c>
      <c r="V177">
        <f>HYPERLINK("https://klasma.github.io/Logging_2283/klagomål/A 41169-2022 FSC-klagomål.docx", "A 41169-2022")</f>
        <v/>
      </c>
      <c r="W177">
        <f>HYPERLINK("https://klasma.github.io/Logging_2283/klagomålsmail/A 41169-2022 FSC-klagomål mail.docx", "A 41169-2022")</f>
        <v/>
      </c>
      <c r="X177">
        <f>HYPERLINK("https://klasma.github.io/Logging_2283/tillsyn/A 41169-2022 tillsynsbegäran.docx", "A 41169-2022")</f>
        <v/>
      </c>
      <c r="Y177">
        <f>HYPERLINK("https://klasma.github.io/Logging_2283/tillsynsmail/A 41169-2022 tillsynsbegäran mail.docx", "A 41169-2022")</f>
        <v/>
      </c>
      <c r="Z177">
        <f>HYPERLINK("https://klasma.github.io/Logging_2283/fåglar/A 41169-2022 prioriterade fågelarter.docx", "A 41169-2022")</f>
        <v/>
      </c>
    </row>
    <row r="178" ht="15" customHeight="1">
      <c r="A178" t="inlineStr">
        <is>
          <t>A 32217-2023</t>
        </is>
      </c>
      <c r="B178" s="1" t="n">
        <v>45119</v>
      </c>
      <c r="C178" s="1" t="n">
        <v>46161</v>
      </c>
      <c r="D178" t="inlineStr">
        <is>
          <t>VÄSTERNORRLANDS LÄN</t>
        </is>
      </c>
      <c r="E178" t="inlineStr">
        <is>
          <t>SOLLEFTEÅ</t>
        </is>
      </c>
      <c r="F178" t="inlineStr">
        <is>
          <t>SCA</t>
        </is>
      </c>
      <c r="G178" t="n">
        <v>1.8</v>
      </c>
      <c r="H178" t="n">
        <v>1</v>
      </c>
      <c r="I178" t="n">
        <v>0</v>
      </c>
      <c r="J178" t="n">
        <v>5</v>
      </c>
      <c r="K178" t="n">
        <v>0</v>
      </c>
      <c r="L178" t="n">
        <v>0</v>
      </c>
      <c r="M178" t="n">
        <v>0</v>
      </c>
      <c r="N178" t="n">
        <v>0</v>
      </c>
      <c r="O178" t="n">
        <v>5</v>
      </c>
      <c r="P178" t="n">
        <v>0</v>
      </c>
      <c r="Q178" t="n">
        <v>5</v>
      </c>
      <c r="R178" s="2" t="inlineStr">
        <is>
          <t>Garnlav
Lunglav
Rosenticka
Skogshare
Tretåig hackspett</t>
        </is>
      </c>
      <c r="S178">
        <f>HYPERLINK("https://klasma.github.io/Logging_2283/artfynd/A 32217-2023 artfynd.xlsx", "A 32217-2023")</f>
        <v/>
      </c>
      <c r="T178">
        <f>HYPERLINK("https://klasma.github.io/Logging_2283/kartor/A 32217-2023 karta.png", "A 32217-2023")</f>
        <v/>
      </c>
      <c r="V178">
        <f>HYPERLINK("https://klasma.github.io/Logging_2283/klagomål/A 32217-2023 FSC-klagomål.docx", "A 32217-2023")</f>
        <v/>
      </c>
      <c r="W178">
        <f>HYPERLINK("https://klasma.github.io/Logging_2283/klagomålsmail/A 32217-2023 FSC-klagomål mail.docx", "A 32217-2023")</f>
        <v/>
      </c>
      <c r="X178">
        <f>HYPERLINK("https://klasma.github.io/Logging_2283/tillsyn/A 32217-2023 tillsynsbegäran.docx", "A 32217-2023")</f>
        <v/>
      </c>
      <c r="Y178">
        <f>HYPERLINK("https://klasma.github.io/Logging_2283/tillsynsmail/A 32217-2023 tillsynsbegäran mail.docx", "A 32217-2023")</f>
        <v/>
      </c>
      <c r="Z178">
        <f>HYPERLINK("https://klasma.github.io/Logging_2283/fåglar/A 32217-2023 prioriterade fågelarter.docx", "A 32217-2023")</f>
        <v/>
      </c>
    </row>
    <row r="179" ht="15" customHeight="1">
      <c r="A179" t="inlineStr">
        <is>
          <t>A 20993-2026</t>
        </is>
      </c>
      <c r="B179" s="1" t="n">
        <v>46142.61517361111</v>
      </c>
      <c r="C179" s="1" t="n">
        <v>46161</v>
      </c>
      <c r="D179" t="inlineStr">
        <is>
          <t>VÄSTERNORRLANDS LÄN</t>
        </is>
      </c>
      <c r="E179" t="inlineStr">
        <is>
          <t>SOLLEFTEÅ</t>
        </is>
      </c>
      <c r="F179" t="inlineStr">
        <is>
          <t>SCA</t>
        </is>
      </c>
      <c r="G179" t="n">
        <v>4</v>
      </c>
      <c r="H179" t="n">
        <v>0</v>
      </c>
      <c r="I179" t="n">
        <v>4</v>
      </c>
      <c r="J179" t="n">
        <v>1</v>
      </c>
      <c r="K179" t="n">
        <v>0</v>
      </c>
      <c r="L179" t="n">
        <v>0</v>
      </c>
      <c r="M179" t="n">
        <v>0</v>
      </c>
      <c r="N179" t="n">
        <v>0</v>
      </c>
      <c r="O179" t="n">
        <v>1</v>
      </c>
      <c r="P179" t="n">
        <v>0</v>
      </c>
      <c r="Q179" t="n">
        <v>5</v>
      </c>
      <c r="R179" s="2" t="inlineStr">
        <is>
          <t>Lunglav
Bollvitmossa
Bårdlav
Luddlav
Stuplav</t>
        </is>
      </c>
      <c r="S179">
        <f>HYPERLINK("https://klasma.github.io/Logging_2283/artfynd/A 20993-2026 artfynd.xlsx", "A 20993-2026")</f>
        <v/>
      </c>
      <c r="T179">
        <f>HYPERLINK("https://klasma.github.io/Logging_2283/kartor/A 20993-2026 karta.png", "A 20993-2026")</f>
        <v/>
      </c>
      <c r="V179">
        <f>HYPERLINK("https://klasma.github.io/Logging_2283/klagomål/A 20993-2026 FSC-klagomål.docx", "A 20993-2026")</f>
        <v/>
      </c>
      <c r="W179">
        <f>HYPERLINK("https://klasma.github.io/Logging_2283/klagomålsmail/A 20993-2026 FSC-klagomål mail.docx", "A 20993-2026")</f>
        <v/>
      </c>
      <c r="X179">
        <f>HYPERLINK("https://klasma.github.io/Logging_2283/tillsyn/A 20993-2026 tillsynsbegäran.docx", "A 20993-2026")</f>
        <v/>
      </c>
      <c r="Y179">
        <f>HYPERLINK("https://klasma.github.io/Logging_2283/tillsynsmail/A 20993-2026 tillsynsbegäran mail.docx", "A 20993-2026")</f>
        <v/>
      </c>
    </row>
    <row r="180" ht="15" customHeight="1">
      <c r="A180" t="inlineStr">
        <is>
          <t>A 15971-2026</t>
        </is>
      </c>
      <c r="B180" s="1" t="n">
        <v>46108</v>
      </c>
      <c r="C180" s="1" t="n">
        <v>46161</v>
      </c>
      <c r="D180" t="inlineStr">
        <is>
          <t>VÄSTERNORRLANDS LÄN</t>
        </is>
      </c>
      <c r="E180" t="inlineStr">
        <is>
          <t>SOLLEFTEÅ</t>
        </is>
      </c>
      <c r="F180" t="inlineStr">
        <is>
          <t>SCA</t>
        </is>
      </c>
      <c r="G180" t="n">
        <v>10.1</v>
      </c>
      <c r="H180" t="n">
        <v>2</v>
      </c>
      <c r="I180" t="n">
        <v>0</v>
      </c>
      <c r="J180" t="n">
        <v>4</v>
      </c>
      <c r="K180" t="n">
        <v>1</v>
      </c>
      <c r="L180" t="n">
        <v>0</v>
      </c>
      <c r="M180" t="n">
        <v>0</v>
      </c>
      <c r="N180" t="n">
        <v>0</v>
      </c>
      <c r="O180" t="n">
        <v>5</v>
      </c>
      <c r="P180" t="n">
        <v>1</v>
      </c>
      <c r="Q180" t="n">
        <v>5</v>
      </c>
      <c r="R180" s="2" t="inlineStr">
        <is>
          <t>Knärot
Garnlav
Lunglav
Tretåig hackspett
Ullticka</t>
        </is>
      </c>
      <c r="S180">
        <f>HYPERLINK("https://klasma.github.io/Logging_2283/artfynd/A 15971-2026 artfynd.xlsx", "A 15971-2026")</f>
        <v/>
      </c>
      <c r="T180">
        <f>HYPERLINK("https://klasma.github.io/Logging_2283/kartor/A 15971-2026 karta.png", "A 15971-2026")</f>
        <v/>
      </c>
      <c r="U180">
        <f>HYPERLINK("https://klasma.github.io/Logging_2283/knärot/A 15971-2026 karta knärot.png", "A 15971-2026")</f>
        <v/>
      </c>
      <c r="V180">
        <f>HYPERLINK("https://klasma.github.io/Logging_2283/klagomål/A 15971-2026 FSC-klagomål.docx", "A 15971-2026")</f>
        <v/>
      </c>
      <c r="W180">
        <f>HYPERLINK("https://klasma.github.io/Logging_2283/klagomålsmail/A 15971-2026 FSC-klagomål mail.docx", "A 15971-2026")</f>
        <v/>
      </c>
      <c r="X180">
        <f>HYPERLINK("https://klasma.github.io/Logging_2283/tillsyn/A 15971-2026 tillsynsbegäran.docx", "A 15971-2026")</f>
        <v/>
      </c>
      <c r="Y180">
        <f>HYPERLINK("https://klasma.github.io/Logging_2283/tillsynsmail/A 15971-2026 tillsynsbegäran mail.docx", "A 15971-2026")</f>
        <v/>
      </c>
      <c r="Z180">
        <f>HYPERLINK("https://klasma.github.io/Logging_2283/fåglar/A 15971-2026 prioriterade fågelarter.docx", "A 15971-2026")</f>
        <v/>
      </c>
    </row>
    <row r="181" ht="15" customHeight="1">
      <c r="A181" t="inlineStr">
        <is>
          <t>A 15984-2026</t>
        </is>
      </c>
      <c r="B181" s="1" t="n">
        <v>46108</v>
      </c>
      <c r="C181" s="1" t="n">
        <v>46161</v>
      </c>
      <c r="D181" t="inlineStr">
        <is>
          <t>VÄSTERNORRLANDS LÄN</t>
        </is>
      </c>
      <c r="E181" t="inlineStr">
        <is>
          <t>SOLLEFTEÅ</t>
        </is>
      </c>
      <c r="F181" t="inlineStr">
        <is>
          <t>SCA</t>
        </is>
      </c>
      <c r="G181" t="n">
        <v>4.1</v>
      </c>
      <c r="H181" t="n">
        <v>3</v>
      </c>
      <c r="I181" t="n">
        <v>0</v>
      </c>
      <c r="J181" t="n">
        <v>4</v>
      </c>
      <c r="K181" t="n">
        <v>1</v>
      </c>
      <c r="L181" t="n">
        <v>0</v>
      </c>
      <c r="M181" t="n">
        <v>0</v>
      </c>
      <c r="N181" t="n">
        <v>0</v>
      </c>
      <c r="O181" t="n">
        <v>5</v>
      </c>
      <c r="P181" t="n">
        <v>1</v>
      </c>
      <c r="Q181" t="n">
        <v>5</v>
      </c>
      <c r="R181" s="2" t="inlineStr">
        <is>
          <t>Knärot
Garnlav
Lunglav
Spillkråka
Tretåig hackspett</t>
        </is>
      </c>
      <c r="S181">
        <f>HYPERLINK("https://klasma.github.io/Logging_2283/artfynd/A 15984-2026 artfynd.xlsx", "A 15984-2026")</f>
        <v/>
      </c>
      <c r="T181">
        <f>HYPERLINK("https://klasma.github.io/Logging_2283/kartor/A 15984-2026 karta.png", "A 15984-2026")</f>
        <v/>
      </c>
      <c r="U181">
        <f>HYPERLINK("https://klasma.github.io/Logging_2283/knärot/A 15984-2026 karta knärot.png", "A 15984-2026")</f>
        <v/>
      </c>
      <c r="V181">
        <f>HYPERLINK("https://klasma.github.io/Logging_2283/klagomål/A 15984-2026 FSC-klagomål.docx", "A 15984-2026")</f>
        <v/>
      </c>
      <c r="W181">
        <f>HYPERLINK("https://klasma.github.io/Logging_2283/klagomålsmail/A 15984-2026 FSC-klagomål mail.docx", "A 15984-2026")</f>
        <v/>
      </c>
      <c r="X181">
        <f>HYPERLINK("https://klasma.github.io/Logging_2283/tillsyn/A 15984-2026 tillsynsbegäran.docx", "A 15984-2026")</f>
        <v/>
      </c>
      <c r="Y181">
        <f>HYPERLINK("https://klasma.github.io/Logging_2283/tillsynsmail/A 15984-2026 tillsynsbegäran mail.docx", "A 15984-2026")</f>
        <v/>
      </c>
      <c r="Z181">
        <f>HYPERLINK("https://klasma.github.io/Logging_2283/fåglar/A 15984-2026 prioriterade fågelarter.docx", "A 15984-2026")</f>
        <v/>
      </c>
    </row>
    <row r="182" ht="15" customHeight="1">
      <c r="A182" t="inlineStr">
        <is>
          <t>A 16314-2025</t>
        </is>
      </c>
      <c r="B182" s="1" t="n">
        <v>45751.34763888889</v>
      </c>
      <c r="C182" s="1" t="n">
        <v>46161</v>
      </c>
      <c r="D182" t="inlineStr">
        <is>
          <t>VÄSTERNORRLANDS LÄN</t>
        </is>
      </c>
      <c r="E182" t="inlineStr">
        <is>
          <t>SOLLEFTEÅ</t>
        </is>
      </c>
      <c r="F182" t="inlineStr">
        <is>
          <t>SCA</t>
        </is>
      </c>
      <c r="G182" t="n">
        <v>2.7</v>
      </c>
      <c r="H182" t="n">
        <v>0</v>
      </c>
      <c r="I182" t="n">
        <v>0</v>
      </c>
      <c r="J182" t="n">
        <v>5</v>
      </c>
      <c r="K182" t="n">
        <v>0</v>
      </c>
      <c r="L182" t="n">
        <v>0</v>
      </c>
      <c r="M182" t="n">
        <v>0</v>
      </c>
      <c r="N182" t="n">
        <v>0</v>
      </c>
      <c r="O182" t="n">
        <v>5</v>
      </c>
      <c r="P182" t="n">
        <v>0</v>
      </c>
      <c r="Q182" t="n">
        <v>5</v>
      </c>
      <c r="R182" s="2" t="inlineStr">
        <is>
          <t>Gammelgransskål
Garnlav
Lunglav
Rosenticka
Ullticka</t>
        </is>
      </c>
      <c r="S182">
        <f>HYPERLINK("https://klasma.github.io/Logging_2283/artfynd/A 16314-2025 artfynd.xlsx", "A 16314-2025")</f>
        <v/>
      </c>
      <c r="T182">
        <f>HYPERLINK("https://klasma.github.io/Logging_2283/kartor/A 16314-2025 karta.png", "A 16314-2025")</f>
        <v/>
      </c>
      <c r="V182">
        <f>HYPERLINK("https://klasma.github.io/Logging_2283/klagomål/A 16314-2025 FSC-klagomål.docx", "A 16314-2025")</f>
        <v/>
      </c>
      <c r="W182">
        <f>HYPERLINK("https://klasma.github.io/Logging_2283/klagomålsmail/A 16314-2025 FSC-klagomål mail.docx", "A 16314-2025")</f>
        <v/>
      </c>
      <c r="X182">
        <f>HYPERLINK("https://klasma.github.io/Logging_2283/tillsyn/A 16314-2025 tillsynsbegäran.docx", "A 16314-2025")</f>
        <v/>
      </c>
      <c r="Y182">
        <f>HYPERLINK("https://klasma.github.io/Logging_2283/tillsynsmail/A 16314-2025 tillsynsbegäran mail.docx", "A 16314-2025")</f>
        <v/>
      </c>
    </row>
    <row r="183" ht="15" customHeight="1">
      <c r="A183" t="inlineStr">
        <is>
          <t>A 45007-2023</t>
        </is>
      </c>
      <c r="B183" s="1" t="n">
        <v>45190</v>
      </c>
      <c r="C183" s="1" t="n">
        <v>46161</v>
      </c>
      <c r="D183" t="inlineStr">
        <is>
          <t>VÄSTERNORRLANDS LÄN</t>
        </is>
      </c>
      <c r="E183" t="inlineStr">
        <is>
          <t>SOLLEFTEÅ</t>
        </is>
      </c>
      <c r="F183" t="inlineStr">
        <is>
          <t>SCA</t>
        </is>
      </c>
      <c r="G183" t="n">
        <v>2.1</v>
      </c>
      <c r="H183" t="n">
        <v>3</v>
      </c>
      <c r="I183" t="n">
        <v>0</v>
      </c>
      <c r="J183" t="n">
        <v>4</v>
      </c>
      <c r="K183" t="n">
        <v>0</v>
      </c>
      <c r="L183" t="n">
        <v>0</v>
      </c>
      <c r="M183" t="n">
        <v>0</v>
      </c>
      <c r="N183" t="n">
        <v>0</v>
      </c>
      <c r="O183" t="n">
        <v>4</v>
      </c>
      <c r="P183" t="n">
        <v>0</v>
      </c>
      <c r="Q183" t="n">
        <v>5</v>
      </c>
      <c r="R183" s="2" t="inlineStr">
        <is>
          <t>Garnlav
Spillkråka
Tretåig hackspett
Ullticka
Lavskrika</t>
        </is>
      </c>
      <c r="S183">
        <f>HYPERLINK("https://klasma.github.io/Logging_2283/artfynd/A 45007-2023 artfynd.xlsx", "A 45007-2023")</f>
        <v/>
      </c>
      <c r="T183">
        <f>HYPERLINK("https://klasma.github.io/Logging_2283/kartor/A 45007-2023 karta.png", "A 45007-2023")</f>
        <v/>
      </c>
      <c r="V183">
        <f>HYPERLINK("https://klasma.github.io/Logging_2283/klagomål/A 45007-2023 FSC-klagomål.docx", "A 45007-2023")</f>
        <v/>
      </c>
      <c r="W183">
        <f>HYPERLINK("https://klasma.github.io/Logging_2283/klagomålsmail/A 45007-2023 FSC-klagomål mail.docx", "A 45007-2023")</f>
        <v/>
      </c>
      <c r="X183">
        <f>HYPERLINK("https://klasma.github.io/Logging_2283/tillsyn/A 45007-2023 tillsynsbegäran.docx", "A 45007-2023")</f>
        <v/>
      </c>
      <c r="Y183">
        <f>HYPERLINK("https://klasma.github.io/Logging_2283/tillsynsmail/A 45007-2023 tillsynsbegäran mail.docx", "A 45007-2023")</f>
        <v/>
      </c>
      <c r="Z183">
        <f>HYPERLINK("https://klasma.github.io/Logging_2283/fåglar/A 45007-2023 prioriterade fågelarter.docx", "A 45007-2023")</f>
        <v/>
      </c>
    </row>
    <row r="184" ht="15" customHeight="1">
      <c r="A184" t="inlineStr">
        <is>
          <t>A 19081-2024</t>
        </is>
      </c>
      <c r="B184" s="1" t="n">
        <v>45428</v>
      </c>
      <c r="C184" s="1" t="n">
        <v>46161</v>
      </c>
      <c r="D184" t="inlineStr">
        <is>
          <t>VÄSTERNORRLANDS LÄN</t>
        </is>
      </c>
      <c r="E184" t="inlineStr">
        <is>
          <t>SOLLEFTEÅ</t>
        </is>
      </c>
      <c r="F184" t="inlineStr">
        <is>
          <t>SCA</t>
        </is>
      </c>
      <c r="G184" t="n">
        <v>21.5</v>
      </c>
      <c r="H184" t="n">
        <v>2</v>
      </c>
      <c r="I184" t="n">
        <v>0</v>
      </c>
      <c r="J184" t="n">
        <v>4</v>
      </c>
      <c r="K184" t="n">
        <v>0</v>
      </c>
      <c r="L184" t="n">
        <v>0</v>
      </c>
      <c r="M184" t="n">
        <v>0</v>
      </c>
      <c r="N184" t="n">
        <v>0</v>
      </c>
      <c r="O184" t="n">
        <v>4</v>
      </c>
      <c r="P184" t="n">
        <v>0</v>
      </c>
      <c r="Q184" t="n">
        <v>5</v>
      </c>
      <c r="R184" s="2" t="inlineStr">
        <is>
          <t>Garnlav
Granticka
Järpe
Ullticka
Fläcknycklar</t>
        </is>
      </c>
      <c r="S184">
        <f>HYPERLINK("https://klasma.github.io/Logging_2283/artfynd/A 19081-2024 artfynd.xlsx", "A 19081-2024")</f>
        <v/>
      </c>
      <c r="T184">
        <f>HYPERLINK("https://klasma.github.io/Logging_2283/kartor/A 19081-2024 karta.png", "A 19081-2024")</f>
        <v/>
      </c>
      <c r="V184">
        <f>HYPERLINK("https://klasma.github.io/Logging_2283/klagomål/A 19081-2024 FSC-klagomål.docx", "A 19081-2024")</f>
        <v/>
      </c>
      <c r="W184">
        <f>HYPERLINK("https://klasma.github.io/Logging_2283/klagomålsmail/A 19081-2024 FSC-klagomål mail.docx", "A 19081-2024")</f>
        <v/>
      </c>
      <c r="X184">
        <f>HYPERLINK("https://klasma.github.io/Logging_2283/tillsyn/A 19081-2024 tillsynsbegäran.docx", "A 19081-2024")</f>
        <v/>
      </c>
      <c r="Y184">
        <f>HYPERLINK("https://klasma.github.io/Logging_2283/tillsynsmail/A 19081-2024 tillsynsbegäran mail.docx", "A 19081-2024")</f>
        <v/>
      </c>
      <c r="Z184">
        <f>HYPERLINK("https://klasma.github.io/Logging_2283/fåglar/A 19081-2024 prioriterade fågelarter.docx", "A 19081-2024")</f>
        <v/>
      </c>
    </row>
    <row r="185" ht="15" customHeight="1">
      <c r="A185" t="inlineStr">
        <is>
          <t>A 3795-2022</t>
        </is>
      </c>
      <c r="B185" s="1" t="n">
        <v>44586</v>
      </c>
      <c r="C185" s="1" t="n">
        <v>46161</v>
      </c>
      <c r="D185" t="inlineStr">
        <is>
          <t>VÄSTERNORRLANDS LÄN</t>
        </is>
      </c>
      <c r="E185" t="inlineStr">
        <is>
          <t>SOLLEFTEÅ</t>
        </is>
      </c>
      <c r="F185" t="inlineStr">
        <is>
          <t>SCA</t>
        </is>
      </c>
      <c r="G185" t="n">
        <v>1.3</v>
      </c>
      <c r="H185" t="n">
        <v>3</v>
      </c>
      <c r="I185" t="n">
        <v>0</v>
      </c>
      <c r="J185" t="n">
        <v>3</v>
      </c>
      <c r="K185" t="n">
        <v>1</v>
      </c>
      <c r="L185" t="n">
        <v>0</v>
      </c>
      <c r="M185" t="n">
        <v>0</v>
      </c>
      <c r="N185" t="n">
        <v>0</v>
      </c>
      <c r="O185" t="n">
        <v>4</v>
      </c>
      <c r="P185" t="n">
        <v>1</v>
      </c>
      <c r="Q185" t="n">
        <v>4</v>
      </c>
      <c r="R185" s="2" t="inlineStr">
        <is>
          <t>Knärot
Garnlav
Talltita
Tretåig hackspett</t>
        </is>
      </c>
      <c r="S185">
        <f>HYPERLINK("https://klasma.github.io/Logging_2283/artfynd/A 3795-2022 artfynd.xlsx", "A 3795-2022")</f>
        <v/>
      </c>
      <c r="T185">
        <f>HYPERLINK("https://klasma.github.io/Logging_2283/kartor/A 3795-2022 karta.png", "A 3795-2022")</f>
        <v/>
      </c>
      <c r="U185">
        <f>HYPERLINK("https://klasma.github.io/Logging_2283/knärot/A 3795-2022 karta knärot.png", "A 3795-2022")</f>
        <v/>
      </c>
      <c r="V185">
        <f>HYPERLINK("https://klasma.github.io/Logging_2283/klagomål/A 3795-2022 FSC-klagomål.docx", "A 3795-2022")</f>
        <v/>
      </c>
      <c r="W185">
        <f>HYPERLINK("https://klasma.github.io/Logging_2283/klagomålsmail/A 3795-2022 FSC-klagomål mail.docx", "A 3795-2022")</f>
        <v/>
      </c>
      <c r="X185">
        <f>HYPERLINK("https://klasma.github.io/Logging_2283/tillsyn/A 3795-2022 tillsynsbegäran.docx", "A 3795-2022")</f>
        <v/>
      </c>
      <c r="Y185">
        <f>HYPERLINK("https://klasma.github.io/Logging_2283/tillsynsmail/A 3795-2022 tillsynsbegäran mail.docx", "A 3795-2022")</f>
        <v/>
      </c>
      <c r="Z185">
        <f>HYPERLINK("https://klasma.github.io/Logging_2283/fåglar/A 3795-2022 prioriterade fågelarter.docx", "A 3795-2022")</f>
        <v/>
      </c>
    </row>
    <row r="186" ht="15" customHeight="1">
      <c r="A186" t="inlineStr">
        <is>
          <t>A 48061-2022</t>
        </is>
      </c>
      <c r="B186" s="1" t="n">
        <v>44855</v>
      </c>
      <c r="C186" s="1" t="n">
        <v>46161</v>
      </c>
      <c r="D186" t="inlineStr">
        <is>
          <t>VÄSTERNORRLANDS LÄN</t>
        </is>
      </c>
      <c r="E186" t="inlineStr">
        <is>
          <t>SOLLEFTEÅ</t>
        </is>
      </c>
      <c r="F186" t="inlineStr">
        <is>
          <t>SCA</t>
        </is>
      </c>
      <c r="G186" t="n">
        <v>4.1</v>
      </c>
      <c r="H186" t="n">
        <v>0</v>
      </c>
      <c r="I186" t="n">
        <v>1</v>
      </c>
      <c r="J186" t="n">
        <v>2</v>
      </c>
      <c r="K186" t="n">
        <v>1</v>
      </c>
      <c r="L186" t="n">
        <v>0</v>
      </c>
      <c r="M186" t="n">
        <v>0</v>
      </c>
      <c r="N186" t="n">
        <v>0</v>
      </c>
      <c r="O186" t="n">
        <v>3</v>
      </c>
      <c r="P186" t="n">
        <v>1</v>
      </c>
      <c r="Q186" t="n">
        <v>4</v>
      </c>
      <c r="R186" s="2" t="inlineStr">
        <is>
          <t>Rynkskinn
Rosenticka
Ullticka
Trådticka</t>
        </is>
      </c>
      <c r="S186">
        <f>HYPERLINK("https://klasma.github.io/Logging_2283/artfynd/A 48061-2022 artfynd.xlsx", "A 48061-2022")</f>
        <v/>
      </c>
      <c r="T186">
        <f>HYPERLINK("https://klasma.github.io/Logging_2283/kartor/A 48061-2022 karta.png", "A 48061-2022")</f>
        <v/>
      </c>
      <c r="V186">
        <f>HYPERLINK("https://klasma.github.io/Logging_2283/klagomål/A 48061-2022 FSC-klagomål.docx", "A 48061-2022")</f>
        <v/>
      </c>
      <c r="W186">
        <f>HYPERLINK("https://klasma.github.io/Logging_2283/klagomålsmail/A 48061-2022 FSC-klagomål mail.docx", "A 48061-2022")</f>
        <v/>
      </c>
      <c r="X186">
        <f>HYPERLINK("https://klasma.github.io/Logging_2283/tillsyn/A 48061-2022 tillsynsbegäran.docx", "A 48061-2022")</f>
        <v/>
      </c>
      <c r="Y186">
        <f>HYPERLINK("https://klasma.github.io/Logging_2283/tillsynsmail/A 48061-2022 tillsynsbegäran mail.docx", "A 48061-2022")</f>
        <v/>
      </c>
    </row>
    <row r="187" ht="15" customHeight="1">
      <c r="A187" t="inlineStr">
        <is>
          <t>A 13342-2024</t>
        </is>
      </c>
      <c r="B187" s="1" t="n">
        <v>45386</v>
      </c>
      <c r="C187" s="1" t="n">
        <v>46161</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20933-2025</t>
        </is>
      </c>
      <c r="B188" s="1" t="n">
        <v>45777.42752314815</v>
      </c>
      <c r="C188" s="1" t="n">
        <v>46161</v>
      </c>
      <c r="D188" t="inlineStr">
        <is>
          <t>VÄSTERNORRLANDS LÄN</t>
        </is>
      </c>
      <c r="E188" t="inlineStr">
        <is>
          <t>SOLLEFTEÅ</t>
        </is>
      </c>
      <c r="F188" t="inlineStr">
        <is>
          <t>SCA</t>
        </is>
      </c>
      <c r="G188" t="n">
        <v>5.9</v>
      </c>
      <c r="H188" t="n">
        <v>0</v>
      </c>
      <c r="I188" t="n">
        <v>1</v>
      </c>
      <c r="J188" t="n">
        <v>3</v>
      </c>
      <c r="K188" t="n">
        <v>0</v>
      </c>
      <c r="L188" t="n">
        <v>0</v>
      </c>
      <c r="M188" t="n">
        <v>0</v>
      </c>
      <c r="N188" t="n">
        <v>0</v>
      </c>
      <c r="O188" t="n">
        <v>3</v>
      </c>
      <c r="P188" t="n">
        <v>0</v>
      </c>
      <c r="Q188" t="n">
        <v>4</v>
      </c>
      <c r="R188" s="2" t="inlineStr">
        <is>
          <t>Orange taggsvamp
Skrovlig taggsvamp
Vitgrynig nållav
Dropptaggsvamp</t>
        </is>
      </c>
      <c r="S188">
        <f>HYPERLINK("https://klasma.github.io/Logging_2283/artfynd/A 20933-2025 artfynd.xlsx", "A 20933-2025")</f>
        <v/>
      </c>
      <c r="T188">
        <f>HYPERLINK("https://klasma.github.io/Logging_2283/kartor/A 20933-2025 karta.png", "A 20933-2025")</f>
        <v/>
      </c>
      <c r="V188">
        <f>HYPERLINK("https://klasma.github.io/Logging_2283/klagomål/A 20933-2025 FSC-klagomål.docx", "A 20933-2025")</f>
        <v/>
      </c>
      <c r="W188">
        <f>HYPERLINK("https://klasma.github.io/Logging_2283/klagomålsmail/A 20933-2025 FSC-klagomål mail.docx", "A 20933-2025")</f>
        <v/>
      </c>
      <c r="X188">
        <f>HYPERLINK("https://klasma.github.io/Logging_2283/tillsyn/A 20933-2025 tillsynsbegäran.docx", "A 20933-2025")</f>
        <v/>
      </c>
      <c r="Y188">
        <f>HYPERLINK("https://klasma.github.io/Logging_2283/tillsynsmail/A 20933-2025 tillsynsbegäran mail.docx", "A 20933-2025")</f>
        <v/>
      </c>
    </row>
    <row r="189" ht="15" customHeight="1">
      <c r="A189" t="inlineStr">
        <is>
          <t>A 9819-2024</t>
        </is>
      </c>
      <c r="B189" s="1" t="n">
        <v>45363</v>
      </c>
      <c r="C189" s="1" t="n">
        <v>46161</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40740-2025</t>
        </is>
      </c>
      <c r="B190" s="1" t="n">
        <v>45897.36840277778</v>
      </c>
      <c r="C190" s="1" t="n">
        <v>46161</v>
      </c>
      <c r="D190" t="inlineStr">
        <is>
          <t>VÄSTERNORRLANDS LÄN</t>
        </is>
      </c>
      <c r="E190" t="inlineStr">
        <is>
          <t>SOLLEFTEÅ</t>
        </is>
      </c>
      <c r="G190" t="n">
        <v>6.3</v>
      </c>
      <c r="H190" t="n">
        <v>0</v>
      </c>
      <c r="I190" t="n">
        <v>0</v>
      </c>
      <c r="J190" t="n">
        <v>4</v>
      </c>
      <c r="K190" t="n">
        <v>0</v>
      </c>
      <c r="L190" t="n">
        <v>0</v>
      </c>
      <c r="M190" t="n">
        <v>0</v>
      </c>
      <c r="N190" t="n">
        <v>0</v>
      </c>
      <c r="O190" t="n">
        <v>4</v>
      </c>
      <c r="P190" t="n">
        <v>0</v>
      </c>
      <c r="Q190" t="n">
        <v>4</v>
      </c>
      <c r="R190" s="2" t="inlineStr">
        <is>
          <t>Garnlav
Kolflarnlav
Vedflamlav
Vedskivlav</t>
        </is>
      </c>
      <c r="S190">
        <f>HYPERLINK("https://klasma.github.io/Logging_2283/artfynd/A 40740-2025 artfynd.xlsx", "A 40740-2025")</f>
        <v/>
      </c>
      <c r="T190">
        <f>HYPERLINK("https://klasma.github.io/Logging_2283/kartor/A 40740-2025 karta.png", "A 40740-2025")</f>
        <v/>
      </c>
      <c r="V190">
        <f>HYPERLINK("https://klasma.github.io/Logging_2283/klagomål/A 40740-2025 FSC-klagomål.docx", "A 40740-2025")</f>
        <v/>
      </c>
      <c r="W190">
        <f>HYPERLINK("https://klasma.github.io/Logging_2283/klagomålsmail/A 40740-2025 FSC-klagomål mail.docx", "A 40740-2025")</f>
        <v/>
      </c>
      <c r="X190">
        <f>HYPERLINK("https://klasma.github.io/Logging_2283/tillsyn/A 40740-2025 tillsynsbegäran.docx", "A 40740-2025")</f>
        <v/>
      </c>
      <c r="Y190">
        <f>HYPERLINK("https://klasma.github.io/Logging_2283/tillsynsmail/A 40740-2025 tillsynsbegäran mail.docx", "A 40740-2025")</f>
        <v/>
      </c>
    </row>
    <row r="191" ht="15" customHeight="1">
      <c r="A191" t="inlineStr">
        <is>
          <t>A 25707-2025</t>
        </is>
      </c>
      <c r="B191" s="1" t="n">
        <v>45803.67806712963</v>
      </c>
      <c r="C191" s="1" t="n">
        <v>46161</v>
      </c>
      <c r="D191" t="inlineStr">
        <is>
          <t>VÄSTERNORRLANDS LÄN</t>
        </is>
      </c>
      <c r="E191" t="inlineStr">
        <is>
          <t>SOLLEFTEÅ</t>
        </is>
      </c>
      <c r="F191" t="inlineStr">
        <is>
          <t>SCA</t>
        </is>
      </c>
      <c r="G191" t="n">
        <v>2.6</v>
      </c>
      <c r="H191" t="n">
        <v>2</v>
      </c>
      <c r="I191" t="n">
        <v>1</v>
      </c>
      <c r="J191" t="n">
        <v>2</v>
      </c>
      <c r="K191" t="n">
        <v>0</v>
      </c>
      <c r="L191" t="n">
        <v>0</v>
      </c>
      <c r="M191" t="n">
        <v>0</v>
      </c>
      <c r="N191" t="n">
        <v>0</v>
      </c>
      <c r="O191" t="n">
        <v>2</v>
      </c>
      <c r="P191" t="n">
        <v>0</v>
      </c>
      <c r="Q191" t="n">
        <v>4</v>
      </c>
      <c r="R191" s="2" t="inlineStr">
        <is>
          <t>Kolflarnlav
Talltita
Norrlandslav
Lopplummer (aggregat)</t>
        </is>
      </c>
      <c r="S191">
        <f>HYPERLINK("https://klasma.github.io/Logging_2283/artfynd/A 25707-2025 artfynd.xlsx", "A 25707-2025")</f>
        <v/>
      </c>
      <c r="T191">
        <f>HYPERLINK("https://klasma.github.io/Logging_2283/kartor/A 25707-2025 karta.png", "A 25707-2025")</f>
        <v/>
      </c>
      <c r="V191">
        <f>HYPERLINK("https://klasma.github.io/Logging_2283/klagomål/A 25707-2025 FSC-klagomål.docx", "A 25707-2025")</f>
        <v/>
      </c>
      <c r="W191">
        <f>HYPERLINK("https://klasma.github.io/Logging_2283/klagomålsmail/A 25707-2025 FSC-klagomål mail.docx", "A 25707-2025")</f>
        <v/>
      </c>
      <c r="X191">
        <f>HYPERLINK("https://klasma.github.io/Logging_2283/tillsyn/A 25707-2025 tillsynsbegäran.docx", "A 25707-2025")</f>
        <v/>
      </c>
      <c r="Y191">
        <f>HYPERLINK("https://klasma.github.io/Logging_2283/tillsynsmail/A 25707-2025 tillsynsbegäran mail.docx", "A 25707-2025")</f>
        <v/>
      </c>
      <c r="Z191">
        <f>HYPERLINK("https://klasma.github.io/Logging_2283/fåglar/A 25707-2025 prioriterade fågelarter.docx", "A 25707-2025")</f>
        <v/>
      </c>
    </row>
    <row r="192" ht="15" customHeight="1">
      <c r="A192" t="inlineStr">
        <is>
          <t>A 51192-2024</t>
        </is>
      </c>
      <c r="B192" s="1" t="n">
        <v>45603.61493055556</v>
      </c>
      <c r="C192" s="1" t="n">
        <v>46161</v>
      </c>
      <c r="D192" t="inlineStr">
        <is>
          <t>VÄSTERNORRLANDS LÄN</t>
        </is>
      </c>
      <c r="E192" t="inlineStr">
        <is>
          <t>SOLLEFTEÅ</t>
        </is>
      </c>
      <c r="F192" t="inlineStr">
        <is>
          <t>SCA</t>
        </is>
      </c>
      <c r="G192" t="n">
        <v>3.9</v>
      </c>
      <c r="H192" t="n">
        <v>1</v>
      </c>
      <c r="I192" t="n">
        <v>0</v>
      </c>
      <c r="J192" t="n">
        <v>3</v>
      </c>
      <c r="K192" t="n">
        <v>1</v>
      </c>
      <c r="L192" t="n">
        <v>0</v>
      </c>
      <c r="M192" t="n">
        <v>0</v>
      </c>
      <c r="N192" t="n">
        <v>0</v>
      </c>
      <c r="O192" t="n">
        <v>4</v>
      </c>
      <c r="P192" t="n">
        <v>1</v>
      </c>
      <c r="Q192" t="n">
        <v>4</v>
      </c>
      <c r="R192" s="2" t="inlineStr">
        <is>
          <t>Rynkskinn
Garnlav
Lunglav
Talltita</t>
        </is>
      </c>
      <c r="S192">
        <f>HYPERLINK("https://klasma.github.io/Logging_2283/artfynd/A 51192-2024 artfynd.xlsx", "A 51192-2024")</f>
        <v/>
      </c>
      <c r="T192">
        <f>HYPERLINK("https://klasma.github.io/Logging_2283/kartor/A 51192-2024 karta.png", "A 51192-2024")</f>
        <v/>
      </c>
      <c r="V192">
        <f>HYPERLINK("https://klasma.github.io/Logging_2283/klagomål/A 51192-2024 FSC-klagomål.docx", "A 51192-2024")</f>
        <v/>
      </c>
      <c r="W192">
        <f>HYPERLINK("https://klasma.github.io/Logging_2283/klagomålsmail/A 51192-2024 FSC-klagomål mail.docx", "A 51192-2024")</f>
        <v/>
      </c>
      <c r="X192">
        <f>HYPERLINK("https://klasma.github.io/Logging_2283/tillsyn/A 51192-2024 tillsynsbegäran.docx", "A 51192-2024")</f>
        <v/>
      </c>
      <c r="Y192">
        <f>HYPERLINK("https://klasma.github.io/Logging_2283/tillsynsmail/A 51192-2024 tillsynsbegäran mail.docx", "A 51192-2024")</f>
        <v/>
      </c>
      <c r="Z192">
        <f>HYPERLINK("https://klasma.github.io/Logging_2283/fåglar/A 51192-2024 prioriterade fågelarter.docx", "A 51192-2024")</f>
        <v/>
      </c>
    </row>
    <row r="193" ht="15" customHeight="1">
      <c r="A193" t="inlineStr">
        <is>
          <t>A 37270-2023</t>
        </is>
      </c>
      <c r="B193" s="1" t="n">
        <v>45155</v>
      </c>
      <c r="C193" s="1" t="n">
        <v>46161</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45030-2025</t>
        </is>
      </c>
      <c r="B194" s="1" t="n">
        <v>45918.69851851852</v>
      </c>
      <c r="C194" s="1" t="n">
        <v>46161</v>
      </c>
      <c r="D194" t="inlineStr">
        <is>
          <t>VÄSTERNORRLANDS LÄN</t>
        </is>
      </c>
      <c r="E194" t="inlineStr">
        <is>
          <t>SOLLEFTEÅ</t>
        </is>
      </c>
      <c r="F194" t="inlineStr">
        <is>
          <t>SCA</t>
        </is>
      </c>
      <c r="G194" t="n">
        <v>8.1</v>
      </c>
      <c r="H194" t="n">
        <v>3</v>
      </c>
      <c r="I194" t="n">
        <v>1</v>
      </c>
      <c r="J194" t="n">
        <v>2</v>
      </c>
      <c r="K194" t="n">
        <v>0</v>
      </c>
      <c r="L194" t="n">
        <v>0</v>
      </c>
      <c r="M194" t="n">
        <v>0</v>
      </c>
      <c r="N194" t="n">
        <v>0</v>
      </c>
      <c r="O194" t="n">
        <v>2</v>
      </c>
      <c r="P194" t="n">
        <v>0</v>
      </c>
      <c r="Q194" t="n">
        <v>4</v>
      </c>
      <c r="R194" s="2" t="inlineStr">
        <is>
          <t>Garnlav
Talltita
Korallrot
Revlummer</t>
        </is>
      </c>
      <c r="S194">
        <f>HYPERLINK("https://klasma.github.io/Logging_2283/artfynd/A 45030-2025 artfynd.xlsx", "A 45030-2025")</f>
        <v/>
      </c>
      <c r="T194">
        <f>HYPERLINK("https://klasma.github.io/Logging_2283/kartor/A 45030-2025 karta.png", "A 45030-2025")</f>
        <v/>
      </c>
      <c r="V194">
        <f>HYPERLINK("https://klasma.github.io/Logging_2283/klagomål/A 45030-2025 FSC-klagomål.docx", "A 45030-2025")</f>
        <v/>
      </c>
      <c r="W194">
        <f>HYPERLINK("https://klasma.github.io/Logging_2283/klagomålsmail/A 45030-2025 FSC-klagomål mail.docx", "A 45030-2025")</f>
        <v/>
      </c>
      <c r="X194">
        <f>HYPERLINK("https://klasma.github.io/Logging_2283/tillsyn/A 45030-2025 tillsynsbegäran.docx", "A 45030-2025")</f>
        <v/>
      </c>
      <c r="Y194">
        <f>HYPERLINK("https://klasma.github.io/Logging_2283/tillsynsmail/A 45030-2025 tillsynsbegäran mail.docx", "A 45030-2025")</f>
        <v/>
      </c>
      <c r="Z194">
        <f>HYPERLINK("https://klasma.github.io/Logging_2283/fåglar/A 45030-2025 prioriterade fågelarter.docx", "A 45030-2025")</f>
        <v/>
      </c>
    </row>
    <row r="195" ht="15" customHeight="1">
      <c r="A195" t="inlineStr">
        <is>
          <t>A 47527-2024</t>
        </is>
      </c>
      <c r="B195" s="1" t="n">
        <v>45587.63574074074</v>
      </c>
      <c r="C195" s="1" t="n">
        <v>46161</v>
      </c>
      <c r="D195" t="inlineStr">
        <is>
          <t>VÄSTERNORRLANDS LÄN</t>
        </is>
      </c>
      <c r="E195" t="inlineStr">
        <is>
          <t>SOLLEFTEÅ</t>
        </is>
      </c>
      <c r="F195" t="inlineStr">
        <is>
          <t>SCA</t>
        </is>
      </c>
      <c r="G195" t="n">
        <v>3.6</v>
      </c>
      <c r="H195" t="n">
        <v>1</v>
      </c>
      <c r="I195" t="n">
        <v>1</v>
      </c>
      <c r="J195" t="n">
        <v>3</v>
      </c>
      <c r="K195" t="n">
        <v>0</v>
      </c>
      <c r="L195" t="n">
        <v>0</v>
      </c>
      <c r="M195" t="n">
        <v>0</v>
      </c>
      <c r="N195" t="n">
        <v>0</v>
      </c>
      <c r="O195" t="n">
        <v>3</v>
      </c>
      <c r="P195" t="n">
        <v>0</v>
      </c>
      <c r="Q195" t="n">
        <v>4</v>
      </c>
      <c r="R195" s="2" t="inlineStr">
        <is>
          <t>Garnlav
Lunglav
Ullticka
Lappranunkel</t>
        </is>
      </c>
      <c r="S195">
        <f>HYPERLINK("https://klasma.github.io/Logging_2283/artfynd/A 47527-2024 artfynd.xlsx", "A 47527-2024")</f>
        <v/>
      </c>
      <c r="T195">
        <f>HYPERLINK("https://klasma.github.io/Logging_2283/kartor/A 47527-2024 karta.png", "A 47527-2024")</f>
        <v/>
      </c>
      <c r="V195">
        <f>HYPERLINK("https://klasma.github.io/Logging_2283/klagomål/A 47527-2024 FSC-klagomål.docx", "A 47527-2024")</f>
        <v/>
      </c>
      <c r="W195">
        <f>HYPERLINK("https://klasma.github.io/Logging_2283/klagomålsmail/A 47527-2024 FSC-klagomål mail.docx", "A 47527-2024")</f>
        <v/>
      </c>
      <c r="X195">
        <f>HYPERLINK("https://klasma.github.io/Logging_2283/tillsyn/A 47527-2024 tillsynsbegäran.docx", "A 47527-2024")</f>
        <v/>
      </c>
      <c r="Y195">
        <f>HYPERLINK("https://klasma.github.io/Logging_2283/tillsynsmail/A 47527-2024 tillsynsbegäran mail.docx", "A 47527-2024")</f>
        <v/>
      </c>
    </row>
    <row r="196" ht="15" customHeight="1">
      <c r="A196" t="inlineStr">
        <is>
          <t>A 29561-2025</t>
        </is>
      </c>
      <c r="B196" s="1" t="n">
        <v>45825.36510416667</v>
      </c>
      <c r="C196" s="1" t="n">
        <v>46161</v>
      </c>
      <c r="D196" t="inlineStr">
        <is>
          <t>VÄSTERNORRLANDS LÄN</t>
        </is>
      </c>
      <c r="E196" t="inlineStr">
        <is>
          <t>SOLLEFTEÅ</t>
        </is>
      </c>
      <c r="F196" t="inlineStr">
        <is>
          <t>SCA</t>
        </is>
      </c>
      <c r="G196" t="n">
        <v>11.9</v>
      </c>
      <c r="H196" t="n">
        <v>0</v>
      </c>
      <c r="I196" t="n">
        <v>1</v>
      </c>
      <c r="J196" t="n">
        <v>3</v>
      </c>
      <c r="K196" t="n">
        <v>0</v>
      </c>
      <c r="L196" t="n">
        <v>0</v>
      </c>
      <c r="M196" t="n">
        <v>0</v>
      </c>
      <c r="N196" t="n">
        <v>0</v>
      </c>
      <c r="O196" t="n">
        <v>3</v>
      </c>
      <c r="P196" t="n">
        <v>0</v>
      </c>
      <c r="Q196" t="n">
        <v>4</v>
      </c>
      <c r="R196" s="2" t="inlineStr">
        <is>
          <t>Garnlav
Kolflarnlav
Vedskivlav
Stuplav</t>
        </is>
      </c>
      <c r="S196">
        <f>HYPERLINK("https://klasma.github.io/Logging_2283/artfynd/A 29561-2025 artfynd.xlsx", "A 29561-2025")</f>
        <v/>
      </c>
      <c r="T196">
        <f>HYPERLINK("https://klasma.github.io/Logging_2283/kartor/A 29561-2025 karta.png", "A 29561-2025")</f>
        <v/>
      </c>
      <c r="V196">
        <f>HYPERLINK("https://klasma.github.io/Logging_2283/klagomål/A 29561-2025 FSC-klagomål.docx", "A 29561-2025")</f>
        <v/>
      </c>
      <c r="W196">
        <f>HYPERLINK("https://klasma.github.io/Logging_2283/klagomålsmail/A 29561-2025 FSC-klagomål mail.docx", "A 29561-2025")</f>
        <v/>
      </c>
      <c r="X196">
        <f>HYPERLINK("https://klasma.github.io/Logging_2283/tillsyn/A 29561-2025 tillsynsbegäran.docx", "A 29561-2025")</f>
        <v/>
      </c>
      <c r="Y196">
        <f>HYPERLINK("https://klasma.github.io/Logging_2283/tillsynsmail/A 29561-2025 tillsynsbegäran mail.docx", "A 29561-2025")</f>
        <v/>
      </c>
    </row>
    <row r="197" ht="15" customHeight="1">
      <c r="A197" t="inlineStr">
        <is>
          <t>A 2349-2025</t>
        </is>
      </c>
      <c r="B197" s="1" t="n">
        <v>45673.67807870371</v>
      </c>
      <c r="C197" s="1" t="n">
        <v>46161</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33676-2025</t>
        </is>
      </c>
      <c r="B198" s="1" t="n">
        <v>45841.67818287037</v>
      </c>
      <c r="C198" s="1" t="n">
        <v>46161</v>
      </c>
      <c r="D198" t="inlineStr">
        <is>
          <t>VÄSTERNORRLANDS LÄN</t>
        </is>
      </c>
      <c r="E198" t="inlineStr">
        <is>
          <t>SOLLEFTEÅ</t>
        </is>
      </c>
      <c r="F198" t="inlineStr">
        <is>
          <t>SCA</t>
        </is>
      </c>
      <c r="G198" t="n">
        <v>1.2</v>
      </c>
      <c r="H198" t="n">
        <v>0</v>
      </c>
      <c r="I198" t="n">
        <v>2</v>
      </c>
      <c r="J198" t="n">
        <v>2</v>
      </c>
      <c r="K198" t="n">
        <v>0</v>
      </c>
      <c r="L198" t="n">
        <v>0</v>
      </c>
      <c r="M198" t="n">
        <v>0</v>
      </c>
      <c r="N198" t="n">
        <v>0</v>
      </c>
      <c r="O198" t="n">
        <v>2</v>
      </c>
      <c r="P198" t="n">
        <v>0</v>
      </c>
      <c r="Q198" t="n">
        <v>4</v>
      </c>
      <c r="R198" s="2" t="inlineStr">
        <is>
          <t>Garnlav
Lunglav
Skinnlav
Stuplav</t>
        </is>
      </c>
      <c r="S198">
        <f>HYPERLINK("https://klasma.github.io/Logging_2283/artfynd/A 33676-2025 artfynd.xlsx", "A 33676-2025")</f>
        <v/>
      </c>
      <c r="T198">
        <f>HYPERLINK("https://klasma.github.io/Logging_2283/kartor/A 33676-2025 karta.png", "A 33676-2025")</f>
        <v/>
      </c>
      <c r="V198">
        <f>HYPERLINK("https://klasma.github.io/Logging_2283/klagomål/A 33676-2025 FSC-klagomål.docx", "A 33676-2025")</f>
        <v/>
      </c>
      <c r="W198">
        <f>HYPERLINK("https://klasma.github.io/Logging_2283/klagomålsmail/A 33676-2025 FSC-klagomål mail.docx", "A 33676-2025")</f>
        <v/>
      </c>
      <c r="X198">
        <f>HYPERLINK("https://klasma.github.io/Logging_2283/tillsyn/A 33676-2025 tillsynsbegäran.docx", "A 33676-2025")</f>
        <v/>
      </c>
      <c r="Y198">
        <f>HYPERLINK("https://klasma.github.io/Logging_2283/tillsynsmail/A 33676-2025 tillsynsbegäran mail.docx", "A 33676-2025")</f>
        <v/>
      </c>
    </row>
    <row r="199" ht="15" customHeight="1">
      <c r="A199" t="inlineStr">
        <is>
          <t>A 33674-2025</t>
        </is>
      </c>
      <c r="B199" s="1" t="n">
        <v>45841.67770833334</v>
      </c>
      <c r="C199" s="1" t="n">
        <v>46161</v>
      </c>
      <c r="D199" t="inlineStr">
        <is>
          <t>VÄSTERNORRLANDS LÄN</t>
        </is>
      </c>
      <c r="E199" t="inlineStr">
        <is>
          <t>SOLLEFTEÅ</t>
        </is>
      </c>
      <c r="F199" t="inlineStr">
        <is>
          <t>SCA</t>
        </is>
      </c>
      <c r="G199" t="n">
        <v>1.2</v>
      </c>
      <c r="H199" t="n">
        <v>0</v>
      </c>
      <c r="I199" t="n">
        <v>2</v>
      </c>
      <c r="J199" t="n">
        <v>2</v>
      </c>
      <c r="K199" t="n">
        <v>0</v>
      </c>
      <c r="L199" t="n">
        <v>0</v>
      </c>
      <c r="M199" t="n">
        <v>0</v>
      </c>
      <c r="N199" t="n">
        <v>0</v>
      </c>
      <c r="O199" t="n">
        <v>2</v>
      </c>
      <c r="P199" t="n">
        <v>0</v>
      </c>
      <c r="Q199" t="n">
        <v>4</v>
      </c>
      <c r="R199" s="2" t="inlineStr">
        <is>
          <t>Garnlav
Lunglav
Skinnlav
Stuplav</t>
        </is>
      </c>
      <c r="S199">
        <f>HYPERLINK("https://klasma.github.io/Logging_2283/artfynd/A 33674-2025 artfynd.xlsx", "A 33674-2025")</f>
        <v/>
      </c>
      <c r="T199">
        <f>HYPERLINK("https://klasma.github.io/Logging_2283/kartor/A 33674-2025 karta.png", "A 33674-2025")</f>
        <v/>
      </c>
      <c r="V199">
        <f>HYPERLINK("https://klasma.github.io/Logging_2283/klagomål/A 33674-2025 FSC-klagomål.docx", "A 33674-2025")</f>
        <v/>
      </c>
      <c r="W199">
        <f>HYPERLINK("https://klasma.github.io/Logging_2283/klagomålsmail/A 33674-2025 FSC-klagomål mail.docx", "A 33674-2025")</f>
        <v/>
      </c>
      <c r="X199">
        <f>HYPERLINK("https://klasma.github.io/Logging_2283/tillsyn/A 33674-2025 tillsynsbegäran.docx", "A 33674-2025")</f>
        <v/>
      </c>
      <c r="Y199">
        <f>HYPERLINK("https://klasma.github.io/Logging_2283/tillsynsmail/A 33674-2025 tillsynsbegäran mail.docx", "A 33674-2025")</f>
        <v/>
      </c>
    </row>
    <row r="200" ht="15" customHeight="1">
      <c r="A200" t="inlineStr">
        <is>
          <t>A 36943-2025</t>
        </is>
      </c>
      <c r="B200" s="1" t="n">
        <v>45874.59422453704</v>
      </c>
      <c r="C200" s="1" t="n">
        <v>46161</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19898-2025</t>
        </is>
      </c>
      <c r="B201" s="1" t="n">
        <v>45771.58626157408</v>
      </c>
      <c r="C201" s="1" t="n">
        <v>46161</v>
      </c>
      <c r="D201" t="inlineStr">
        <is>
          <t>VÄSTERNORRLANDS LÄN</t>
        </is>
      </c>
      <c r="E201" t="inlineStr">
        <is>
          <t>SOLLEFTEÅ</t>
        </is>
      </c>
      <c r="G201" t="n">
        <v>12.4</v>
      </c>
      <c r="H201" t="n">
        <v>0</v>
      </c>
      <c r="I201" t="n">
        <v>1</v>
      </c>
      <c r="J201" t="n">
        <v>3</v>
      </c>
      <c r="K201" t="n">
        <v>0</v>
      </c>
      <c r="L201" t="n">
        <v>0</v>
      </c>
      <c r="M201" t="n">
        <v>0</v>
      </c>
      <c r="N201" t="n">
        <v>0</v>
      </c>
      <c r="O201" t="n">
        <v>3</v>
      </c>
      <c r="P201" t="n">
        <v>0</v>
      </c>
      <c r="Q201" t="n">
        <v>4</v>
      </c>
      <c r="R201" s="2" t="inlineStr">
        <is>
          <t>Garnlav
Rosenticka
Vitgrynig nållav
Barkticka</t>
        </is>
      </c>
      <c r="S201">
        <f>HYPERLINK("https://klasma.github.io/Logging_2283/artfynd/A 19898-2025 artfynd.xlsx", "A 19898-2025")</f>
        <v/>
      </c>
      <c r="T201">
        <f>HYPERLINK("https://klasma.github.io/Logging_2283/kartor/A 19898-2025 karta.png", "A 19898-2025")</f>
        <v/>
      </c>
      <c r="V201">
        <f>HYPERLINK("https://klasma.github.io/Logging_2283/klagomål/A 19898-2025 FSC-klagomål.docx", "A 19898-2025")</f>
        <v/>
      </c>
      <c r="W201">
        <f>HYPERLINK("https://klasma.github.io/Logging_2283/klagomålsmail/A 19898-2025 FSC-klagomål mail.docx", "A 19898-2025")</f>
        <v/>
      </c>
      <c r="X201">
        <f>HYPERLINK("https://klasma.github.io/Logging_2283/tillsyn/A 19898-2025 tillsynsbegäran.docx", "A 19898-2025")</f>
        <v/>
      </c>
      <c r="Y201">
        <f>HYPERLINK("https://klasma.github.io/Logging_2283/tillsynsmail/A 19898-2025 tillsynsbegäran mail.docx", "A 19898-2025")</f>
        <v/>
      </c>
    </row>
    <row r="202" ht="15" customHeight="1">
      <c r="A202" t="inlineStr">
        <is>
          <t>A 60260-2025</t>
        </is>
      </c>
      <c r="B202" s="1" t="n">
        <v>45994.61025462963</v>
      </c>
      <c r="C202" s="1" t="n">
        <v>46161</v>
      </c>
      <c r="D202" t="inlineStr">
        <is>
          <t>VÄSTERNORRLANDS LÄN</t>
        </is>
      </c>
      <c r="E202" t="inlineStr">
        <is>
          <t>SOLLEFTEÅ</t>
        </is>
      </c>
      <c r="G202" t="n">
        <v>2.2</v>
      </c>
      <c r="H202" t="n">
        <v>0</v>
      </c>
      <c r="I202" t="n">
        <v>1</v>
      </c>
      <c r="J202" t="n">
        <v>1</v>
      </c>
      <c r="K202" t="n">
        <v>2</v>
      </c>
      <c r="L202" t="n">
        <v>0</v>
      </c>
      <c r="M202" t="n">
        <v>0</v>
      </c>
      <c r="N202" t="n">
        <v>0</v>
      </c>
      <c r="O202" t="n">
        <v>3</v>
      </c>
      <c r="P202" t="n">
        <v>2</v>
      </c>
      <c r="Q202" t="n">
        <v>4</v>
      </c>
      <c r="R202" s="2" t="inlineStr">
        <is>
          <t>Liten aspgelélav
Sprickporing
Lunglav
Korallblylav</t>
        </is>
      </c>
      <c r="S202">
        <f>HYPERLINK("https://klasma.github.io/Logging_2283/artfynd/A 60260-2025 artfynd.xlsx", "A 60260-2025")</f>
        <v/>
      </c>
      <c r="T202">
        <f>HYPERLINK("https://klasma.github.io/Logging_2283/kartor/A 60260-2025 karta.png", "A 60260-2025")</f>
        <v/>
      </c>
      <c r="V202">
        <f>HYPERLINK("https://klasma.github.io/Logging_2283/klagomål/A 60260-2025 FSC-klagomål.docx", "A 60260-2025")</f>
        <v/>
      </c>
      <c r="W202">
        <f>HYPERLINK("https://klasma.github.io/Logging_2283/klagomålsmail/A 60260-2025 FSC-klagomål mail.docx", "A 60260-2025")</f>
        <v/>
      </c>
      <c r="X202">
        <f>HYPERLINK("https://klasma.github.io/Logging_2283/tillsyn/A 60260-2025 tillsynsbegäran.docx", "A 60260-2025")</f>
        <v/>
      </c>
      <c r="Y202">
        <f>HYPERLINK("https://klasma.github.io/Logging_2283/tillsynsmail/A 60260-2025 tillsynsbegäran mail.docx", "A 60260-2025")</f>
        <v/>
      </c>
    </row>
    <row r="203" ht="15" customHeight="1">
      <c r="A203" t="inlineStr">
        <is>
          <t>A 8885-2024</t>
        </is>
      </c>
      <c r="B203" s="1" t="n">
        <v>45357</v>
      </c>
      <c r="C203" s="1" t="n">
        <v>46161</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54093-2024</t>
        </is>
      </c>
      <c r="B204" s="1" t="n">
        <v>45616.51100694444</v>
      </c>
      <c r="C204" s="1" t="n">
        <v>46161</v>
      </c>
      <c r="D204" t="inlineStr">
        <is>
          <t>VÄSTERNORRLANDS LÄN</t>
        </is>
      </c>
      <c r="E204" t="inlineStr">
        <is>
          <t>SOLLEFTEÅ</t>
        </is>
      </c>
      <c r="F204" t="inlineStr">
        <is>
          <t>SCA</t>
        </is>
      </c>
      <c r="G204" t="n">
        <v>3.9</v>
      </c>
      <c r="H204" t="n">
        <v>0</v>
      </c>
      <c r="I204" t="n">
        <v>0</v>
      </c>
      <c r="J204" t="n">
        <v>4</v>
      </c>
      <c r="K204" t="n">
        <v>0</v>
      </c>
      <c r="L204" t="n">
        <v>0</v>
      </c>
      <c r="M204" t="n">
        <v>0</v>
      </c>
      <c r="N204" t="n">
        <v>0</v>
      </c>
      <c r="O204" t="n">
        <v>4</v>
      </c>
      <c r="P204" t="n">
        <v>0</v>
      </c>
      <c r="Q204" t="n">
        <v>4</v>
      </c>
      <c r="R204" s="2" t="inlineStr">
        <is>
          <t>Garnlav
Lunglav
Rosenticka
Ullticka</t>
        </is>
      </c>
      <c r="S204">
        <f>HYPERLINK("https://klasma.github.io/Logging_2283/artfynd/A 54093-2024 artfynd.xlsx", "A 54093-2024")</f>
        <v/>
      </c>
      <c r="T204">
        <f>HYPERLINK("https://klasma.github.io/Logging_2283/kartor/A 54093-2024 karta.png", "A 54093-2024")</f>
        <v/>
      </c>
      <c r="V204">
        <f>HYPERLINK("https://klasma.github.io/Logging_2283/klagomål/A 54093-2024 FSC-klagomål.docx", "A 54093-2024")</f>
        <v/>
      </c>
      <c r="W204">
        <f>HYPERLINK("https://klasma.github.io/Logging_2283/klagomålsmail/A 54093-2024 FSC-klagomål mail.docx", "A 54093-2024")</f>
        <v/>
      </c>
      <c r="X204">
        <f>HYPERLINK("https://klasma.github.io/Logging_2283/tillsyn/A 54093-2024 tillsynsbegäran.docx", "A 54093-2024")</f>
        <v/>
      </c>
      <c r="Y204">
        <f>HYPERLINK("https://klasma.github.io/Logging_2283/tillsynsmail/A 54093-2024 tillsynsbegäran mail.docx", "A 54093-2024")</f>
        <v/>
      </c>
    </row>
    <row r="205" ht="15" customHeight="1">
      <c r="A205" t="inlineStr">
        <is>
          <t>A 62638-2022</t>
        </is>
      </c>
      <c r="B205" s="1" t="n">
        <v>44925</v>
      </c>
      <c r="C205" s="1" t="n">
        <v>46161</v>
      </c>
      <c r="D205" t="inlineStr">
        <is>
          <t>VÄSTERNORRLANDS LÄN</t>
        </is>
      </c>
      <c r="E205" t="inlineStr">
        <is>
          <t>SOLLEFTEÅ</t>
        </is>
      </c>
      <c r="F205" t="inlineStr">
        <is>
          <t>Holmen skog AB</t>
        </is>
      </c>
      <c r="G205" t="n">
        <v>4</v>
      </c>
      <c r="H205" t="n">
        <v>1</v>
      </c>
      <c r="I205" t="n">
        <v>1</v>
      </c>
      <c r="J205" t="n">
        <v>2</v>
      </c>
      <c r="K205" t="n">
        <v>1</v>
      </c>
      <c r="L205" t="n">
        <v>0</v>
      </c>
      <c r="M205" t="n">
        <v>0</v>
      </c>
      <c r="N205" t="n">
        <v>0</v>
      </c>
      <c r="O205" t="n">
        <v>3</v>
      </c>
      <c r="P205" t="n">
        <v>1</v>
      </c>
      <c r="Q205" t="n">
        <v>4</v>
      </c>
      <c r="R205" s="2" t="inlineStr">
        <is>
          <t>Knärot
Koralltaggsvamp
Lunglav
Skinnlav</t>
        </is>
      </c>
      <c r="S205">
        <f>HYPERLINK("https://klasma.github.io/Logging_2283/artfynd/A 62638-2022 artfynd.xlsx", "A 62638-2022")</f>
        <v/>
      </c>
      <c r="T205">
        <f>HYPERLINK("https://klasma.github.io/Logging_2283/kartor/A 62638-2022 karta.png", "A 62638-2022")</f>
        <v/>
      </c>
      <c r="U205">
        <f>HYPERLINK("https://klasma.github.io/Logging_2283/knärot/A 62638-2022 karta knärot.png", "A 62638-2022")</f>
        <v/>
      </c>
      <c r="V205">
        <f>HYPERLINK("https://klasma.github.io/Logging_2283/klagomål/A 62638-2022 FSC-klagomål.docx", "A 62638-2022")</f>
        <v/>
      </c>
      <c r="W205">
        <f>HYPERLINK("https://klasma.github.io/Logging_2283/klagomålsmail/A 62638-2022 FSC-klagomål mail.docx", "A 62638-2022")</f>
        <v/>
      </c>
      <c r="X205">
        <f>HYPERLINK("https://klasma.github.io/Logging_2283/tillsyn/A 62638-2022 tillsynsbegäran.docx", "A 62638-2022")</f>
        <v/>
      </c>
      <c r="Y205">
        <f>HYPERLINK("https://klasma.github.io/Logging_2283/tillsynsmail/A 62638-2022 tillsynsbegäran mail.docx", "A 62638-2022")</f>
        <v/>
      </c>
    </row>
    <row r="206" ht="15" customHeight="1">
      <c r="A206" t="inlineStr">
        <is>
          <t>A 39095-2025</t>
        </is>
      </c>
      <c r="B206" s="1" t="n">
        <v>45888</v>
      </c>
      <c r="C206" s="1" t="n">
        <v>46161</v>
      </c>
      <c r="D206" t="inlineStr">
        <is>
          <t>VÄSTERNORRLANDS LÄN</t>
        </is>
      </c>
      <c r="E206" t="inlineStr">
        <is>
          <t>SOLLEFTEÅ</t>
        </is>
      </c>
      <c r="F206" t="inlineStr">
        <is>
          <t>Holmen skog AB</t>
        </is>
      </c>
      <c r="G206" t="n">
        <v>1.3</v>
      </c>
      <c r="H206" t="n">
        <v>3</v>
      </c>
      <c r="I206" t="n">
        <v>0</v>
      </c>
      <c r="J206" t="n">
        <v>3</v>
      </c>
      <c r="K206" t="n">
        <v>0</v>
      </c>
      <c r="L206" t="n">
        <v>0</v>
      </c>
      <c r="M206" t="n">
        <v>0</v>
      </c>
      <c r="N206" t="n">
        <v>0</v>
      </c>
      <c r="O206" t="n">
        <v>3</v>
      </c>
      <c r="P206" t="n">
        <v>0</v>
      </c>
      <c r="Q206" t="n">
        <v>4</v>
      </c>
      <c r="R206" s="2" t="inlineStr">
        <is>
          <t>Garnlav
Talltita
Tretåig hackspett
Tjäder</t>
        </is>
      </c>
      <c r="S206">
        <f>HYPERLINK("https://klasma.github.io/Logging_2283/artfynd/A 39095-2025 artfynd.xlsx", "A 39095-2025")</f>
        <v/>
      </c>
      <c r="T206">
        <f>HYPERLINK("https://klasma.github.io/Logging_2283/kartor/A 39095-2025 karta.png", "A 39095-2025")</f>
        <v/>
      </c>
      <c r="V206">
        <f>HYPERLINK("https://klasma.github.io/Logging_2283/klagomål/A 39095-2025 FSC-klagomål.docx", "A 39095-2025")</f>
        <v/>
      </c>
      <c r="W206">
        <f>HYPERLINK("https://klasma.github.io/Logging_2283/klagomålsmail/A 39095-2025 FSC-klagomål mail.docx", "A 39095-2025")</f>
        <v/>
      </c>
      <c r="X206">
        <f>HYPERLINK("https://klasma.github.io/Logging_2283/tillsyn/A 39095-2025 tillsynsbegäran.docx", "A 39095-2025")</f>
        <v/>
      </c>
      <c r="Y206">
        <f>HYPERLINK("https://klasma.github.io/Logging_2283/tillsynsmail/A 39095-2025 tillsynsbegäran mail.docx", "A 39095-2025")</f>
        <v/>
      </c>
      <c r="Z206">
        <f>HYPERLINK("https://klasma.github.io/Logging_2283/fåglar/A 39095-2025 prioriterade fågelarter.docx", "A 39095-2025")</f>
        <v/>
      </c>
    </row>
    <row r="207" ht="15" customHeight="1">
      <c r="A207" t="inlineStr">
        <is>
          <t>A 25954-2025</t>
        </is>
      </c>
      <c r="B207" s="1" t="n">
        <v>45804</v>
      </c>
      <c r="C207" s="1" t="n">
        <v>46161</v>
      </c>
      <c r="D207" t="inlineStr">
        <is>
          <t>VÄSTERNORRLANDS LÄN</t>
        </is>
      </c>
      <c r="E207" t="inlineStr">
        <is>
          <t>SOLLEFTEÅ</t>
        </is>
      </c>
      <c r="G207" t="n">
        <v>3.2</v>
      </c>
      <c r="H207" t="n">
        <v>1</v>
      </c>
      <c r="I207" t="n">
        <v>3</v>
      </c>
      <c r="J207" t="n">
        <v>0</v>
      </c>
      <c r="K207" t="n">
        <v>0</v>
      </c>
      <c r="L207" t="n">
        <v>0</v>
      </c>
      <c r="M207" t="n">
        <v>0</v>
      </c>
      <c r="N207" t="n">
        <v>0</v>
      </c>
      <c r="O207" t="n">
        <v>0</v>
      </c>
      <c r="P207" t="n">
        <v>0</v>
      </c>
      <c r="Q207" t="n">
        <v>4</v>
      </c>
      <c r="R207" s="2" t="inlineStr">
        <is>
          <t>Dvärghäxört
Springkorn
Svart trolldruva
Revlummer</t>
        </is>
      </c>
      <c r="S207">
        <f>HYPERLINK("https://klasma.github.io/Logging_2283/artfynd/A 25954-2025 artfynd.xlsx", "A 25954-2025")</f>
        <v/>
      </c>
      <c r="T207">
        <f>HYPERLINK("https://klasma.github.io/Logging_2283/kartor/A 25954-2025 karta.png", "A 25954-2025")</f>
        <v/>
      </c>
      <c r="V207">
        <f>HYPERLINK("https://klasma.github.io/Logging_2283/klagomål/A 25954-2025 FSC-klagomål.docx", "A 25954-2025")</f>
        <v/>
      </c>
      <c r="W207">
        <f>HYPERLINK("https://klasma.github.io/Logging_2283/klagomålsmail/A 25954-2025 FSC-klagomål mail.docx", "A 25954-2025")</f>
        <v/>
      </c>
      <c r="X207">
        <f>HYPERLINK("https://klasma.github.io/Logging_2283/tillsyn/A 25954-2025 tillsynsbegäran.docx", "A 25954-2025")</f>
        <v/>
      </c>
      <c r="Y207">
        <f>HYPERLINK("https://klasma.github.io/Logging_2283/tillsynsmail/A 25954-2025 tillsynsbegäran mail.docx", "A 25954-2025")</f>
        <v/>
      </c>
    </row>
    <row r="208" ht="15" customHeight="1">
      <c r="A208" t="inlineStr">
        <is>
          <t>A 57081-2024</t>
        </is>
      </c>
      <c r="B208" s="1" t="n">
        <v>45629</v>
      </c>
      <c r="C208" s="1" t="n">
        <v>46161</v>
      </c>
      <c r="D208" t="inlineStr">
        <is>
          <t>VÄSTERNORRLANDS LÄN</t>
        </is>
      </c>
      <c r="E208" t="inlineStr">
        <is>
          <t>SOLLEFTEÅ</t>
        </is>
      </c>
      <c r="F208" t="inlineStr">
        <is>
          <t>SCA</t>
        </is>
      </c>
      <c r="G208" t="n">
        <v>0.7</v>
      </c>
      <c r="H208" t="n">
        <v>1</v>
      </c>
      <c r="I208" t="n">
        <v>0</v>
      </c>
      <c r="J208" t="n">
        <v>4</v>
      </c>
      <c r="K208" t="n">
        <v>0</v>
      </c>
      <c r="L208" t="n">
        <v>0</v>
      </c>
      <c r="M208" t="n">
        <v>0</v>
      </c>
      <c r="N208" t="n">
        <v>0</v>
      </c>
      <c r="O208" t="n">
        <v>4</v>
      </c>
      <c r="P208" t="n">
        <v>0</v>
      </c>
      <c r="Q208" t="n">
        <v>4</v>
      </c>
      <c r="R208" s="2" t="inlineStr">
        <is>
          <t>Garnlav
Lunglav
Tretåig hackspett
Ullticka</t>
        </is>
      </c>
      <c r="S208">
        <f>HYPERLINK("https://klasma.github.io/Logging_2283/artfynd/A 57081-2024 artfynd.xlsx", "A 57081-2024")</f>
        <v/>
      </c>
      <c r="T208">
        <f>HYPERLINK("https://klasma.github.io/Logging_2283/kartor/A 57081-2024 karta.png", "A 57081-2024")</f>
        <v/>
      </c>
      <c r="V208">
        <f>HYPERLINK("https://klasma.github.io/Logging_2283/klagomål/A 57081-2024 FSC-klagomål.docx", "A 57081-2024")</f>
        <v/>
      </c>
      <c r="W208">
        <f>HYPERLINK("https://klasma.github.io/Logging_2283/klagomålsmail/A 57081-2024 FSC-klagomål mail.docx", "A 57081-2024")</f>
        <v/>
      </c>
      <c r="X208">
        <f>HYPERLINK("https://klasma.github.io/Logging_2283/tillsyn/A 57081-2024 tillsynsbegäran.docx", "A 57081-2024")</f>
        <v/>
      </c>
      <c r="Y208">
        <f>HYPERLINK("https://klasma.github.io/Logging_2283/tillsynsmail/A 57081-2024 tillsynsbegäran mail.docx", "A 57081-2024")</f>
        <v/>
      </c>
      <c r="Z208">
        <f>HYPERLINK("https://klasma.github.io/Logging_2283/fåglar/A 57081-2024 prioriterade fågelarter.docx", "A 57081-2024")</f>
        <v/>
      </c>
    </row>
    <row r="209" ht="15" customHeight="1">
      <c r="A209" t="inlineStr">
        <is>
          <t>A 58155-2025</t>
        </is>
      </c>
      <c r="B209" s="1" t="n">
        <v>45982</v>
      </c>
      <c r="C209" s="1" t="n">
        <v>46161</v>
      </c>
      <c r="D209" t="inlineStr">
        <is>
          <t>VÄSTERNORRLANDS LÄN</t>
        </is>
      </c>
      <c r="E209" t="inlineStr">
        <is>
          <t>SOLLEFTEÅ</t>
        </is>
      </c>
      <c r="G209" t="n">
        <v>16.1</v>
      </c>
      <c r="H209" t="n">
        <v>1</v>
      </c>
      <c r="I209" t="n">
        <v>1</v>
      </c>
      <c r="J209" t="n">
        <v>3</v>
      </c>
      <c r="K209" t="n">
        <v>0</v>
      </c>
      <c r="L209" t="n">
        <v>0</v>
      </c>
      <c r="M209" t="n">
        <v>0</v>
      </c>
      <c r="N209" t="n">
        <v>0</v>
      </c>
      <c r="O209" t="n">
        <v>3</v>
      </c>
      <c r="P209" t="n">
        <v>0</v>
      </c>
      <c r="Q209" t="n">
        <v>4</v>
      </c>
      <c r="R209" s="2" t="inlineStr">
        <is>
          <t>Garnlav
Järpe
Ullticka
Dropptaggsvamp</t>
        </is>
      </c>
      <c r="S209">
        <f>HYPERLINK("https://klasma.github.io/Logging_2283/artfynd/A 58155-2025 artfynd.xlsx", "A 58155-2025")</f>
        <v/>
      </c>
      <c r="T209">
        <f>HYPERLINK("https://klasma.github.io/Logging_2283/kartor/A 58155-2025 karta.png", "A 58155-2025")</f>
        <v/>
      </c>
      <c r="V209">
        <f>HYPERLINK("https://klasma.github.io/Logging_2283/klagomål/A 58155-2025 FSC-klagomål.docx", "A 58155-2025")</f>
        <v/>
      </c>
      <c r="W209">
        <f>HYPERLINK("https://klasma.github.io/Logging_2283/klagomålsmail/A 58155-2025 FSC-klagomål mail.docx", "A 58155-2025")</f>
        <v/>
      </c>
      <c r="X209">
        <f>HYPERLINK("https://klasma.github.io/Logging_2283/tillsyn/A 58155-2025 tillsynsbegäran.docx", "A 58155-2025")</f>
        <v/>
      </c>
      <c r="Y209">
        <f>HYPERLINK("https://klasma.github.io/Logging_2283/tillsynsmail/A 58155-2025 tillsynsbegäran mail.docx", "A 58155-2025")</f>
        <v/>
      </c>
      <c r="Z209">
        <f>HYPERLINK("https://klasma.github.io/Logging_2283/fåglar/A 58155-2025 prioriterade fågelarter.docx", "A 58155-2025")</f>
        <v/>
      </c>
    </row>
    <row r="210" ht="15" customHeight="1">
      <c r="A210" t="inlineStr">
        <is>
          <t>A 2409-2023</t>
        </is>
      </c>
      <c r="B210" s="1" t="n">
        <v>44942</v>
      </c>
      <c r="C210" s="1" t="n">
        <v>46161</v>
      </c>
      <c r="D210" t="inlineStr">
        <is>
          <t>VÄSTERNORRLANDS LÄN</t>
        </is>
      </c>
      <c r="E210" t="inlineStr">
        <is>
          <t>SOLLEFTEÅ</t>
        </is>
      </c>
      <c r="F210" t="inlineStr">
        <is>
          <t>SCA</t>
        </is>
      </c>
      <c r="G210" t="n">
        <v>2</v>
      </c>
      <c r="H210" t="n">
        <v>0</v>
      </c>
      <c r="I210" t="n">
        <v>1</v>
      </c>
      <c r="J210" t="n">
        <v>3</v>
      </c>
      <c r="K210" t="n">
        <v>0</v>
      </c>
      <c r="L210" t="n">
        <v>0</v>
      </c>
      <c r="M210" t="n">
        <v>0</v>
      </c>
      <c r="N210" t="n">
        <v>0</v>
      </c>
      <c r="O210" t="n">
        <v>3</v>
      </c>
      <c r="P210" t="n">
        <v>0</v>
      </c>
      <c r="Q210" t="n">
        <v>4</v>
      </c>
      <c r="R210" s="2" t="inlineStr">
        <is>
          <t>Rosenticka
Tallticka
Ullticka
Dropptaggsvamp</t>
        </is>
      </c>
      <c r="S210">
        <f>HYPERLINK("https://klasma.github.io/Logging_2283/artfynd/A 2409-2023 artfynd.xlsx", "A 2409-2023")</f>
        <v/>
      </c>
      <c r="T210">
        <f>HYPERLINK("https://klasma.github.io/Logging_2283/kartor/A 2409-2023 karta.png", "A 2409-2023")</f>
        <v/>
      </c>
      <c r="V210">
        <f>HYPERLINK("https://klasma.github.io/Logging_2283/klagomål/A 2409-2023 FSC-klagomål.docx", "A 2409-2023")</f>
        <v/>
      </c>
      <c r="W210">
        <f>HYPERLINK("https://klasma.github.io/Logging_2283/klagomålsmail/A 2409-2023 FSC-klagomål mail.docx", "A 2409-2023")</f>
        <v/>
      </c>
      <c r="X210">
        <f>HYPERLINK("https://klasma.github.io/Logging_2283/tillsyn/A 2409-2023 tillsynsbegäran.docx", "A 2409-2023")</f>
        <v/>
      </c>
      <c r="Y210">
        <f>HYPERLINK("https://klasma.github.io/Logging_2283/tillsynsmail/A 2409-2023 tillsynsbegäran mail.docx", "A 2409-2023")</f>
        <v/>
      </c>
    </row>
    <row r="211" ht="15" customHeight="1">
      <c r="A211" t="inlineStr">
        <is>
          <t>A 7905-2026</t>
        </is>
      </c>
      <c r="B211" s="1" t="n">
        <v>46063.35283564815</v>
      </c>
      <c r="C211" s="1" t="n">
        <v>46161</v>
      </c>
      <c r="D211" t="inlineStr">
        <is>
          <t>VÄSTERNORRLANDS LÄN</t>
        </is>
      </c>
      <c r="E211" t="inlineStr">
        <is>
          <t>SOLLEFTEÅ</t>
        </is>
      </c>
      <c r="G211" t="n">
        <v>3.2</v>
      </c>
      <c r="H211" t="n">
        <v>4</v>
      </c>
      <c r="I211" t="n">
        <v>0</v>
      </c>
      <c r="J211" t="n">
        <v>1</v>
      </c>
      <c r="K211" t="n">
        <v>0</v>
      </c>
      <c r="L211" t="n">
        <v>0</v>
      </c>
      <c r="M211" t="n">
        <v>0</v>
      </c>
      <c r="N211" t="n">
        <v>0</v>
      </c>
      <c r="O211" t="n">
        <v>1</v>
      </c>
      <c r="P211" t="n">
        <v>0</v>
      </c>
      <c r="Q211" t="n">
        <v>4</v>
      </c>
      <c r="R211" s="2" t="inlineStr">
        <is>
          <t>Talltita
Lavskrika
Orre
Tjäder</t>
        </is>
      </c>
      <c r="S211">
        <f>HYPERLINK("https://klasma.github.io/Logging_2283/artfynd/A 7905-2026 artfynd.xlsx", "A 7905-2026")</f>
        <v/>
      </c>
      <c r="T211">
        <f>HYPERLINK("https://klasma.github.io/Logging_2283/kartor/A 7905-2026 karta.png", "A 7905-2026")</f>
        <v/>
      </c>
      <c r="V211">
        <f>HYPERLINK("https://klasma.github.io/Logging_2283/klagomål/A 7905-2026 FSC-klagomål.docx", "A 7905-2026")</f>
        <v/>
      </c>
      <c r="W211">
        <f>HYPERLINK("https://klasma.github.io/Logging_2283/klagomålsmail/A 7905-2026 FSC-klagomål mail.docx", "A 7905-2026")</f>
        <v/>
      </c>
      <c r="X211">
        <f>HYPERLINK("https://klasma.github.io/Logging_2283/tillsyn/A 7905-2026 tillsynsbegäran.docx", "A 7905-2026")</f>
        <v/>
      </c>
      <c r="Y211">
        <f>HYPERLINK("https://klasma.github.io/Logging_2283/tillsynsmail/A 7905-2026 tillsynsbegäran mail.docx", "A 7905-2026")</f>
        <v/>
      </c>
      <c r="Z211">
        <f>HYPERLINK("https://klasma.github.io/Logging_2283/fåglar/A 7905-2026 prioriterade fågelarter.docx", "A 7905-2026")</f>
        <v/>
      </c>
    </row>
    <row r="212" ht="15" customHeight="1">
      <c r="A212" t="inlineStr">
        <is>
          <t>A 20572-2025</t>
        </is>
      </c>
      <c r="B212" s="1" t="n">
        <v>45775.67054398148</v>
      </c>
      <c r="C212" s="1" t="n">
        <v>46161</v>
      </c>
      <c r="D212" t="inlineStr">
        <is>
          <t>VÄSTERNORRLANDS LÄN</t>
        </is>
      </c>
      <c r="E212" t="inlineStr">
        <is>
          <t>SOLLEFTEÅ</t>
        </is>
      </c>
      <c r="G212" t="n">
        <v>1.6</v>
      </c>
      <c r="H212" t="n">
        <v>4</v>
      </c>
      <c r="I212" t="n">
        <v>0</v>
      </c>
      <c r="J212" t="n">
        <v>2</v>
      </c>
      <c r="K212" t="n">
        <v>0</v>
      </c>
      <c r="L212" t="n">
        <v>0</v>
      </c>
      <c r="M212" t="n">
        <v>0</v>
      </c>
      <c r="N212" t="n">
        <v>0</v>
      </c>
      <c r="O212" t="n">
        <v>2</v>
      </c>
      <c r="P212" t="n">
        <v>0</v>
      </c>
      <c r="Q212" t="n">
        <v>4</v>
      </c>
      <c r="R212" s="2" t="inlineStr">
        <is>
          <t>Blå kärrhök
Spillkråka
Göktyta
Sångsvan</t>
        </is>
      </c>
      <c r="S212">
        <f>HYPERLINK("https://klasma.github.io/Logging_2283/artfynd/A 20572-2025 artfynd.xlsx", "A 20572-2025")</f>
        <v/>
      </c>
      <c r="T212">
        <f>HYPERLINK("https://klasma.github.io/Logging_2283/kartor/A 20572-2025 karta.png", "A 20572-2025")</f>
        <v/>
      </c>
      <c r="V212">
        <f>HYPERLINK("https://klasma.github.io/Logging_2283/klagomål/A 20572-2025 FSC-klagomål.docx", "A 20572-2025")</f>
        <v/>
      </c>
      <c r="W212">
        <f>HYPERLINK("https://klasma.github.io/Logging_2283/klagomålsmail/A 20572-2025 FSC-klagomål mail.docx", "A 20572-2025")</f>
        <v/>
      </c>
      <c r="X212">
        <f>HYPERLINK("https://klasma.github.io/Logging_2283/tillsyn/A 20572-2025 tillsynsbegäran.docx", "A 20572-2025")</f>
        <v/>
      </c>
      <c r="Y212">
        <f>HYPERLINK("https://klasma.github.io/Logging_2283/tillsynsmail/A 20572-2025 tillsynsbegäran mail.docx", "A 20572-2025")</f>
        <v/>
      </c>
      <c r="Z212">
        <f>HYPERLINK("https://klasma.github.io/Logging_2283/fåglar/A 20572-2025 prioriterade fågelarter.docx", "A 20572-2025")</f>
        <v/>
      </c>
    </row>
    <row r="213" ht="15" customHeight="1">
      <c r="A213" t="inlineStr">
        <is>
          <t>A 26467-2024</t>
        </is>
      </c>
      <c r="B213" s="1" t="n">
        <v>45469</v>
      </c>
      <c r="C213" s="1" t="n">
        <v>46161</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53898-2024</t>
        </is>
      </c>
      <c r="B214" s="1" t="n">
        <v>45615.69824074074</v>
      </c>
      <c r="C214" s="1" t="n">
        <v>46161</v>
      </c>
      <c r="D214" t="inlineStr">
        <is>
          <t>VÄSTERNORRLANDS LÄN</t>
        </is>
      </c>
      <c r="E214" t="inlineStr">
        <is>
          <t>SOLLEFTEÅ</t>
        </is>
      </c>
      <c r="F214" t="inlineStr">
        <is>
          <t>SCA</t>
        </is>
      </c>
      <c r="G214" t="n">
        <v>2</v>
      </c>
      <c r="H214" t="n">
        <v>0</v>
      </c>
      <c r="I214" t="n">
        <v>2</v>
      </c>
      <c r="J214" t="n">
        <v>2</v>
      </c>
      <c r="K214" t="n">
        <v>0</v>
      </c>
      <c r="L214" t="n">
        <v>0</v>
      </c>
      <c r="M214" t="n">
        <v>0</v>
      </c>
      <c r="N214" t="n">
        <v>0</v>
      </c>
      <c r="O214" t="n">
        <v>2</v>
      </c>
      <c r="P214" t="n">
        <v>0</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9741-2026</t>
        </is>
      </c>
      <c r="B215" s="1" t="n">
        <v>46072</v>
      </c>
      <c r="C215" s="1" t="n">
        <v>46161</v>
      </c>
      <c r="D215" t="inlineStr">
        <is>
          <t>VÄSTERNORRLANDS LÄN</t>
        </is>
      </c>
      <c r="E215" t="inlineStr">
        <is>
          <t>SOLLEFTEÅ</t>
        </is>
      </c>
      <c r="G215" t="n">
        <v>4.6</v>
      </c>
      <c r="H215" t="n">
        <v>0</v>
      </c>
      <c r="I215" t="n">
        <v>3</v>
      </c>
      <c r="J215" t="n">
        <v>1</v>
      </c>
      <c r="K215" t="n">
        <v>0</v>
      </c>
      <c r="L215" t="n">
        <v>0</v>
      </c>
      <c r="M215" t="n">
        <v>0</v>
      </c>
      <c r="N215" t="n">
        <v>0</v>
      </c>
      <c r="O215" t="n">
        <v>1</v>
      </c>
      <c r="P215" t="n">
        <v>0</v>
      </c>
      <c r="Q215" t="n">
        <v>4</v>
      </c>
      <c r="R215" s="2" t="inlineStr">
        <is>
          <t>Lunglav
Bårdlav
Dvärgtufs
Skinnlav</t>
        </is>
      </c>
      <c r="S215">
        <f>HYPERLINK("https://klasma.github.io/Logging_2283/artfynd/A 9741-2026 artfynd.xlsx", "A 9741-2026")</f>
        <v/>
      </c>
      <c r="T215">
        <f>HYPERLINK("https://klasma.github.io/Logging_2283/kartor/A 9741-2026 karta.png", "A 9741-2026")</f>
        <v/>
      </c>
      <c r="V215">
        <f>HYPERLINK("https://klasma.github.io/Logging_2283/klagomål/A 9741-2026 FSC-klagomål.docx", "A 9741-2026")</f>
        <v/>
      </c>
      <c r="W215">
        <f>HYPERLINK("https://klasma.github.io/Logging_2283/klagomålsmail/A 9741-2026 FSC-klagomål mail.docx", "A 9741-2026")</f>
        <v/>
      </c>
      <c r="X215">
        <f>HYPERLINK("https://klasma.github.io/Logging_2283/tillsyn/A 9741-2026 tillsynsbegäran.docx", "A 9741-2026")</f>
        <v/>
      </c>
      <c r="Y215">
        <f>HYPERLINK("https://klasma.github.io/Logging_2283/tillsynsmail/A 9741-2026 tillsynsbegäran mail.docx", "A 9741-2026")</f>
        <v/>
      </c>
    </row>
    <row r="216" ht="15" customHeight="1">
      <c r="A216" t="inlineStr">
        <is>
          <t>A 32218-2023</t>
        </is>
      </c>
      <c r="B216" s="1" t="n">
        <v>45119</v>
      </c>
      <c r="C216" s="1" t="n">
        <v>46161</v>
      </c>
      <c r="D216" t="inlineStr">
        <is>
          <t>VÄSTERNORRLANDS LÄN</t>
        </is>
      </c>
      <c r="E216" t="inlineStr">
        <is>
          <t>SOLLEFTEÅ</t>
        </is>
      </c>
      <c r="F216" t="inlineStr">
        <is>
          <t>SCA</t>
        </is>
      </c>
      <c r="G216" t="n">
        <v>2.1</v>
      </c>
      <c r="H216" t="n">
        <v>1</v>
      </c>
      <c r="I216" t="n">
        <v>0</v>
      </c>
      <c r="J216" t="n">
        <v>4</v>
      </c>
      <c r="K216" t="n">
        <v>0</v>
      </c>
      <c r="L216" t="n">
        <v>0</v>
      </c>
      <c r="M216" t="n">
        <v>0</v>
      </c>
      <c r="N216" t="n">
        <v>0</v>
      </c>
      <c r="O216" t="n">
        <v>4</v>
      </c>
      <c r="P216" t="n">
        <v>0</v>
      </c>
      <c r="Q216" t="n">
        <v>4</v>
      </c>
      <c r="R216" s="2" t="inlineStr">
        <is>
          <t>Garnlav
Lunglav
Tretåig hackspett
Ullticka</t>
        </is>
      </c>
      <c r="S216">
        <f>HYPERLINK("https://klasma.github.io/Logging_2283/artfynd/A 32218-2023 artfynd.xlsx", "A 32218-2023")</f>
        <v/>
      </c>
      <c r="T216">
        <f>HYPERLINK("https://klasma.github.io/Logging_2283/kartor/A 32218-2023 karta.png", "A 32218-2023")</f>
        <v/>
      </c>
      <c r="V216">
        <f>HYPERLINK("https://klasma.github.io/Logging_2283/klagomål/A 32218-2023 FSC-klagomål.docx", "A 32218-2023")</f>
        <v/>
      </c>
      <c r="W216">
        <f>HYPERLINK("https://klasma.github.io/Logging_2283/klagomålsmail/A 32218-2023 FSC-klagomål mail.docx", "A 32218-2023")</f>
        <v/>
      </c>
      <c r="X216">
        <f>HYPERLINK("https://klasma.github.io/Logging_2283/tillsyn/A 32218-2023 tillsynsbegäran.docx", "A 32218-2023")</f>
        <v/>
      </c>
      <c r="Y216">
        <f>HYPERLINK("https://klasma.github.io/Logging_2283/tillsynsmail/A 32218-2023 tillsynsbegäran mail.docx", "A 32218-2023")</f>
        <v/>
      </c>
      <c r="Z216">
        <f>HYPERLINK("https://klasma.github.io/Logging_2283/fåglar/A 32218-2023 prioriterade fågelarter.docx", "A 32218-2023")</f>
        <v/>
      </c>
    </row>
    <row r="217" ht="15" customHeight="1">
      <c r="A217" t="inlineStr">
        <is>
          <t>A 50839-2023</t>
        </is>
      </c>
      <c r="B217" s="1" t="n">
        <v>45217</v>
      </c>
      <c r="C217" s="1" t="n">
        <v>46161</v>
      </c>
      <c r="D217" t="inlineStr">
        <is>
          <t>VÄSTERNORRLANDS LÄN</t>
        </is>
      </c>
      <c r="E217" t="inlineStr">
        <is>
          <t>SOLLEFTEÅ</t>
        </is>
      </c>
      <c r="F217" t="inlineStr">
        <is>
          <t>SCA</t>
        </is>
      </c>
      <c r="G217" t="n">
        <v>2.8</v>
      </c>
      <c r="H217" t="n">
        <v>0</v>
      </c>
      <c r="I217" t="n">
        <v>1</v>
      </c>
      <c r="J217" t="n">
        <v>3</v>
      </c>
      <c r="K217" t="n">
        <v>0</v>
      </c>
      <c r="L217" t="n">
        <v>0</v>
      </c>
      <c r="M217" t="n">
        <v>0</v>
      </c>
      <c r="N217" t="n">
        <v>0</v>
      </c>
      <c r="O217" t="n">
        <v>3</v>
      </c>
      <c r="P217" t="n">
        <v>0</v>
      </c>
      <c r="Q217" t="n">
        <v>4</v>
      </c>
      <c r="R217" s="2" t="inlineStr">
        <is>
          <t>Garnlav
Granticka
Vitskaftad svartspik
Gulnål</t>
        </is>
      </c>
      <c r="S217">
        <f>HYPERLINK("https://klasma.github.io/Logging_2283/artfynd/A 50839-2023 artfynd.xlsx", "A 50839-2023")</f>
        <v/>
      </c>
      <c r="T217">
        <f>HYPERLINK("https://klasma.github.io/Logging_2283/kartor/A 50839-2023 karta.png", "A 50839-2023")</f>
        <v/>
      </c>
      <c r="V217">
        <f>HYPERLINK("https://klasma.github.io/Logging_2283/klagomål/A 50839-2023 FSC-klagomål.docx", "A 50839-2023")</f>
        <v/>
      </c>
      <c r="W217">
        <f>HYPERLINK("https://klasma.github.io/Logging_2283/klagomålsmail/A 50839-2023 FSC-klagomål mail.docx", "A 50839-2023")</f>
        <v/>
      </c>
      <c r="X217">
        <f>HYPERLINK("https://klasma.github.io/Logging_2283/tillsyn/A 50839-2023 tillsynsbegäran.docx", "A 50839-2023")</f>
        <v/>
      </c>
      <c r="Y217">
        <f>HYPERLINK("https://klasma.github.io/Logging_2283/tillsynsmail/A 50839-2023 tillsynsbegäran mail.docx", "A 50839-2023")</f>
        <v/>
      </c>
    </row>
    <row r="218" ht="15" customHeight="1">
      <c r="A218" t="inlineStr">
        <is>
          <t>A 53130-2022</t>
        </is>
      </c>
      <c r="B218" s="1" t="n">
        <v>44873</v>
      </c>
      <c r="C218" s="1" t="n">
        <v>46161</v>
      </c>
      <c r="D218" t="inlineStr">
        <is>
          <t>VÄSTERNORRLANDS LÄN</t>
        </is>
      </c>
      <c r="E218" t="inlineStr">
        <is>
          <t>SOLLEFTEÅ</t>
        </is>
      </c>
      <c r="G218" t="n">
        <v>19.8</v>
      </c>
      <c r="H218" t="n">
        <v>2</v>
      </c>
      <c r="I218" t="n">
        <v>1</v>
      </c>
      <c r="J218" t="n">
        <v>2</v>
      </c>
      <c r="K218" t="n">
        <v>0</v>
      </c>
      <c r="L218" t="n">
        <v>0</v>
      </c>
      <c r="M218" t="n">
        <v>0</v>
      </c>
      <c r="N218" t="n">
        <v>0</v>
      </c>
      <c r="O218" t="n">
        <v>2</v>
      </c>
      <c r="P218" t="n">
        <v>0</v>
      </c>
      <c r="Q218" t="n">
        <v>4</v>
      </c>
      <c r="R218" s="2" t="inlineStr">
        <is>
          <t>Lunglav
Myrbräcka
Bårdlav
Fläcknycklar</t>
        </is>
      </c>
      <c r="S218">
        <f>HYPERLINK("https://klasma.github.io/Logging_2283/artfynd/A 53130-2022 artfynd.xlsx", "A 53130-2022")</f>
        <v/>
      </c>
      <c r="T218">
        <f>HYPERLINK("https://klasma.github.io/Logging_2283/kartor/A 53130-2022 karta.png", "A 53130-2022")</f>
        <v/>
      </c>
      <c r="V218">
        <f>HYPERLINK("https://klasma.github.io/Logging_2283/klagomål/A 53130-2022 FSC-klagomål.docx", "A 53130-2022")</f>
        <v/>
      </c>
      <c r="W218">
        <f>HYPERLINK("https://klasma.github.io/Logging_2283/klagomålsmail/A 53130-2022 FSC-klagomål mail.docx", "A 53130-2022")</f>
        <v/>
      </c>
      <c r="X218">
        <f>HYPERLINK("https://klasma.github.io/Logging_2283/tillsyn/A 53130-2022 tillsynsbegäran.docx", "A 53130-2022")</f>
        <v/>
      </c>
      <c r="Y218">
        <f>HYPERLINK("https://klasma.github.io/Logging_2283/tillsynsmail/A 53130-2022 tillsynsbegäran mail.docx", "A 53130-2022")</f>
        <v/>
      </c>
    </row>
    <row r="219" ht="15" customHeight="1">
      <c r="A219" t="inlineStr">
        <is>
          <t>A 62364-2023</t>
        </is>
      </c>
      <c r="B219" s="1" t="n">
        <v>45267.95166666667</v>
      </c>
      <c r="C219" s="1" t="n">
        <v>46161</v>
      </c>
      <c r="D219" t="inlineStr">
        <is>
          <t>VÄSTERNORRLANDS LÄN</t>
        </is>
      </c>
      <c r="E219" t="inlineStr">
        <is>
          <t>SOLLEFTEÅ</t>
        </is>
      </c>
      <c r="F219" t="inlineStr">
        <is>
          <t>SCA</t>
        </is>
      </c>
      <c r="G219" t="n">
        <v>22.1</v>
      </c>
      <c r="H219" t="n">
        <v>1</v>
      </c>
      <c r="I219" t="n">
        <v>0</v>
      </c>
      <c r="J219" t="n">
        <v>3</v>
      </c>
      <c r="K219" t="n">
        <v>0</v>
      </c>
      <c r="L219" t="n">
        <v>0</v>
      </c>
      <c r="M219" t="n">
        <v>0</v>
      </c>
      <c r="N219" t="n">
        <v>0</v>
      </c>
      <c r="O219" t="n">
        <v>3</v>
      </c>
      <c r="P219" t="n">
        <v>0</v>
      </c>
      <c r="Q219" t="n">
        <v>4</v>
      </c>
      <c r="R219" s="2" t="inlineStr">
        <is>
          <t>Granticka
Harticka
Skogshare
Tjäder</t>
        </is>
      </c>
      <c r="S219">
        <f>HYPERLINK("https://klasma.github.io/Logging_2283/artfynd/A 62364-2023 artfynd.xlsx", "A 62364-2023")</f>
        <v/>
      </c>
      <c r="T219">
        <f>HYPERLINK("https://klasma.github.io/Logging_2283/kartor/A 62364-2023 karta.png", "A 62364-2023")</f>
        <v/>
      </c>
      <c r="V219">
        <f>HYPERLINK("https://klasma.github.io/Logging_2283/klagomål/A 62364-2023 FSC-klagomål.docx", "A 62364-2023")</f>
        <v/>
      </c>
      <c r="W219">
        <f>HYPERLINK("https://klasma.github.io/Logging_2283/klagomålsmail/A 62364-2023 FSC-klagomål mail.docx", "A 62364-2023")</f>
        <v/>
      </c>
      <c r="X219">
        <f>HYPERLINK("https://klasma.github.io/Logging_2283/tillsyn/A 62364-2023 tillsynsbegäran.docx", "A 62364-2023")</f>
        <v/>
      </c>
      <c r="Y219">
        <f>HYPERLINK("https://klasma.github.io/Logging_2283/tillsynsmail/A 62364-2023 tillsynsbegäran mail.docx", "A 62364-2023")</f>
        <v/>
      </c>
      <c r="Z219">
        <f>HYPERLINK("https://klasma.github.io/Logging_2283/fåglar/A 62364-2023 prioriterade fågelarter.docx", "A 62364-2023")</f>
        <v/>
      </c>
    </row>
    <row r="220" ht="15" customHeight="1">
      <c r="A220" t="inlineStr">
        <is>
          <t>A 5018-2025</t>
        </is>
      </c>
      <c r="B220" s="1" t="n">
        <v>45691</v>
      </c>
      <c r="C220" s="1" t="n">
        <v>46161</v>
      </c>
      <c r="D220" t="inlineStr">
        <is>
          <t>VÄSTERNORRLANDS LÄN</t>
        </is>
      </c>
      <c r="E220" t="inlineStr">
        <is>
          <t>SOLLEFTEÅ</t>
        </is>
      </c>
      <c r="G220" t="n">
        <v>11.5</v>
      </c>
      <c r="H220" t="n">
        <v>1</v>
      </c>
      <c r="I220" t="n">
        <v>0</v>
      </c>
      <c r="J220" t="n">
        <v>3</v>
      </c>
      <c r="K220" t="n">
        <v>0</v>
      </c>
      <c r="L220" t="n">
        <v>0</v>
      </c>
      <c r="M220" t="n">
        <v>0</v>
      </c>
      <c r="N220" t="n">
        <v>0</v>
      </c>
      <c r="O220" t="n">
        <v>3</v>
      </c>
      <c r="P220" t="n">
        <v>0</v>
      </c>
      <c r="Q220" t="n">
        <v>4</v>
      </c>
      <c r="R220" s="2" t="inlineStr">
        <is>
          <t>Garnlav
Granticka
Rosenticka
Tjäder</t>
        </is>
      </c>
      <c r="S220">
        <f>HYPERLINK("https://klasma.github.io/Logging_2283/artfynd/A 5018-2025 artfynd.xlsx", "A 5018-2025")</f>
        <v/>
      </c>
      <c r="T220">
        <f>HYPERLINK("https://klasma.github.io/Logging_2283/kartor/A 5018-2025 karta.png", "A 5018-2025")</f>
        <v/>
      </c>
      <c r="V220">
        <f>HYPERLINK("https://klasma.github.io/Logging_2283/klagomål/A 5018-2025 FSC-klagomål.docx", "A 5018-2025")</f>
        <v/>
      </c>
      <c r="W220">
        <f>HYPERLINK("https://klasma.github.io/Logging_2283/klagomålsmail/A 5018-2025 FSC-klagomål mail.docx", "A 5018-2025")</f>
        <v/>
      </c>
      <c r="X220">
        <f>HYPERLINK("https://klasma.github.io/Logging_2283/tillsyn/A 5018-2025 tillsynsbegäran.docx", "A 5018-2025")</f>
        <v/>
      </c>
      <c r="Y220">
        <f>HYPERLINK("https://klasma.github.io/Logging_2283/tillsynsmail/A 5018-2025 tillsynsbegäran mail.docx", "A 5018-2025")</f>
        <v/>
      </c>
      <c r="Z220">
        <f>HYPERLINK("https://klasma.github.io/Logging_2283/fåglar/A 5018-2025 prioriterade fågelarter.docx", "A 5018-2025")</f>
        <v/>
      </c>
    </row>
    <row r="221" ht="15" customHeight="1">
      <c r="A221" t="inlineStr">
        <is>
          <t>A 56248-2023</t>
        </is>
      </c>
      <c r="B221" s="1" t="n">
        <v>45240</v>
      </c>
      <c r="C221" s="1" t="n">
        <v>46161</v>
      </c>
      <c r="D221" t="inlineStr">
        <is>
          <t>VÄSTERNORRLANDS LÄN</t>
        </is>
      </c>
      <c r="E221" t="inlineStr">
        <is>
          <t>SOLLEFTEÅ</t>
        </is>
      </c>
      <c r="F221" t="inlineStr">
        <is>
          <t>SCA</t>
        </is>
      </c>
      <c r="G221" t="n">
        <v>12.2</v>
      </c>
      <c r="H221" t="n">
        <v>3</v>
      </c>
      <c r="I221" t="n">
        <v>0</v>
      </c>
      <c r="J221" t="n">
        <v>3</v>
      </c>
      <c r="K221" t="n">
        <v>0</v>
      </c>
      <c r="L221" t="n">
        <v>0</v>
      </c>
      <c r="M221" t="n">
        <v>0</v>
      </c>
      <c r="N221" t="n">
        <v>0</v>
      </c>
      <c r="O221" t="n">
        <v>3</v>
      </c>
      <c r="P221" t="n">
        <v>0</v>
      </c>
      <c r="Q221" t="n">
        <v>4</v>
      </c>
      <c r="R221" s="2" t="inlineStr">
        <is>
          <t>Granticka
Mindre hackspett
Tretåig hackspett
Lavskrika</t>
        </is>
      </c>
      <c r="S221">
        <f>HYPERLINK("https://klasma.github.io/Logging_2283/artfynd/A 56248-2023 artfynd.xlsx", "A 56248-2023")</f>
        <v/>
      </c>
      <c r="T221">
        <f>HYPERLINK("https://klasma.github.io/Logging_2283/kartor/A 56248-2023 karta.png", "A 56248-2023")</f>
        <v/>
      </c>
      <c r="V221">
        <f>HYPERLINK("https://klasma.github.io/Logging_2283/klagomål/A 56248-2023 FSC-klagomål.docx", "A 56248-2023")</f>
        <v/>
      </c>
      <c r="W221">
        <f>HYPERLINK("https://klasma.github.io/Logging_2283/klagomålsmail/A 56248-2023 FSC-klagomål mail.docx", "A 56248-2023")</f>
        <v/>
      </c>
      <c r="X221">
        <f>HYPERLINK("https://klasma.github.io/Logging_2283/tillsyn/A 56248-2023 tillsynsbegäran.docx", "A 56248-2023")</f>
        <v/>
      </c>
      <c r="Y221">
        <f>HYPERLINK("https://klasma.github.io/Logging_2283/tillsynsmail/A 56248-2023 tillsynsbegäran mail.docx", "A 56248-2023")</f>
        <v/>
      </c>
      <c r="Z221">
        <f>HYPERLINK("https://klasma.github.io/Logging_2283/fåglar/A 56248-2023 prioriterade fågelarter.docx", "A 56248-2023")</f>
        <v/>
      </c>
    </row>
    <row r="222" ht="15" customHeight="1">
      <c r="A222" t="inlineStr">
        <is>
          <t>A 26338-2025</t>
        </is>
      </c>
      <c r="B222" s="1" t="n">
        <v>45805</v>
      </c>
      <c r="C222" s="1" t="n">
        <v>46161</v>
      </c>
      <c r="D222" t="inlineStr">
        <is>
          <t>VÄSTERNORRLANDS LÄN</t>
        </is>
      </c>
      <c r="E222" t="inlineStr">
        <is>
          <t>SOLLEFTEÅ</t>
        </is>
      </c>
      <c r="F222" t="inlineStr">
        <is>
          <t>SCA</t>
        </is>
      </c>
      <c r="G222" t="n">
        <v>2.7</v>
      </c>
      <c r="H222" t="n">
        <v>2</v>
      </c>
      <c r="I222" t="n">
        <v>0</v>
      </c>
      <c r="J222" t="n">
        <v>4</v>
      </c>
      <c r="K222" t="n">
        <v>0</v>
      </c>
      <c r="L222" t="n">
        <v>0</v>
      </c>
      <c r="M222" t="n">
        <v>0</v>
      </c>
      <c r="N222" t="n">
        <v>0</v>
      </c>
      <c r="O222" t="n">
        <v>4</v>
      </c>
      <c r="P222" t="n">
        <v>0</v>
      </c>
      <c r="Q222" t="n">
        <v>4</v>
      </c>
      <c r="R222" s="2" t="inlineStr">
        <is>
          <t>Lunglav
Motaggsvamp
Talltita
Tretåig hackspett</t>
        </is>
      </c>
      <c r="S222">
        <f>HYPERLINK("https://klasma.github.io/Logging_2283/artfynd/A 26338-2025 artfynd.xlsx", "A 26338-2025")</f>
        <v/>
      </c>
      <c r="T222">
        <f>HYPERLINK("https://klasma.github.io/Logging_2283/kartor/A 26338-2025 karta.png", "A 26338-2025")</f>
        <v/>
      </c>
      <c r="V222">
        <f>HYPERLINK("https://klasma.github.io/Logging_2283/klagomål/A 26338-2025 FSC-klagomål.docx", "A 26338-2025")</f>
        <v/>
      </c>
      <c r="W222">
        <f>HYPERLINK("https://klasma.github.io/Logging_2283/klagomålsmail/A 26338-2025 FSC-klagomål mail.docx", "A 26338-2025")</f>
        <v/>
      </c>
      <c r="X222">
        <f>HYPERLINK("https://klasma.github.io/Logging_2283/tillsyn/A 26338-2025 tillsynsbegäran.docx", "A 26338-2025")</f>
        <v/>
      </c>
      <c r="Y222">
        <f>HYPERLINK("https://klasma.github.io/Logging_2283/tillsynsmail/A 26338-2025 tillsynsbegäran mail.docx", "A 26338-2025")</f>
        <v/>
      </c>
      <c r="Z222">
        <f>HYPERLINK("https://klasma.github.io/Logging_2283/fåglar/A 26338-2025 prioriterade fågelarter.docx", "A 26338-2025")</f>
        <v/>
      </c>
    </row>
    <row r="223" ht="15" customHeight="1">
      <c r="A223" t="inlineStr">
        <is>
          <t>A 22918-2026</t>
        </is>
      </c>
      <c r="B223" s="1" t="n">
        <v>46160.53174768519</v>
      </c>
      <c r="C223" s="1" t="n">
        <v>46161</v>
      </c>
      <c r="D223" t="inlineStr">
        <is>
          <t>VÄSTERNORRLANDS LÄN</t>
        </is>
      </c>
      <c r="E223" t="inlineStr">
        <is>
          <t>SOLLEFTEÅ</t>
        </is>
      </c>
      <c r="F223" t="inlineStr">
        <is>
          <t>SCA</t>
        </is>
      </c>
      <c r="G223" t="n">
        <v>10.9</v>
      </c>
      <c r="H223" t="n">
        <v>0</v>
      </c>
      <c r="I223" t="n">
        <v>1</v>
      </c>
      <c r="J223" t="n">
        <v>1</v>
      </c>
      <c r="K223" t="n">
        <v>2</v>
      </c>
      <c r="L223" t="n">
        <v>0</v>
      </c>
      <c r="M223" t="n">
        <v>0</v>
      </c>
      <c r="N223" t="n">
        <v>0</v>
      </c>
      <c r="O223" t="n">
        <v>3</v>
      </c>
      <c r="P223" t="n">
        <v>2</v>
      </c>
      <c r="Q223" t="n">
        <v>4</v>
      </c>
      <c r="R223" s="2" t="inlineStr">
        <is>
          <t>Finporing
Liten aspgelélav
Stiftgelélav
Stor aspticka</t>
        </is>
      </c>
      <c r="S223">
        <f>HYPERLINK("https://klasma.github.io/Logging_2283/artfynd/A 22918-2026 artfynd.xlsx", "A 22918-2026")</f>
        <v/>
      </c>
      <c r="T223">
        <f>HYPERLINK("https://klasma.github.io/Logging_2283/kartor/A 22918-2026 karta.png", "A 22918-2026")</f>
        <v/>
      </c>
      <c r="V223">
        <f>HYPERLINK("https://klasma.github.io/Logging_2283/klagomål/A 22918-2026 FSC-klagomål.docx", "A 22918-2026")</f>
        <v/>
      </c>
      <c r="W223">
        <f>HYPERLINK("https://klasma.github.io/Logging_2283/klagomålsmail/A 22918-2026 FSC-klagomål mail.docx", "A 22918-2026")</f>
        <v/>
      </c>
      <c r="X223">
        <f>HYPERLINK("https://klasma.github.io/Logging_2283/tillsyn/A 22918-2026 tillsynsbegäran.docx", "A 22918-2026")</f>
        <v/>
      </c>
      <c r="Y223">
        <f>HYPERLINK("https://klasma.github.io/Logging_2283/tillsynsmail/A 22918-2026 tillsynsbegäran mail.docx", "A 22918-2026")</f>
        <v/>
      </c>
    </row>
    <row r="224" ht="15" customHeight="1">
      <c r="A224" t="inlineStr">
        <is>
          <t>A 62632-2022</t>
        </is>
      </c>
      <c r="B224" s="1" t="n">
        <v>44925</v>
      </c>
      <c r="C224" s="1" t="n">
        <v>46161</v>
      </c>
      <c r="D224" t="inlineStr">
        <is>
          <t>VÄSTERNORRLANDS LÄN</t>
        </is>
      </c>
      <c r="E224" t="inlineStr">
        <is>
          <t>SOLLEFTEÅ</t>
        </is>
      </c>
      <c r="F224" t="inlineStr">
        <is>
          <t>Holmen skog AB</t>
        </is>
      </c>
      <c r="G224" t="n">
        <v>4.4</v>
      </c>
      <c r="H224" t="n">
        <v>1</v>
      </c>
      <c r="I224" t="n">
        <v>1</v>
      </c>
      <c r="J224" t="n">
        <v>2</v>
      </c>
      <c r="K224" t="n">
        <v>1</v>
      </c>
      <c r="L224" t="n">
        <v>0</v>
      </c>
      <c r="M224" t="n">
        <v>0</v>
      </c>
      <c r="N224" t="n">
        <v>0</v>
      </c>
      <c r="O224" t="n">
        <v>3</v>
      </c>
      <c r="P224" t="n">
        <v>1</v>
      </c>
      <c r="Q224" t="n">
        <v>4</v>
      </c>
      <c r="R224" s="2" t="inlineStr">
        <is>
          <t>Bitter taggsvamp
Blå taggsvamp
Orange taggsvamp
Plattlummer</t>
        </is>
      </c>
      <c r="S224">
        <f>HYPERLINK("https://klasma.github.io/Logging_2283/artfynd/A 62632-2022 artfynd.xlsx", "A 62632-2022")</f>
        <v/>
      </c>
      <c r="T224">
        <f>HYPERLINK("https://klasma.github.io/Logging_2283/kartor/A 62632-2022 karta.png", "A 62632-2022")</f>
        <v/>
      </c>
      <c r="V224">
        <f>HYPERLINK("https://klasma.github.io/Logging_2283/klagomål/A 62632-2022 FSC-klagomål.docx", "A 62632-2022")</f>
        <v/>
      </c>
      <c r="W224">
        <f>HYPERLINK("https://klasma.github.io/Logging_2283/klagomålsmail/A 62632-2022 FSC-klagomål mail.docx", "A 62632-2022")</f>
        <v/>
      </c>
      <c r="X224">
        <f>HYPERLINK("https://klasma.github.io/Logging_2283/tillsyn/A 62632-2022 tillsynsbegäran.docx", "A 62632-2022")</f>
        <v/>
      </c>
      <c r="Y224">
        <f>HYPERLINK("https://klasma.github.io/Logging_2283/tillsynsmail/A 62632-2022 tillsynsbegäran mail.docx", "A 62632-2022")</f>
        <v/>
      </c>
    </row>
    <row r="225" ht="15" customHeight="1">
      <c r="A225" t="inlineStr">
        <is>
          <t>A 44599-2021</t>
        </is>
      </c>
      <c r="B225" s="1" t="n">
        <v>44435.94106481481</v>
      </c>
      <c r="C225" s="1" t="n">
        <v>46161</v>
      </c>
      <c r="D225" t="inlineStr">
        <is>
          <t>VÄSTERNORRLANDS LÄN</t>
        </is>
      </c>
      <c r="E225" t="inlineStr">
        <is>
          <t>SOLLEFTEÅ</t>
        </is>
      </c>
      <c r="F225" t="inlineStr">
        <is>
          <t>SCA</t>
        </is>
      </c>
      <c r="G225" t="n">
        <v>6.1</v>
      </c>
      <c r="H225" t="n">
        <v>0</v>
      </c>
      <c r="I225" t="n">
        <v>2</v>
      </c>
      <c r="J225" t="n">
        <v>1</v>
      </c>
      <c r="K225" t="n">
        <v>0</v>
      </c>
      <c r="L225" t="n">
        <v>0</v>
      </c>
      <c r="M225" t="n">
        <v>0</v>
      </c>
      <c r="N225" t="n">
        <v>0</v>
      </c>
      <c r="O225" t="n">
        <v>1</v>
      </c>
      <c r="P225" t="n">
        <v>0</v>
      </c>
      <c r="Q225" t="n">
        <v>3</v>
      </c>
      <c r="R225" s="2" t="inlineStr">
        <is>
          <t>Rosenticka
Strutbräken
Stuplav</t>
        </is>
      </c>
      <c r="S225">
        <f>HYPERLINK("https://klasma.github.io/Logging_2283/artfynd/A 44599-2021 artfynd.xlsx", "A 44599-2021")</f>
        <v/>
      </c>
      <c r="T225">
        <f>HYPERLINK("https://klasma.github.io/Logging_2283/kartor/A 44599-2021 karta.png", "A 44599-2021")</f>
        <v/>
      </c>
      <c r="V225">
        <f>HYPERLINK("https://klasma.github.io/Logging_2283/klagomål/A 44599-2021 FSC-klagomål.docx", "A 44599-2021")</f>
        <v/>
      </c>
      <c r="W225">
        <f>HYPERLINK("https://klasma.github.io/Logging_2283/klagomålsmail/A 44599-2021 FSC-klagomål mail.docx", "A 44599-2021")</f>
        <v/>
      </c>
      <c r="X225">
        <f>HYPERLINK("https://klasma.github.io/Logging_2283/tillsyn/A 44599-2021 tillsynsbegäran.docx", "A 44599-2021")</f>
        <v/>
      </c>
      <c r="Y225">
        <f>HYPERLINK("https://klasma.github.io/Logging_2283/tillsynsmail/A 44599-2021 tillsynsbegäran mail.docx", "A 44599-2021")</f>
        <v/>
      </c>
    </row>
    <row r="226" ht="15" customHeight="1">
      <c r="A226" t="inlineStr">
        <is>
          <t>A 31354-2021</t>
        </is>
      </c>
      <c r="B226" s="1" t="n">
        <v>44368.93938657407</v>
      </c>
      <c r="C226" s="1" t="n">
        <v>46161</v>
      </c>
      <c r="D226" t="inlineStr">
        <is>
          <t>VÄSTERNORRLANDS LÄN</t>
        </is>
      </c>
      <c r="E226" t="inlineStr">
        <is>
          <t>SOLLEFTEÅ</t>
        </is>
      </c>
      <c r="F226" t="inlineStr">
        <is>
          <t>SCA</t>
        </is>
      </c>
      <c r="G226" t="n">
        <v>1.5</v>
      </c>
      <c r="H226" t="n">
        <v>1</v>
      </c>
      <c r="I226" t="n">
        <v>1</v>
      </c>
      <c r="J226" t="n">
        <v>1</v>
      </c>
      <c r="K226" t="n">
        <v>1</v>
      </c>
      <c r="L226" t="n">
        <v>0</v>
      </c>
      <c r="M226" t="n">
        <v>0</v>
      </c>
      <c r="N226" t="n">
        <v>0</v>
      </c>
      <c r="O226" t="n">
        <v>2</v>
      </c>
      <c r="P226" t="n">
        <v>1</v>
      </c>
      <c r="Q226" t="n">
        <v>3</v>
      </c>
      <c r="R226" s="2" t="inlineStr">
        <is>
          <t>Knärot
Garnlav
Norrlandslav</t>
        </is>
      </c>
      <c r="S226">
        <f>HYPERLINK("https://klasma.github.io/Logging_2283/artfynd/A 31354-2021 artfynd.xlsx", "A 31354-2021")</f>
        <v/>
      </c>
      <c r="T226">
        <f>HYPERLINK("https://klasma.github.io/Logging_2283/kartor/A 31354-2021 karta.png", "A 31354-2021")</f>
        <v/>
      </c>
      <c r="U226">
        <f>HYPERLINK("https://klasma.github.io/Logging_2283/knärot/A 31354-2021 karta knärot.png", "A 31354-2021")</f>
        <v/>
      </c>
      <c r="V226">
        <f>HYPERLINK("https://klasma.github.io/Logging_2283/klagomål/A 31354-2021 FSC-klagomål.docx", "A 31354-2021")</f>
        <v/>
      </c>
      <c r="W226">
        <f>HYPERLINK("https://klasma.github.io/Logging_2283/klagomålsmail/A 31354-2021 FSC-klagomål mail.docx", "A 31354-2021")</f>
        <v/>
      </c>
      <c r="X226">
        <f>HYPERLINK("https://klasma.github.io/Logging_2283/tillsyn/A 31354-2021 tillsynsbegäran.docx", "A 31354-2021")</f>
        <v/>
      </c>
      <c r="Y226">
        <f>HYPERLINK("https://klasma.github.io/Logging_2283/tillsynsmail/A 31354-2021 tillsynsbegäran mail.docx", "A 31354-2021")</f>
        <v/>
      </c>
    </row>
    <row r="227" ht="15" customHeight="1">
      <c r="A227" t="inlineStr">
        <is>
          <t>A 42301-2022</t>
        </is>
      </c>
      <c r="B227" s="1" t="n">
        <v>44830.95461805556</v>
      </c>
      <c r="C227" s="1" t="n">
        <v>46161</v>
      </c>
      <c r="D227" t="inlineStr">
        <is>
          <t>VÄSTERNORRLANDS LÄN</t>
        </is>
      </c>
      <c r="E227" t="inlineStr">
        <is>
          <t>SOLLEFTEÅ</t>
        </is>
      </c>
      <c r="F227" t="inlineStr">
        <is>
          <t>SCA</t>
        </is>
      </c>
      <c r="G227" t="n">
        <v>0.8</v>
      </c>
      <c r="H227" t="n">
        <v>1</v>
      </c>
      <c r="I227" t="n">
        <v>0</v>
      </c>
      <c r="J227" t="n">
        <v>3</v>
      </c>
      <c r="K227" t="n">
        <v>0</v>
      </c>
      <c r="L227" t="n">
        <v>0</v>
      </c>
      <c r="M227" t="n">
        <v>0</v>
      </c>
      <c r="N227" t="n">
        <v>0</v>
      </c>
      <c r="O227" t="n">
        <v>3</v>
      </c>
      <c r="P227" t="n">
        <v>0</v>
      </c>
      <c r="Q227" t="n">
        <v>3</v>
      </c>
      <c r="R227" s="2" t="inlineStr">
        <is>
          <t>Gammelgransskål
Harticka
Tretåig hackspett</t>
        </is>
      </c>
      <c r="S227">
        <f>HYPERLINK("https://klasma.github.io/Logging_2283/artfynd/A 42301-2022 artfynd.xlsx", "A 42301-2022")</f>
        <v/>
      </c>
      <c r="T227">
        <f>HYPERLINK("https://klasma.github.io/Logging_2283/kartor/A 42301-2022 karta.png", "A 42301-2022")</f>
        <v/>
      </c>
      <c r="V227">
        <f>HYPERLINK("https://klasma.github.io/Logging_2283/klagomål/A 42301-2022 FSC-klagomål.docx", "A 42301-2022")</f>
        <v/>
      </c>
      <c r="W227">
        <f>HYPERLINK("https://klasma.github.io/Logging_2283/klagomålsmail/A 42301-2022 FSC-klagomål mail.docx", "A 42301-2022")</f>
        <v/>
      </c>
      <c r="X227">
        <f>HYPERLINK("https://klasma.github.io/Logging_2283/tillsyn/A 42301-2022 tillsynsbegäran.docx", "A 42301-2022")</f>
        <v/>
      </c>
      <c r="Y227">
        <f>HYPERLINK("https://klasma.github.io/Logging_2283/tillsynsmail/A 42301-2022 tillsynsbegäran mail.docx", "A 42301-2022")</f>
        <v/>
      </c>
      <c r="Z227">
        <f>HYPERLINK("https://klasma.github.io/Logging_2283/fåglar/A 42301-2022 prioriterade fågelarter.docx", "A 42301-2022")</f>
        <v/>
      </c>
    </row>
    <row r="228" ht="15" customHeight="1">
      <c r="A228" t="inlineStr">
        <is>
          <t>A 59046-2022</t>
        </is>
      </c>
      <c r="B228" s="1" t="n">
        <v>44903</v>
      </c>
      <c r="C228" s="1" t="n">
        <v>46161</v>
      </c>
      <c r="D228" t="inlineStr">
        <is>
          <t>VÄSTERNORRLANDS LÄN</t>
        </is>
      </c>
      <c r="E228" t="inlineStr">
        <is>
          <t>SOLLEFTEÅ</t>
        </is>
      </c>
      <c r="F228" t="inlineStr">
        <is>
          <t>SCA</t>
        </is>
      </c>
      <c r="G228" t="n">
        <v>10.3</v>
      </c>
      <c r="H228" t="n">
        <v>1</v>
      </c>
      <c r="I228" t="n">
        <v>0</v>
      </c>
      <c r="J228" t="n">
        <v>3</v>
      </c>
      <c r="K228" t="n">
        <v>0</v>
      </c>
      <c r="L228" t="n">
        <v>0</v>
      </c>
      <c r="M228" t="n">
        <v>0</v>
      </c>
      <c r="N228" t="n">
        <v>0</v>
      </c>
      <c r="O228" t="n">
        <v>3</v>
      </c>
      <c r="P228" t="n">
        <v>0</v>
      </c>
      <c r="Q228" t="n">
        <v>3</v>
      </c>
      <c r="R228" s="2" t="inlineStr">
        <is>
          <t>Lunglav
Orange taggsvamp
Tretåig hackspett</t>
        </is>
      </c>
      <c r="S228">
        <f>HYPERLINK("https://klasma.github.io/Logging_2283/artfynd/A 59046-2022 artfynd.xlsx", "A 59046-2022")</f>
        <v/>
      </c>
      <c r="T228">
        <f>HYPERLINK("https://klasma.github.io/Logging_2283/kartor/A 59046-2022 karta.png", "A 59046-2022")</f>
        <v/>
      </c>
      <c r="V228">
        <f>HYPERLINK("https://klasma.github.io/Logging_2283/klagomål/A 59046-2022 FSC-klagomål.docx", "A 59046-2022")</f>
        <v/>
      </c>
      <c r="W228">
        <f>HYPERLINK("https://klasma.github.io/Logging_2283/klagomålsmail/A 59046-2022 FSC-klagomål mail.docx", "A 59046-2022")</f>
        <v/>
      </c>
      <c r="X228">
        <f>HYPERLINK("https://klasma.github.io/Logging_2283/tillsyn/A 59046-2022 tillsynsbegäran.docx", "A 59046-2022")</f>
        <v/>
      </c>
      <c r="Y228">
        <f>HYPERLINK("https://klasma.github.io/Logging_2283/tillsynsmail/A 59046-2022 tillsynsbegäran mail.docx", "A 59046-2022")</f>
        <v/>
      </c>
      <c r="Z228">
        <f>HYPERLINK("https://klasma.github.io/Logging_2283/fåglar/A 59046-2022 prioriterade fågelarter.docx", "A 59046-2022")</f>
        <v/>
      </c>
    </row>
    <row r="229" ht="15" customHeight="1">
      <c r="A229" t="inlineStr">
        <is>
          <t>A 13877-2025</t>
        </is>
      </c>
      <c r="B229" s="1" t="n">
        <v>45737.59407407408</v>
      </c>
      <c r="C229" s="1" t="n">
        <v>46161</v>
      </c>
      <c r="D229" t="inlineStr">
        <is>
          <t>VÄSTERNORRLANDS LÄN</t>
        </is>
      </c>
      <c r="E229" t="inlineStr">
        <is>
          <t>SOLLEFTEÅ</t>
        </is>
      </c>
      <c r="F229" t="inlineStr">
        <is>
          <t>SCA</t>
        </is>
      </c>
      <c r="G229" t="n">
        <v>3.9</v>
      </c>
      <c r="H229" t="n">
        <v>2</v>
      </c>
      <c r="I229" t="n">
        <v>0</v>
      </c>
      <c r="J229" t="n">
        <v>2</v>
      </c>
      <c r="K229" t="n">
        <v>0</v>
      </c>
      <c r="L229" t="n">
        <v>0</v>
      </c>
      <c r="M229" t="n">
        <v>0</v>
      </c>
      <c r="N229" t="n">
        <v>0</v>
      </c>
      <c r="O229" t="n">
        <v>2</v>
      </c>
      <c r="P229" t="n">
        <v>0</v>
      </c>
      <c r="Q229" t="n">
        <v>3</v>
      </c>
      <c r="R229" s="2" t="inlineStr">
        <is>
          <t>Granticka
Spillkråka
Revlummer</t>
        </is>
      </c>
      <c r="S229">
        <f>HYPERLINK("https://klasma.github.io/Logging_2283/artfynd/A 13877-2025 artfynd.xlsx", "A 13877-2025")</f>
        <v/>
      </c>
      <c r="T229">
        <f>HYPERLINK("https://klasma.github.io/Logging_2283/kartor/A 13877-2025 karta.png", "A 13877-2025")</f>
        <v/>
      </c>
      <c r="V229">
        <f>HYPERLINK("https://klasma.github.io/Logging_2283/klagomål/A 13877-2025 FSC-klagomål.docx", "A 13877-2025")</f>
        <v/>
      </c>
      <c r="W229">
        <f>HYPERLINK("https://klasma.github.io/Logging_2283/klagomålsmail/A 13877-2025 FSC-klagomål mail.docx", "A 13877-2025")</f>
        <v/>
      </c>
      <c r="X229">
        <f>HYPERLINK("https://klasma.github.io/Logging_2283/tillsyn/A 13877-2025 tillsynsbegäran.docx", "A 13877-2025")</f>
        <v/>
      </c>
      <c r="Y229">
        <f>HYPERLINK("https://klasma.github.io/Logging_2283/tillsynsmail/A 13877-2025 tillsynsbegäran mail.docx", "A 13877-2025")</f>
        <v/>
      </c>
      <c r="Z229">
        <f>HYPERLINK("https://klasma.github.io/Logging_2283/fåglar/A 13877-2025 prioriterade fågelarter.docx", "A 13877-2025")</f>
        <v/>
      </c>
    </row>
    <row r="230" ht="15" customHeight="1">
      <c r="A230" t="inlineStr">
        <is>
          <t>A 20781-2023</t>
        </is>
      </c>
      <c r="B230" s="1" t="n">
        <v>45058</v>
      </c>
      <c r="C230" s="1" t="n">
        <v>46161</v>
      </c>
      <c r="D230" t="inlineStr">
        <is>
          <t>VÄSTERNORRLANDS LÄN</t>
        </is>
      </c>
      <c r="E230" t="inlineStr">
        <is>
          <t>SOLLEFTEÅ</t>
        </is>
      </c>
      <c r="F230" t="inlineStr">
        <is>
          <t>Kyrkan</t>
        </is>
      </c>
      <c r="G230" t="n">
        <v>11.1</v>
      </c>
      <c r="H230" t="n">
        <v>1</v>
      </c>
      <c r="I230" t="n">
        <v>0</v>
      </c>
      <c r="J230" t="n">
        <v>2</v>
      </c>
      <c r="K230" t="n">
        <v>1</v>
      </c>
      <c r="L230" t="n">
        <v>0</v>
      </c>
      <c r="M230" t="n">
        <v>0</v>
      </c>
      <c r="N230" t="n">
        <v>0</v>
      </c>
      <c r="O230" t="n">
        <v>3</v>
      </c>
      <c r="P230" t="n">
        <v>1</v>
      </c>
      <c r="Q230" t="n">
        <v>3</v>
      </c>
      <c r="R230" s="2" t="inlineStr">
        <is>
          <t>Knärot
Garnlav
Ullticka</t>
        </is>
      </c>
      <c r="S230">
        <f>HYPERLINK("https://klasma.github.io/Logging_2283/artfynd/A 20781-2023 artfynd.xlsx", "A 20781-2023")</f>
        <v/>
      </c>
      <c r="T230">
        <f>HYPERLINK("https://klasma.github.io/Logging_2283/kartor/A 20781-2023 karta.png", "A 20781-2023")</f>
        <v/>
      </c>
      <c r="U230">
        <f>HYPERLINK("https://klasma.github.io/Logging_2283/knärot/A 20781-2023 karta knärot.png", "A 20781-2023")</f>
        <v/>
      </c>
      <c r="V230">
        <f>HYPERLINK("https://klasma.github.io/Logging_2283/klagomål/A 20781-2023 FSC-klagomål.docx", "A 20781-2023")</f>
        <v/>
      </c>
      <c r="W230">
        <f>HYPERLINK("https://klasma.github.io/Logging_2283/klagomålsmail/A 20781-2023 FSC-klagomål mail.docx", "A 20781-2023")</f>
        <v/>
      </c>
      <c r="X230">
        <f>HYPERLINK("https://klasma.github.io/Logging_2283/tillsyn/A 20781-2023 tillsynsbegäran.docx", "A 20781-2023")</f>
        <v/>
      </c>
      <c r="Y230">
        <f>HYPERLINK("https://klasma.github.io/Logging_2283/tillsynsmail/A 20781-2023 tillsynsbegäran mail.docx", "A 20781-2023")</f>
        <v/>
      </c>
    </row>
    <row r="231" ht="15" customHeight="1">
      <c r="A231" t="inlineStr">
        <is>
          <t>A 22183-2025</t>
        </is>
      </c>
      <c r="B231" s="1" t="n">
        <v>45785.61677083333</v>
      </c>
      <c r="C231" s="1" t="n">
        <v>46161</v>
      </c>
      <c r="D231" t="inlineStr">
        <is>
          <t>VÄSTERNORRLANDS LÄN</t>
        </is>
      </c>
      <c r="E231" t="inlineStr">
        <is>
          <t>SOLLEFTEÅ</t>
        </is>
      </c>
      <c r="F231" t="inlineStr">
        <is>
          <t>SCA</t>
        </is>
      </c>
      <c r="G231" t="n">
        <v>0.3</v>
      </c>
      <c r="H231" t="n">
        <v>0</v>
      </c>
      <c r="I231" t="n">
        <v>1</v>
      </c>
      <c r="J231" t="n">
        <v>2</v>
      </c>
      <c r="K231" t="n">
        <v>0</v>
      </c>
      <c r="L231" t="n">
        <v>0</v>
      </c>
      <c r="M231" t="n">
        <v>0</v>
      </c>
      <c r="N231" t="n">
        <v>0</v>
      </c>
      <c r="O231" t="n">
        <v>2</v>
      </c>
      <c r="P231" t="n">
        <v>0</v>
      </c>
      <c r="Q231" t="n">
        <v>3</v>
      </c>
      <c r="R231" s="2" t="inlineStr">
        <is>
          <t>Garnlav
Rosenticka
Trådticka</t>
        </is>
      </c>
      <c r="S231">
        <f>HYPERLINK("https://klasma.github.io/Logging_2283/artfynd/A 22183-2025 artfynd.xlsx", "A 22183-2025")</f>
        <v/>
      </c>
      <c r="T231">
        <f>HYPERLINK("https://klasma.github.io/Logging_2283/kartor/A 22183-2025 karta.png", "A 22183-2025")</f>
        <v/>
      </c>
      <c r="V231">
        <f>HYPERLINK("https://klasma.github.io/Logging_2283/klagomål/A 22183-2025 FSC-klagomål.docx", "A 22183-2025")</f>
        <v/>
      </c>
      <c r="W231">
        <f>HYPERLINK("https://klasma.github.io/Logging_2283/klagomålsmail/A 22183-2025 FSC-klagomål mail.docx", "A 22183-2025")</f>
        <v/>
      </c>
      <c r="X231">
        <f>HYPERLINK("https://klasma.github.io/Logging_2283/tillsyn/A 22183-2025 tillsynsbegäran.docx", "A 22183-2025")</f>
        <v/>
      </c>
      <c r="Y231">
        <f>HYPERLINK("https://klasma.github.io/Logging_2283/tillsynsmail/A 22183-2025 tillsynsbegäran mail.docx", "A 22183-2025")</f>
        <v/>
      </c>
    </row>
    <row r="232" ht="15" customHeight="1">
      <c r="A232" t="inlineStr">
        <is>
          <t>A 51372-2025</t>
        </is>
      </c>
      <c r="B232" s="1" t="n">
        <v>45950.44846064815</v>
      </c>
      <c r="C232" s="1" t="n">
        <v>46161</v>
      </c>
      <c r="D232" t="inlineStr">
        <is>
          <t>VÄSTERNORRLANDS LÄN</t>
        </is>
      </c>
      <c r="E232" t="inlineStr">
        <is>
          <t>SOLLEFTEÅ</t>
        </is>
      </c>
      <c r="F232" t="inlineStr">
        <is>
          <t>SCA</t>
        </is>
      </c>
      <c r="G232" t="n">
        <v>1.5</v>
      </c>
      <c r="H232" t="n">
        <v>0</v>
      </c>
      <c r="I232" t="n">
        <v>1</v>
      </c>
      <c r="J232" t="n">
        <v>2</v>
      </c>
      <c r="K232" t="n">
        <v>0</v>
      </c>
      <c r="L232" t="n">
        <v>0</v>
      </c>
      <c r="M232" t="n">
        <v>0</v>
      </c>
      <c r="N232" t="n">
        <v>0</v>
      </c>
      <c r="O232" t="n">
        <v>2</v>
      </c>
      <c r="P232" t="n">
        <v>0</v>
      </c>
      <c r="Q232" t="n">
        <v>3</v>
      </c>
      <c r="R232" s="2" t="inlineStr">
        <is>
          <t>Lunglav
Ullticka
Stuplav</t>
        </is>
      </c>
      <c r="S232">
        <f>HYPERLINK("https://klasma.github.io/Logging_2283/artfynd/A 51372-2025 artfynd.xlsx", "A 51372-2025")</f>
        <v/>
      </c>
      <c r="T232">
        <f>HYPERLINK("https://klasma.github.io/Logging_2283/kartor/A 51372-2025 karta.png", "A 51372-2025")</f>
        <v/>
      </c>
      <c r="V232">
        <f>HYPERLINK("https://klasma.github.io/Logging_2283/klagomål/A 51372-2025 FSC-klagomål.docx", "A 51372-2025")</f>
        <v/>
      </c>
      <c r="W232">
        <f>HYPERLINK("https://klasma.github.io/Logging_2283/klagomålsmail/A 51372-2025 FSC-klagomål mail.docx", "A 51372-2025")</f>
        <v/>
      </c>
      <c r="X232">
        <f>HYPERLINK("https://klasma.github.io/Logging_2283/tillsyn/A 51372-2025 tillsynsbegäran.docx", "A 51372-2025")</f>
        <v/>
      </c>
      <c r="Y232">
        <f>HYPERLINK("https://klasma.github.io/Logging_2283/tillsynsmail/A 51372-2025 tillsynsbegäran mail.docx", "A 51372-2025")</f>
        <v/>
      </c>
    </row>
    <row r="233" ht="15" customHeight="1">
      <c r="A233" t="inlineStr">
        <is>
          <t>A 51212-2022</t>
        </is>
      </c>
      <c r="B233" s="1" t="n">
        <v>44868.62265046296</v>
      </c>
      <c r="C233" s="1" t="n">
        <v>46161</v>
      </c>
      <c r="D233" t="inlineStr">
        <is>
          <t>VÄSTERNORRLANDS LÄN</t>
        </is>
      </c>
      <c r="E233" t="inlineStr">
        <is>
          <t>SOLLEFTEÅ</t>
        </is>
      </c>
      <c r="F233" t="inlineStr">
        <is>
          <t>Holmen skog AB</t>
        </is>
      </c>
      <c r="G233" t="n">
        <v>18.3</v>
      </c>
      <c r="H233" t="n">
        <v>1</v>
      </c>
      <c r="I233" t="n">
        <v>1</v>
      </c>
      <c r="J233" t="n">
        <v>1</v>
      </c>
      <c r="K233" t="n">
        <v>1</v>
      </c>
      <c r="L233" t="n">
        <v>0</v>
      </c>
      <c r="M233" t="n">
        <v>0</v>
      </c>
      <c r="N233" t="n">
        <v>0</v>
      </c>
      <c r="O233" t="n">
        <v>2</v>
      </c>
      <c r="P233" t="n">
        <v>1</v>
      </c>
      <c r="Q233" t="n">
        <v>3</v>
      </c>
      <c r="R233" s="2" t="inlineStr">
        <is>
          <t>Doftticka
Lunglav
Stuplav</t>
        </is>
      </c>
      <c r="S233">
        <f>HYPERLINK("https://klasma.github.io/Logging_2283/artfynd/A 51212-2022 artfynd.xlsx", "A 51212-2022")</f>
        <v/>
      </c>
      <c r="T233">
        <f>HYPERLINK("https://klasma.github.io/Logging_2283/kartor/A 51212-2022 karta.png", "A 51212-2022")</f>
        <v/>
      </c>
      <c r="V233">
        <f>HYPERLINK("https://klasma.github.io/Logging_2283/klagomål/A 51212-2022 FSC-klagomål.docx", "A 51212-2022")</f>
        <v/>
      </c>
      <c r="W233">
        <f>HYPERLINK("https://klasma.github.io/Logging_2283/klagomålsmail/A 51212-2022 FSC-klagomål mail.docx", "A 51212-2022")</f>
        <v/>
      </c>
      <c r="X233">
        <f>HYPERLINK("https://klasma.github.io/Logging_2283/tillsyn/A 51212-2022 tillsynsbegäran.docx", "A 51212-2022")</f>
        <v/>
      </c>
      <c r="Y233">
        <f>HYPERLINK("https://klasma.github.io/Logging_2283/tillsynsmail/A 51212-2022 tillsynsbegäran mail.docx", "A 51212-2022")</f>
        <v/>
      </c>
    </row>
    <row r="234" ht="15" customHeight="1">
      <c r="A234" t="inlineStr">
        <is>
          <t>A 43279-2025</t>
        </is>
      </c>
      <c r="B234" s="1" t="n">
        <v>45910.59446759259</v>
      </c>
      <c r="C234" s="1" t="n">
        <v>46161</v>
      </c>
      <c r="D234" t="inlineStr">
        <is>
          <t>VÄSTERNORRLANDS LÄN</t>
        </is>
      </c>
      <c r="E234" t="inlineStr">
        <is>
          <t>SOLLEFTEÅ</t>
        </is>
      </c>
      <c r="F234" t="inlineStr">
        <is>
          <t>SCA</t>
        </is>
      </c>
      <c r="G234" t="n">
        <v>1.7</v>
      </c>
      <c r="H234" t="n">
        <v>0</v>
      </c>
      <c r="I234" t="n">
        <v>1</v>
      </c>
      <c r="J234" t="n">
        <v>2</v>
      </c>
      <c r="K234" t="n">
        <v>0</v>
      </c>
      <c r="L234" t="n">
        <v>0</v>
      </c>
      <c r="M234" t="n">
        <v>0</v>
      </c>
      <c r="N234" t="n">
        <v>0</v>
      </c>
      <c r="O234" t="n">
        <v>2</v>
      </c>
      <c r="P234" t="n">
        <v>0</v>
      </c>
      <c r="Q234" t="n">
        <v>3</v>
      </c>
      <c r="R234" s="2" t="inlineStr">
        <is>
          <t>Garnlav
Orange taggsvamp
Dropptaggsvamp</t>
        </is>
      </c>
      <c r="S234">
        <f>HYPERLINK("https://klasma.github.io/Logging_2283/artfynd/A 43279-2025 artfynd.xlsx", "A 43279-2025")</f>
        <v/>
      </c>
      <c r="T234">
        <f>HYPERLINK("https://klasma.github.io/Logging_2283/kartor/A 43279-2025 karta.png", "A 43279-2025")</f>
        <v/>
      </c>
      <c r="V234">
        <f>HYPERLINK("https://klasma.github.io/Logging_2283/klagomål/A 43279-2025 FSC-klagomål.docx", "A 43279-2025")</f>
        <v/>
      </c>
      <c r="W234">
        <f>HYPERLINK("https://klasma.github.io/Logging_2283/klagomålsmail/A 43279-2025 FSC-klagomål mail.docx", "A 43279-2025")</f>
        <v/>
      </c>
      <c r="X234">
        <f>HYPERLINK("https://klasma.github.io/Logging_2283/tillsyn/A 43279-2025 tillsynsbegäran.docx", "A 43279-2025")</f>
        <v/>
      </c>
      <c r="Y234">
        <f>HYPERLINK("https://klasma.github.io/Logging_2283/tillsynsmail/A 43279-2025 tillsynsbegäran mail.docx", "A 43279-2025")</f>
        <v/>
      </c>
    </row>
    <row r="235" ht="15" customHeight="1">
      <c r="A235" t="inlineStr">
        <is>
          <t>A 32256-2024</t>
        </is>
      </c>
      <c r="B235" s="1" t="n">
        <v>45511</v>
      </c>
      <c r="C235" s="1" t="n">
        <v>46161</v>
      </c>
      <c r="D235" t="inlineStr">
        <is>
          <t>VÄSTERNORRLANDS LÄN</t>
        </is>
      </c>
      <c r="E235" t="inlineStr">
        <is>
          <t>SOLLEFTEÅ</t>
        </is>
      </c>
      <c r="F235" t="inlineStr">
        <is>
          <t>SCA</t>
        </is>
      </c>
      <c r="G235" t="n">
        <v>3.9</v>
      </c>
      <c r="H235" t="n">
        <v>1</v>
      </c>
      <c r="I235" t="n">
        <v>1</v>
      </c>
      <c r="J235" t="n">
        <v>2</v>
      </c>
      <c r="K235" t="n">
        <v>0</v>
      </c>
      <c r="L235" t="n">
        <v>0</v>
      </c>
      <c r="M235" t="n">
        <v>0</v>
      </c>
      <c r="N235" t="n">
        <v>0</v>
      </c>
      <c r="O235" t="n">
        <v>2</v>
      </c>
      <c r="P235" t="n">
        <v>0</v>
      </c>
      <c r="Q235" t="n">
        <v>3</v>
      </c>
      <c r="R235" s="2" t="inlineStr">
        <is>
          <t>Tretåig hackspett
Vedtrappmossa
Fjällig taggsvamp s.str.</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28698-2025</t>
        </is>
      </c>
      <c r="B236" s="1" t="n">
        <v>45819.925625</v>
      </c>
      <c r="C236" s="1" t="n">
        <v>46161</v>
      </c>
      <c r="D236" t="inlineStr">
        <is>
          <t>VÄSTERNORRLANDS LÄN</t>
        </is>
      </c>
      <c r="E236" t="inlineStr">
        <is>
          <t>SOLLEFTEÅ</t>
        </is>
      </c>
      <c r="G236" t="n">
        <v>1.5</v>
      </c>
      <c r="H236" t="n">
        <v>0</v>
      </c>
      <c r="I236" t="n">
        <v>1</v>
      </c>
      <c r="J236" t="n">
        <v>2</v>
      </c>
      <c r="K236" t="n">
        <v>0</v>
      </c>
      <c r="L236" t="n">
        <v>0</v>
      </c>
      <c r="M236" t="n">
        <v>0</v>
      </c>
      <c r="N236" t="n">
        <v>0</v>
      </c>
      <c r="O236" t="n">
        <v>2</v>
      </c>
      <c r="P236" t="n">
        <v>0</v>
      </c>
      <c r="Q236" t="n">
        <v>3</v>
      </c>
      <c r="R236" s="2" t="inlineStr">
        <is>
          <t>Garnlav
Rosenticka
Dropptaggsvamp</t>
        </is>
      </c>
      <c r="S236">
        <f>HYPERLINK("https://klasma.github.io/Logging_2283/artfynd/A 28698-2025 artfynd.xlsx", "A 28698-2025")</f>
        <v/>
      </c>
      <c r="T236">
        <f>HYPERLINK("https://klasma.github.io/Logging_2283/kartor/A 28698-2025 karta.png", "A 28698-2025")</f>
        <v/>
      </c>
      <c r="V236">
        <f>HYPERLINK("https://klasma.github.io/Logging_2283/klagomål/A 28698-2025 FSC-klagomål.docx", "A 28698-2025")</f>
        <v/>
      </c>
      <c r="W236">
        <f>HYPERLINK("https://klasma.github.io/Logging_2283/klagomålsmail/A 28698-2025 FSC-klagomål mail.docx", "A 28698-2025")</f>
        <v/>
      </c>
      <c r="X236">
        <f>HYPERLINK("https://klasma.github.io/Logging_2283/tillsyn/A 28698-2025 tillsynsbegäran.docx", "A 28698-2025")</f>
        <v/>
      </c>
      <c r="Y236">
        <f>HYPERLINK("https://klasma.github.io/Logging_2283/tillsynsmail/A 28698-2025 tillsynsbegäran mail.docx", "A 28698-2025")</f>
        <v/>
      </c>
    </row>
    <row r="237" ht="15" customHeight="1">
      <c r="A237" t="inlineStr">
        <is>
          <t>A 30964-2025</t>
        </is>
      </c>
      <c r="B237" s="1" t="n">
        <v>45832.45111111111</v>
      </c>
      <c r="C237" s="1" t="n">
        <v>46161</v>
      </c>
      <c r="D237" t="inlineStr">
        <is>
          <t>VÄSTERNORRLANDS LÄN</t>
        </is>
      </c>
      <c r="E237" t="inlineStr">
        <is>
          <t>SOLLEFTEÅ</t>
        </is>
      </c>
      <c r="G237" t="n">
        <v>1.2</v>
      </c>
      <c r="H237" t="n">
        <v>0</v>
      </c>
      <c r="I237" t="n">
        <v>0</v>
      </c>
      <c r="J237" t="n">
        <v>3</v>
      </c>
      <c r="K237" t="n">
        <v>0</v>
      </c>
      <c r="L237" t="n">
        <v>0</v>
      </c>
      <c r="M237" t="n">
        <v>0</v>
      </c>
      <c r="N237" t="n">
        <v>0</v>
      </c>
      <c r="O237" t="n">
        <v>3</v>
      </c>
      <c r="P237" t="n">
        <v>0</v>
      </c>
      <c r="Q237" t="n">
        <v>3</v>
      </c>
      <c r="R237" s="2" t="inlineStr">
        <is>
          <t>Garnlav
Lunglav
Ullticka</t>
        </is>
      </c>
      <c r="S237">
        <f>HYPERLINK("https://klasma.github.io/Logging_2283/artfynd/A 30964-2025 artfynd.xlsx", "A 30964-2025")</f>
        <v/>
      </c>
      <c r="T237">
        <f>HYPERLINK("https://klasma.github.io/Logging_2283/kartor/A 30964-2025 karta.png", "A 30964-2025")</f>
        <v/>
      </c>
      <c r="V237">
        <f>HYPERLINK("https://klasma.github.io/Logging_2283/klagomål/A 30964-2025 FSC-klagomål.docx", "A 30964-2025")</f>
        <v/>
      </c>
      <c r="W237">
        <f>HYPERLINK("https://klasma.github.io/Logging_2283/klagomålsmail/A 30964-2025 FSC-klagomål mail.docx", "A 30964-2025")</f>
        <v/>
      </c>
      <c r="X237">
        <f>HYPERLINK("https://klasma.github.io/Logging_2283/tillsyn/A 30964-2025 tillsynsbegäran.docx", "A 30964-2025")</f>
        <v/>
      </c>
      <c r="Y237">
        <f>HYPERLINK("https://klasma.github.io/Logging_2283/tillsynsmail/A 30964-2025 tillsynsbegäran mail.docx", "A 30964-2025")</f>
        <v/>
      </c>
    </row>
    <row r="238" ht="15" customHeight="1">
      <c r="A238" t="inlineStr">
        <is>
          <t>A 32070-2025</t>
        </is>
      </c>
      <c r="B238" s="1" t="n">
        <v>45835.44885416667</v>
      </c>
      <c r="C238" s="1" t="n">
        <v>46161</v>
      </c>
      <c r="D238" t="inlineStr">
        <is>
          <t>VÄSTERNORRLANDS LÄN</t>
        </is>
      </c>
      <c r="E238" t="inlineStr">
        <is>
          <t>SOLLEFTEÅ</t>
        </is>
      </c>
      <c r="F238" t="inlineStr">
        <is>
          <t>SCA</t>
        </is>
      </c>
      <c r="G238" t="n">
        <v>6.4</v>
      </c>
      <c r="H238" t="n">
        <v>0</v>
      </c>
      <c r="I238" t="n">
        <v>1</v>
      </c>
      <c r="J238" t="n">
        <v>1</v>
      </c>
      <c r="K238" t="n">
        <v>1</v>
      </c>
      <c r="L238" t="n">
        <v>0</v>
      </c>
      <c r="M238" t="n">
        <v>0</v>
      </c>
      <c r="N238" t="n">
        <v>0</v>
      </c>
      <c r="O238" t="n">
        <v>2</v>
      </c>
      <c r="P238" t="n">
        <v>1</v>
      </c>
      <c r="Q238" t="n">
        <v>3</v>
      </c>
      <c r="R238" s="2" t="inlineStr">
        <is>
          <t>Rynkskinn
Garnlav
Vedticka</t>
        </is>
      </c>
      <c r="S238">
        <f>HYPERLINK("https://klasma.github.io/Logging_2283/artfynd/A 32070-2025 artfynd.xlsx", "A 32070-2025")</f>
        <v/>
      </c>
      <c r="T238">
        <f>HYPERLINK("https://klasma.github.io/Logging_2283/kartor/A 32070-2025 karta.png", "A 32070-2025")</f>
        <v/>
      </c>
      <c r="V238">
        <f>HYPERLINK("https://klasma.github.io/Logging_2283/klagomål/A 32070-2025 FSC-klagomål.docx", "A 32070-2025")</f>
        <v/>
      </c>
      <c r="W238">
        <f>HYPERLINK("https://klasma.github.io/Logging_2283/klagomålsmail/A 32070-2025 FSC-klagomål mail.docx", "A 32070-2025")</f>
        <v/>
      </c>
      <c r="X238">
        <f>HYPERLINK("https://klasma.github.io/Logging_2283/tillsyn/A 32070-2025 tillsynsbegäran.docx", "A 32070-2025")</f>
        <v/>
      </c>
      <c r="Y238">
        <f>HYPERLINK("https://klasma.github.io/Logging_2283/tillsynsmail/A 32070-2025 tillsynsbegäran mail.docx", "A 32070-2025")</f>
        <v/>
      </c>
    </row>
    <row r="239" ht="15" customHeight="1">
      <c r="A239" t="inlineStr">
        <is>
          <t>A 54254-2025</t>
        </is>
      </c>
      <c r="B239" s="1" t="n">
        <v>45964.65668981482</v>
      </c>
      <c r="C239" s="1" t="n">
        <v>46161</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48489-2023</t>
        </is>
      </c>
      <c r="B240" s="1" t="n">
        <v>45206</v>
      </c>
      <c r="C240" s="1" t="n">
        <v>46161</v>
      </c>
      <c r="D240" t="inlineStr">
        <is>
          <t>VÄSTERNORRLANDS LÄN</t>
        </is>
      </c>
      <c r="E240" t="inlineStr">
        <is>
          <t>SOLLEFTEÅ</t>
        </is>
      </c>
      <c r="F240" t="inlineStr">
        <is>
          <t>SCA</t>
        </is>
      </c>
      <c r="G240" t="n">
        <v>51.8</v>
      </c>
      <c r="H240" t="n">
        <v>3</v>
      </c>
      <c r="I240" t="n">
        <v>0</v>
      </c>
      <c r="J240" t="n">
        <v>2</v>
      </c>
      <c r="K240" t="n">
        <v>0</v>
      </c>
      <c r="L240" t="n">
        <v>0</v>
      </c>
      <c r="M240" t="n">
        <v>0</v>
      </c>
      <c r="N240" t="n">
        <v>0</v>
      </c>
      <c r="O240" t="n">
        <v>2</v>
      </c>
      <c r="P240" t="n">
        <v>0</v>
      </c>
      <c r="Q240" t="n">
        <v>3</v>
      </c>
      <c r="R240" s="2" t="inlineStr">
        <is>
          <t>Spillkråka
Talltita
Lavskrika</t>
        </is>
      </c>
      <c r="S240">
        <f>HYPERLINK("https://klasma.github.io/Logging_2283/artfynd/A 48489-2023 artfynd.xlsx", "A 48489-2023")</f>
        <v/>
      </c>
      <c r="T240">
        <f>HYPERLINK("https://klasma.github.io/Logging_2283/kartor/A 48489-2023 karta.png", "A 48489-2023")</f>
        <v/>
      </c>
      <c r="V240">
        <f>HYPERLINK("https://klasma.github.io/Logging_2283/klagomål/A 48489-2023 FSC-klagomål.docx", "A 48489-2023")</f>
        <v/>
      </c>
      <c r="W240">
        <f>HYPERLINK("https://klasma.github.io/Logging_2283/klagomålsmail/A 48489-2023 FSC-klagomål mail.docx", "A 48489-2023")</f>
        <v/>
      </c>
      <c r="X240">
        <f>HYPERLINK("https://klasma.github.io/Logging_2283/tillsyn/A 48489-2023 tillsynsbegäran.docx", "A 48489-2023")</f>
        <v/>
      </c>
      <c r="Y240">
        <f>HYPERLINK("https://klasma.github.io/Logging_2283/tillsynsmail/A 48489-2023 tillsynsbegäran mail.docx", "A 48489-2023")</f>
        <v/>
      </c>
      <c r="Z240">
        <f>HYPERLINK("https://klasma.github.io/Logging_2283/fåglar/A 48489-2023 prioriterade fågelarter.docx", "A 48489-2023")</f>
        <v/>
      </c>
    </row>
    <row r="241" ht="15" customHeight="1">
      <c r="A241" t="inlineStr">
        <is>
          <t>A 54697-2025</t>
        </is>
      </c>
      <c r="B241" s="1" t="n">
        <v>45966.47638888889</v>
      </c>
      <c r="C241" s="1" t="n">
        <v>46161</v>
      </c>
      <c r="D241" t="inlineStr">
        <is>
          <t>VÄSTERNORRLANDS LÄN</t>
        </is>
      </c>
      <c r="E241" t="inlineStr">
        <is>
          <t>SOLLEFTEÅ</t>
        </is>
      </c>
      <c r="G241" t="n">
        <v>13</v>
      </c>
      <c r="H241" t="n">
        <v>0</v>
      </c>
      <c r="I241" t="n">
        <v>1</v>
      </c>
      <c r="J241" t="n">
        <v>2</v>
      </c>
      <c r="K241" t="n">
        <v>0</v>
      </c>
      <c r="L241" t="n">
        <v>0</v>
      </c>
      <c r="M241" t="n">
        <v>0</v>
      </c>
      <c r="N241" t="n">
        <v>0</v>
      </c>
      <c r="O241" t="n">
        <v>2</v>
      </c>
      <c r="P241" t="n">
        <v>0</v>
      </c>
      <c r="Q241" t="n">
        <v>3</v>
      </c>
      <c r="R241" s="2" t="inlineStr">
        <is>
          <t>Lunglav
Rosenticka
Stuplav</t>
        </is>
      </c>
      <c r="S241">
        <f>HYPERLINK("https://klasma.github.io/Logging_2283/artfynd/A 54697-2025 artfynd.xlsx", "A 54697-2025")</f>
        <v/>
      </c>
      <c r="T241">
        <f>HYPERLINK("https://klasma.github.io/Logging_2283/kartor/A 54697-2025 karta.png", "A 54697-2025")</f>
        <v/>
      </c>
      <c r="V241">
        <f>HYPERLINK("https://klasma.github.io/Logging_2283/klagomål/A 54697-2025 FSC-klagomål.docx", "A 54697-2025")</f>
        <v/>
      </c>
      <c r="W241">
        <f>HYPERLINK("https://klasma.github.io/Logging_2283/klagomålsmail/A 54697-2025 FSC-klagomål mail.docx", "A 54697-2025")</f>
        <v/>
      </c>
      <c r="X241">
        <f>HYPERLINK("https://klasma.github.io/Logging_2283/tillsyn/A 54697-2025 tillsynsbegäran.docx", "A 54697-2025")</f>
        <v/>
      </c>
      <c r="Y241">
        <f>HYPERLINK("https://klasma.github.io/Logging_2283/tillsynsmail/A 54697-2025 tillsynsbegäran mail.docx", "A 54697-2025")</f>
        <v/>
      </c>
    </row>
    <row r="242" ht="15" customHeight="1">
      <c r="A242" t="inlineStr">
        <is>
          <t>A 55125-2025</t>
        </is>
      </c>
      <c r="B242" s="1" t="n">
        <v>45968.40688657408</v>
      </c>
      <c r="C242" s="1" t="n">
        <v>46161</v>
      </c>
      <c r="D242" t="inlineStr">
        <is>
          <t>VÄSTERNORRLANDS LÄN</t>
        </is>
      </c>
      <c r="E242" t="inlineStr">
        <is>
          <t>SOLLEFTEÅ</t>
        </is>
      </c>
      <c r="F242" t="inlineStr">
        <is>
          <t>SCA</t>
        </is>
      </c>
      <c r="G242" t="n">
        <v>6.1</v>
      </c>
      <c r="H242" t="n">
        <v>2</v>
      </c>
      <c r="I242" t="n">
        <v>0</v>
      </c>
      <c r="J242" t="n">
        <v>3</v>
      </c>
      <c r="K242" t="n">
        <v>0</v>
      </c>
      <c r="L242" t="n">
        <v>0</v>
      </c>
      <c r="M242" t="n">
        <v>0</v>
      </c>
      <c r="N242" t="n">
        <v>0</v>
      </c>
      <c r="O242" t="n">
        <v>3</v>
      </c>
      <c r="P242" t="n">
        <v>0</v>
      </c>
      <c r="Q242" t="n">
        <v>3</v>
      </c>
      <c r="R242" s="2" t="inlineStr">
        <is>
          <t>Harticka
Talltita
Tretåig hackspett</t>
        </is>
      </c>
      <c r="S242">
        <f>HYPERLINK("https://klasma.github.io/Logging_2283/artfynd/A 55125-2025 artfynd.xlsx", "A 55125-2025")</f>
        <v/>
      </c>
      <c r="T242">
        <f>HYPERLINK("https://klasma.github.io/Logging_2283/kartor/A 55125-2025 karta.png", "A 55125-2025")</f>
        <v/>
      </c>
      <c r="V242">
        <f>HYPERLINK("https://klasma.github.io/Logging_2283/klagomål/A 55125-2025 FSC-klagomål.docx", "A 55125-2025")</f>
        <v/>
      </c>
      <c r="W242">
        <f>HYPERLINK("https://klasma.github.io/Logging_2283/klagomålsmail/A 55125-2025 FSC-klagomål mail.docx", "A 55125-2025")</f>
        <v/>
      </c>
      <c r="X242">
        <f>HYPERLINK("https://klasma.github.io/Logging_2283/tillsyn/A 55125-2025 tillsynsbegäran.docx", "A 55125-2025")</f>
        <v/>
      </c>
      <c r="Y242">
        <f>HYPERLINK("https://klasma.github.io/Logging_2283/tillsynsmail/A 55125-2025 tillsynsbegäran mail.docx", "A 55125-2025")</f>
        <v/>
      </c>
      <c r="Z242">
        <f>HYPERLINK("https://klasma.github.io/Logging_2283/fåglar/A 55125-2025 prioriterade fågelarter.docx", "A 55125-2025")</f>
        <v/>
      </c>
    </row>
    <row r="243" ht="15" customHeight="1">
      <c r="A243" t="inlineStr">
        <is>
          <t>A 56783-2025</t>
        </is>
      </c>
      <c r="B243" s="1" t="n">
        <v>45978.40695601852</v>
      </c>
      <c r="C243" s="1" t="n">
        <v>46161</v>
      </c>
      <c r="D243" t="inlineStr">
        <is>
          <t>VÄSTERNORRLANDS LÄN</t>
        </is>
      </c>
      <c r="E243" t="inlineStr">
        <is>
          <t>SOLLEFTEÅ</t>
        </is>
      </c>
      <c r="F243" t="inlineStr">
        <is>
          <t>SCA</t>
        </is>
      </c>
      <c r="G243" t="n">
        <v>2.5</v>
      </c>
      <c r="H243" t="n">
        <v>0</v>
      </c>
      <c r="I243" t="n">
        <v>0</v>
      </c>
      <c r="J243" t="n">
        <v>3</v>
      </c>
      <c r="K243" t="n">
        <v>0</v>
      </c>
      <c r="L243" t="n">
        <v>0</v>
      </c>
      <c r="M243" t="n">
        <v>0</v>
      </c>
      <c r="N243" t="n">
        <v>0</v>
      </c>
      <c r="O243" t="n">
        <v>3</v>
      </c>
      <c r="P243" t="n">
        <v>0</v>
      </c>
      <c r="Q243" t="n">
        <v>3</v>
      </c>
      <c r="R243" s="2" t="inlineStr">
        <is>
          <t>Kolflarnlav
Lunglav
Orange taggsvamp</t>
        </is>
      </c>
      <c r="S243">
        <f>HYPERLINK("https://klasma.github.io/Logging_2283/artfynd/A 56783-2025 artfynd.xlsx", "A 56783-2025")</f>
        <v/>
      </c>
      <c r="T243">
        <f>HYPERLINK("https://klasma.github.io/Logging_2283/kartor/A 56783-2025 karta.png", "A 56783-2025")</f>
        <v/>
      </c>
      <c r="V243">
        <f>HYPERLINK("https://klasma.github.io/Logging_2283/klagomål/A 56783-2025 FSC-klagomål.docx", "A 56783-2025")</f>
        <v/>
      </c>
      <c r="W243">
        <f>HYPERLINK("https://klasma.github.io/Logging_2283/klagomålsmail/A 56783-2025 FSC-klagomål mail.docx", "A 56783-2025")</f>
        <v/>
      </c>
      <c r="X243">
        <f>HYPERLINK("https://klasma.github.io/Logging_2283/tillsyn/A 56783-2025 tillsynsbegäran.docx", "A 56783-2025")</f>
        <v/>
      </c>
      <c r="Y243">
        <f>HYPERLINK("https://klasma.github.io/Logging_2283/tillsynsmail/A 56783-2025 tillsynsbegäran mail.docx", "A 56783-2025")</f>
        <v/>
      </c>
    </row>
    <row r="244" ht="15" customHeight="1">
      <c r="A244" t="inlineStr">
        <is>
          <t>A 61670-2025</t>
        </is>
      </c>
      <c r="B244" s="1" t="n">
        <v>46002.47004629629</v>
      </c>
      <c r="C244" s="1" t="n">
        <v>46161</v>
      </c>
      <c r="D244" t="inlineStr">
        <is>
          <t>VÄSTERNORRLANDS LÄN</t>
        </is>
      </c>
      <c r="E244" t="inlineStr">
        <is>
          <t>SOLLEFTEÅ</t>
        </is>
      </c>
      <c r="G244" t="n">
        <v>4.5</v>
      </c>
      <c r="H244" t="n">
        <v>0</v>
      </c>
      <c r="I244" t="n">
        <v>1</v>
      </c>
      <c r="J244" t="n">
        <v>2</v>
      </c>
      <c r="K244" t="n">
        <v>0</v>
      </c>
      <c r="L244" t="n">
        <v>0</v>
      </c>
      <c r="M244" t="n">
        <v>0</v>
      </c>
      <c r="N244" t="n">
        <v>0</v>
      </c>
      <c r="O244" t="n">
        <v>2</v>
      </c>
      <c r="P244" t="n">
        <v>0</v>
      </c>
      <c r="Q244" t="n">
        <v>3</v>
      </c>
      <c r="R244" s="2" t="inlineStr">
        <is>
          <t>Garnlav
Rosenticka
Vedticka</t>
        </is>
      </c>
      <c r="S244">
        <f>HYPERLINK("https://klasma.github.io/Logging_2283/artfynd/A 61670-2025 artfynd.xlsx", "A 61670-2025")</f>
        <v/>
      </c>
      <c r="T244">
        <f>HYPERLINK("https://klasma.github.io/Logging_2283/kartor/A 61670-2025 karta.png", "A 61670-2025")</f>
        <v/>
      </c>
      <c r="V244">
        <f>HYPERLINK("https://klasma.github.io/Logging_2283/klagomål/A 61670-2025 FSC-klagomål.docx", "A 61670-2025")</f>
        <v/>
      </c>
      <c r="W244">
        <f>HYPERLINK("https://klasma.github.io/Logging_2283/klagomålsmail/A 61670-2025 FSC-klagomål mail.docx", "A 61670-2025")</f>
        <v/>
      </c>
      <c r="X244">
        <f>HYPERLINK("https://klasma.github.io/Logging_2283/tillsyn/A 61670-2025 tillsynsbegäran.docx", "A 61670-2025")</f>
        <v/>
      </c>
      <c r="Y244">
        <f>HYPERLINK("https://klasma.github.io/Logging_2283/tillsynsmail/A 61670-2025 tillsynsbegäran mail.docx", "A 61670-2025")</f>
        <v/>
      </c>
    </row>
    <row r="245" ht="15" customHeight="1">
      <c r="A245" t="inlineStr">
        <is>
          <t>A 48017-2024</t>
        </is>
      </c>
      <c r="B245" s="1" t="n">
        <v>45589.46935185185</v>
      </c>
      <c r="C245" s="1" t="n">
        <v>46161</v>
      </c>
      <c r="D245" t="inlineStr">
        <is>
          <t>VÄSTERNORRLANDS LÄN</t>
        </is>
      </c>
      <c r="E245" t="inlineStr">
        <is>
          <t>SOLLEFTEÅ</t>
        </is>
      </c>
      <c r="F245" t="inlineStr">
        <is>
          <t>SCA</t>
        </is>
      </c>
      <c r="G245" t="n">
        <v>1.4</v>
      </c>
      <c r="H245" t="n">
        <v>0</v>
      </c>
      <c r="I245" t="n">
        <v>1</v>
      </c>
      <c r="J245" t="n">
        <v>2</v>
      </c>
      <c r="K245" t="n">
        <v>0</v>
      </c>
      <c r="L245" t="n">
        <v>0</v>
      </c>
      <c r="M245" t="n">
        <v>0</v>
      </c>
      <c r="N245" t="n">
        <v>0</v>
      </c>
      <c r="O245" t="n">
        <v>2</v>
      </c>
      <c r="P245" t="n">
        <v>0</v>
      </c>
      <c r="Q245" t="n">
        <v>3</v>
      </c>
      <c r="R245" s="2" t="inlineStr">
        <is>
          <t>Garnlav
Kolflarnlav
Dropptaggsvamp</t>
        </is>
      </c>
      <c r="S245">
        <f>HYPERLINK("https://klasma.github.io/Logging_2283/artfynd/A 48017-2024 artfynd.xlsx", "A 48017-2024")</f>
        <v/>
      </c>
      <c r="T245">
        <f>HYPERLINK("https://klasma.github.io/Logging_2283/kartor/A 48017-2024 karta.png", "A 48017-2024")</f>
        <v/>
      </c>
      <c r="V245">
        <f>HYPERLINK("https://klasma.github.io/Logging_2283/klagomål/A 48017-2024 FSC-klagomål.docx", "A 48017-2024")</f>
        <v/>
      </c>
      <c r="W245">
        <f>HYPERLINK("https://klasma.github.io/Logging_2283/klagomålsmail/A 48017-2024 FSC-klagomål mail.docx", "A 48017-2024")</f>
        <v/>
      </c>
      <c r="X245">
        <f>HYPERLINK("https://klasma.github.io/Logging_2283/tillsyn/A 48017-2024 tillsynsbegäran.docx", "A 48017-2024")</f>
        <v/>
      </c>
      <c r="Y245">
        <f>HYPERLINK("https://klasma.github.io/Logging_2283/tillsynsmail/A 48017-2024 tillsynsbegäran mail.docx", "A 48017-2024")</f>
        <v/>
      </c>
    </row>
    <row r="246" ht="15" customHeight="1">
      <c r="A246" t="inlineStr">
        <is>
          <t>A 751-2026</t>
        </is>
      </c>
      <c r="B246" s="1" t="n">
        <v>46029.67748842593</v>
      </c>
      <c r="C246" s="1" t="n">
        <v>46161</v>
      </c>
      <c r="D246" t="inlineStr">
        <is>
          <t>VÄSTERNORRLANDS LÄN</t>
        </is>
      </c>
      <c r="E246" t="inlineStr">
        <is>
          <t>SOLLEFTEÅ</t>
        </is>
      </c>
      <c r="G246" t="n">
        <v>15.6</v>
      </c>
      <c r="H246" t="n">
        <v>1</v>
      </c>
      <c r="I246" t="n">
        <v>1</v>
      </c>
      <c r="J246" t="n">
        <v>2</v>
      </c>
      <c r="K246" t="n">
        <v>0</v>
      </c>
      <c r="L246" t="n">
        <v>0</v>
      </c>
      <c r="M246" t="n">
        <v>0</v>
      </c>
      <c r="N246" t="n">
        <v>0</v>
      </c>
      <c r="O246" t="n">
        <v>2</v>
      </c>
      <c r="P246" t="n">
        <v>0</v>
      </c>
      <c r="Q246" t="n">
        <v>3</v>
      </c>
      <c r="R246" s="2" t="inlineStr">
        <is>
          <t>Lunglav
Tretåig hackspett
Stuplav</t>
        </is>
      </c>
      <c r="S246">
        <f>HYPERLINK("https://klasma.github.io/Logging_2283/artfynd/A 751-2026 artfynd.xlsx", "A 751-2026")</f>
        <v/>
      </c>
      <c r="T246">
        <f>HYPERLINK("https://klasma.github.io/Logging_2283/kartor/A 751-2026 karta.png", "A 751-2026")</f>
        <v/>
      </c>
      <c r="V246">
        <f>HYPERLINK("https://klasma.github.io/Logging_2283/klagomål/A 751-2026 FSC-klagomål.docx", "A 751-2026")</f>
        <v/>
      </c>
      <c r="W246">
        <f>HYPERLINK("https://klasma.github.io/Logging_2283/klagomålsmail/A 751-2026 FSC-klagomål mail.docx", "A 751-2026")</f>
        <v/>
      </c>
      <c r="X246">
        <f>HYPERLINK("https://klasma.github.io/Logging_2283/tillsyn/A 751-2026 tillsynsbegäran.docx", "A 751-2026")</f>
        <v/>
      </c>
      <c r="Y246">
        <f>HYPERLINK("https://klasma.github.io/Logging_2283/tillsynsmail/A 751-2026 tillsynsbegäran mail.docx", "A 751-2026")</f>
        <v/>
      </c>
      <c r="Z246">
        <f>HYPERLINK("https://klasma.github.io/Logging_2283/fåglar/A 751-2026 prioriterade fågelarter.docx", "A 751-2026")</f>
        <v/>
      </c>
    </row>
    <row r="247" ht="15" customHeight="1">
      <c r="A247" t="inlineStr">
        <is>
          <t>A 25919-2025</t>
        </is>
      </c>
      <c r="B247" s="1" t="n">
        <v>45804</v>
      </c>
      <c r="C247" s="1" t="n">
        <v>46161</v>
      </c>
      <c r="D247" t="inlineStr">
        <is>
          <t>VÄSTERNORRLANDS LÄN</t>
        </is>
      </c>
      <c r="E247" t="inlineStr">
        <is>
          <t>SOLLEFTEÅ</t>
        </is>
      </c>
      <c r="G247" t="n">
        <v>8.5</v>
      </c>
      <c r="H247" t="n">
        <v>0</v>
      </c>
      <c r="I247" t="n">
        <v>2</v>
      </c>
      <c r="J247" t="n">
        <v>1</v>
      </c>
      <c r="K247" t="n">
        <v>0</v>
      </c>
      <c r="L247" t="n">
        <v>0</v>
      </c>
      <c r="M247" t="n">
        <v>0</v>
      </c>
      <c r="N247" t="n">
        <v>0</v>
      </c>
      <c r="O247" t="n">
        <v>1</v>
      </c>
      <c r="P247" t="n">
        <v>0</v>
      </c>
      <c r="Q247" t="n">
        <v>3</v>
      </c>
      <c r="R247" s="2" t="inlineStr">
        <is>
          <t>Granticka
Svart trolldruva
Vårärt</t>
        </is>
      </c>
      <c r="S247">
        <f>HYPERLINK("https://klasma.github.io/Logging_2283/artfynd/A 25919-2025 artfynd.xlsx", "A 25919-2025")</f>
        <v/>
      </c>
      <c r="T247">
        <f>HYPERLINK("https://klasma.github.io/Logging_2283/kartor/A 25919-2025 karta.png", "A 25919-2025")</f>
        <v/>
      </c>
      <c r="V247">
        <f>HYPERLINK("https://klasma.github.io/Logging_2283/klagomål/A 25919-2025 FSC-klagomål.docx", "A 25919-2025")</f>
        <v/>
      </c>
      <c r="W247">
        <f>HYPERLINK("https://klasma.github.io/Logging_2283/klagomålsmail/A 25919-2025 FSC-klagomål mail.docx", "A 25919-2025")</f>
        <v/>
      </c>
      <c r="X247">
        <f>HYPERLINK("https://klasma.github.io/Logging_2283/tillsyn/A 25919-2025 tillsynsbegäran.docx", "A 25919-2025")</f>
        <v/>
      </c>
      <c r="Y247">
        <f>HYPERLINK("https://klasma.github.io/Logging_2283/tillsynsmail/A 25919-2025 tillsynsbegäran mail.docx", "A 25919-2025")</f>
        <v/>
      </c>
    </row>
    <row r="248" ht="15" customHeight="1">
      <c r="A248" t="inlineStr">
        <is>
          <t>A 21097-2024</t>
        </is>
      </c>
      <c r="B248" s="1" t="n">
        <v>45439</v>
      </c>
      <c r="C248" s="1" t="n">
        <v>46161</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61676-2025</t>
        </is>
      </c>
      <c r="B249" s="1" t="n">
        <v>46002</v>
      </c>
      <c r="C249" s="1" t="n">
        <v>46161</v>
      </c>
      <c r="D249" t="inlineStr">
        <is>
          <t>VÄSTERNORRLANDS LÄN</t>
        </is>
      </c>
      <c r="E249" t="inlineStr">
        <is>
          <t>SOLLEFTEÅ</t>
        </is>
      </c>
      <c r="G249" t="n">
        <v>2.9</v>
      </c>
      <c r="H249" t="n">
        <v>1</v>
      </c>
      <c r="I249" t="n">
        <v>0</v>
      </c>
      <c r="J249" t="n">
        <v>3</v>
      </c>
      <c r="K249" t="n">
        <v>0</v>
      </c>
      <c r="L249" t="n">
        <v>0</v>
      </c>
      <c r="M249" t="n">
        <v>0</v>
      </c>
      <c r="N249" t="n">
        <v>0</v>
      </c>
      <c r="O249" t="n">
        <v>3</v>
      </c>
      <c r="P249" t="n">
        <v>0</v>
      </c>
      <c r="Q249" t="n">
        <v>3</v>
      </c>
      <c r="R249" s="2" t="inlineStr">
        <is>
          <t>Garnlav
Mörk kolflarnlav
Tretåig hackspett</t>
        </is>
      </c>
      <c r="S249">
        <f>HYPERLINK("https://klasma.github.io/Logging_2283/artfynd/A 61676-2025 artfynd.xlsx", "A 61676-2025")</f>
        <v/>
      </c>
      <c r="T249">
        <f>HYPERLINK("https://klasma.github.io/Logging_2283/kartor/A 61676-2025 karta.png", "A 61676-2025")</f>
        <v/>
      </c>
      <c r="V249">
        <f>HYPERLINK("https://klasma.github.io/Logging_2283/klagomål/A 61676-2025 FSC-klagomål.docx", "A 61676-2025")</f>
        <v/>
      </c>
      <c r="W249">
        <f>HYPERLINK("https://klasma.github.io/Logging_2283/klagomålsmail/A 61676-2025 FSC-klagomål mail.docx", "A 61676-2025")</f>
        <v/>
      </c>
      <c r="X249">
        <f>HYPERLINK("https://klasma.github.io/Logging_2283/tillsyn/A 61676-2025 tillsynsbegäran.docx", "A 61676-2025")</f>
        <v/>
      </c>
      <c r="Y249">
        <f>HYPERLINK("https://klasma.github.io/Logging_2283/tillsynsmail/A 61676-2025 tillsynsbegäran mail.docx", "A 61676-2025")</f>
        <v/>
      </c>
      <c r="Z249">
        <f>HYPERLINK("https://klasma.github.io/Logging_2283/fåglar/A 61676-2025 prioriterade fågelarter.docx", "A 61676-2025")</f>
        <v/>
      </c>
    </row>
    <row r="250" ht="15" customHeight="1">
      <c r="A250" t="inlineStr">
        <is>
          <t>A 26374-2023</t>
        </is>
      </c>
      <c r="B250" s="1" t="n">
        <v>45091.94403935185</v>
      </c>
      <c r="C250" s="1" t="n">
        <v>46161</v>
      </c>
      <c r="D250" t="inlineStr">
        <is>
          <t>VÄSTERNORRLANDS LÄN</t>
        </is>
      </c>
      <c r="E250" t="inlineStr">
        <is>
          <t>SOLLEFTEÅ</t>
        </is>
      </c>
      <c r="F250" t="inlineStr">
        <is>
          <t>SCA</t>
        </is>
      </c>
      <c r="G250" t="n">
        <v>0.9</v>
      </c>
      <c r="H250" t="n">
        <v>0</v>
      </c>
      <c r="I250" t="n">
        <v>0</v>
      </c>
      <c r="J250" t="n">
        <v>2</v>
      </c>
      <c r="K250" t="n">
        <v>1</v>
      </c>
      <c r="L250" t="n">
        <v>0</v>
      </c>
      <c r="M250" t="n">
        <v>0</v>
      </c>
      <c r="N250" t="n">
        <v>0</v>
      </c>
      <c r="O250" t="n">
        <v>3</v>
      </c>
      <c r="P250" t="n">
        <v>1</v>
      </c>
      <c r="Q250" t="n">
        <v>3</v>
      </c>
      <c r="R250" s="2" t="inlineStr">
        <is>
          <t>Blackticka
Granticka
Ullticka</t>
        </is>
      </c>
      <c r="S250">
        <f>HYPERLINK("https://klasma.github.io/Logging_2283/artfynd/A 26374-2023 artfynd.xlsx", "A 26374-2023")</f>
        <v/>
      </c>
      <c r="T250">
        <f>HYPERLINK("https://klasma.github.io/Logging_2283/kartor/A 26374-2023 karta.png", "A 26374-2023")</f>
        <v/>
      </c>
      <c r="V250">
        <f>HYPERLINK("https://klasma.github.io/Logging_2283/klagomål/A 26374-2023 FSC-klagomål.docx", "A 26374-2023")</f>
        <v/>
      </c>
      <c r="W250">
        <f>HYPERLINK("https://klasma.github.io/Logging_2283/klagomålsmail/A 26374-2023 FSC-klagomål mail.docx", "A 26374-2023")</f>
        <v/>
      </c>
      <c r="X250">
        <f>HYPERLINK("https://klasma.github.io/Logging_2283/tillsyn/A 26374-2023 tillsynsbegäran.docx", "A 26374-2023")</f>
        <v/>
      </c>
      <c r="Y250">
        <f>HYPERLINK("https://klasma.github.io/Logging_2283/tillsynsmail/A 26374-2023 tillsynsbegäran mail.docx", "A 26374-2023")</f>
        <v/>
      </c>
    </row>
    <row r="251" ht="15" customHeight="1">
      <c r="A251" t="inlineStr">
        <is>
          <t>A 23939-2024</t>
        </is>
      </c>
      <c r="B251" s="1" t="n">
        <v>45455.96303240741</v>
      </c>
      <c r="C251" s="1" t="n">
        <v>46161</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54624-2024</t>
        </is>
      </c>
      <c r="B252" s="1" t="n">
        <v>45617</v>
      </c>
      <c r="C252" s="1" t="n">
        <v>46161</v>
      </c>
      <c r="D252" t="inlineStr">
        <is>
          <t>VÄSTERNORRLANDS LÄN</t>
        </is>
      </c>
      <c r="E252" t="inlineStr">
        <is>
          <t>SOLLEFTEÅ</t>
        </is>
      </c>
      <c r="G252" t="n">
        <v>11.5</v>
      </c>
      <c r="H252" t="n">
        <v>0</v>
      </c>
      <c r="I252" t="n">
        <v>2</v>
      </c>
      <c r="J252" t="n">
        <v>1</v>
      </c>
      <c r="K252" t="n">
        <v>0</v>
      </c>
      <c r="L252" t="n">
        <v>0</v>
      </c>
      <c r="M252" t="n">
        <v>0</v>
      </c>
      <c r="N252" t="n">
        <v>0</v>
      </c>
      <c r="O252" t="n">
        <v>1</v>
      </c>
      <c r="P252" t="n">
        <v>0</v>
      </c>
      <c r="Q252" t="n">
        <v>3</v>
      </c>
      <c r="R252" s="2" t="inlineStr">
        <is>
          <t>Ullticka
Stuplav
Vedticka</t>
        </is>
      </c>
      <c r="S252">
        <f>HYPERLINK("https://klasma.github.io/Logging_2283/artfynd/A 54624-2024 artfynd.xlsx", "A 54624-2024")</f>
        <v/>
      </c>
      <c r="T252">
        <f>HYPERLINK("https://klasma.github.io/Logging_2283/kartor/A 54624-2024 karta.png", "A 54624-2024")</f>
        <v/>
      </c>
      <c r="V252">
        <f>HYPERLINK("https://klasma.github.io/Logging_2283/klagomål/A 54624-2024 FSC-klagomål.docx", "A 54624-2024")</f>
        <v/>
      </c>
      <c r="W252">
        <f>HYPERLINK("https://klasma.github.io/Logging_2283/klagomålsmail/A 54624-2024 FSC-klagomål mail.docx", "A 54624-2024")</f>
        <v/>
      </c>
      <c r="X252">
        <f>HYPERLINK("https://klasma.github.io/Logging_2283/tillsyn/A 54624-2024 tillsynsbegäran.docx", "A 54624-2024")</f>
        <v/>
      </c>
      <c r="Y252">
        <f>HYPERLINK("https://klasma.github.io/Logging_2283/tillsynsmail/A 54624-2024 tillsynsbegäran mail.docx", "A 54624-2024")</f>
        <v/>
      </c>
    </row>
    <row r="253" ht="15" customHeight="1">
      <c r="A253" t="inlineStr">
        <is>
          <t>A 38096-2024</t>
        </is>
      </c>
      <c r="B253" s="1" t="n">
        <v>45545.345</v>
      </c>
      <c r="C253" s="1" t="n">
        <v>46161</v>
      </c>
      <c r="D253" t="inlineStr">
        <is>
          <t>VÄSTERNORRLANDS LÄN</t>
        </is>
      </c>
      <c r="E253" t="inlineStr">
        <is>
          <t>SOLLEFTEÅ</t>
        </is>
      </c>
      <c r="F253" t="inlineStr">
        <is>
          <t>SCA</t>
        </is>
      </c>
      <c r="G253" t="n">
        <v>5.2</v>
      </c>
      <c r="H253" t="n">
        <v>1</v>
      </c>
      <c r="I253" t="n">
        <v>2</v>
      </c>
      <c r="J253" t="n">
        <v>1</v>
      </c>
      <c r="K253" t="n">
        <v>0</v>
      </c>
      <c r="L253" t="n">
        <v>0</v>
      </c>
      <c r="M253" t="n">
        <v>0</v>
      </c>
      <c r="N253" t="n">
        <v>0</v>
      </c>
      <c r="O253" t="n">
        <v>1</v>
      </c>
      <c r="P253" t="n">
        <v>0</v>
      </c>
      <c r="Q253" t="n">
        <v>3</v>
      </c>
      <c r="R253" s="2" t="inlineStr">
        <is>
          <t>Lunglav
Bollvitmossa
Lappranunkel</t>
        </is>
      </c>
      <c r="S253">
        <f>HYPERLINK("https://klasma.github.io/Logging_2283/artfynd/A 38096-2024 artfynd.xlsx", "A 38096-2024")</f>
        <v/>
      </c>
      <c r="T253">
        <f>HYPERLINK("https://klasma.github.io/Logging_2283/kartor/A 38096-2024 karta.png", "A 38096-2024")</f>
        <v/>
      </c>
      <c r="V253">
        <f>HYPERLINK("https://klasma.github.io/Logging_2283/klagomål/A 38096-2024 FSC-klagomål.docx", "A 38096-2024")</f>
        <v/>
      </c>
      <c r="W253">
        <f>HYPERLINK("https://klasma.github.io/Logging_2283/klagomålsmail/A 38096-2024 FSC-klagomål mail.docx", "A 38096-2024")</f>
        <v/>
      </c>
      <c r="X253">
        <f>HYPERLINK("https://klasma.github.io/Logging_2283/tillsyn/A 38096-2024 tillsynsbegäran.docx", "A 38096-2024")</f>
        <v/>
      </c>
      <c r="Y253">
        <f>HYPERLINK("https://klasma.github.io/Logging_2283/tillsynsmail/A 38096-2024 tillsynsbegäran mail.docx", "A 38096-2024")</f>
        <v/>
      </c>
    </row>
    <row r="254" ht="15" customHeight="1">
      <c r="A254" t="inlineStr">
        <is>
          <t>A 61481-2021</t>
        </is>
      </c>
      <c r="B254" s="1" t="n">
        <v>44500</v>
      </c>
      <c r="C254" s="1" t="n">
        <v>46161</v>
      </c>
      <c r="D254" t="inlineStr">
        <is>
          <t>VÄSTERNORRLANDS LÄN</t>
        </is>
      </c>
      <c r="E254" t="inlineStr">
        <is>
          <t>SOLLEFTEÅ</t>
        </is>
      </c>
      <c r="F254" t="inlineStr">
        <is>
          <t>SCA</t>
        </is>
      </c>
      <c r="G254" t="n">
        <v>6.8</v>
      </c>
      <c r="H254" t="n">
        <v>0</v>
      </c>
      <c r="I254" t="n">
        <v>1</v>
      </c>
      <c r="J254" t="n">
        <v>2</v>
      </c>
      <c r="K254" t="n">
        <v>0</v>
      </c>
      <c r="L254" t="n">
        <v>0</v>
      </c>
      <c r="M254" t="n">
        <v>0</v>
      </c>
      <c r="N254" t="n">
        <v>0</v>
      </c>
      <c r="O254" t="n">
        <v>2</v>
      </c>
      <c r="P254" t="n">
        <v>0</v>
      </c>
      <c r="Q254" t="n">
        <v>3</v>
      </c>
      <c r="R254" s="2" t="inlineStr">
        <is>
          <t>Lunglav
Skrovellav
Kambräken</t>
        </is>
      </c>
      <c r="S254">
        <f>HYPERLINK("https://klasma.github.io/Logging_2283/artfynd/A 61481-2021 artfynd.xlsx", "A 61481-2021")</f>
        <v/>
      </c>
      <c r="T254">
        <f>HYPERLINK("https://klasma.github.io/Logging_2283/kartor/A 61481-2021 karta.png", "A 61481-2021")</f>
        <v/>
      </c>
      <c r="V254">
        <f>HYPERLINK("https://klasma.github.io/Logging_2283/klagomål/A 61481-2021 FSC-klagomål.docx", "A 61481-2021")</f>
        <v/>
      </c>
      <c r="W254">
        <f>HYPERLINK("https://klasma.github.io/Logging_2283/klagomålsmail/A 61481-2021 FSC-klagomål mail.docx", "A 61481-2021")</f>
        <v/>
      </c>
      <c r="X254">
        <f>HYPERLINK("https://klasma.github.io/Logging_2283/tillsyn/A 61481-2021 tillsynsbegäran.docx", "A 61481-2021")</f>
        <v/>
      </c>
      <c r="Y254">
        <f>HYPERLINK("https://klasma.github.io/Logging_2283/tillsynsmail/A 61481-2021 tillsynsbegäran mail.docx", "A 61481-2021")</f>
        <v/>
      </c>
    </row>
    <row r="255" ht="15" customHeight="1">
      <c r="A255" t="inlineStr">
        <is>
          <t>A 50838-2023</t>
        </is>
      </c>
      <c r="B255" s="1" t="n">
        <v>45217</v>
      </c>
      <c r="C255" s="1" t="n">
        <v>46161</v>
      </c>
      <c r="D255" t="inlineStr">
        <is>
          <t>VÄSTERNORRLANDS LÄN</t>
        </is>
      </c>
      <c r="E255" t="inlineStr">
        <is>
          <t>SOLLEFTEÅ</t>
        </is>
      </c>
      <c r="F255" t="inlineStr">
        <is>
          <t>SCA</t>
        </is>
      </c>
      <c r="G255" t="n">
        <v>2.1</v>
      </c>
      <c r="H255" t="n">
        <v>2</v>
      </c>
      <c r="I255" t="n">
        <v>0</v>
      </c>
      <c r="J255" t="n">
        <v>1</v>
      </c>
      <c r="K255" t="n">
        <v>2</v>
      </c>
      <c r="L255" t="n">
        <v>0</v>
      </c>
      <c r="M255" t="n">
        <v>0</v>
      </c>
      <c r="N255" t="n">
        <v>0</v>
      </c>
      <c r="O255" t="n">
        <v>3</v>
      </c>
      <c r="P255" t="n">
        <v>2</v>
      </c>
      <c r="Q255" t="n">
        <v>3</v>
      </c>
      <c r="R255" s="2" t="inlineStr">
        <is>
          <t>Doftticka
Knärot
Lunglav</t>
        </is>
      </c>
      <c r="S255">
        <f>HYPERLINK("https://klasma.github.io/Logging_2283/artfynd/A 50838-2023 artfynd.xlsx", "A 50838-2023")</f>
        <v/>
      </c>
      <c r="T255">
        <f>HYPERLINK("https://klasma.github.io/Logging_2283/kartor/A 50838-2023 karta.png", "A 50838-2023")</f>
        <v/>
      </c>
      <c r="U255">
        <f>HYPERLINK("https://klasma.github.io/Logging_2283/knärot/A 50838-2023 karta knärot.png", "A 50838-2023")</f>
        <v/>
      </c>
      <c r="V255">
        <f>HYPERLINK("https://klasma.github.io/Logging_2283/klagomål/A 50838-2023 FSC-klagomål.docx", "A 50838-2023")</f>
        <v/>
      </c>
      <c r="W255">
        <f>HYPERLINK("https://klasma.github.io/Logging_2283/klagomålsmail/A 50838-2023 FSC-klagomål mail.docx", "A 50838-2023")</f>
        <v/>
      </c>
      <c r="X255">
        <f>HYPERLINK("https://klasma.github.io/Logging_2283/tillsyn/A 50838-2023 tillsynsbegäran.docx", "A 50838-2023")</f>
        <v/>
      </c>
      <c r="Y255">
        <f>HYPERLINK("https://klasma.github.io/Logging_2283/tillsynsmail/A 50838-2023 tillsynsbegäran mail.docx", "A 50838-2023")</f>
        <v/>
      </c>
    </row>
    <row r="256" ht="15" customHeight="1">
      <c r="A256" t="inlineStr">
        <is>
          <t>A 8077-2025</t>
        </is>
      </c>
      <c r="B256" s="1" t="n">
        <v>45707.65659722222</v>
      </c>
      <c r="C256" s="1" t="n">
        <v>46161</v>
      </c>
      <c r="D256" t="inlineStr">
        <is>
          <t>VÄSTERNORRLANDS LÄN</t>
        </is>
      </c>
      <c r="E256" t="inlineStr">
        <is>
          <t>SOLLEFTEÅ</t>
        </is>
      </c>
      <c r="F256" t="inlineStr">
        <is>
          <t>SCA</t>
        </is>
      </c>
      <c r="G256" t="n">
        <v>2.7</v>
      </c>
      <c r="H256" t="n">
        <v>3</v>
      </c>
      <c r="I256" t="n">
        <v>0</v>
      </c>
      <c r="J256" t="n">
        <v>2</v>
      </c>
      <c r="K256" t="n">
        <v>0</v>
      </c>
      <c r="L256" t="n">
        <v>0</v>
      </c>
      <c r="M256" t="n">
        <v>0</v>
      </c>
      <c r="N256" t="n">
        <v>0</v>
      </c>
      <c r="O256" t="n">
        <v>2</v>
      </c>
      <c r="P256" t="n">
        <v>0</v>
      </c>
      <c r="Q256" t="n">
        <v>3</v>
      </c>
      <c r="R256" s="2" t="inlineStr">
        <is>
          <t>Spillkråka
Tretåig hackspett
Tjäder</t>
        </is>
      </c>
      <c r="S256">
        <f>HYPERLINK("https://klasma.github.io/Logging_2283/artfynd/A 8077-2025 artfynd.xlsx", "A 8077-2025")</f>
        <v/>
      </c>
      <c r="T256">
        <f>HYPERLINK("https://klasma.github.io/Logging_2283/kartor/A 8077-2025 karta.png", "A 8077-2025")</f>
        <v/>
      </c>
      <c r="V256">
        <f>HYPERLINK("https://klasma.github.io/Logging_2283/klagomål/A 8077-2025 FSC-klagomål.docx", "A 8077-2025")</f>
        <v/>
      </c>
      <c r="W256">
        <f>HYPERLINK("https://klasma.github.io/Logging_2283/klagomålsmail/A 8077-2025 FSC-klagomål mail.docx", "A 8077-2025")</f>
        <v/>
      </c>
      <c r="X256">
        <f>HYPERLINK("https://klasma.github.io/Logging_2283/tillsyn/A 8077-2025 tillsynsbegäran.docx", "A 8077-2025")</f>
        <v/>
      </c>
      <c r="Y256">
        <f>HYPERLINK("https://klasma.github.io/Logging_2283/tillsynsmail/A 8077-2025 tillsynsbegäran mail.docx", "A 8077-2025")</f>
        <v/>
      </c>
      <c r="Z256">
        <f>HYPERLINK("https://klasma.github.io/Logging_2283/fåglar/A 8077-2025 prioriterade fågelarter.docx", "A 8077-2025")</f>
        <v/>
      </c>
    </row>
    <row r="257" ht="15" customHeight="1">
      <c r="A257" t="inlineStr">
        <is>
          <t>A 3808-2026</t>
        </is>
      </c>
      <c r="B257" s="1" t="n">
        <v>46043.58349537037</v>
      </c>
      <c r="C257" s="1" t="n">
        <v>46161</v>
      </c>
      <c r="D257" t="inlineStr">
        <is>
          <t>VÄSTERNORRLANDS LÄN</t>
        </is>
      </c>
      <c r="E257" t="inlineStr">
        <is>
          <t>SOLLEFTEÅ</t>
        </is>
      </c>
      <c r="F257" t="inlineStr">
        <is>
          <t>SCA</t>
        </is>
      </c>
      <c r="G257" t="n">
        <v>1.6</v>
      </c>
      <c r="H257" t="n">
        <v>0</v>
      </c>
      <c r="I257" t="n">
        <v>0</v>
      </c>
      <c r="J257" t="n">
        <v>3</v>
      </c>
      <c r="K257" t="n">
        <v>0</v>
      </c>
      <c r="L257" t="n">
        <v>0</v>
      </c>
      <c r="M257" t="n">
        <v>0</v>
      </c>
      <c r="N257" t="n">
        <v>0</v>
      </c>
      <c r="O257" t="n">
        <v>3</v>
      </c>
      <c r="P257" t="n">
        <v>0</v>
      </c>
      <c r="Q257" t="n">
        <v>3</v>
      </c>
      <c r="R257" s="2" t="inlineStr">
        <is>
          <t>Dvärgbägarlav
Garnlav
Vedflamlav</t>
        </is>
      </c>
      <c r="S257">
        <f>HYPERLINK("https://klasma.github.io/Logging_2283/artfynd/A 3808-2026 artfynd.xlsx", "A 3808-2026")</f>
        <v/>
      </c>
      <c r="T257">
        <f>HYPERLINK("https://klasma.github.io/Logging_2283/kartor/A 3808-2026 karta.png", "A 3808-2026")</f>
        <v/>
      </c>
      <c r="V257">
        <f>HYPERLINK("https://klasma.github.io/Logging_2283/klagomål/A 3808-2026 FSC-klagomål.docx", "A 3808-2026")</f>
        <v/>
      </c>
      <c r="W257">
        <f>HYPERLINK("https://klasma.github.io/Logging_2283/klagomålsmail/A 3808-2026 FSC-klagomål mail.docx", "A 3808-2026")</f>
        <v/>
      </c>
      <c r="X257">
        <f>HYPERLINK("https://klasma.github.io/Logging_2283/tillsyn/A 3808-2026 tillsynsbegäran.docx", "A 3808-2026")</f>
        <v/>
      </c>
      <c r="Y257">
        <f>HYPERLINK("https://klasma.github.io/Logging_2283/tillsynsmail/A 3808-2026 tillsynsbegäran mail.docx", "A 3808-2026")</f>
        <v/>
      </c>
    </row>
    <row r="258" ht="15" customHeight="1">
      <c r="A258" t="inlineStr">
        <is>
          <t>A 53852-2024</t>
        </is>
      </c>
      <c r="B258" s="1" t="n">
        <v>45615.63590277778</v>
      </c>
      <c r="C258" s="1" t="n">
        <v>46161</v>
      </c>
      <c r="D258" t="inlineStr">
        <is>
          <t>VÄSTERNORRLANDS LÄN</t>
        </is>
      </c>
      <c r="E258" t="inlineStr">
        <is>
          <t>SOLLEFTEÅ</t>
        </is>
      </c>
      <c r="F258" t="inlineStr">
        <is>
          <t>SCA</t>
        </is>
      </c>
      <c r="G258" t="n">
        <v>0.7</v>
      </c>
      <c r="H258" t="n">
        <v>1</v>
      </c>
      <c r="I258" t="n">
        <v>2</v>
      </c>
      <c r="J258" t="n">
        <v>1</v>
      </c>
      <c r="K258" t="n">
        <v>0</v>
      </c>
      <c r="L258" t="n">
        <v>0</v>
      </c>
      <c r="M258" t="n">
        <v>0</v>
      </c>
      <c r="N258" t="n">
        <v>0</v>
      </c>
      <c r="O258" t="n">
        <v>1</v>
      </c>
      <c r="P258" t="n">
        <v>0</v>
      </c>
      <c r="Q258" t="n">
        <v>3</v>
      </c>
      <c r="R258" s="2" t="inlineStr">
        <is>
          <t>Garnlav
Korallrot
Ögonpyrola</t>
        </is>
      </c>
      <c r="S258">
        <f>HYPERLINK("https://klasma.github.io/Logging_2283/artfynd/A 53852-2024 artfynd.xlsx", "A 53852-2024")</f>
        <v/>
      </c>
      <c r="T258">
        <f>HYPERLINK("https://klasma.github.io/Logging_2283/kartor/A 53852-2024 karta.png", "A 53852-2024")</f>
        <v/>
      </c>
      <c r="V258">
        <f>HYPERLINK("https://klasma.github.io/Logging_2283/klagomål/A 53852-2024 FSC-klagomål.docx", "A 53852-2024")</f>
        <v/>
      </c>
      <c r="W258">
        <f>HYPERLINK("https://klasma.github.io/Logging_2283/klagomålsmail/A 53852-2024 FSC-klagomål mail.docx", "A 53852-2024")</f>
        <v/>
      </c>
      <c r="X258">
        <f>HYPERLINK("https://klasma.github.io/Logging_2283/tillsyn/A 53852-2024 tillsynsbegäran.docx", "A 53852-2024")</f>
        <v/>
      </c>
      <c r="Y258">
        <f>HYPERLINK("https://klasma.github.io/Logging_2283/tillsynsmail/A 53852-2024 tillsynsbegäran mail.docx", "A 53852-2024")</f>
        <v/>
      </c>
    </row>
    <row r="259" ht="15" customHeight="1">
      <c r="A259" t="inlineStr">
        <is>
          <t>A 21590-2026</t>
        </is>
      </c>
      <c r="B259" s="1" t="n">
        <v>46149.34553240741</v>
      </c>
      <c r="C259" s="1" t="n">
        <v>46161</v>
      </c>
      <c r="D259" t="inlineStr">
        <is>
          <t>VÄSTERNORRLANDS LÄN</t>
        </is>
      </c>
      <c r="E259" t="inlineStr">
        <is>
          <t>SOLLEFTEÅ</t>
        </is>
      </c>
      <c r="F259" t="inlineStr">
        <is>
          <t>SCA</t>
        </is>
      </c>
      <c r="G259" t="n">
        <v>2</v>
      </c>
      <c r="H259" t="n">
        <v>1</v>
      </c>
      <c r="I259" t="n">
        <v>1</v>
      </c>
      <c r="J259" t="n">
        <v>2</v>
      </c>
      <c r="K259" t="n">
        <v>0</v>
      </c>
      <c r="L259" t="n">
        <v>0</v>
      </c>
      <c r="M259" t="n">
        <v>0</v>
      </c>
      <c r="N259" t="n">
        <v>0</v>
      </c>
      <c r="O259" t="n">
        <v>2</v>
      </c>
      <c r="P259" t="n">
        <v>0</v>
      </c>
      <c r="Q259" t="n">
        <v>3</v>
      </c>
      <c r="R259" s="2" t="inlineStr">
        <is>
          <t>Gammelgransskål
Tretåig hackspett
Bollvitmossa</t>
        </is>
      </c>
      <c r="S259">
        <f>HYPERLINK("https://klasma.github.io/Logging_2283/artfynd/A 21590-2026 artfynd.xlsx", "A 21590-2026")</f>
        <v/>
      </c>
      <c r="T259">
        <f>HYPERLINK("https://klasma.github.io/Logging_2283/kartor/A 21590-2026 karta.png", "A 21590-2026")</f>
        <v/>
      </c>
      <c r="V259">
        <f>HYPERLINK("https://klasma.github.io/Logging_2283/klagomål/A 21590-2026 FSC-klagomål.docx", "A 21590-2026")</f>
        <v/>
      </c>
      <c r="W259">
        <f>HYPERLINK("https://klasma.github.io/Logging_2283/klagomålsmail/A 21590-2026 FSC-klagomål mail.docx", "A 21590-2026")</f>
        <v/>
      </c>
      <c r="X259">
        <f>HYPERLINK("https://klasma.github.io/Logging_2283/tillsyn/A 21590-2026 tillsynsbegäran.docx", "A 21590-2026")</f>
        <v/>
      </c>
      <c r="Y259">
        <f>HYPERLINK("https://klasma.github.io/Logging_2283/tillsynsmail/A 21590-2026 tillsynsbegäran mail.docx", "A 21590-2026")</f>
        <v/>
      </c>
      <c r="Z259">
        <f>HYPERLINK("https://klasma.github.io/Logging_2283/fåglar/A 21590-2026 prioriterade fågelarter.docx", "A 21590-2026")</f>
        <v/>
      </c>
    </row>
    <row r="260" ht="15" customHeight="1">
      <c r="A260" t="inlineStr">
        <is>
          <t>A 5121-2025</t>
        </is>
      </c>
      <c r="B260" s="1" t="n">
        <v>45691</v>
      </c>
      <c r="C260" s="1" t="n">
        <v>46161</v>
      </c>
      <c r="D260" t="inlineStr">
        <is>
          <t>VÄSTERNORRLANDS LÄN</t>
        </is>
      </c>
      <c r="E260" t="inlineStr">
        <is>
          <t>SOLLEFTEÅ</t>
        </is>
      </c>
      <c r="G260" t="n">
        <v>3.4</v>
      </c>
      <c r="H260" t="n">
        <v>1</v>
      </c>
      <c r="I260" t="n">
        <v>0</v>
      </c>
      <c r="J260" t="n">
        <v>3</v>
      </c>
      <c r="K260" t="n">
        <v>0</v>
      </c>
      <c r="L260" t="n">
        <v>0</v>
      </c>
      <c r="M260" t="n">
        <v>0</v>
      </c>
      <c r="N260" t="n">
        <v>0</v>
      </c>
      <c r="O260" t="n">
        <v>3</v>
      </c>
      <c r="P260" t="n">
        <v>0</v>
      </c>
      <c r="Q260" t="n">
        <v>3</v>
      </c>
      <c r="R260" s="2" t="inlineStr">
        <is>
          <t>Granticka
Tretåig hackspett
Ullticka</t>
        </is>
      </c>
      <c r="S260">
        <f>HYPERLINK("https://klasma.github.io/Logging_2283/artfynd/A 5121-2025 artfynd.xlsx", "A 5121-2025")</f>
        <v/>
      </c>
      <c r="T260">
        <f>HYPERLINK("https://klasma.github.io/Logging_2283/kartor/A 5121-2025 karta.png", "A 5121-2025")</f>
        <v/>
      </c>
      <c r="V260">
        <f>HYPERLINK("https://klasma.github.io/Logging_2283/klagomål/A 5121-2025 FSC-klagomål.docx", "A 5121-2025")</f>
        <v/>
      </c>
      <c r="W260">
        <f>HYPERLINK("https://klasma.github.io/Logging_2283/klagomålsmail/A 5121-2025 FSC-klagomål mail.docx", "A 5121-2025")</f>
        <v/>
      </c>
      <c r="X260">
        <f>HYPERLINK("https://klasma.github.io/Logging_2283/tillsyn/A 5121-2025 tillsynsbegäran.docx", "A 5121-2025")</f>
        <v/>
      </c>
      <c r="Y260">
        <f>HYPERLINK("https://klasma.github.io/Logging_2283/tillsynsmail/A 5121-2025 tillsynsbegäran mail.docx", "A 5121-2025")</f>
        <v/>
      </c>
      <c r="Z260">
        <f>HYPERLINK("https://klasma.github.io/Logging_2283/fåglar/A 5121-2025 prioriterade fågelarter.docx", "A 5121-2025")</f>
        <v/>
      </c>
    </row>
    <row r="261" ht="15" customHeight="1">
      <c r="A261" t="inlineStr">
        <is>
          <t>A 25522-2025</t>
        </is>
      </c>
      <c r="B261" s="1" t="n">
        <v>45803.38619212963</v>
      </c>
      <c r="C261" s="1" t="n">
        <v>46161</v>
      </c>
      <c r="D261" t="inlineStr">
        <is>
          <t>VÄSTERNORRLANDS LÄN</t>
        </is>
      </c>
      <c r="E261" t="inlineStr">
        <is>
          <t>SOLLEFTEÅ</t>
        </is>
      </c>
      <c r="F261" t="inlineStr">
        <is>
          <t>SCA</t>
        </is>
      </c>
      <c r="G261" t="n">
        <v>0.8</v>
      </c>
      <c r="H261" t="n">
        <v>1</v>
      </c>
      <c r="I261" t="n">
        <v>0</v>
      </c>
      <c r="J261" t="n">
        <v>3</v>
      </c>
      <c r="K261" t="n">
        <v>0</v>
      </c>
      <c r="L261" t="n">
        <v>0</v>
      </c>
      <c r="M261" t="n">
        <v>0</v>
      </c>
      <c r="N261" t="n">
        <v>0</v>
      </c>
      <c r="O261" t="n">
        <v>3</v>
      </c>
      <c r="P261" t="n">
        <v>0</v>
      </c>
      <c r="Q261" t="n">
        <v>3</v>
      </c>
      <c r="R261" s="2" t="inlineStr">
        <is>
          <t>Garnlav
Granticka
Tretåig hackspett</t>
        </is>
      </c>
      <c r="S261">
        <f>HYPERLINK("https://klasma.github.io/Logging_2283/artfynd/A 25522-2025 artfynd.xlsx", "A 25522-2025")</f>
        <v/>
      </c>
      <c r="T261">
        <f>HYPERLINK("https://klasma.github.io/Logging_2283/kartor/A 25522-2025 karta.png", "A 25522-2025")</f>
        <v/>
      </c>
      <c r="V261">
        <f>HYPERLINK("https://klasma.github.io/Logging_2283/klagomål/A 25522-2025 FSC-klagomål.docx", "A 25522-2025")</f>
        <v/>
      </c>
      <c r="W261">
        <f>HYPERLINK("https://klasma.github.io/Logging_2283/klagomålsmail/A 25522-2025 FSC-klagomål mail.docx", "A 25522-2025")</f>
        <v/>
      </c>
      <c r="X261">
        <f>HYPERLINK("https://klasma.github.io/Logging_2283/tillsyn/A 25522-2025 tillsynsbegäran.docx", "A 25522-2025")</f>
        <v/>
      </c>
      <c r="Y261">
        <f>HYPERLINK("https://klasma.github.io/Logging_2283/tillsynsmail/A 25522-2025 tillsynsbegäran mail.docx", "A 25522-2025")</f>
        <v/>
      </c>
      <c r="Z261">
        <f>HYPERLINK("https://klasma.github.io/Logging_2283/fåglar/A 25522-2025 prioriterade fågelarter.docx", "A 25522-2025")</f>
        <v/>
      </c>
    </row>
    <row r="262" ht="15" customHeight="1">
      <c r="A262" t="inlineStr">
        <is>
          <t>A 6235-2023</t>
        </is>
      </c>
      <c r="B262" s="1" t="n">
        <v>44964</v>
      </c>
      <c r="C262" s="1" t="n">
        <v>46161</v>
      </c>
      <c r="D262" t="inlineStr">
        <is>
          <t>VÄSTERNORRLANDS LÄN</t>
        </is>
      </c>
      <c r="E262" t="inlineStr">
        <is>
          <t>SOLLEFTEÅ</t>
        </is>
      </c>
      <c r="F262" t="inlineStr">
        <is>
          <t>SCA</t>
        </is>
      </c>
      <c r="G262" t="n">
        <v>0.6</v>
      </c>
      <c r="H262" t="n">
        <v>2</v>
      </c>
      <c r="I262" t="n">
        <v>0</v>
      </c>
      <c r="J262" t="n">
        <v>2</v>
      </c>
      <c r="K262" t="n">
        <v>0</v>
      </c>
      <c r="L262" t="n">
        <v>0</v>
      </c>
      <c r="M262" t="n">
        <v>0</v>
      </c>
      <c r="N262" t="n">
        <v>0</v>
      </c>
      <c r="O262" t="n">
        <v>2</v>
      </c>
      <c r="P262" t="n">
        <v>0</v>
      </c>
      <c r="Q262" t="n">
        <v>3</v>
      </c>
      <c r="R262" s="2" t="inlineStr">
        <is>
          <t>Harticka
Tretåig hackspett
Tjäder</t>
        </is>
      </c>
      <c r="S262">
        <f>HYPERLINK("https://klasma.github.io/Logging_2283/artfynd/A 6235-2023 artfynd.xlsx", "A 6235-2023")</f>
        <v/>
      </c>
      <c r="T262">
        <f>HYPERLINK("https://klasma.github.io/Logging_2283/kartor/A 6235-2023 karta.png", "A 6235-2023")</f>
        <v/>
      </c>
      <c r="V262">
        <f>HYPERLINK("https://klasma.github.io/Logging_2283/klagomål/A 6235-2023 FSC-klagomål.docx", "A 6235-2023")</f>
        <v/>
      </c>
      <c r="W262">
        <f>HYPERLINK("https://klasma.github.io/Logging_2283/klagomålsmail/A 6235-2023 FSC-klagomål mail.docx", "A 6235-2023")</f>
        <v/>
      </c>
      <c r="X262">
        <f>HYPERLINK("https://klasma.github.io/Logging_2283/tillsyn/A 6235-2023 tillsynsbegäran.docx", "A 6235-2023")</f>
        <v/>
      </c>
      <c r="Y262">
        <f>HYPERLINK("https://klasma.github.io/Logging_2283/tillsynsmail/A 6235-2023 tillsynsbegäran mail.docx", "A 6235-2023")</f>
        <v/>
      </c>
      <c r="Z262">
        <f>HYPERLINK("https://klasma.github.io/Logging_2283/fåglar/A 6235-2023 prioriterade fågelarter.docx", "A 6235-2023")</f>
        <v/>
      </c>
    </row>
    <row r="263" ht="15" customHeight="1">
      <c r="A263" t="inlineStr">
        <is>
          <t>A 53682-2024</t>
        </is>
      </c>
      <c r="B263" s="1" t="n">
        <v>45615</v>
      </c>
      <c r="C263" s="1" t="n">
        <v>46161</v>
      </c>
      <c r="D263" t="inlineStr">
        <is>
          <t>VÄSTERNORRLANDS LÄN</t>
        </is>
      </c>
      <c r="E263" t="inlineStr">
        <is>
          <t>SOLLEFTEÅ</t>
        </is>
      </c>
      <c r="F263" t="inlineStr">
        <is>
          <t>SCA</t>
        </is>
      </c>
      <c r="G263" t="n">
        <v>9.5</v>
      </c>
      <c r="H263" t="n">
        <v>0</v>
      </c>
      <c r="I263" t="n">
        <v>0</v>
      </c>
      <c r="J263" t="n">
        <v>2</v>
      </c>
      <c r="K263" t="n">
        <v>1</v>
      </c>
      <c r="L263" t="n">
        <v>0</v>
      </c>
      <c r="M263" t="n">
        <v>0</v>
      </c>
      <c r="N263" t="n">
        <v>0</v>
      </c>
      <c r="O263" t="n">
        <v>3</v>
      </c>
      <c r="P263" t="n">
        <v>1</v>
      </c>
      <c r="Q263" t="n">
        <v>3</v>
      </c>
      <c r="R263" s="2" t="inlineStr">
        <is>
          <t>Tallgråticka
Blå taggsvamp
Skrovlig taggsvamp</t>
        </is>
      </c>
      <c r="S263">
        <f>HYPERLINK("https://klasma.github.io/Logging_2283/artfynd/A 53682-2024 artfynd.xlsx", "A 53682-2024")</f>
        <v/>
      </c>
      <c r="T263">
        <f>HYPERLINK("https://klasma.github.io/Logging_2283/kartor/A 53682-2024 karta.png", "A 53682-2024")</f>
        <v/>
      </c>
      <c r="V263">
        <f>HYPERLINK("https://klasma.github.io/Logging_2283/klagomål/A 53682-2024 FSC-klagomål.docx", "A 53682-2024")</f>
        <v/>
      </c>
      <c r="W263">
        <f>HYPERLINK("https://klasma.github.io/Logging_2283/klagomålsmail/A 53682-2024 FSC-klagomål mail.docx", "A 53682-2024")</f>
        <v/>
      </c>
      <c r="X263">
        <f>HYPERLINK("https://klasma.github.io/Logging_2283/tillsyn/A 53682-2024 tillsynsbegäran.docx", "A 53682-2024")</f>
        <v/>
      </c>
      <c r="Y263">
        <f>HYPERLINK("https://klasma.github.io/Logging_2283/tillsynsmail/A 53682-2024 tillsynsbegäran mail.docx", "A 53682-2024")</f>
        <v/>
      </c>
    </row>
    <row r="264" ht="15" customHeight="1">
      <c r="A264" t="inlineStr">
        <is>
          <t>A 24757-2024</t>
        </is>
      </c>
      <c r="B264" s="1" t="n">
        <v>45460.67375</v>
      </c>
      <c r="C264" s="1" t="n">
        <v>46161</v>
      </c>
      <c r="D264" t="inlineStr">
        <is>
          <t>VÄSTERNORRLANDS LÄN</t>
        </is>
      </c>
      <c r="E264" t="inlineStr">
        <is>
          <t>SOLLEFTEÅ</t>
        </is>
      </c>
      <c r="G264" t="n">
        <v>1.4</v>
      </c>
      <c r="H264" t="n">
        <v>1</v>
      </c>
      <c r="I264" t="n">
        <v>0</v>
      </c>
      <c r="J264" t="n">
        <v>2</v>
      </c>
      <c r="K264" t="n">
        <v>0</v>
      </c>
      <c r="L264" t="n">
        <v>0</v>
      </c>
      <c r="M264" t="n">
        <v>0</v>
      </c>
      <c r="N264" t="n">
        <v>0</v>
      </c>
      <c r="O264" t="n">
        <v>2</v>
      </c>
      <c r="P264" t="n">
        <v>0</v>
      </c>
      <c r="Q264" t="n">
        <v>3</v>
      </c>
      <c r="R264" s="2" t="inlineStr">
        <is>
          <t>Harticka
Lunglav
Revlummer</t>
        </is>
      </c>
      <c r="S264">
        <f>HYPERLINK("https://klasma.github.io/Logging_2283/artfynd/A 24757-2024 artfynd.xlsx", "A 24757-2024")</f>
        <v/>
      </c>
      <c r="T264">
        <f>HYPERLINK("https://klasma.github.io/Logging_2283/kartor/A 24757-2024 karta.png", "A 24757-2024")</f>
        <v/>
      </c>
      <c r="V264">
        <f>HYPERLINK("https://klasma.github.io/Logging_2283/klagomål/A 24757-2024 FSC-klagomål.docx", "A 24757-2024")</f>
        <v/>
      </c>
      <c r="W264">
        <f>HYPERLINK("https://klasma.github.io/Logging_2283/klagomålsmail/A 24757-2024 FSC-klagomål mail.docx", "A 24757-2024")</f>
        <v/>
      </c>
      <c r="X264">
        <f>HYPERLINK("https://klasma.github.io/Logging_2283/tillsyn/A 24757-2024 tillsynsbegäran.docx", "A 24757-2024")</f>
        <v/>
      </c>
      <c r="Y264">
        <f>HYPERLINK("https://klasma.github.io/Logging_2283/tillsynsmail/A 24757-2024 tillsynsbegäran mail.docx", "A 24757-2024")</f>
        <v/>
      </c>
    </row>
    <row r="265" ht="15" customHeight="1">
      <c r="A265" t="inlineStr">
        <is>
          <t>A 38053-2024</t>
        </is>
      </c>
      <c r="B265" s="1" t="n">
        <v>45544.71903935185</v>
      </c>
      <c r="C265" s="1" t="n">
        <v>46161</v>
      </c>
      <c r="D265" t="inlineStr">
        <is>
          <t>VÄSTERNORRLANDS LÄN</t>
        </is>
      </c>
      <c r="E265" t="inlineStr">
        <is>
          <t>SOLLEFTEÅ</t>
        </is>
      </c>
      <c r="F265" t="inlineStr">
        <is>
          <t>SCA</t>
        </is>
      </c>
      <c r="G265" t="n">
        <v>2.5</v>
      </c>
      <c r="H265" t="n">
        <v>1</v>
      </c>
      <c r="I265" t="n">
        <v>0</v>
      </c>
      <c r="J265" t="n">
        <v>2</v>
      </c>
      <c r="K265" t="n">
        <v>1</v>
      </c>
      <c r="L265" t="n">
        <v>0</v>
      </c>
      <c r="M265" t="n">
        <v>0</v>
      </c>
      <c r="N265" t="n">
        <v>0</v>
      </c>
      <c r="O265" t="n">
        <v>3</v>
      </c>
      <c r="P265" t="n">
        <v>1</v>
      </c>
      <c r="Q265" t="n">
        <v>3</v>
      </c>
      <c r="R265" s="2" t="inlineStr">
        <is>
          <t>Knärot
Lunglav
Ullticka</t>
        </is>
      </c>
      <c r="S265">
        <f>HYPERLINK("https://klasma.github.io/Logging_2283/artfynd/A 38053-2024 artfynd.xlsx", "A 38053-2024")</f>
        <v/>
      </c>
      <c r="T265">
        <f>HYPERLINK("https://klasma.github.io/Logging_2283/kartor/A 38053-2024 karta.png", "A 38053-2024")</f>
        <v/>
      </c>
      <c r="U265">
        <f>HYPERLINK("https://klasma.github.io/Logging_2283/knärot/A 38053-2024 karta knärot.png", "A 38053-2024")</f>
        <v/>
      </c>
      <c r="V265">
        <f>HYPERLINK("https://klasma.github.io/Logging_2283/klagomål/A 38053-2024 FSC-klagomål.docx", "A 38053-2024")</f>
        <v/>
      </c>
      <c r="W265">
        <f>HYPERLINK("https://klasma.github.io/Logging_2283/klagomålsmail/A 38053-2024 FSC-klagomål mail.docx", "A 38053-2024")</f>
        <v/>
      </c>
      <c r="X265">
        <f>HYPERLINK("https://klasma.github.io/Logging_2283/tillsyn/A 38053-2024 tillsynsbegäran.docx", "A 38053-2024")</f>
        <v/>
      </c>
      <c r="Y265">
        <f>HYPERLINK("https://klasma.github.io/Logging_2283/tillsynsmail/A 38053-2024 tillsynsbegäran mail.docx", "A 38053-2024")</f>
        <v/>
      </c>
    </row>
    <row r="266" ht="15" customHeight="1">
      <c r="A266" t="inlineStr">
        <is>
          <t>A 9583-2022</t>
        </is>
      </c>
      <c r="B266" s="1" t="n">
        <v>44617</v>
      </c>
      <c r="C266" s="1" t="n">
        <v>46161</v>
      </c>
      <c r="D266" t="inlineStr">
        <is>
          <t>VÄSTERNORRLANDS LÄN</t>
        </is>
      </c>
      <c r="E266" t="inlineStr">
        <is>
          <t>SOLLEFTEÅ</t>
        </is>
      </c>
      <c r="F266" t="inlineStr">
        <is>
          <t>Övriga Aktiebolag</t>
        </is>
      </c>
      <c r="G266" t="n">
        <v>2.3</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9583-2022 artfynd.xlsx", "A 9583-2022")</f>
        <v/>
      </c>
      <c r="T266">
        <f>HYPERLINK("https://klasma.github.io/Logging_2283/kartor/A 9583-2022 karta.png", "A 9583-2022")</f>
        <v/>
      </c>
      <c r="V266">
        <f>HYPERLINK("https://klasma.github.io/Logging_2283/klagomål/A 9583-2022 FSC-klagomål.docx", "A 9583-2022")</f>
        <v/>
      </c>
      <c r="W266">
        <f>HYPERLINK("https://klasma.github.io/Logging_2283/klagomålsmail/A 9583-2022 FSC-klagomål mail.docx", "A 9583-2022")</f>
        <v/>
      </c>
      <c r="X266">
        <f>HYPERLINK("https://klasma.github.io/Logging_2283/tillsyn/A 9583-2022 tillsynsbegäran.docx", "A 9583-2022")</f>
        <v/>
      </c>
      <c r="Y266">
        <f>HYPERLINK("https://klasma.github.io/Logging_2283/tillsynsmail/A 9583-2022 tillsynsbegäran mail.docx", "A 9583-2022")</f>
        <v/>
      </c>
    </row>
    <row r="267" ht="15" customHeight="1">
      <c r="A267" t="inlineStr">
        <is>
          <t>A 45213-2021</t>
        </is>
      </c>
      <c r="B267" s="1" t="n">
        <v>44431</v>
      </c>
      <c r="C267" s="1" t="n">
        <v>46161</v>
      </c>
      <c r="D267" t="inlineStr">
        <is>
          <t>VÄSTERNORRLANDS LÄN</t>
        </is>
      </c>
      <c r="E267" t="inlineStr">
        <is>
          <t>SOLLEFTEÅ</t>
        </is>
      </c>
      <c r="F267" t="inlineStr">
        <is>
          <t>SCA</t>
        </is>
      </c>
      <c r="G267" t="n">
        <v>2.3</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45213-2021 artfynd.xlsx", "A 45213-2021")</f>
        <v/>
      </c>
      <c r="T267">
        <f>HYPERLINK("https://klasma.github.io/Logging_2283/kartor/A 45213-2021 karta.png", "A 45213-2021")</f>
        <v/>
      </c>
      <c r="V267">
        <f>HYPERLINK("https://klasma.github.io/Logging_2283/klagomål/A 45213-2021 FSC-klagomål.docx", "A 45213-2021")</f>
        <v/>
      </c>
      <c r="W267">
        <f>HYPERLINK("https://klasma.github.io/Logging_2283/klagomålsmail/A 45213-2021 FSC-klagomål mail.docx", "A 45213-2021")</f>
        <v/>
      </c>
      <c r="X267">
        <f>HYPERLINK("https://klasma.github.io/Logging_2283/tillsyn/A 45213-2021 tillsynsbegäran.docx", "A 45213-2021")</f>
        <v/>
      </c>
      <c r="Y267">
        <f>HYPERLINK("https://klasma.github.io/Logging_2283/tillsynsmail/A 45213-2021 tillsynsbegäran mail.docx", "A 45213-2021")</f>
        <v/>
      </c>
    </row>
    <row r="268" ht="15" customHeight="1">
      <c r="A268" t="inlineStr">
        <is>
          <t>A 24321-2022</t>
        </is>
      </c>
      <c r="B268" s="1" t="n">
        <v>44725</v>
      </c>
      <c r="C268" s="1" t="n">
        <v>46161</v>
      </c>
      <c r="D268" t="inlineStr">
        <is>
          <t>VÄSTERNORRLANDS LÄN</t>
        </is>
      </c>
      <c r="E268" t="inlineStr">
        <is>
          <t>SOLLEFTEÅ</t>
        </is>
      </c>
      <c r="F268" t="inlineStr">
        <is>
          <t>SCA</t>
        </is>
      </c>
      <c r="G268" t="n">
        <v>1.1</v>
      </c>
      <c r="H268" t="n">
        <v>1</v>
      </c>
      <c r="I268" t="n">
        <v>0</v>
      </c>
      <c r="J268" t="n">
        <v>1</v>
      </c>
      <c r="K268" t="n">
        <v>1</v>
      </c>
      <c r="L268" t="n">
        <v>0</v>
      </c>
      <c r="M268" t="n">
        <v>0</v>
      </c>
      <c r="N268" t="n">
        <v>0</v>
      </c>
      <c r="O268" t="n">
        <v>2</v>
      </c>
      <c r="P268" t="n">
        <v>1</v>
      </c>
      <c r="Q268" t="n">
        <v>2</v>
      </c>
      <c r="R268" s="2" t="inlineStr">
        <is>
          <t>Knärot
Garnlav</t>
        </is>
      </c>
      <c r="S268">
        <f>HYPERLINK("https://klasma.github.io/Logging_2283/artfynd/A 24321-2022 artfynd.xlsx", "A 24321-2022")</f>
        <v/>
      </c>
      <c r="T268">
        <f>HYPERLINK("https://klasma.github.io/Logging_2283/kartor/A 24321-2022 karta.png", "A 24321-2022")</f>
        <v/>
      </c>
      <c r="U268">
        <f>HYPERLINK("https://klasma.github.io/Logging_2283/knärot/A 24321-2022 karta knärot.png", "A 24321-2022")</f>
        <v/>
      </c>
      <c r="V268">
        <f>HYPERLINK("https://klasma.github.io/Logging_2283/klagomål/A 24321-2022 FSC-klagomål.docx", "A 24321-2022")</f>
        <v/>
      </c>
      <c r="W268">
        <f>HYPERLINK("https://klasma.github.io/Logging_2283/klagomålsmail/A 24321-2022 FSC-klagomål mail.docx", "A 24321-2022")</f>
        <v/>
      </c>
      <c r="X268">
        <f>HYPERLINK("https://klasma.github.io/Logging_2283/tillsyn/A 24321-2022 tillsynsbegäran.docx", "A 24321-2022")</f>
        <v/>
      </c>
      <c r="Y268">
        <f>HYPERLINK("https://klasma.github.io/Logging_2283/tillsynsmail/A 24321-2022 tillsynsbegäran mail.docx", "A 24321-2022")</f>
        <v/>
      </c>
    </row>
    <row r="269" ht="15" customHeight="1">
      <c r="A269" t="inlineStr">
        <is>
          <t>A 33087-2022</t>
        </is>
      </c>
      <c r="B269" s="1" t="n">
        <v>44785</v>
      </c>
      <c r="C269" s="1" t="n">
        <v>46161</v>
      </c>
      <c r="D269" t="inlineStr">
        <is>
          <t>VÄSTERNORRLANDS LÄN</t>
        </is>
      </c>
      <c r="E269" t="inlineStr">
        <is>
          <t>SOLLEFTEÅ</t>
        </is>
      </c>
      <c r="G269" t="n">
        <v>0.5</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33087-2022 artfynd.xlsx", "A 33087-2022")</f>
        <v/>
      </c>
      <c r="T269">
        <f>HYPERLINK("https://klasma.github.io/Logging_2283/kartor/A 33087-2022 karta.png", "A 33087-2022")</f>
        <v/>
      </c>
      <c r="V269">
        <f>HYPERLINK("https://klasma.github.io/Logging_2283/klagomål/A 33087-2022 FSC-klagomål.docx", "A 33087-2022")</f>
        <v/>
      </c>
      <c r="W269">
        <f>HYPERLINK("https://klasma.github.io/Logging_2283/klagomålsmail/A 33087-2022 FSC-klagomål mail.docx", "A 33087-2022")</f>
        <v/>
      </c>
      <c r="X269">
        <f>HYPERLINK("https://klasma.github.io/Logging_2283/tillsyn/A 33087-2022 tillsynsbegäran.docx", "A 33087-2022")</f>
        <v/>
      </c>
      <c r="Y269">
        <f>HYPERLINK("https://klasma.github.io/Logging_2283/tillsynsmail/A 33087-2022 tillsynsbegäran mail.docx", "A 33087-2022")</f>
        <v/>
      </c>
    </row>
    <row r="270" ht="15" customHeight="1">
      <c r="A270" t="inlineStr">
        <is>
          <t>A 18019-2022</t>
        </is>
      </c>
      <c r="B270" s="1" t="n">
        <v>44683.94377314814</v>
      </c>
      <c r="C270" s="1" t="n">
        <v>46161</v>
      </c>
      <c r="D270" t="inlineStr">
        <is>
          <t>VÄSTERNORRLANDS LÄN</t>
        </is>
      </c>
      <c r="E270" t="inlineStr">
        <is>
          <t>SOLLEFTEÅ</t>
        </is>
      </c>
      <c r="F270" t="inlineStr">
        <is>
          <t>SCA</t>
        </is>
      </c>
      <c r="G270" t="n">
        <v>2.6</v>
      </c>
      <c r="H270" t="n">
        <v>0</v>
      </c>
      <c r="I270" t="n">
        <v>0</v>
      </c>
      <c r="J270" t="n">
        <v>2</v>
      </c>
      <c r="K270" t="n">
        <v>0</v>
      </c>
      <c r="L270" t="n">
        <v>0</v>
      </c>
      <c r="M270" t="n">
        <v>0</v>
      </c>
      <c r="N270" t="n">
        <v>0</v>
      </c>
      <c r="O270" t="n">
        <v>2</v>
      </c>
      <c r="P270" t="n">
        <v>0</v>
      </c>
      <c r="Q270" t="n">
        <v>2</v>
      </c>
      <c r="R270" s="2" t="inlineStr">
        <is>
          <t>Gammelgransskål
Ullticka</t>
        </is>
      </c>
      <c r="S270">
        <f>HYPERLINK("https://klasma.github.io/Logging_2283/artfynd/A 18019-2022 artfynd.xlsx", "A 18019-2022")</f>
        <v/>
      </c>
      <c r="T270">
        <f>HYPERLINK("https://klasma.github.io/Logging_2283/kartor/A 18019-2022 karta.png", "A 18019-2022")</f>
        <v/>
      </c>
      <c r="V270">
        <f>HYPERLINK("https://klasma.github.io/Logging_2283/klagomål/A 18019-2022 FSC-klagomål.docx", "A 18019-2022")</f>
        <v/>
      </c>
      <c r="W270">
        <f>HYPERLINK("https://klasma.github.io/Logging_2283/klagomålsmail/A 18019-2022 FSC-klagomål mail.docx", "A 18019-2022")</f>
        <v/>
      </c>
      <c r="X270">
        <f>HYPERLINK("https://klasma.github.io/Logging_2283/tillsyn/A 18019-2022 tillsynsbegäran.docx", "A 18019-2022")</f>
        <v/>
      </c>
      <c r="Y270">
        <f>HYPERLINK("https://klasma.github.io/Logging_2283/tillsynsmail/A 18019-2022 tillsynsbegäran mail.docx", "A 18019-2022")</f>
        <v/>
      </c>
    </row>
    <row r="271" ht="15" customHeight="1">
      <c r="A271" t="inlineStr">
        <is>
          <t>A 65419-2021</t>
        </is>
      </c>
      <c r="B271" s="1" t="n">
        <v>44515</v>
      </c>
      <c r="C271" s="1" t="n">
        <v>46161</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65419-2021 artfynd.xlsx", "A 65419-2021")</f>
        <v/>
      </c>
      <c r="T271">
        <f>HYPERLINK("https://klasma.github.io/Logging_2283/kartor/A 65419-2021 karta.png", "A 65419-2021")</f>
        <v/>
      </c>
      <c r="V271">
        <f>HYPERLINK("https://klasma.github.io/Logging_2283/klagomål/A 65419-2021 FSC-klagomål.docx", "A 65419-2021")</f>
        <v/>
      </c>
      <c r="W271">
        <f>HYPERLINK("https://klasma.github.io/Logging_2283/klagomålsmail/A 65419-2021 FSC-klagomål mail.docx", "A 65419-2021")</f>
        <v/>
      </c>
      <c r="X271">
        <f>HYPERLINK("https://klasma.github.io/Logging_2283/tillsyn/A 65419-2021 tillsynsbegäran.docx", "A 65419-2021")</f>
        <v/>
      </c>
      <c r="Y271">
        <f>HYPERLINK("https://klasma.github.io/Logging_2283/tillsynsmail/A 65419-2021 tillsynsbegäran mail.docx", "A 65419-2021")</f>
        <v/>
      </c>
    </row>
    <row r="272" ht="15" customHeight="1">
      <c r="A272" t="inlineStr">
        <is>
          <t>A 39329-2021</t>
        </is>
      </c>
      <c r="B272" s="1" t="n">
        <v>44413.9345949074</v>
      </c>
      <c r="C272" s="1" t="n">
        <v>46161</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51024-2021</t>
        </is>
      </c>
      <c r="B273" s="1" t="n">
        <v>44460.94056712963</v>
      </c>
      <c r="C273" s="1" t="n">
        <v>46161</v>
      </c>
      <c r="D273" t="inlineStr">
        <is>
          <t>VÄSTERNORRLANDS LÄN</t>
        </is>
      </c>
      <c r="E273" t="inlineStr">
        <is>
          <t>SOLLEFTEÅ</t>
        </is>
      </c>
      <c r="F273" t="inlineStr">
        <is>
          <t>SCA</t>
        </is>
      </c>
      <c r="G273" t="n">
        <v>7.1</v>
      </c>
      <c r="H273" t="n">
        <v>0</v>
      </c>
      <c r="I273" t="n">
        <v>0</v>
      </c>
      <c r="J273" t="n">
        <v>2</v>
      </c>
      <c r="K273" t="n">
        <v>0</v>
      </c>
      <c r="L273" t="n">
        <v>0</v>
      </c>
      <c r="M273" t="n">
        <v>0</v>
      </c>
      <c r="N273" t="n">
        <v>0</v>
      </c>
      <c r="O273" t="n">
        <v>2</v>
      </c>
      <c r="P273" t="n">
        <v>0</v>
      </c>
      <c r="Q273" t="n">
        <v>2</v>
      </c>
      <c r="R273" s="2" t="inlineStr">
        <is>
          <t>Tallticka
Ullticka</t>
        </is>
      </c>
      <c r="S273">
        <f>HYPERLINK("https://klasma.github.io/Logging_2283/artfynd/A 51024-2021 artfynd.xlsx", "A 51024-2021")</f>
        <v/>
      </c>
      <c r="T273">
        <f>HYPERLINK("https://klasma.github.io/Logging_2283/kartor/A 51024-2021 karta.png", "A 51024-2021")</f>
        <v/>
      </c>
      <c r="V273">
        <f>HYPERLINK("https://klasma.github.io/Logging_2283/klagomål/A 51024-2021 FSC-klagomål.docx", "A 51024-2021")</f>
        <v/>
      </c>
      <c r="W273">
        <f>HYPERLINK("https://klasma.github.io/Logging_2283/klagomålsmail/A 51024-2021 FSC-klagomål mail.docx", "A 51024-2021")</f>
        <v/>
      </c>
      <c r="X273">
        <f>HYPERLINK("https://klasma.github.io/Logging_2283/tillsyn/A 51024-2021 tillsynsbegäran.docx", "A 51024-2021")</f>
        <v/>
      </c>
      <c r="Y273">
        <f>HYPERLINK("https://klasma.github.io/Logging_2283/tillsynsmail/A 51024-2021 tillsynsbegäran mail.docx", "A 51024-2021")</f>
        <v/>
      </c>
    </row>
    <row r="274" ht="15" customHeight="1">
      <c r="A274" t="inlineStr">
        <is>
          <t>A 13658-2022</t>
        </is>
      </c>
      <c r="B274" s="1" t="n">
        <v>44648</v>
      </c>
      <c r="C274" s="1" t="n">
        <v>46161</v>
      </c>
      <c r="D274" t="inlineStr">
        <is>
          <t>VÄSTERNORRLANDS LÄN</t>
        </is>
      </c>
      <c r="E274" t="inlineStr">
        <is>
          <t>SOLLEFTEÅ</t>
        </is>
      </c>
      <c r="G274" t="n">
        <v>7.4</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13658-2022 artfynd.xlsx", "A 13658-2022")</f>
        <v/>
      </c>
      <c r="T274">
        <f>HYPERLINK("https://klasma.github.io/Logging_2283/kartor/A 13658-2022 karta.png", "A 13658-2022")</f>
        <v/>
      </c>
      <c r="V274">
        <f>HYPERLINK("https://klasma.github.io/Logging_2283/klagomål/A 13658-2022 FSC-klagomål.docx", "A 13658-2022")</f>
        <v/>
      </c>
      <c r="W274">
        <f>HYPERLINK("https://klasma.github.io/Logging_2283/klagomålsmail/A 13658-2022 FSC-klagomål mail.docx", "A 13658-2022")</f>
        <v/>
      </c>
      <c r="X274">
        <f>HYPERLINK("https://klasma.github.io/Logging_2283/tillsyn/A 13658-2022 tillsynsbegäran.docx", "A 13658-2022")</f>
        <v/>
      </c>
      <c r="Y274">
        <f>HYPERLINK("https://klasma.github.io/Logging_2283/tillsynsmail/A 13658-2022 tillsynsbegäran mail.docx", "A 13658-2022")</f>
        <v/>
      </c>
    </row>
    <row r="275" ht="15" customHeight="1">
      <c r="A275" t="inlineStr">
        <is>
          <t>A 68863-2021</t>
        </is>
      </c>
      <c r="B275" s="1" t="n">
        <v>44530</v>
      </c>
      <c r="C275" s="1" t="n">
        <v>46161</v>
      </c>
      <c r="D275" t="inlineStr">
        <is>
          <t>VÄSTERNORRLANDS LÄN</t>
        </is>
      </c>
      <c r="E275" t="inlineStr">
        <is>
          <t>SOLLEFTEÅ</t>
        </is>
      </c>
      <c r="F275" t="inlineStr">
        <is>
          <t>Holmen skog AB</t>
        </is>
      </c>
      <c r="G275" t="n">
        <v>16.8</v>
      </c>
      <c r="H275" t="n">
        <v>2</v>
      </c>
      <c r="I275" t="n">
        <v>0</v>
      </c>
      <c r="J275" t="n">
        <v>1</v>
      </c>
      <c r="K275" t="n">
        <v>0</v>
      </c>
      <c r="L275" t="n">
        <v>0</v>
      </c>
      <c r="M275" t="n">
        <v>0</v>
      </c>
      <c r="N275" t="n">
        <v>0</v>
      </c>
      <c r="O275" t="n">
        <v>1</v>
      </c>
      <c r="P275" t="n">
        <v>0</v>
      </c>
      <c r="Q275" t="n">
        <v>2</v>
      </c>
      <c r="R275" s="2" t="inlineStr">
        <is>
          <t>Tretåig hackspett
Lavskrika</t>
        </is>
      </c>
      <c r="S275">
        <f>HYPERLINK("https://klasma.github.io/Logging_2283/artfynd/A 68863-2021 artfynd.xlsx", "A 68863-2021")</f>
        <v/>
      </c>
      <c r="T275">
        <f>HYPERLINK("https://klasma.github.io/Logging_2283/kartor/A 68863-2021 karta.png", "A 68863-2021")</f>
        <v/>
      </c>
      <c r="V275">
        <f>HYPERLINK("https://klasma.github.io/Logging_2283/klagomål/A 68863-2021 FSC-klagomål.docx", "A 68863-2021")</f>
        <v/>
      </c>
      <c r="W275">
        <f>HYPERLINK("https://klasma.github.io/Logging_2283/klagomålsmail/A 68863-2021 FSC-klagomål mail.docx", "A 68863-2021")</f>
        <v/>
      </c>
      <c r="X275">
        <f>HYPERLINK("https://klasma.github.io/Logging_2283/tillsyn/A 68863-2021 tillsynsbegäran.docx", "A 68863-2021")</f>
        <v/>
      </c>
      <c r="Y275">
        <f>HYPERLINK("https://klasma.github.io/Logging_2283/tillsynsmail/A 68863-2021 tillsynsbegäran mail.docx", "A 68863-2021")</f>
        <v/>
      </c>
      <c r="Z275">
        <f>HYPERLINK("https://klasma.github.io/Logging_2283/fåglar/A 68863-2021 prioriterade fågelarter.docx", "A 68863-2021")</f>
        <v/>
      </c>
    </row>
    <row r="276" ht="15" customHeight="1">
      <c r="A276" t="inlineStr">
        <is>
          <t>A 35071-2021</t>
        </is>
      </c>
      <c r="B276" s="1" t="n">
        <v>44383</v>
      </c>
      <c r="C276" s="1" t="n">
        <v>46161</v>
      </c>
      <c r="D276" t="inlineStr">
        <is>
          <t>VÄSTERNORRLANDS LÄN</t>
        </is>
      </c>
      <c r="E276" t="inlineStr">
        <is>
          <t>SOLLEFTEÅ</t>
        </is>
      </c>
      <c r="F276" t="inlineStr">
        <is>
          <t>SCA</t>
        </is>
      </c>
      <c r="G276" t="n">
        <v>1.8</v>
      </c>
      <c r="H276" t="n">
        <v>0</v>
      </c>
      <c r="I276" t="n">
        <v>2</v>
      </c>
      <c r="J276" t="n">
        <v>0</v>
      </c>
      <c r="K276" t="n">
        <v>0</v>
      </c>
      <c r="L276" t="n">
        <v>0</v>
      </c>
      <c r="M276" t="n">
        <v>0</v>
      </c>
      <c r="N276" t="n">
        <v>0</v>
      </c>
      <c r="O276" t="n">
        <v>0</v>
      </c>
      <c r="P276" t="n">
        <v>0</v>
      </c>
      <c r="Q276" t="n">
        <v>2</v>
      </c>
      <c r="R276" s="2" t="inlineStr">
        <is>
          <t>Norrlandslav
Vedticka</t>
        </is>
      </c>
      <c r="S276">
        <f>HYPERLINK("https://klasma.github.io/Logging_2283/artfynd/A 35071-2021 artfynd.xlsx", "A 35071-2021")</f>
        <v/>
      </c>
      <c r="T276">
        <f>HYPERLINK("https://klasma.github.io/Logging_2283/kartor/A 35071-2021 karta.png", "A 35071-2021")</f>
        <v/>
      </c>
      <c r="V276">
        <f>HYPERLINK("https://klasma.github.io/Logging_2283/klagomål/A 35071-2021 FSC-klagomål.docx", "A 35071-2021")</f>
        <v/>
      </c>
      <c r="W276">
        <f>HYPERLINK("https://klasma.github.io/Logging_2283/klagomålsmail/A 35071-2021 FSC-klagomål mail.docx", "A 35071-2021")</f>
        <v/>
      </c>
      <c r="X276">
        <f>HYPERLINK("https://klasma.github.io/Logging_2283/tillsyn/A 35071-2021 tillsynsbegäran.docx", "A 35071-2021")</f>
        <v/>
      </c>
      <c r="Y276">
        <f>HYPERLINK("https://klasma.github.io/Logging_2283/tillsynsmail/A 35071-2021 tillsynsbegäran mail.docx", "A 35071-2021")</f>
        <v/>
      </c>
    </row>
    <row r="277" ht="15" customHeight="1">
      <c r="A277" t="inlineStr">
        <is>
          <t>A 45119-2022</t>
        </is>
      </c>
      <c r="B277" s="1" t="n">
        <v>44843</v>
      </c>
      <c r="C277" s="1" t="n">
        <v>46161</v>
      </c>
      <c r="D277" t="inlineStr">
        <is>
          <t>VÄSTERNORRLANDS LÄN</t>
        </is>
      </c>
      <c r="E277" t="inlineStr">
        <is>
          <t>SOLLEFTEÅ</t>
        </is>
      </c>
      <c r="F277" t="inlineStr">
        <is>
          <t>SCA</t>
        </is>
      </c>
      <c r="G277" t="n">
        <v>1.3</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45119-2022 artfynd.xlsx", "A 45119-2022")</f>
        <v/>
      </c>
      <c r="T277">
        <f>HYPERLINK("https://klasma.github.io/Logging_2283/kartor/A 45119-2022 karta.png", "A 45119-2022")</f>
        <v/>
      </c>
      <c r="U277">
        <f>HYPERLINK("https://klasma.github.io/Logging_2283/knärot/A 45119-2022 karta knärot.png", "A 45119-2022")</f>
        <v/>
      </c>
      <c r="V277">
        <f>HYPERLINK("https://klasma.github.io/Logging_2283/klagomål/A 45119-2022 FSC-klagomål.docx", "A 45119-2022")</f>
        <v/>
      </c>
      <c r="W277">
        <f>HYPERLINK("https://klasma.github.io/Logging_2283/klagomålsmail/A 45119-2022 FSC-klagomål mail.docx", "A 45119-2022")</f>
        <v/>
      </c>
      <c r="X277">
        <f>HYPERLINK("https://klasma.github.io/Logging_2283/tillsyn/A 45119-2022 tillsynsbegäran.docx", "A 45119-2022")</f>
        <v/>
      </c>
      <c r="Y277">
        <f>HYPERLINK("https://klasma.github.io/Logging_2283/tillsynsmail/A 45119-2022 tillsynsbegäran mail.docx", "A 45119-2022")</f>
        <v/>
      </c>
    </row>
    <row r="278" ht="15" customHeight="1">
      <c r="A278" t="inlineStr">
        <is>
          <t>A 13309-2022</t>
        </is>
      </c>
      <c r="B278" s="1" t="n">
        <v>44644.93670138889</v>
      </c>
      <c r="C278" s="1" t="n">
        <v>46161</v>
      </c>
      <c r="D278" t="inlineStr">
        <is>
          <t>VÄSTERNORRLANDS LÄN</t>
        </is>
      </c>
      <c r="E278" t="inlineStr">
        <is>
          <t>SOLLEFTEÅ</t>
        </is>
      </c>
      <c r="F278" t="inlineStr">
        <is>
          <t>SCA</t>
        </is>
      </c>
      <c r="G278" t="n">
        <v>2.3</v>
      </c>
      <c r="H278" t="n">
        <v>0</v>
      </c>
      <c r="I278" t="n">
        <v>0</v>
      </c>
      <c r="J278" t="n">
        <v>1</v>
      </c>
      <c r="K278" t="n">
        <v>1</v>
      </c>
      <c r="L278" t="n">
        <v>0</v>
      </c>
      <c r="M278" t="n">
        <v>0</v>
      </c>
      <c r="N278" t="n">
        <v>0</v>
      </c>
      <c r="O278" t="n">
        <v>2</v>
      </c>
      <c r="P278" t="n">
        <v>1</v>
      </c>
      <c r="Q278" t="n">
        <v>2</v>
      </c>
      <c r="R278" s="2" t="inlineStr">
        <is>
          <t>Rynkskinn
Koralltaggsvamp</t>
        </is>
      </c>
      <c r="S278">
        <f>HYPERLINK("https://klasma.github.io/Logging_2283/artfynd/A 13309-2022 artfynd.xlsx", "A 13309-2022")</f>
        <v/>
      </c>
      <c r="T278">
        <f>HYPERLINK("https://klasma.github.io/Logging_2283/kartor/A 13309-2022 karta.png", "A 13309-2022")</f>
        <v/>
      </c>
      <c r="V278">
        <f>HYPERLINK("https://klasma.github.io/Logging_2283/klagomål/A 13309-2022 FSC-klagomål.docx", "A 13309-2022")</f>
        <v/>
      </c>
      <c r="W278">
        <f>HYPERLINK("https://klasma.github.io/Logging_2283/klagomålsmail/A 13309-2022 FSC-klagomål mail.docx", "A 13309-2022")</f>
        <v/>
      </c>
      <c r="X278">
        <f>HYPERLINK("https://klasma.github.io/Logging_2283/tillsyn/A 13309-2022 tillsynsbegäran.docx", "A 13309-2022")</f>
        <v/>
      </c>
      <c r="Y278">
        <f>HYPERLINK("https://klasma.github.io/Logging_2283/tillsynsmail/A 13309-2022 tillsynsbegäran mail.docx", "A 13309-2022")</f>
        <v/>
      </c>
    </row>
    <row r="279" ht="15" customHeight="1">
      <c r="A279" t="inlineStr">
        <is>
          <t>A 6698-2024</t>
        </is>
      </c>
      <c r="B279" s="1" t="n">
        <v>45341</v>
      </c>
      <c r="C279" s="1" t="n">
        <v>46161</v>
      </c>
      <c r="D279" t="inlineStr">
        <is>
          <t>VÄSTERNORRLANDS LÄN</t>
        </is>
      </c>
      <c r="E279" t="inlineStr">
        <is>
          <t>SOLLEFTEÅ</t>
        </is>
      </c>
      <c r="F279" t="inlineStr">
        <is>
          <t>SCA</t>
        </is>
      </c>
      <c r="G279" t="n">
        <v>3</v>
      </c>
      <c r="H279" t="n">
        <v>0</v>
      </c>
      <c r="I279" t="n">
        <v>0</v>
      </c>
      <c r="J279" t="n">
        <v>2</v>
      </c>
      <c r="K279" t="n">
        <v>0</v>
      </c>
      <c r="L279" t="n">
        <v>0</v>
      </c>
      <c r="M279" t="n">
        <v>0</v>
      </c>
      <c r="N279" t="n">
        <v>0</v>
      </c>
      <c r="O279" t="n">
        <v>2</v>
      </c>
      <c r="P279" t="n">
        <v>0</v>
      </c>
      <c r="Q279" t="n">
        <v>2</v>
      </c>
      <c r="R279" s="2" t="inlineStr">
        <is>
          <t>Granticka
Harticka</t>
        </is>
      </c>
      <c r="S279">
        <f>HYPERLINK("https://klasma.github.io/Logging_2283/artfynd/A 6698-2024 artfynd.xlsx", "A 6698-2024")</f>
        <v/>
      </c>
      <c r="T279">
        <f>HYPERLINK("https://klasma.github.io/Logging_2283/kartor/A 6698-2024 karta.png", "A 6698-2024")</f>
        <v/>
      </c>
      <c r="V279">
        <f>HYPERLINK("https://klasma.github.io/Logging_2283/klagomål/A 6698-2024 FSC-klagomål.docx", "A 6698-2024")</f>
        <v/>
      </c>
      <c r="W279">
        <f>HYPERLINK("https://klasma.github.io/Logging_2283/klagomålsmail/A 6698-2024 FSC-klagomål mail.docx", "A 6698-2024")</f>
        <v/>
      </c>
      <c r="X279">
        <f>HYPERLINK("https://klasma.github.io/Logging_2283/tillsyn/A 6698-2024 tillsynsbegäran.docx", "A 6698-2024")</f>
        <v/>
      </c>
      <c r="Y279">
        <f>HYPERLINK("https://klasma.github.io/Logging_2283/tillsynsmail/A 6698-2024 tillsynsbegäran mail.docx", "A 6698-2024")</f>
        <v/>
      </c>
    </row>
    <row r="280" ht="15" customHeight="1">
      <c r="A280" t="inlineStr">
        <is>
          <t>A 31491-2024</t>
        </is>
      </c>
      <c r="B280" s="1" t="n">
        <v>45505</v>
      </c>
      <c r="C280" s="1" t="n">
        <v>46161</v>
      </c>
      <c r="D280" t="inlineStr">
        <is>
          <t>VÄSTERNORRLANDS LÄN</t>
        </is>
      </c>
      <c r="E280" t="inlineStr">
        <is>
          <t>SOLLEFTEÅ</t>
        </is>
      </c>
      <c r="F280" t="inlineStr">
        <is>
          <t>SCA</t>
        </is>
      </c>
      <c r="G280" t="n">
        <v>17.2</v>
      </c>
      <c r="H280" t="n">
        <v>1</v>
      </c>
      <c r="I280" t="n">
        <v>0</v>
      </c>
      <c r="J280" t="n">
        <v>2</v>
      </c>
      <c r="K280" t="n">
        <v>0</v>
      </c>
      <c r="L280" t="n">
        <v>0</v>
      </c>
      <c r="M280" t="n">
        <v>0</v>
      </c>
      <c r="N280" t="n">
        <v>0</v>
      </c>
      <c r="O280" t="n">
        <v>2</v>
      </c>
      <c r="P280" t="n">
        <v>0</v>
      </c>
      <c r="Q280" t="n">
        <v>2</v>
      </c>
      <c r="R280" s="2" t="inlineStr">
        <is>
          <t>Lunglav
Tretåig hackspett</t>
        </is>
      </c>
      <c r="S280">
        <f>HYPERLINK("https://klasma.github.io/Logging_2283/artfynd/A 31491-2024 artfynd.xlsx", "A 31491-2024")</f>
        <v/>
      </c>
      <c r="T280">
        <f>HYPERLINK("https://klasma.github.io/Logging_2283/kartor/A 31491-2024 karta.png", "A 31491-2024")</f>
        <v/>
      </c>
      <c r="V280">
        <f>HYPERLINK("https://klasma.github.io/Logging_2283/klagomål/A 31491-2024 FSC-klagomål.docx", "A 31491-2024")</f>
        <v/>
      </c>
      <c r="W280">
        <f>HYPERLINK("https://klasma.github.io/Logging_2283/klagomålsmail/A 31491-2024 FSC-klagomål mail.docx", "A 31491-2024")</f>
        <v/>
      </c>
      <c r="X280">
        <f>HYPERLINK("https://klasma.github.io/Logging_2283/tillsyn/A 31491-2024 tillsynsbegäran.docx", "A 31491-2024")</f>
        <v/>
      </c>
      <c r="Y280">
        <f>HYPERLINK("https://klasma.github.io/Logging_2283/tillsynsmail/A 31491-2024 tillsynsbegäran mail.docx", "A 31491-2024")</f>
        <v/>
      </c>
      <c r="Z280">
        <f>HYPERLINK("https://klasma.github.io/Logging_2283/fåglar/A 31491-2024 prioriterade fågelarter.docx", "A 31491-2024")</f>
        <v/>
      </c>
    </row>
    <row r="281" ht="15" customHeight="1">
      <c r="A281" t="inlineStr">
        <is>
          <t>A 54486-2024</t>
        </is>
      </c>
      <c r="B281" s="1" t="n">
        <v>45617</v>
      </c>
      <c r="C281" s="1" t="n">
        <v>46161</v>
      </c>
      <c r="D281" t="inlineStr">
        <is>
          <t>VÄSTERNORRLANDS LÄN</t>
        </is>
      </c>
      <c r="E281" t="inlineStr">
        <is>
          <t>SOLLEFTEÅ</t>
        </is>
      </c>
      <c r="G281" t="n">
        <v>18.3</v>
      </c>
      <c r="H281" t="n">
        <v>2</v>
      </c>
      <c r="I281" t="n">
        <v>1</v>
      </c>
      <c r="J281" t="n">
        <v>0</v>
      </c>
      <c r="K281" t="n">
        <v>0</v>
      </c>
      <c r="L281" t="n">
        <v>0</v>
      </c>
      <c r="M281" t="n">
        <v>0</v>
      </c>
      <c r="N281" t="n">
        <v>0</v>
      </c>
      <c r="O281" t="n">
        <v>0</v>
      </c>
      <c r="P281" t="n">
        <v>0</v>
      </c>
      <c r="Q281" t="n">
        <v>2</v>
      </c>
      <c r="R281" s="2" t="inlineStr">
        <is>
          <t>Tvåblad
Ängsnycklar</t>
        </is>
      </c>
      <c r="S281">
        <f>HYPERLINK("https://klasma.github.io/Logging_2283/artfynd/A 54486-2024 artfynd.xlsx", "A 54486-2024")</f>
        <v/>
      </c>
      <c r="T281">
        <f>HYPERLINK("https://klasma.github.io/Logging_2283/kartor/A 54486-2024 karta.png", "A 54486-2024")</f>
        <v/>
      </c>
      <c r="V281">
        <f>HYPERLINK("https://klasma.github.io/Logging_2283/klagomål/A 54486-2024 FSC-klagomål.docx", "A 54486-2024")</f>
        <v/>
      </c>
      <c r="W281">
        <f>HYPERLINK("https://klasma.github.io/Logging_2283/klagomålsmail/A 54486-2024 FSC-klagomål mail.docx", "A 54486-2024")</f>
        <v/>
      </c>
      <c r="X281">
        <f>HYPERLINK("https://klasma.github.io/Logging_2283/tillsyn/A 54486-2024 tillsynsbegäran.docx", "A 54486-2024")</f>
        <v/>
      </c>
      <c r="Y281">
        <f>HYPERLINK("https://klasma.github.io/Logging_2283/tillsynsmail/A 54486-2024 tillsynsbegäran mail.docx", "A 54486-2024")</f>
        <v/>
      </c>
    </row>
    <row r="282" ht="15" customHeight="1">
      <c r="A282" t="inlineStr">
        <is>
          <t>A 58880-2024</t>
        </is>
      </c>
      <c r="B282" s="1" t="n">
        <v>45636.44836805556</v>
      </c>
      <c r="C282" s="1" t="n">
        <v>46161</v>
      </c>
      <c r="D282" t="inlineStr">
        <is>
          <t>VÄSTERNORRLANDS LÄN</t>
        </is>
      </c>
      <c r="E282" t="inlineStr">
        <is>
          <t>SOLLEFTEÅ</t>
        </is>
      </c>
      <c r="F282" t="inlineStr">
        <is>
          <t>SCA</t>
        </is>
      </c>
      <c r="G282" t="n">
        <v>2</v>
      </c>
      <c r="H282" t="n">
        <v>0</v>
      </c>
      <c r="I282" t="n">
        <v>0</v>
      </c>
      <c r="J282" t="n">
        <v>2</v>
      </c>
      <c r="K282" t="n">
        <v>0</v>
      </c>
      <c r="L282" t="n">
        <v>0</v>
      </c>
      <c r="M282" t="n">
        <v>0</v>
      </c>
      <c r="N282" t="n">
        <v>0</v>
      </c>
      <c r="O282" t="n">
        <v>2</v>
      </c>
      <c r="P282" t="n">
        <v>0</v>
      </c>
      <c r="Q282" t="n">
        <v>2</v>
      </c>
      <c r="R282" s="2" t="inlineStr">
        <is>
          <t>Gammelgransskål
Garnlav</t>
        </is>
      </c>
      <c r="S282">
        <f>HYPERLINK("https://klasma.github.io/Logging_2283/artfynd/A 58880-2024 artfynd.xlsx", "A 58880-2024")</f>
        <v/>
      </c>
      <c r="T282">
        <f>HYPERLINK("https://klasma.github.io/Logging_2283/kartor/A 58880-2024 karta.png", "A 58880-2024")</f>
        <v/>
      </c>
      <c r="V282">
        <f>HYPERLINK("https://klasma.github.io/Logging_2283/klagomål/A 58880-2024 FSC-klagomål.docx", "A 58880-2024")</f>
        <v/>
      </c>
      <c r="W282">
        <f>HYPERLINK("https://klasma.github.io/Logging_2283/klagomålsmail/A 58880-2024 FSC-klagomål mail.docx", "A 58880-2024")</f>
        <v/>
      </c>
      <c r="X282">
        <f>HYPERLINK("https://klasma.github.io/Logging_2283/tillsyn/A 58880-2024 tillsynsbegäran.docx", "A 58880-2024")</f>
        <v/>
      </c>
      <c r="Y282">
        <f>HYPERLINK("https://klasma.github.io/Logging_2283/tillsynsmail/A 58880-2024 tillsynsbegäran mail.docx", "A 58880-2024")</f>
        <v/>
      </c>
    </row>
    <row r="283" ht="15" customHeight="1">
      <c r="A283" t="inlineStr">
        <is>
          <t>A 47216-2025</t>
        </is>
      </c>
      <c r="B283" s="1" t="n">
        <v>45930.38612268519</v>
      </c>
      <c r="C283" s="1" t="n">
        <v>46161</v>
      </c>
      <c r="D283" t="inlineStr">
        <is>
          <t>VÄSTERNORRLANDS LÄN</t>
        </is>
      </c>
      <c r="E283" t="inlineStr">
        <is>
          <t>SOLLEFTEÅ</t>
        </is>
      </c>
      <c r="F283" t="inlineStr">
        <is>
          <t>SCA</t>
        </is>
      </c>
      <c r="G283" t="n">
        <v>13.6</v>
      </c>
      <c r="H283" t="n">
        <v>0</v>
      </c>
      <c r="I283" t="n">
        <v>0</v>
      </c>
      <c r="J283" t="n">
        <v>2</v>
      </c>
      <c r="K283" t="n">
        <v>0</v>
      </c>
      <c r="L283" t="n">
        <v>0</v>
      </c>
      <c r="M283" t="n">
        <v>0</v>
      </c>
      <c r="N283" t="n">
        <v>0</v>
      </c>
      <c r="O283" t="n">
        <v>2</v>
      </c>
      <c r="P283" t="n">
        <v>0</v>
      </c>
      <c r="Q283" t="n">
        <v>2</v>
      </c>
      <c r="R283" s="2" t="inlineStr">
        <is>
          <t>Lunglav
Skrovellav</t>
        </is>
      </c>
      <c r="S283">
        <f>HYPERLINK("https://klasma.github.io/Logging_2283/artfynd/A 47216-2025 artfynd.xlsx", "A 47216-2025")</f>
        <v/>
      </c>
      <c r="T283">
        <f>HYPERLINK("https://klasma.github.io/Logging_2283/kartor/A 47216-2025 karta.png", "A 47216-2025")</f>
        <v/>
      </c>
      <c r="V283">
        <f>HYPERLINK("https://klasma.github.io/Logging_2283/klagomål/A 47216-2025 FSC-klagomål.docx", "A 47216-2025")</f>
        <v/>
      </c>
      <c r="W283">
        <f>HYPERLINK("https://klasma.github.io/Logging_2283/klagomålsmail/A 47216-2025 FSC-klagomål mail.docx", "A 47216-2025")</f>
        <v/>
      </c>
      <c r="X283">
        <f>HYPERLINK("https://klasma.github.io/Logging_2283/tillsyn/A 47216-2025 tillsynsbegäran.docx", "A 47216-2025")</f>
        <v/>
      </c>
      <c r="Y283">
        <f>HYPERLINK("https://klasma.github.io/Logging_2283/tillsynsmail/A 47216-2025 tillsynsbegäran mail.docx", "A 47216-2025")</f>
        <v/>
      </c>
    </row>
    <row r="284" ht="15" customHeight="1">
      <c r="A284" t="inlineStr">
        <is>
          <t>A 48313-2025</t>
        </is>
      </c>
      <c r="B284" s="1" t="n">
        <v>45933.61605324074</v>
      </c>
      <c r="C284" s="1" t="n">
        <v>46161</v>
      </c>
      <c r="D284" t="inlineStr">
        <is>
          <t>VÄSTERNORRLANDS LÄN</t>
        </is>
      </c>
      <c r="E284" t="inlineStr">
        <is>
          <t>SOLLEFTEÅ</t>
        </is>
      </c>
      <c r="F284" t="inlineStr">
        <is>
          <t>SCA</t>
        </is>
      </c>
      <c r="G284" t="n">
        <v>5</v>
      </c>
      <c r="H284" t="n">
        <v>2</v>
      </c>
      <c r="I284" t="n">
        <v>1</v>
      </c>
      <c r="J284" t="n">
        <v>1</v>
      </c>
      <c r="K284" t="n">
        <v>0</v>
      </c>
      <c r="L284" t="n">
        <v>0</v>
      </c>
      <c r="M284" t="n">
        <v>0</v>
      </c>
      <c r="N284" t="n">
        <v>0</v>
      </c>
      <c r="O284" t="n">
        <v>1</v>
      </c>
      <c r="P284" t="n">
        <v>0</v>
      </c>
      <c r="Q284" t="n">
        <v>2</v>
      </c>
      <c r="R284" s="2" t="inlineStr">
        <is>
          <t>Grönsångare
Spindelblomster</t>
        </is>
      </c>
      <c r="S284">
        <f>HYPERLINK("https://klasma.github.io/Logging_2283/artfynd/A 48313-2025 artfynd.xlsx", "A 48313-2025")</f>
        <v/>
      </c>
      <c r="T284">
        <f>HYPERLINK("https://klasma.github.io/Logging_2283/kartor/A 48313-2025 karta.png", "A 48313-2025")</f>
        <v/>
      </c>
      <c r="V284">
        <f>HYPERLINK("https://klasma.github.io/Logging_2283/klagomål/A 48313-2025 FSC-klagomål.docx", "A 48313-2025")</f>
        <v/>
      </c>
      <c r="W284">
        <f>HYPERLINK("https://klasma.github.io/Logging_2283/klagomålsmail/A 48313-2025 FSC-klagomål mail.docx", "A 48313-2025")</f>
        <v/>
      </c>
      <c r="X284">
        <f>HYPERLINK("https://klasma.github.io/Logging_2283/tillsyn/A 48313-2025 tillsynsbegäran.docx", "A 48313-2025")</f>
        <v/>
      </c>
      <c r="Y284">
        <f>HYPERLINK("https://klasma.github.io/Logging_2283/tillsynsmail/A 48313-2025 tillsynsbegäran mail.docx", "A 48313-2025")</f>
        <v/>
      </c>
      <c r="Z284">
        <f>HYPERLINK("https://klasma.github.io/Logging_2283/fåglar/A 48313-2025 prioriterade fågelarter.docx", "A 48313-2025")</f>
        <v/>
      </c>
    </row>
    <row r="285" ht="15" customHeight="1">
      <c r="A285" t="inlineStr">
        <is>
          <t>A 38911-2025</t>
        </is>
      </c>
      <c r="B285" s="1" t="n">
        <v>45887.61534722222</v>
      </c>
      <c r="C285" s="1" t="n">
        <v>46161</v>
      </c>
      <c r="D285" t="inlineStr">
        <is>
          <t>VÄSTERNORRLANDS LÄN</t>
        </is>
      </c>
      <c r="E285" t="inlineStr">
        <is>
          <t>SOLLEFTEÅ</t>
        </is>
      </c>
      <c r="F285" t="inlineStr">
        <is>
          <t>SCA</t>
        </is>
      </c>
      <c r="G285" t="n">
        <v>10.5</v>
      </c>
      <c r="H285" t="n">
        <v>0</v>
      </c>
      <c r="I285" t="n">
        <v>1</v>
      </c>
      <c r="J285" t="n">
        <v>1</v>
      </c>
      <c r="K285" t="n">
        <v>0</v>
      </c>
      <c r="L285" t="n">
        <v>0</v>
      </c>
      <c r="M285" t="n">
        <v>0</v>
      </c>
      <c r="N285" t="n">
        <v>0</v>
      </c>
      <c r="O285" t="n">
        <v>1</v>
      </c>
      <c r="P285" t="n">
        <v>0</v>
      </c>
      <c r="Q285" t="n">
        <v>2</v>
      </c>
      <c r="R285" s="2" t="inlineStr">
        <is>
          <t>Garnlav
Vedticka</t>
        </is>
      </c>
      <c r="S285">
        <f>HYPERLINK("https://klasma.github.io/Logging_2283/artfynd/A 38911-2025 artfynd.xlsx", "A 38911-2025")</f>
        <v/>
      </c>
      <c r="T285">
        <f>HYPERLINK("https://klasma.github.io/Logging_2283/kartor/A 38911-2025 karta.png", "A 38911-2025")</f>
        <v/>
      </c>
      <c r="U285">
        <f>HYPERLINK("https://klasma.github.io/Logging_2283/knärot/A 38911-2025 karta knärot.png", "A 38911-2025")</f>
        <v/>
      </c>
      <c r="V285">
        <f>HYPERLINK("https://klasma.github.io/Logging_2283/klagomål/A 38911-2025 FSC-klagomål.docx", "A 38911-2025")</f>
        <v/>
      </c>
      <c r="W285">
        <f>HYPERLINK("https://klasma.github.io/Logging_2283/klagomålsmail/A 38911-2025 FSC-klagomål mail.docx", "A 38911-2025")</f>
        <v/>
      </c>
      <c r="X285">
        <f>HYPERLINK("https://klasma.github.io/Logging_2283/tillsyn/A 38911-2025 tillsynsbegäran.docx", "A 38911-2025")</f>
        <v/>
      </c>
      <c r="Y285">
        <f>HYPERLINK("https://klasma.github.io/Logging_2283/tillsynsmail/A 38911-2025 tillsynsbegäran mail.docx", "A 38911-2025")</f>
        <v/>
      </c>
    </row>
    <row r="286" ht="15" customHeight="1">
      <c r="A286" t="inlineStr">
        <is>
          <t>A 21742-2025</t>
        </is>
      </c>
      <c r="B286" s="1" t="n">
        <v>45783.59428240741</v>
      </c>
      <c r="C286" s="1" t="n">
        <v>46161</v>
      </c>
      <c r="D286" t="inlineStr">
        <is>
          <t>VÄSTERNORRLANDS LÄN</t>
        </is>
      </c>
      <c r="E286" t="inlineStr">
        <is>
          <t>SOLLEFTEÅ</t>
        </is>
      </c>
      <c r="F286" t="inlineStr">
        <is>
          <t>SCA</t>
        </is>
      </c>
      <c r="G286" t="n">
        <v>1.5</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21742-2025 artfynd.xlsx", "A 21742-2025")</f>
        <v/>
      </c>
      <c r="T286">
        <f>HYPERLINK("https://klasma.github.io/Logging_2283/kartor/A 21742-2025 karta.png", "A 21742-2025")</f>
        <v/>
      </c>
      <c r="V286">
        <f>HYPERLINK("https://klasma.github.io/Logging_2283/klagomål/A 21742-2025 FSC-klagomål.docx", "A 21742-2025")</f>
        <v/>
      </c>
      <c r="W286">
        <f>HYPERLINK("https://klasma.github.io/Logging_2283/klagomålsmail/A 21742-2025 FSC-klagomål mail.docx", "A 21742-2025")</f>
        <v/>
      </c>
      <c r="X286">
        <f>HYPERLINK("https://klasma.github.io/Logging_2283/tillsyn/A 21742-2025 tillsynsbegäran.docx", "A 21742-2025")</f>
        <v/>
      </c>
      <c r="Y286">
        <f>HYPERLINK("https://klasma.github.io/Logging_2283/tillsynsmail/A 21742-2025 tillsynsbegäran mail.docx", "A 21742-2025")</f>
        <v/>
      </c>
    </row>
    <row r="287" ht="15" customHeight="1">
      <c r="A287" t="inlineStr">
        <is>
          <t>A 21485-2025</t>
        </is>
      </c>
      <c r="B287" s="1" t="n">
        <v>45782.59512731482</v>
      </c>
      <c r="C287" s="1" t="n">
        <v>46161</v>
      </c>
      <c r="D287" t="inlineStr">
        <is>
          <t>VÄSTERNORRLANDS LÄN</t>
        </is>
      </c>
      <c r="E287" t="inlineStr">
        <is>
          <t>SOLLEFTEÅ</t>
        </is>
      </c>
      <c r="F287" t="inlineStr">
        <is>
          <t>SCA</t>
        </is>
      </c>
      <c r="G287" t="n">
        <v>5.4</v>
      </c>
      <c r="H287" t="n">
        <v>0</v>
      </c>
      <c r="I287" t="n">
        <v>1</v>
      </c>
      <c r="J287" t="n">
        <v>1</v>
      </c>
      <c r="K287" t="n">
        <v>0</v>
      </c>
      <c r="L287" t="n">
        <v>0</v>
      </c>
      <c r="M287" t="n">
        <v>0</v>
      </c>
      <c r="N287" t="n">
        <v>0</v>
      </c>
      <c r="O287" t="n">
        <v>1</v>
      </c>
      <c r="P287" t="n">
        <v>0</v>
      </c>
      <c r="Q287" t="n">
        <v>2</v>
      </c>
      <c r="R287" s="2" t="inlineStr">
        <is>
          <t>Garnlav
Vågbandad barkbock</t>
        </is>
      </c>
      <c r="S287">
        <f>HYPERLINK("https://klasma.github.io/Logging_2283/artfynd/A 21485-2025 artfynd.xlsx", "A 21485-2025")</f>
        <v/>
      </c>
      <c r="T287">
        <f>HYPERLINK("https://klasma.github.io/Logging_2283/kartor/A 21485-2025 karta.png", "A 21485-2025")</f>
        <v/>
      </c>
      <c r="V287">
        <f>HYPERLINK("https://klasma.github.io/Logging_2283/klagomål/A 21485-2025 FSC-klagomål.docx", "A 21485-2025")</f>
        <v/>
      </c>
      <c r="W287">
        <f>HYPERLINK("https://klasma.github.io/Logging_2283/klagomålsmail/A 21485-2025 FSC-klagomål mail.docx", "A 21485-2025")</f>
        <v/>
      </c>
      <c r="X287">
        <f>HYPERLINK("https://klasma.github.io/Logging_2283/tillsyn/A 21485-2025 tillsynsbegäran.docx", "A 21485-2025")</f>
        <v/>
      </c>
      <c r="Y287">
        <f>HYPERLINK("https://klasma.github.io/Logging_2283/tillsynsmail/A 21485-2025 tillsynsbegäran mail.docx", "A 21485-2025")</f>
        <v/>
      </c>
    </row>
    <row r="288" ht="15" customHeight="1">
      <c r="A288" t="inlineStr">
        <is>
          <t>A 34812-2024</t>
        </is>
      </c>
      <c r="B288" s="1" t="n">
        <v>45526</v>
      </c>
      <c r="C288" s="1" t="n">
        <v>46161</v>
      </c>
      <c r="D288" t="inlineStr">
        <is>
          <t>VÄSTERNORRLANDS LÄN</t>
        </is>
      </c>
      <c r="E288" t="inlineStr">
        <is>
          <t>SOLLEFTEÅ</t>
        </is>
      </c>
      <c r="G288" t="n">
        <v>8.1</v>
      </c>
      <c r="H288" t="n">
        <v>0</v>
      </c>
      <c r="I288" t="n">
        <v>1</v>
      </c>
      <c r="J288" t="n">
        <v>1</v>
      </c>
      <c r="K288" t="n">
        <v>0</v>
      </c>
      <c r="L288" t="n">
        <v>0</v>
      </c>
      <c r="M288" t="n">
        <v>0</v>
      </c>
      <c r="N288" t="n">
        <v>0</v>
      </c>
      <c r="O288" t="n">
        <v>1</v>
      </c>
      <c r="P288" t="n">
        <v>0</v>
      </c>
      <c r="Q288" t="n">
        <v>2</v>
      </c>
      <c r="R288" s="2" t="inlineStr">
        <is>
          <t>Garnlav
Dropptaggsvamp</t>
        </is>
      </c>
      <c r="S288">
        <f>HYPERLINK("https://klasma.github.io/Logging_2283/artfynd/A 34812-2024 artfynd.xlsx", "A 34812-2024")</f>
        <v/>
      </c>
      <c r="T288">
        <f>HYPERLINK("https://klasma.github.io/Logging_2283/kartor/A 34812-2024 karta.png", "A 34812-2024")</f>
        <v/>
      </c>
      <c r="V288">
        <f>HYPERLINK("https://klasma.github.io/Logging_2283/klagomål/A 34812-2024 FSC-klagomål.docx", "A 34812-2024")</f>
        <v/>
      </c>
      <c r="W288">
        <f>HYPERLINK("https://klasma.github.io/Logging_2283/klagomålsmail/A 34812-2024 FSC-klagomål mail.docx", "A 34812-2024")</f>
        <v/>
      </c>
      <c r="X288">
        <f>HYPERLINK("https://klasma.github.io/Logging_2283/tillsyn/A 34812-2024 tillsynsbegäran.docx", "A 34812-2024")</f>
        <v/>
      </c>
      <c r="Y288">
        <f>HYPERLINK("https://klasma.github.io/Logging_2283/tillsynsmail/A 34812-2024 tillsynsbegäran mail.docx", "A 34812-2024")</f>
        <v/>
      </c>
    </row>
    <row r="289" ht="15" customHeight="1">
      <c r="A289" t="inlineStr">
        <is>
          <t>A 27644-2024</t>
        </is>
      </c>
      <c r="B289" s="1" t="n">
        <v>45474</v>
      </c>
      <c r="C289" s="1" t="n">
        <v>46161</v>
      </c>
      <c r="D289" t="inlineStr">
        <is>
          <t>VÄSTERNORRLANDS LÄN</t>
        </is>
      </c>
      <c r="E289" t="inlineStr">
        <is>
          <t>SOLLEFTEÅ</t>
        </is>
      </c>
      <c r="F289" t="inlineStr">
        <is>
          <t>SCA</t>
        </is>
      </c>
      <c r="G289" t="n">
        <v>2.8</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27644-2024 artfynd.xlsx", "A 27644-2024")</f>
        <v/>
      </c>
      <c r="T289">
        <f>HYPERLINK("https://klasma.github.io/Logging_2283/kartor/A 27644-2024 karta.png", "A 27644-2024")</f>
        <v/>
      </c>
      <c r="V289">
        <f>HYPERLINK("https://klasma.github.io/Logging_2283/klagomål/A 27644-2024 FSC-klagomål.docx", "A 27644-2024")</f>
        <v/>
      </c>
      <c r="W289">
        <f>HYPERLINK("https://klasma.github.io/Logging_2283/klagomålsmail/A 27644-2024 FSC-klagomål mail.docx", "A 27644-2024")</f>
        <v/>
      </c>
      <c r="X289">
        <f>HYPERLINK("https://klasma.github.io/Logging_2283/tillsyn/A 27644-2024 tillsynsbegäran.docx", "A 27644-2024")</f>
        <v/>
      </c>
      <c r="Y289">
        <f>HYPERLINK("https://klasma.github.io/Logging_2283/tillsynsmail/A 27644-2024 tillsynsbegäran mail.docx", "A 27644-2024")</f>
        <v/>
      </c>
    </row>
    <row r="290" ht="15" customHeight="1">
      <c r="A290" t="inlineStr">
        <is>
          <t>A 22220-2025</t>
        </is>
      </c>
      <c r="B290" s="1" t="n">
        <v>45785.65862268519</v>
      </c>
      <c r="C290" s="1" t="n">
        <v>46161</v>
      </c>
      <c r="D290" t="inlineStr">
        <is>
          <t>VÄSTERNORRLANDS LÄN</t>
        </is>
      </c>
      <c r="E290" t="inlineStr">
        <is>
          <t>SOLLEFTEÅ</t>
        </is>
      </c>
      <c r="F290" t="inlineStr">
        <is>
          <t>SCA</t>
        </is>
      </c>
      <c r="G290" t="n">
        <v>4.6</v>
      </c>
      <c r="H290" t="n">
        <v>0</v>
      </c>
      <c r="I290" t="n">
        <v>1</v>
      </c>
      <c r="J290" t="n">
        <v>1</v>
      </c>
      <c r="K290" t="n">
        <v>0</v>
      </c>
      <c r="L290" t="n">
        <v>0</v>
      </c>
      <c r="M290" t="n">
        <v>0</v>
      </c>
      <c r="N290" t="n">
        <v>0</v>
      </c>
      <c r="O290" t="n">
        <v>1</v>
      </c>
      <c r="P290" t="n">
        <v>0</v>
      </c>
      <c r="Q290" t="n">
        <v>2</v>
      </c>
      <c r="R290" s="2" t="inlineStr">
        <is>
          <t>Lunglav
Stor aspticka</t>
        </is>
      </c>
      <c r="S290">
        <f>HYPERLINK("https://klasma.github.io/Logging_2283/artfynd/A 22220-2025 artfynd.xlsx", "A 22220-2025")</f>
        <v/>
      </c>
      <c r="T290">
        <f>HYPERLINK("https://klasma.github.io/Logging_2283/kartor/A 22220-2025 karta.png", "A 22220-2025")</f>
        <v/>
      </c>
      <c r="V290">
        <f>HYPERLINK("https://klasma.github.io/Logging_2283/klagomål/A 22220-2025 FSC-klagomål.docx", "A 22220-2025")</f>
        <v/>
      </c>
      <c r="W290">
        <f>HYPERLINK("https://klasma.github.io/Logging_2283/klagomålsmail/A 22220-2025 FSC-klagomål mail.docx", "A 22220-2025")</f>
        <v/>
      </c>
      <c r="X290">
        <f>HYPERLINK("https://klasma.github.io/Logging_2283/tillsyn/A 22220-2025 tillsynsbegäran.docx", "A 22220-2025")</f>
        <v/>
      </c>
      <c r="Y290">
        <f>HYPERLINK("https://klasma.github.io/Logging_2283/tillsynsmail/A 22220-2025 tillsynsbegäran mail.docx", "A 22220-2025")</f>
        <v/>
      </c>
    </row>
    <row r="291" ht="15" customHeight="1">
      <c r="A291" t="inlineStr">
        <is>
          <t>A 49651-2025</t>
        </is>
      </c>
      <c r="B291" s="1" t="n">
        <v>45939.62670138889</v>
      </c>
      <c r="C291" s="1" t="n">
        <v>46161</v>
      </c>
      <c r="D291" t="inlineStr">
        <is>
          <t>VÄSTERNORRLANDS LÄN</t>
        </is>
      </c>
      <c r="E291" t="inlineStr">
        <is>
          <t>SOLLEFTEÅ</t>
        </is>
      </c>
      <c r="G291" t="n">
        <v>1.5</v>
      </c>
      <c r="H291" t="n">
        <v>1</v>
      </c>
      <c r="I291" t="n">
        <v>0</v>
      </c>
      <c r="J291" t="n">
        <v>2</v>
      </c>
      <c r="K291" t="n">
        <v>0</v>
      </c>
      <c r="L291" t="n">
        <v>0</v>
      </c>
      <c r="M291" t="n">
        <v>0</v>
      </c>
      <c r="N291" t="n">
        <v>0</v>
      </c>
      <c r="O291" t="n">
        <v>2</v>
      </c>
      <c r="P291" t="n">
        <v>0</v>
      </c>
      <c r="Q291" t="n">
        <v>2</v>
      </c>
      <c r="R291" s="2" t="inlineStr">
        <is>
          <t>Garnlav
Järpe</t>
        </is>
      </c>
      <c r="S291">
        <f>HYPERLINK("https://klasma.github.io/Logging_2283/artfynd/A 49651-2025 artfynd.xlsx", "A 49651-2025")</f>
        <v/>
      </c>
      <c r="T291">
        <f>HYPERLINK("https://klasma.github.io/Logging_2283/kartor/A 49651-2025 karta.png", "A 49651-2025")</f>
        <v/>
      </c>
      <c r="V291">
        <f>HYPERLINK("https://klasma.github.io/Logging_2283/klagomål/A 49651-2025 FSC-klagomål.docx", "A 49651-2025")</f>
        <v/>
      </c>
      <c r="W291">
        <f>HYPERLINK("https://klasma.github.io/Logging_2283/klagomålsmail/A 49651-2025 FSC-klagomål mail.docx", "A 49651-2025")</f>
        <v/>
      </c>
      <c r="X291">
        <f>HYPERLINK("https://klasma.github.io/Logging_2283/tillsyn/A 49651-2025 tillsynsbegäran.docx", "A 49651-2025")</f>
        <v/>
      </c>
      <c r="Y291">
        <f>HYPERLINK("https://klasma.github.io/Logging_2283/tillsynsmail/A 49651-2025 tillsynsbegäran mail.docx", "A 49651-2025")</f>
        <v/>
      </c>
      <c r="Z291">
        <f>HYPERLINK("https://klasma.github.io/Logging_2283/fåglar/A 49651-2025 prioriterade fågelarter.docx", "A 49651-2025")</f>
        <v/>
      </c>
    </row>
    <row r="292" ht="15" customHeight="1">
      <c r="A292" t="inlineStr">
        <is>
          <t>A 22518-2025</t>
        </is>
      </c>
      <c r="B292" s="1" t="n">
        <v>45786.67831018518</v>
      </c>
      <c r="C292" s="1" t="n">
        <v>46161</v>
      </c>
      <c r="D292" t="inlineStr">
        <is>
          <t>VÄSTERNORRLANDS LÄN</t>
        </is>
      </c>
      <c r="E292" t="inlineStr">
        <is>
          <t>SOLLEFTEÅ</t>
        </is>
      </c>
      <c r="F292" t="inlineStr">
        <is>
          <t>SCA</t>
        </is>
      </c>
      <c r="G292" t="n">
        <v>4</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22518-2025 artfynd.xlsx", "A 22518-2025")</f>
        <v/>
      </c>
      <c r="T292">
        <f>HYPERLINK("https://klasma.github.io/Logging_2283/kartor/A 22518-2025 karta.png", "A 22518-2025")</f>
        <v/>
      </c>
      <c r="V292">
        <f>HYPERLINK("https://klasma.github.io/Logging_2283/klagomål/A 22518-2025 FSC-klagomål.docx", "A 22518-2025")</f>
        <v/>
      </c>
      <c r="W292">
        <f>HYPERLINK("https://klasma.github.io/Logging_2283/klagomålsmail/A 22518-2025 FSC-klagomål mail.docx", "A 22518-2025")</f>
        <v/>
      </c>
      <c r="X292">
        <f>HYPERLINK("https://klasma.github.io/Logging_2283/tillsyn/A 22518-2025 tillsynsbegäran.docx", "A 22518-2025")</f>
        <v/>
      </c>
      <c r="Y292">
        <f>HYPERLINK("https://klasma.github.io/Logging_2283/tillsynsmail/A 22518-2025 tillsynsbegäran mail.docx", "A 22518-2025")</f>
        <v/>
      </c>
    </row>
    <row r="293" ht="15" customHeight="1">
      <c r="A293" t="inlineStr">
        <is>
          <t>A 22808-2025</t>
        </is>
      </c>
      <c r="B293" s="1" t="n">
        <v>45789</v>
      </c>
      <c r="C293" s="1" t="n">
        <v>46161</v>
      </c>
      <c r="D293" t="inlineStr">
        <is>
          <t>VÄSTERNORRLANDS LÄN</t>
        </is>
      </c>
      <c r="E293" t="inlineStr">
        <is>
          <t>SOLLEFTEÅ</t>
        </is>
      </c>
      <c r="G293" t="n">
        <v>0.7</v>
      </c>
      <c r="H293" t="n">
        <v>0</v>
      </c>
      <c r="I293" t="n">
        <v>1</v>
      </c>
      <c r="J293" t="n">
        <v>1</v>
      </c>
      <c r="K293" t="n">
        <v>0</v>
      </c>
      <c r="L293" t="n">
        <v>0</v>
      </c>
      <c r="M293" t="n">
        <v>0</v>
      </c>
      <c r="N293" t="n">
        <v>0</v>
      </c>
      <c r="O293" t="n">
        <v>1</v>
      </c>
      <c r="P293" t="n">
        <v>0</v>
      </c>
      <c r="Q293" t="n">
        <v>2</v>
      </c>
      <c r="R293" s="2" t="inlineStr">
        <is>
          <t>Lunglav
Bårdlav</t>
        </is>
      </c>
      <c r="S293">
        <f>HYPERLINK("https://klasma.github.io/Logging_2283/artfynd/A 22808-2025 artfynd.xlsx", "A 22808-2025")</f>
        <v/>
      </c>
      <c r="T293">
        <f>HYPERLINK("https://klasma.github.io/Logging_2283/kartor/A 22808-2025 karta.png", "A 22808-2025")</f>
        <v/>
      </c>
      <c r="V293">
        <f>HYPERLINK("https://klasma.github.io/Logging_2283/klagomål/A 22808-2025 FSC-klagomål.docx", "A 22808-2025")</f>
        <v/>
      </c>
      <c r="W293">
        <f>HYPERLINK("https://klasma.github.io/Logging_2283/klagomålsmail/A 22808-2025 FSC-klagomål mail.docx", "A 22808-2025")</f>
        <v/>
      </c>
      <c r="X293">
        <f>HYPERLINK("https://klasma.github.io/Logging_2283/tillsyn/A 22808-2025 tillsynsbegäran.docx", "A 22808-2025")</f>
        <v/>
      </c>
      <c r="Y293">
        <f>HYPERLINK("https://klasma.github.io/Logging_2283/tillsynsmail/A 22808-2025 tillsynsbegäran mail.docx", "A 22808-2025")</f>
        <v/>
      </c>
    </row>
    <row r="294" ht="15" customHeight="1">
      <c r="A294" t="inlineStr">
        <is>
          <t>A 29264-2024</t>
        </is>
      </c>
      <c r="B294" s="1" t="n">
        <v>45482</v>
      </c>
      <c r="C294" s="1" t="n">
        <v>46161</v>
      </c>
      <c r="D294" t="inlineStr">
        <is>
          <t>VÄSTERNORRLANDS LÄN</t>
        </is>
      </c>
      <c r="E294" t="inlineStr">
        <is>
          <t>SOLLEFTEÅ</t>
        </is>
      </c>
      <c r="F294" t="inlineStr">
        <is>
          <t>SCA</t>
        </is>
      </c>
      <c r="G294" t="n">
        <v>3</v>
      </c>
      <c r="H294" t="n">
        <v>2</v>
      </c>
      <c r="I294" t="n">
        <v>0</v>
      </c>
      <c r="J294" t="n">
        <v>1</v>
      </c>
      <c r="K294" t="n">
        <v>0</v>
      </c>
      <c r="L294" t="n">
        <v>0</v>
      </c>
      <c r="M294" t="n">
        <v>0</v>
      </c>
      <c r="N294" t="n">
        <v>0</v>
      </c>
      <c r="O294" t="n">
        <v>1</v>
      </c>
      <c r="P294" t="n">
        <v>0</v>
      </c>
      <c r="Q294" t="n">
        <v>2</v>
      </c>
      <c r="R294" s="2" t="inlineStr">
        <is>
          <t>Tretåig hackspett
Fläcknycklar</t>
        </is>
      </c>
      <c r="S294">
        <f>HYPERLINK("https://klasma.github.io/Logging_2283/artfynd/A 29264-2024 artfynd.xlsx", "A 29264-2024")</f>
        <v/>
      </c>
      <c r="T294">
        <f>HYPERLINK("https://klasma.github.io/Logging_2283/kartor/A 29264-2024 karta.png", "A 29264-2024")</f>
        <v/>
      </c>
      <c r="V294">
        <f>HYPERLINK("https://klasma.github.io/Logging_2283/klagomål/A 29264-2024 FSC-klagomål.docx", "A 29264-2024")</f>
        <v/>
      </c>
      <c r="W294">
        <f>HYPERLINK("https://klasma.github.io/Logging_2283/klagomålsmail/A 29264-2024 FSC-klagomål mail.docx", "A 29264-2024")</f>
        <v/>
      </c>
      <c r="X294">
        <f>HYPERLINK("https://klasma.github.io/Logging_2283/tillsyn/A 29264-2024 tillsynsbegäran.docx", "A 29264-2024")</f>
        <v/>
      </c>
      <c r="Y294">
        <f>HYPERLINK("https://klasma.github.io/Logging_2283/tillsynsmail/A 29264-2024 tillsynsbegäran mail.docx", "A 29264-2024")</f>
        <v/>
      </c>
      <c r="Z294">
        <f>HYPERLINK("https://klasma.github.io/Logging_2283/fåglar/A 29264-2024 prioriterade fågelarter.docx", "A 29264-2024")</f>
        <v/>
      </c>
    </row>
    <row r="295" ht="15" customHeight="1">
      <c r="A295" t="inlineStr">
        <is>
          <t>A 40450-2025</t>
        </is>
      </c>
      <c r="B295" s="1" t="n">
        <v>45895.63584490741</v>
      </c>
      <c r="C295" s="1" t="n">
        <v>46161</v>
      </c>
      <c r="D295" t="inlineStr">
        <is>
          <t>VÄSTERNORRLANDS LÄN</t>
        </is>
      </c>
      <c r="E295" t="inlineStr">
        <is>
          <t>SOLLEFTEÅ</t>
        </is>
      </c>
      <c r="F295" t="inlineStr">
        <is>
          <t>SCA</t>
        </is>
      </c>
      <c r="G295" t="n">
        <v>3.8</v>
      </c>
      <c r="H295" t="n">
        <v>1</v>
      </c>
      <c r="I295" t="n">
        <v>0</v>
      </c>
      <c r="J295" t="n">
        <v>2</v>
      </c>
      <c r="K295" t="n">
        <v>0</v>
      </c>
      <c r="L295" t="n">
        <v>0</v>
      </c>
      <c r="M295" t="n">
        <v>0</v>
      </c>
      <c r="N295" t="n">
        <v>0</v>
      </c>
      <c r="O295" t="n">
        <v>2</v>
      </c>
      <c r="P295" t="n">
        <v>0</v>
      </c>
      <c r="Q295" t="n">
        <v>2</v>
      </c>
      <c r="R295" s="2" t="inlineStr">
        <is>
          <t>Spillkråka
Ullticka</t>
        </is>
      </c>
      <c r="S295">
        <f>HYPERLINK("https://klasma.github.io/Logging_2283/artfynd/A 40450-2025 artfynd.xlsx", "A 40450-2025")</f>
        <v/>
      </c>
      <c r="T295">
        <f>HYPERLINK("https://klasma.github.io/Logging_2283/kartor/A 40450-2025 karta.png", "A 40450-2025")</f>
        <v/>
      </c>
      <c r="V295">
        <f>HYPERLINK("https://klasma.github.io/Logging_2283/klagomål/A 40450-2025 FSC-klagomål.docx", "A 40450-2025")</f>
        <v/>
      </c>
      <c r="W295">
        <f>HYPERLINK("https://klasma.github.io/Logging_2283/klagomålsmail/A 40450-2025 FSC-klagomål mail.docx", "A 40450-2025")</f>
        <v/>
      </c>
      <c r="X295">
        <f>HYPERLINK("https://klasma.github.io/Logging_2283/tillsyn/A 40450-2025 tillsynsbegäran.docx", "A 40450-2025")</f>
        <v/>
      </c>
      <c r="Y295">
        <f>HYPERLINK("https://klasma.github.io/Logging_2283/tillsynsmail/A 40450-2025 tillsynsbegäran mail.docx", "A 40450-2025")</f>
        <v/>
      </c>
      <c r="Z295">
        <f>HYPERLINK("https://klasma.github.io/Logging_2283/fåglar/A 40450-2025 prioriterade fågelarter.docx", "A 40450-2025")</f>
        <v/>
      </c>
    </row>
    <row r="296" ht="15" customHeight="1">
      <c r="A296" t="inlineStr">
        <is>
          <t>A 11578-2025</t>
        </is>
      </c>
      <c r="B296" s="1" t="n">
        <v>45727.38609953703</v>
      </c>
      <c r="C296" s="1" t="n">
        <v>46161</v>
      </c>
      <c r="D296" t="inlineStr">
        <is>
          <t>VÄSTERNORRLANDS LÄN</t>
        </is>
      </c>
      <c r="E296" t="inlineStr">
        <is>
          <t>SOLLEFTEÅ</t>
        </is>
      </c>
      <c r="F296" t="inlineStr">
        <is>
          <t>SCA</t>
        </is>
      </c>
      <c r="G296" t="n">
        <v>1</v>
      </c>
      <c r="H296" t="n">
        <v>2</v>
      </c>
      <c r="I296" t="n">
        <v>0</v>
      </c>
      <c r="J296" t="n">
        <v>2</v>
      </c>
      <c r="K296" t="n">
        <v>0</v>
      </c>
      <c r="L296" t="n">
        <v>0</v>
      </c>
      <c r="M296" t="n">
        <v>0</v>
      </c>
      <c r="N296" t="n">
        <v>0</v>
      </c>
      <c r="O296" t="n">
        <v>2</v>
      </c>
      <c r="P296" t="n">
        <v>0</v>
      </c>
      <c r="Q296" t="n">
        <v>2</v>
      </c>
      <c r="R296" s="2" t="inlineStr">
        <is>
          <t>Spillkråka
Tretåig hackspett</t>
        </is>
      </c>
      <c r="S296">
        <f>HYPERLINK("https://klasma.github.io/Logging_2283/artfynd/A 11578-2025 artfynd.xlsx", "A 11578-2025")</f>
        <v/>
      </c>
      <c r="T296">
        <f>HYPERLINK("https://klasma.github.io/Logging_2283/kartor/A 11578-2025 karta.png", "A 11578-2025")</f>
        <v/>
      </c>
      <c r="U296">
        <f>HYPERLINK("https://klasma.github.io/Logging_2283/knärot/A 11578-2025 karta knärot.png", "A 11578-2025")</f>
        <v/>
      </c>
      <c r="V296">
        <f>HYPERLINK("https://klasma.github.io/Logging_2283/klagomål/A 11578-2025 FSC-klagomål.docx", "A 11578-2025")</f>
        <v/>
      </c>
      <c r="W296">
        <f>HYPERLINK("https://klasma.github.io/Logging_2283/klagomålsmail/A 11578-2025 FSC-klagomål mail.docx", "A 11578-2025")</f>
        <v/>
      </c>
      <c r="X296">
        <f>HYPERLINK("https://klasma.github.io/Logging_2283/tillsyn/A 11578-2025 tillsynsbegäran.docx", "A 11578-2025")</f>
        <v/>
      </c>
      <c r="Y296">
        <f>HYPERLINK("https://klasma.github.io/Logging_2283/tillsynsmail/A 11578-2025 tillsynsbegäran mail.docx", "A 11578-2025")</f>
        <v/>
      </c>
      <c r="Z296">
        <f>HYPERLINK("https://klasma.github.io/Logging_2283/fåglar/A 11578-2025 prioriterade fågelarter.docx", "A 11578-2025")</f>
        <v/>
      </c>
    </row>
    <row r="297" ht="15" customHeight="1">
      <c r="A297" t="inlineStr">
        <is>
          <t>A 21364-2024</t>
        </is>
      </c>
      <c r="B297" s="1" t="n">
        <v>45440.95248842592</v>
      </c>
      <c r="C297" s="1" t="n">
        <v>46161</v>
      </c>
      <c r="D297" t="inlineStr">
        <is>
          <t>VÄSTERNORRLANDS LÄN</t>
        </is>
      </c>
      <c r="E297" t="inlineStr">
        <is>
          <t>SOLLEFTEÅ</t>
        </is>
      </c>
      <c r="F297" t="inlineStr">
        <is>
          <t>SCA</t>
        </is>
      </c>
      <c r="G297" t="n">
        <v>2.1</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21364-2024 artfynd.xlsx", "A 21364-2024")</f>
        <v/>
      </c>
      <c r="T297">
        <f>HYPERLINK("https://klasma.github.io/Logging_2283/kartor/A 21364-2024 karta.png", "A 21364-2024")</f>
        <v/>
      </c>
      <c r="V297">
        <f>HYPERLINK("https://klasma.github.io/Logging_2283/klagomål/A 21364-2024 FSC-klagomål.docx", "A 21364-2024")</f>
        <v/>
      </c>
      <c r="W297">
        <f>HYPERLINK("https://klasma.github.io/Logging_2283/klagomålsmail/A 21364-2024 FSC-klagomål mail.docx", "A 21364-2024")</f>
        <v/>
      </c>
      <c r="X297">
        <f>HYPERLINK("https://klasma.github.io/Logging_2283/tillsyn/A 21364-2024 tillsynsbegäran.docx", "A 21364-2024")</f>
        <v/>
      </c>
      <c r="Y297">
        <f>HYPERLINK("https://klasma.github.io/Logging_2283/tillsynsmail/A 21364-2024 tillsynsbegäran mail.docx", "A 21364-2024")</f>
        <v/>
      </c>
    </row>
    <row r="298" ht="15" customHeight="1">
      <c r="A298" t="inlineStr">
        <is>
          <t>A 30972-2025</t>
        </is>
      </c>
      <c r="B298" s="1" t="n">
        <v>45832.4615625</v>
      </c>
      <c r="C298" s="1" t="n">
        <v>46161</v>
      </c>
      <c r="D298" t="inlineStr">
        <is>
          <t>VÄSTERNORRLANDS LÄN</t>
        </is>
      </c>
      <c r="E298" t="inlineStr">
        <is>
          <t>SOLLEFTEÅ</t>
        </is>
      </c>
      <c r="G298" t="n">
        <v>0.6</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30972-2025 artfynd.xlsx", "A 30972-2025")</f>
        <v/>
      </c>
      <c r="T298">
        <f>HYPERLINK("https://klasma.github.io/Logging_2283/kartor/A 30972-2025 karta.png", "A 30972-2025")</f>
        <v/>
      </c>
      <c r="V298">
        <f>HYPERLINK("https://klasma.github.io/Logging_2283/klagomål/A 30972-2025 FSC-klagomål.docx", "A 30972-2025")</f>
        <v/>
      </c>
      <c r="W298">
        <f>HYPERLINK("https://klasma.github.io/Logging_2283/klagomålsmail/A 30972-2025 FSC-klagomål mail.docx", "A 30972-2025")</f>
        <v/>
      </c>
      <c r="X298">
        <f>HYPERLINK("https://klasma.github.io/Logging_2283/tillsyn/A 30972-2025 tillsynsbegäran.docx", "A 30972-2025")</f>
        <v/>
      </c>
      <c r="Y298">
        <f>HYPERLINK("https://klasma.github.io/Logging_2283/tillsynsmail/A 30972-2025 tillsynsbegäran mail.docx", "A 30972-2025")</f>
        <v/>
      </c>
    </row>
    <row r="299" ht="15" customHeight="1">
      <c r="A299" t="inlineStr">
        <is>
          <t>A 27983-2021</t>
        </is>
      </c>
      <c r="B299" s="1" t="n">
        <v>44354</v>
      </c>
      <c r="C299" s="1" t="n">
        <v>46161</v>
      </c>
      <c r="D299" t="inlineStr">
        <is>
          <t>VÄSTERNORRLANDS LÄN</t>
        </is>
      </c>
      <c r="E299" t="inlineStr">
        <is>
          <t>SOLLEFTEÅ</t>
        </is>
      </c>
      <c r="F299" t="inlineStr">
        <is>
          <t>SCA</t>
        </is>
      </c>
      <c r="G299" t="n">
        <v>5.4</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27983-2021 artfynd.xlsx", "A 27983-2021")</f>
        <v/>
      </c>
      <c r="T299">
        <f>HYPERLINK("https://klasma.github.io/Logging_2283/kartor/A 27983-2021 karta.png", "A 27983-2021")</f>
        <v/>
      </c>
      <c r="V299">
        <f>HYPERLINK("https://klasma.github.io/Logging_2283/klagomål/A 27983-2021 FSC-klagomål.docx", "A 27983-2021")</f>
        <v/>
      </c>
      <c r="W299">
        <f>HYPERLINK("https://klasma.github.io/Logging_2283/klagomålsmail/A 27983-2021 FSC-klagomål mail.docx", "A 27983-2021")</f>
        <v/>
      </c>
      <c r="X299">
        <f>HYPERLINK("https://klasma.github.io/Logging_2283/tillsyn/A 27983-2021 tillsynsbegäran.docx", "A 27983-2021")</f>
        <v/>
      </c>
      <c r="Y299">
        <f>HYPERLINK("https://klasma.github.io/Logging_2283/tillsynsmail/A 27983-2021 tillsynsbegäran mail.docx", "A 27983-2021")</f>
        <v/>
      </c>
    </row>
    <row r="300" ht="15" customHeight="1">
      <c r="A300" t="inlineStr">
        <is>
          <t>A 31503-2025</t>
        </is>
      </c>
      <c r="B300" s="1" t="n">
        <v>45833.59417824074</v>
      </c>
      <c r="C300" s="1" t="n">
        <v>46161</v>
      </c>
      <c r="D300" t="inlineStr">
        <is>
          <t>VÄSTERNORRLANDS LÄN</t>
        </is>
      </c>
      <c r="E300" t="inlineStr">
        <is>
          <t>SOLLEFTEÅ</t>
        </is>
      </c>
      <c r="F300" t="inlineStr">
        <is>
          <t>SCA</t>
        </is>
      </c>
      <c r="G300" t="n">
        <v>22.8</v>
      </c>
      <c r="H300" t="n">
        <v>2</v>
      </c>
      <c r="I300" t="n">
        <v>1</v>
      </c>
      <c r="J300" t="n">
        <v>0</v>
      </c>
      <c r="K300" t="n">
        <v>1</v>
      </c>
      <c r="L300" t="n">
        <v>0</v>
      </c>
      <c r="M300" t="n">
        <v>0</v>
      </c>
      <c r="N300" t="n">
        <v>0</v>
      </c>
      <c r="O300" t="n">
        <v>1</v>
      </c>
      <c r="P300" t="n">
        <v>1</v>
      </c>
      <c r="Q300" t="n">
        <v>2</v>
      </c>
      <c r="R300" s="2" t="inlineStr">
        <is>
          <t>Knärot
Plattlummer</t>
        </is>
      </c>
      <c r="S300">
        <f>HYPERLINK("https://klasma.github.io/Logging_2283/artfynd/A 31503-2025 artfynd.xlsx", "A 31503-2025")</f>
        <v/>
      </c>
      <c r="T300">
        <f>HYPERLINK("https://klasma.github.io/Logging_2283/kartor/A 31503-2025 karta.png", "A 31503-2025")</f>
        <v/>
      </c>
      <c r="U300">
        <f>HYPERLINK("https://klasma.github.io/Logging_2283/knärot/A 31503-2025 karta knärot.png", "A 31503-2025")</f>
        <v/>
      </c>
      <c r="V300">
        <f>HYPERLINK("https://klasma.github.io/Logging_2283/klagomål/A 31503-2025 FSC-klagomål.docx", "A 31503-2025")</f>
        <v/>
      </c>
      <c r="W300">
        <f>HYPERLINK("https://klasma.github.io/Logging_2283/klagomålsmail/A 31503-2025 FSC-klagomål mail.docx", "A 31503-2025")</f>
        <v/>
      </c>
      <c r="X300">
        <f>HYPERLINK("https://klasma.github.io/Logging_2283/tillsyn/A 31503-2025 tillsynsbegäran.docx", "A 31503-2025")</f>
        <v/>
      </c>
      <c r="Y300">
        <f>HYPERLINK("https://klasma.github.io/Logging_2283/tillsynsmail/A 31503-2025 tillsynsbegäran mail.docx", "A 31503-2025")</f>
        <v/>
      </c>
    </row>
    <row r="301" ht="15" customHeight="1">
      <c r="A301" t="inlineStr">
        <is>
          <t>A 32738-2025</t>
        </is>
      </c>
      <c r="B301" s="1" t="n">
        <v>45839.41827546297</v>
      </c>
      <c r="C301" s="1" t="n">
        <v>46161</v>
      </c>
      <c r="D301" t="inlineStr">
        <is>
          <t>VÄSTERNORRLANDS LÄN</t>
        </is>
      </c>
      <c r="E301" t="inlineStr">
        <is>
          <t>SOLLEFTEÅ</t>
        </is>
      </c>
      <c r="G301" t="n">
        <v>3.1</v>
      </c>
      <c r="H301" t="n">
        <v>2</v>
      </c>
      <c r="I301" t="n">
        <v>0</v>
      </c>
      <c r="J301" t="n">
        <v>1</v>
      </c>
      <c r="K301" t="n">
        <v>0</v>
      </c>
      <c r="L301" t="n">
        <v>0</v>
      </c>
      <c r="M301" t="n">
        <v>0</v>
      </c>
      <c r="N301" t="n">
        <v>0</v>
      </c>
      <c r="O301" t="n">
        <v>1</v>
      </c>
      <c r="P301" t="n">
        <v>0</v>
      </c>
      <c r="Q301" t="n">
        <v>2</v>
      </c>
      <c r="R301" s="2" t="inlineStr">
        <is>
          <t>Spillkråka
Tjäder</t>
        </is>
      </c>
      <c r="S301">
        <f>HYPERLINK("https://klasma.github.io/Logging_2283/artfynd/A 32738-2025 artfynd.xlsx", "A 32738-2025")</f>
        <v/>
      </c>
      <c r="T301">
        <f>HYPERLINK("https://klasma.github.io/Logging_2283/kartor/A 32738-2025 karta.png", "A 32738-2025")</f>
        <v/>
      </c>
      <c r="V301">
        <f>HYPERLINK("https://klasma.github.io/Logging_2283/klagomål/A 32738-2025 FSC-klagomål.docx", "A 32738-2025")</f>
        <v/>
      </c>
      <c r="W301">
        <f>HYPERLINK("https://klasma.github.io/Logging_2283/klagomålsmail/A 32738-2025 FSC-klagomål mail.docx", "A 32738-2025")</f>
        <v/>
      </c>
      <c r="X301">
        <f>HYPERLINK("https://klasma.github.io/Logging_2283/tillsyn/A 32738-2025 tillsynsbegäran.docx", "A 32738-2025")</f>
        <v/>
      </c>
      <c r="Y301">
        <f>HYPERLINK("https://klasma.github.io/Logging_2283/tillsynsmail/A 32738-2025 tillsynsbegäran mail.docx", "A 32738-2025")</f>
        <v/>
      </c>
      <c r="Z301">
        <f>HYPERLINK("https://klasma.github.io/Logging_2283/fåglar/A 32738-2025 prioriterade fågelarter.docx", "A 32738-2025")</f>
        <v/>
      </c>
    </row>
    <row r="302" ht="15" customHeight="1">
      <c r="A302" t="inlineStr">
        <is>
          <t>A 50751-2024</t>
        </is>
      </c>
      <c r="B302" s="1" t="n">
        <v>45602</v>
      </c>
      <c r="C302" s="1" t="n">
        <v>46161</v>
      </c>
      <c r="D302" t="inlineStr">
        <is>
          <t>VÄSTERNORRLANDS LÄN</t>
        </is>
      </c>
      <c r="E302" t="inlineStr">
        <is>
          <t>SOLLEFTEÅ</t>
        </is>
      </c>
      <c r="G302" t="n">
        <v>4.4</v>
      </c>
      <c r="H302" t="n">
        <v>0</v>
      </c>
      <c r="I302" t="n">
        <v>1</v>
      </c>
      <c r="J302" t="n">
        <v>1</v>
      </c>
      <c r="K302" t="n">
        <v>0</v>
      </c>
      <c r="L302" t="n">
        <v>0</v>
      </c>
      <c r="M302" t="n">
        <v>0</v>
      </c>
      <c r="N302" t="n">
        <v>0</v>
      </c>
      <c r="O302" t="n">
        <v>1</v>
      </c>
      <c r="P302" t="n">
        <v>0</v>
      </c>
      <c r="Q302" t="n">
        <v>2</v>
      </c>
      <c r="R302" s="2" t="inlineStr">
        <is>
          <t>Garnlav
Norrlandslav</t>
        </is>
      </c>
      <c r="S302">
        <f>HYPERLINK("https://klasma.github.io/Logging_2283/artfynd/A 50751-2024 artfynd.xlsx", "A 50751-2024")</f>
        <v/>
      </c>
      <c r="T302">
        <f>HYPERLINK("https://klasma.github.io/Logging_2283/kartor/A 50751-2024 karta.png", "A 50751-2024")</f>
        <v/>
      </c>
      <c r="V302">
        <f>HYPERLINK("https://klasma.github.io/Logging_2283/klagomål/A 50751-2024 FSC-klagomål.docx", "A 50751-2024")</f>
        <v/>
      </c>
      <c r="W302">
        <f>HYPERLINK("https://klasma.github.io/Logging_2283/klagomålsmail/A 50751-2024 FSC-klagomål mail.docx", "A 50751-2024")</f>
        <v/>
      </c>
      <c r="X302">
        <f>HYPERLINK("https://klasma.github.io/Logging_2283/tillsyn/A 50751-2024 tillsynsbegäran.docx", "A 50751-2024")</f>
        <v/>
      </c>
      <c r="Y302">
        <f>HYPERLINK("https://klasma.github.io/Logging_2283/tillsynsmail/A 50751-2024 tillsynsbegäran mail.docx", "A 50751-2024")</f>
        <v/>
      </c>
    </row>
    <row r="303" ht="15" customHeight="1">
      <c r="A303" t="inlineStr">
        <is>
          <t>A 36912-2024</t>
        </is>
      </c>
      <c r="B303" s="1" t="n">
        <v>45538.63604166666</v>
      </c>
      <c r="C303" s="1" t="n">
        <v>46161</v>
      </c>
      <c r="D303" t="inlineStr">
        <is>
          <t>VÄSTERNORRLANDS LÄN</t>
        </is>
      </c>
      <c r="E303" t="inlineStr">
        <is>
          <t>SOLLEFTEÅ</t>
        </is>
      </c>
      <c r="F303" t="inlineStr">
        <is>
          <t>SCA</t>
        </is>
      </c>
      <c r="G303" t="n">
        <v>2</v>
      </c>
      <c r="H303" t="n">
        <v>1</v>
      </c>
      <c r="I303" t="n">
        <v>0</v>
      </c>
      <c r="J303" t="n">
        <v>2</v>
      </c>
      <c r="K303" t="n">
        <v>0</v>
      </c>
      <c r="L303" t="n">
        <v>0</v>
      </c>
      <c r="M303" t="n">
        <v>0</v>
      </c>
      <c r="N303" t="n">
        <v>0</v>
      </c>
      <c r="O303" t="n">
        <v>2</v>
      </c>
      <c r="P303" t="n">
        <v>0</v>
      </c>
      <c r="Q303" t="n">
        <v>2</v>
      </c>
      <c r="R303" s="2" t="inlineStr">
        <is>
          <t>Talltita
Ullticka</t>
        </is>
      </c>
      <c r="S303">
        <f>HYPERLINK("https://klasma.github.io/Logging_2283/artfynd/A 36912-2024 artfynd.xlsx", "A 36912-2024")</f>
        <v/>
      </c>
      <c r="T303">
        <f>HYPERLINK("https://klasma.github.io/Logging_2283/kartor/A 36912-2024 karta.png", "A 36912-2024")</f>
        <v/>
      </c>
      <c r="V303">
        <f>HYPERLINK("https://klasma.github.io/Logging_2283/klagomål/A 36912-2024 FSC-klagomål.docx", "A 36912-2024")</f>
        <v/>
      </c>
      <c r="W303">
        <f>HYPERLINK("https://klasma.github.io/Logging_2283/klagomålsmail/A 36912-2024 FSC-klagomål mail.docx", "A 36912-2024")</f>
        <v/>
      </c>
      <c r="X303">
        <f>HYPERLINK("https://klasma.github.io/Logging_2283/tillsyn/A 36912-2024 tillsynsbegäran.docx", "A 36912-2024")</f>
        <v/>
      </c>
      <c r="Y303">
        <f>HYPERLINK("https://klasma.github.io/Logging_2283/tillsynsmail/A 36912-2024 tillsynsbegäran mail.docx", "A 36912-2024")</f>
        <v/>
      </c>
      <c r="Z303">
        <f>HYPERLINK("https://klasma.github.io/Logging_2283/fåglar/A 36912-2024 prioriterade fågelarter.docx", "A 36912-2024")</f>
        <v/>
      </c>
    </row>
    <row r="304" ht="15" customHeight="1">
      <c r="A304" t="inlineStr">
        <is>
          <t>A 36563-2025</t>
        </is>
      </c>
      <c r="B304" s="1" t="n">
        <v>45870.37332175926</v>
      </c>
      <c r="C304" s="1" t="n">
        <v>46161</v>
      </c>
      <c r="D304" t="inlineStr">
        <is>
          <t>VÄSTERNORRLANDS LÄN</t>
        </is>
      </c>
      <c r="E304" t="inlineStr">
        <is>
          <t>SOLLEFTEÅ</t>
        </is>
      </c>
      <c r="G304" t="n">
        <v>5.9</v>
      </c>
      <c r="H304" t="n">
        <v>1</v>
      </c>
      <c r="I304" t="n">
        <v>0</v>
      </c>
      <c r="J304" t="n">
        <v>0</v>
      </c>
      <c r="K304" t="n">
        <v>0</v>
      </c>
      <c r="L304" t="n">
        <v>1</v>
      </c>
      <c r="M304" t="n">
        <v>0</v>
      </c>
      <c r="N304" t="n">
        <v>0</v>
      </c>
      <c r="O304" t="n">
        <v>1</v>
      </c>
      <c r="P304" t="n">
        <v>1</v>
      </c>
      <c r="Q304" t="n">
        <v>2</v>
      </c>
      <c r="R304" s="2" t="inlineStr">
        <is>
          <t>Fältgentiana
Fläcknycklar</t>
        </is>
      </c>
      <c r="S304">
        <f>HYPERLINK("https://klasma.github.io/Logging_2283/artfynd/A 36563-2025 artfynd.xlsx", "A 36563-2025")</f>
        <v/>
      </c>
      <c r="T304">
        <f>HYPERLINK("https://klasma.github.io/Logging_2283/kartor/A 36563-2025 karta.png", "A 36563-2025")</f>
        <v/>
      </c>
      <c r="V304">
        <f>HYPERLINK("https://klasma.github.io/Logging_2283/klagomål/A 36563-2025 FSC-klagomål.docx", "A 36563-2025")</f>
        <v/>
      </c>
      <c r="W304">
        <f>HYPERLINK("https://klasma.github.io/Logging_2283/klagomålsmail/A 36563-2025 FSC-klagomål mail.docx", "A 36563-2025")</f>
        <v/>
      </c>
      <c r="X304">
        <f>HYPERLINK("https://klasma.github.io/Logging_2283/tillsyn/A 36563-2025 tillsynsbegäran.docx", "A 36563-2025")</f>
        <v/>
      </c>
      <c r="Y304">
        <f>HYPERLINK("https://klasma.github.io/Logging_2283/tillsynsmail/A 36563-2025 tillsynsbegäran mail.docx", "A 36563-2025")</f>
        <v/>
      </c>
    </row>
    <row r="305" ht="15" customHeight="1">
      <c r="A305" t="inlineStr">
        <is>
          <t>A 7108-2024</t>
        </is>
      </c>
      <c r="B305" s="1" t="n">
        <v>45343</v>
      </c>
      <c r="C305" s="1" t="n">
        <v>46161</v>
      </c>
      <c r="D305" t="inlineStr">
        <is>
          <t>VÄSTERNORRLANDS LÄN</t>
        </is>
      </c>
      <c r="E305" t="inlineStr">
        <is>
          <t>SOLLEFTEÅ</t>
        </is>
      </c>
      <c r="F305" t="inlineStr">
        <is>
          <t>SCA</t>
        </is>
      </c>
      <c r="G305" t="n">
        <v>3.8</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HYPERLINK("https://klasma.github.io/Logging_2283/artfynd/A 7108-2024 artfynd.xlsx", "A 7108-2024")</f>
        <v/>
      </c>
      <c r="T305">
        <f>HYPERLINK("https://klasma.github.io/Logging_2283/kartor/A 7108-2024 karta.png", "A 7108-2024")</f>
        <v/>
      </c>
      <c r="V305">
        <f>HYPERLINK("https://klasma.github.io/Logging_2283/klagomål/A 7108-2024 FSC-klagomål.docx", "A 7108-2024")</f>
        <v/>
      </c>
      <c r="W305">
        <f>HYPERLINK("https://klasma.github.io/Logging_2283/klagomålsmail/A 7108-2024 FSC-klagomål mail.docx", "A 7108-2024")</f>
        <v/>
      </c>
      <c r="X305">
        <f>HYPERLINK("https://klasma.github.io/Logging_2283/tillsyn/A 7108-2024 tillsynsbegäran.docx", "A 7108-2024")</f>
        <v/>
      </c>
      <c r="Y305">
        <f>HYPERLINK("https://klasma.github.io/Logging_2283/tillsynsmail/A 7108-2024 tillsynsbegäran mail.docx", "A 7108-2024")</f>
        <v/>
      </c>
    </row>
    <row r="306" ht="15" customHeight="1">
      <c r="A306" t="inlineStr">
        <is>
          <t>A 8541-2024</t>
        </is>
      </c>
      <c r="B306" s="1" t="n">
        <v>45351</v>
      </c>
      <c r="C306" s="1" t="n">
        <v>46161</v>
      </c>
      <c r="D306" t="inlineStr">
        <is>
          <t>VÄSTERNORRLANDS LÄN</t>
        </is>
      </c>
      <c r="E306" t="inlineStr">
        <is>
          <t>SOLLEFTEÅ</t>
        </is>
      </c>
      <c r="F306" t="inlineStr">
        <is>
          <t>Kommuner</t>
        </is>
      </c>
      <c r="G306" t="n">
        <v>0.6</v>
      </c>
      <c r="H306" t="n">
        <v>1</v>
      </c>
      <c r="I306" t="n">
        <v>0</v>
      </c>
      <c r="J306" t="n">
        <v>1</v>
      </c>
      <c r="K306" t="n">
        <v>0</v>
      </c>
      <c r="L306" t="n">
        <v>0</v>
      </c>
      <c r="M306" t="n">
        <v>0</v>
      </c>
      <c r="N306" t="n">
        <v>0</v>
      </c>
      <c r="O306" t="n">
        <v>1</v>
      </c>
      <c r="P306" t="n">
        <v>0</v>
      </c>
      <c r="Q306" t="n">
        <v>2</v>
      </c>
      <c r="R306" s="2" t="inlineStr">
        <is>
          <t>Granticka
Järnsparv</t>
        </is>
      </c>
      <c r="S306">
        <f>HYPERLINK("https://klasma.github.io/Logging_2283/artfynd/A 8541-2024 artfynd.xlsx", "A 8541-2024")</f>
        <v/>
      </c>
      <c r="T306">
        <f>HYPERLINK("https://klasma.github.io/Logging_2283/kartor/A 8541-2024 karta.png", "A 8541-2024")</f>
        <v/>
      </c>
      <c r="V306">
        <f>HYPERLINK("https://klasma.github.io/Logging_2283/klagomål/A 8541-2024 FSC-klagomål.docx", "A 8541-2024")</f>
        <v/>
      </c>
      <c r="W306">
        <f>HYPERLINK("https://klasma.github.io/Logging_2283/klagomålsmail/A 8541-2024 FSC-klagomål mail.docx", "A 8541-2024")</f>
        <v/>
      </c>
      <c r="X306">
        <f>HYPERLINK("https://klasma.github.io/Logging_2283/tillsyn/A 8541-2024 tillsynsbegäran.docx", "A 8541-2024")</f>
        <v/>
      </c>
      <c r="Y306">
        <f>HYPERLINK("https://klasma.github.io/Logging_2283/tillsynsmail/A 8541-2024 tillsynsbegäran mail.docx", "A 8541-2024")</f>
        <v/>
      </c>
      <c r="Z306">
        <f>HYPERLINK("https://klasma.github.io/Logging_2283/fåglar/A 8541-2024 prioriterade fågelarter.docx", "A 8541-2024")</f>
        <v/>
      </c>
    </row>
    <row r="307" ht="15" customHeight="1">
      <c r="A307" t="inlineStr">
        <is>
          <t>A 60255-2025</t>
        </is>
      </c>
      <c r="B307" s="1" t="n">
        <v>45994.60180555555</v>
      </c>
      <c r="C307" s="1" t="n">
        <v>46161</v>
      </c>
      <c r="D307" t="inlineStr">
        <is>
          <t>VÄSTERNORRLANDS LÄN</t>
        </is>
      </c>
      <c r="E307" t="inlineStr">
        <is>
          <t>SOLLEFTEÅ</t>
        </is>
      </c>
      <c r="G307" t="n">
        <v>2.2</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60255-2025 artfynd.xlsx", "A 60255-2025")</f>
        <v/>
      </c>
      <c r="T307">
        <f>HYPERLINK("https://klasma.github.io/Logging_2283/kartor/A 60255-2025 karta.png", "A 60255-2025")</f>
        <v/>
      </c>
      <c r="V307">
        <f>HYPERLINK("https://klasma.github.io/Logging_2283/klagomål/A 60255-2025 FSC-klagomål.docx", "A 60255-2025")</f>
        <v/>
      </c>
      <c r="W307">
        <f>HYPERLINK("https://klasma.github.io/Logging_2283/klagomålsmail/A 60255-2025 FSC-klagomål mail.docx", "A 60255-2025")</f>
        <v/>
      </c>
      <c r="X307">
        <f>HYPERLINK("https://klasma.github.io/Logging_2283/tillsyn/A 60255-2025 tillsynsbegäran.docx", "A 60255-2025")</f>
        <v/>
      </c>
      <c r="Y307">
        <f>HYPERLINK("https://klasma.github.io/Logging_2283/tillsynsmail/A 60255-2025 tillsynsbegäran mail.docx", "A 60255-2025")</f>
        <v/>
      </c>
    </row>
    <row r="308" ht="15" customHeight="1">
      <c r="A308" t="inlineStr">
        <is>
          <t>A 60596-2025</t>
        </is>
      </c>
      <c r="B308" s="1" t="n">
        <v>45996.34466435185</v>
      </c>
      <c r="C308" s="1" t="n">
        <v>46161</v>
      </c>
      <c r="D308" t="inlineStr">
        <is>
          <t>VÄSTERNORRLANDS LÄN</t>
        </is>
      </c>
      <c r="E308" t="inlineStr">
        <is>
          <t>SOLLEFTEÅ</t>
        </is>
      </c>
      <c r="F308" t="inlineStr">
        <is>
          <t>SCA</t>
        </is>
      </c>
      <c r="G308" t="n">
        <v>2.1</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60596-2025 artfynd.xlsx", "A 60596-2025")</f>
        <v/>
      </c>
      <c r="T308">
        <f>HYPERLINK("https://klasma.github.io/Logging_2283/kartor/A 60596-2025 karta.png", "A 60596-2025")</f>
        <v/>
      </c>
      <c r="V308">
        <f>HYPERLINK("https://klasma.github.io/Logging_2283/klagomål/A 60596-2025 FSC-klagomål.docx", "A 60596-2025")</f>
        <v/>
      </c>
      <c r="W308">
        <f>HYPERLINK("https://klasma.github.io/Logging_2283/klagomålsmail/A 60596-2025 FSC-klagomål mail.docx", "A 60596-2025")</f>
        <v/>
      </c>
      <c r="X308">
        <f>HYPERLINK("https://klasma.github.io/Logging_2283/tillsyn/A 60596-2025 tillsynsbegäran.docx", "A 60596-2025")</f>
        <v/>
      </c>
      <c r="Y308">
        <f>HYPERLINK("https://klasma.github.io/Logging_2283/tillsynsmail/A 60596-2025 tillsynsbegäran mail.docx", "A 60596-2025")</f>
        <v/>
      </c>
    </row>
    <row r="309" ht="15" customHeight="1">
      <c r="A309" t="inlineStr">
        <is>
          <t>A 61511-2025</t>
        </is>
      </c>
      <c r="B309" s="1" t="n">
        <v>46001.68375</v>
      </c>
      <c r="C309" s="1" t="n">
        <v>46161</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13743-2025</t>
        </is>
      </c>
      <c r="B310" s="1" t="n">
        <v>45737.40663194445</v>
      </c>
      <c r="C310" s="1" t="n">
        <v>46161</v>
      </c>
      <c r="D310" t="inlineStr">
        <is>
          <t>VÄSTERNORRLANDS LÄN</t>
        </is>
      </c>
      <c r="E310" t="inlineStr">
        <is>
          <t>SOLLEFTEÅ</t>
        </is>
      </c>
      <c r="F310" t="inlineStr">
        <is>
          <t>SCA</t>
        </is>
      </c>
      <c r="G310" t="n">
        <v>2.1</v>
      </c>
      <c r="H310" t="n">
        <v>2</v>
      </c>
      <c r="I310" t="n">
        <v>0</v>
      </c>
      <c r="J310" t="n">
        <v>0</v>
      </c>
      <c r="K310" t="n">
        <v>0</v>
      </c>
      <c r="L310" t="n">
        <v>0</v>
      </c>
      <c r="M310" t="n">
        <v>0</v>
      </c>
      <c r="N310" t="n">
        <v>0</v>
      </c>
      <c r="O310" t="n">
        <v>0</v>
      </c>
      <c r="P310" t="n">
        <v>0</v>
      </c>
      <c r="Q310" t="n">
        <v>2</v>
      </c>
      <c r="R310" s="2" t="inlineStr">
        <is>
          <t>Vanlig groda
Revlummer</t>
        </is>
      </c>
      <c r="S310">
        <f>HYPERLINK("https://klasma.github.io/Logging_2283/artfynd/A 13743-2025 artfynd.xlsx", "A 13743-2025")</f>
        <v/>
      </c>
      <c r="T310">
        <f>HYPERLINK("https://klasma.github.io/Logging_2283/kartor/A 13743-2025 karta.png", "A 13743-2025")</f>
        <v/>
      </c>
      <c r="V310">
        <f>HYPERLINK("https://klasma.github.io/Logging_2283/klagomål/A 13743-2025 FSC-klagomål.docx", "A 13743-2025")</f>
        <v/>
      </c>
      <c r="W310">
        <f>HYPERLINK("https://klasma.github.io/Logging_2283/klagomålsmail/A 13743-2025 FSC-klagomål mail.docx", "A 13743-2025")</f>
        <v/>
      </c>
      <c r="X310">
        <f>HYPERLINK("https://klasma.github.io/Logging_2283/tillsyn/A 13743-2025 tillsynsbegäran.docx", "A 13743-2025")</f>
        <v/>
      </c>
      <c r="Y310">
        <f>HYPERLINK("https://klasma.github.io/Logging_2283/tillsynsmail/A 13743-2025 tillsynsbegäran mail.docx", "A 13743-2025")</f>
        <v/>
      </c>
    </row>
    <row r="311" ht="15" customHeight="1">
      <c r="A311" t="inlineStr">
        <is>
          <t>A 45016-2023</t>
        </is>
      </c>
      <c r="B311" s="1" t="n">
        <v>45190.96188657408</v>
      </c>
      <c r="C311" s="1" t="n">
        <v>46161</v>
      </c>
      <c r="D311" t="inlineStr">
        <is>
          <t>VÄSTERNORRLANDS LÄN</t>
        </is>
      </c>
      <c r="E311" t="inlineStr">
        <is>
          <t>SOLLEFTEÅ</t>
        </is>
      </c>
      <c r="F311" t="inlineStr">
        <is>
          <t>SCA</t>
        </is>
      </c>
      <c r="G311" t="n">
        <v>1.5</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45016-2023 artfynd.xlsx", "A 45016-2023")</f>
        <v/>
      </c>
      <c r="T311">
        <f>HYPERLINK("https://klasma.github.io/Logging_2283/kartor/A 45016-2023 karta.png", "A 45016-2023")</f>
        <v/>
      </c>
      <c r="V311">
        <f>HYPERLINK("https://klasma.github.io/Logging_2283/klagomål/A 45016-2023 FSC-klagomål.docx", "A 45016-2023")</f>
        <v/>
      </c>
      <c r="W311">
        <f>HYPERLINK("https://klasma.github.io/Logging_2283/klagomålsmail/A 45016-2023 FSC-klagomål mail.docx", "A 45016-2023")</f>
        <v/>
      </c>
      <c r="X311">
        <f>HYPERLINK("https://klasma.github.io/Logging_2283/tillsyn/A 45016-2023 tillsynsbegäran.docx", "A 45016-2023")</f>
        <v/>
      </c>
      <c r="Y311">
        <f>HYPERLINK("https://klasma.github.io/Logging_2283/tillsynsmail/A 45016-2023 tillsynsbegäran mail.docx", "A 45016-2023")</f>
        <v/>
      </c>
    </row>
    <row r="312" ht="15" customHeight="1">
      <c r="A312" t="inlineStr">
        <is>
          <t>A 58314-2024</t>
        </is>
      </c>
      <c r="B312" s="1" t="n">
        <v>45632.61516203704</v>
      </c>
      <c r="C312" s="1" t="n">
        <v>46161</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48016-2024</t>
        </is>
      </c>
      <c r="B313" s="1" t="n">
        <v>45589.46909722222</v>
      </c>
      <c r="C313" s="1" t="n">
        <v>46161</v>
      </c>
      <c r="D313" t="inlineStr">
        <is>
          <t>VÄSTERNORRLANDS LÄN</t>
        </is>
      </c>
      <c r="E313" t="inlineStr">
        <is>
          <t>SOLLEFTEÅ</t>
        </is>
      </c>
      <c r="F313" t="inlineStr">
        <is>
          <t>SCA</t>
        </is>
      </c>
      <c r="G313" t="n">
        <v>2.6</v>
      </c>
      <c r="H313" t="n">
        <v>1</v>
      </c>
      <c r="I313" t="n">
        <v>0</v>
      </c>
      <c r="J313" t="n">
        <v>2</v>
      </c>
      <c r="K313" t="n">
        <v>0</v>
      </c>
      <c r="L313" t="n">
        <v>0</v>
      </c>
      <c r="M313" t="n">
        <v>0</v>
      </c>
      <c r="N313" t="n">
        <v>0</v>
      </c>
      <c r="O313" t="n">
        <v>2</v>
      </c>
      <c r="P313" t="n">
        <v>0</v>
      </c>
      <c r="Q313" t="n">
        <v>2</v>
      </c>
      <c r="R313" s="2" t="inlineStr">
        <is>
          <t>Järpe
Ullticka</t>
        </is>
      </c>
      <c r="S313">
        <f>HYPERLINK("https://klasma.github.io/Logging_2283/artfynd/A 48016-2024 artfynd.xlsx", "A 48016-2024")</f>
        <v/>
      </c>
      <c r="T313">
        <f>HYPERLINK("https://klasma.github.io/Logging_2283/kartor/A 48016-2024 karta.png", "A 48016-2024")</f>
        <v/>
      </c>
      <c r="V313">
        <f>HYPERLINK("https://klasma.github.io/Logging_2283/klagomål/A 48016-2024 FSC-klagomål.docx", "A 48016-2024")</f>
        <v/>
      </c>
      <c r="W313">
        <f>HYPERLINK("https://klasma.github.io/Logging_2283/klagomålsmail/A 48016-2024 FSC-klagomål mail.docx", "A 48016-2024")</f>
        <v/>
      </c>
      <c r="X313">
        <f>HYPERLINK("https://klasma.github.io/Logging_2283/tillsyn/A 48016-2024 tillsynsbegäran.docx", "A 48016-2024")</f>
        <v/>
      </c>
      <c r="Y313">
        <f>HYPERLINK("https://klasma.github.io/Logging_2283/tillsynsmail/A 48016-2024 tillsynsbegäran mail.docx", "A 48016-2024")</f>
        <v/>
      </c>
      <c r="Z313">
        <f>HYPERLINK("https://klasma.github.io/Logging_2283/fåglar/A 48016-2024 prioriterade fågelarter.docx", "A 48016-2024")</f>
        <v/>
      </c>
    </row>
    <row r="314" ht="15" customHeight="1">
      <c r="A314" t="inlineStr">
        <is>
          <t>A 38017-2024</t>
        </is>
      </c>
      <c r="B314" s="1" t="n">
        <v>45544</v>
      </c>
      <c r="C314" s="1" t="n">
        <v>46161</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34814-2024</t>
        </is>
      </c>
      <c r="B315" s="1" t="n">
        <v>45526.70703703703</v>
      </c>
      <c r="C315" s="1" t="n">
        <v>46161</v>
      </c>
      <c r="D315" t="inlineStr">
        <is>
          <t>VÄSTERNORRLANDS LÄN</t>
        </is>
      </c>
      <c r="E315" t="inlineStr">
        <is>
          <t>SOLLEFTEÅ</t>
        </is>
      </c>
      <c r="F315" t="inlineStr">
        <is>
          <t>SCA</t>
        </is>
      </c>
      <c r="G315" t="n">
        <v>6.9</v>
      </c>
      <c r="H315" t="n">
        <v>0</v>
      </c>
      <c r="I315" t="n">
        <v>0</v>
      </c>
      <c r="J315" t="n">
        <v>2</v>
      </c>
      <c r="K315" t="n">
        <v>0</v>
      </c>
      <c r="L315" t="n">
        <v>0</v>
      </c>
      <c r="M315" t="n">
        <v>0</v>
      </c>
      <c r="N315" t="n">
        <v>0</v>
      </c>
      <c r="O315" t="n">
        <v>2</v>
      </c>
      <c r="P315" t="n">
        <v>0</v>
      </c>
      <c r="Q315" t="n">
        <v>2</v>
      </c>
      <c r="R315" s="2" t="inlineStr">
        <is>
          <t>Kolflarnlav
Lunglav</t>
        </is>
      </c>
      <c r="S315">
        <f>HYPERLINK("https://klasma.github.io/Logging_2283/artfynd/A 34814-2024 artfynd.xlsx", "A 34814-2024")</f>
        <v/>
      </c>
      <c r="T315">
        <f>HYPERLINK("https://klasma.github.io/Logging_2283/kartor/A 34814-2024 karta.png", "A 34814-2024")</f>
        <v/>
      </c>
      <c r="V315">
        <f>HYPERLINK("https://klasma.github.io/Logging_2283/klagomål/A 34814-2024 FSC-klagomål.docx", "A 34814-2024")</f>
        <v/>
      </c>
      <c r="W315">
        <f>HYPERLINK("https://klasma.github.io/Logging_2283/klagomålsmail/A 34814-2024 FSC-klagomål mail.docx", "A 34814-2024")</f>
        <v/>
      </c>
      <c r="X315">
        <f>HYPERLINK("https://klasma.github.io/Logging_2283/tillsyn/A 34814-2024 tillsynsbegäran.docx", "A 34814-2024")</f>
        <v/>
      </c>
      <c r="Y315">
        <f>HYPERLINK("https://klasma.github.io/Logging_2283/tillsynsmail/A 34814-2024 tillsynsbegäran mail.docx", "A 34814-2024")</f>
        <v/>
      </c>
    </row>
    <row r="316" ht="15" customHeight="1">
      <c r="A316" t="inlineStr">
        <is>
          <t>A 54153-2021</t>
        </is>
      </c>
      <c r="B316" s="1" t="n">
        <v>44469</v>
      </c>
      <c r="C316" s="1" t="n">
        <v>46161</v>
      </c>
      <c r="D316" t="inlineStr">
        <is>
          <t>VÄSTERNORRLANDS LÄN</t>
        </is>
      </c>
      <c r="E316" t="inlineStr">
        <is>
          <t>SOLLEFTEÅ</t>
        </is>
      </c>
      <c r="G316" t="n">
        <v>1.4</v>
      </c>
      <c r="H316" t="n">
        <v>0</v>
      </c>
      <c r="I316" t="n">
        <v>0</v>
      </c>
      <c r="J316" t="n">
        <v>2</v>
      </c>
      <c r="K316" t="n">
        <v>0</v>
      </c>
      <c r="L316" t="n">
        <v>0</v>
      </c>
      <c r="M316" t="n">
        <v>0</v>
      </c>
      <c r="N316" t="n">
        <v>0</v>
      </c>
      <c r="O316" t="n">
        <v>2</v>
      </c>
      <c r="P316" t="n">
        <v>0</v>
      </c>
      <c r="Q316" t="n">
        <v>2</v>
      </c>
      <c r="R316" s="2" t="inlineStr">
        <is>
          <t>Garnlav
Rosenticka</t>
        </is>
      </c>
      <c r="S316">
        <f>HYPERLINK("https://klasma.github.io/Logging_2283/artfynd/A 54153-2021 artfynd.xlsx", "A 54153-2021")</f>
        <v/>
      </c>
      <c r="T316">
        <f>HYPERLINK("https://klasma.github.io/Logging_2283/kartor/A 54153-2021 karta.png", "A 54153-2021")</f>
        <v/>
      </c>
      <c r="V316">
        <f>HYPERLINK("https://klasma.github.io/Logging_2283/klagomål/A 54153-2021 FSC-klagomål.docx", "A 54153-2021")</f>
        <v/>
      </c>
      <c r="W316">
        <f>HYPERLINK("https://klasma.github.io/Logging_2283/klagomålsmail/A 54153-2021 FSC-klagomål mail.docx", "A 54153-2021")</f>
        <v/>
      </c>
      <c r="X316">
        <f>HYPERLINK("https://klasma.github.io/Logging_2283/tillsyn/A 54153-2021 tillsynsbegäran.docx", "A 54153-2021")</f>
        <v/>
      </c>
      <c r="Y316">
        <f>HYPERLINK("https://klasma.github.io/Logging_2283/tillsynsmail/A 54153-2021 tillsynsbegäran mail.docx", "A 54153-2021")</f>
        <v/>
      </c>
    </row>
    <row r="317" ht="15" customHeight="1">
      <c r="A317" t="inlineStr">
        <is>
          <t>A 20347-2025</t>
        </is>
      </c>
      <c r="B317" s="1" t="n">
        <v>45775</v>
      </c>
      <c r="C317" s="1" t="n">
        <v>46161</v>
      </c>
      <c r="D317" t="inlineStr">
        <is>
          <t>VÄSTERNORRLANDS LÄN</t>
        </is>
      </c>
      <c r="E317" t="inlineStr">
        <is>
          <t>SOLLEFTEÅ</t>
        </is>
      </c>
      <c r="G317" t="n">
        <v>8.699999999999999</v>
      </c>
      <c r="H317" t="n">
        <v>1</v>
      </c>
      <c r="I317" t="n">
        <v>1</v>
      </c>
      <c r="J317" t="n">
        <v>0</v>
      </c>
      <c r="K317" t="n">
        <v>0</v>
      </c>
      <c r="L317" t="n">
        <v>0</v>
      </c>
      <c r="M317" t="n">
        <v>0</v>
      </c>
      <c r="N317" t="n">
        <v>0</v>
      </c>
      <c r="O317" t="n">
        <v>0</v>
      </c>
      <c r="P317" t="n">
        <v>0</v>
      </c>
      <c r="Q317" t="n">
        <v>2</v>
      </c>
      <c r="R317" s="2" t="inlineStr">
        <is>
          <t>Gräsull
Fläcknycklar</t>
        </is>
      </c>
      <c r="S317">
        <f>HYPERLINK("https://klasma.github.io/Logging_2283/artfynd/A 20347-2025 artfynd.xlsx", "A 20347-2025")</f>
        <v/>
      </c>
      <c r="T317">
        <f>HYPERLINK("https://klasma.github.io/Logging_2283/kartor/A 20347-2025 karta.png", "A 20347-2025")</f>
        <v/>
      </c>
      <c r="V317">
        <f>HYPERLINK("https://klasma.github.io/Logging_2283/klagomål/A 20347-2025 FSC-klagomål.docx", "A 20347-2025")</f>
        <v/>
      </c>
      <c r="W317">
        <f>HYPERLINK("https://klasma.github.io/Logging_2283/klagomålsmail/A 20347-2025 FSC-klagomål mail.docx", "A 20347-2025")</f>
        <v/>
      </c>
      <c r="X317">
        <f>HYPERLINK("https://klasma.github.io/Logging_2283/tillsyn/A 20347-2025 tillsynsbegäran.docx", "A 20347-2025")</f>
        <v/>
      </c>
      <c r="Y317">
        <f>HYPERLINK("https://klasma.github.io/Logging_2283/tillsynsmail/A 20347-2025 tillsynsbegäran mail.docx", "A 20347-2025")</f>
        <v/>
      </c>
    </row>
    <row r="318" ht="15" customHeight="1">
      <c r="A318" t="inlineStr">
        <is>
          <t>A 5111-2026</t>
        </is>
      </c>
      <c r="B318" s="1" t="n">
        <v>46049.57377314815</v>
      </c>
      <c r="C318" s="1" t="n">
        <v>46161</v>
      </c>
      <c r="D318" t="inlineStr">
        <is>
          <t>VÄSTERNORRLANDS LÄN</t>
        </is>
      </c>
      <c r="E318" t="inlineStr">
        <is>
          <t>SOLLEFTEÅ</t>
        </is>
      </c>
      <c r="F318" t="inlineStr">
        <is>
          <t>SCA</t>
        </is>
      </c>
      <c r="G318" t="n">
        <v>4.4</v>
      </c>
      <c r="H318" t="n">
        <v>0</v>
      </c>
      <c r="I318" t="n">
        <v>0</v>
      </c>
      <c r="J318" t="n">
        <v>2</v>
      </c>
      <c r="K318" t="n">
        <v>0</v>
      </c>
      <c r="L318" t="n">
        <v>0</v>
      </c>
      <c r="M318" t="n">
        <v>0</v>
      </c>
      <c r="N318" t="n">
        <v>0</v>
      </c>
      <c r="O318" t="n">
        <v>2</v>
      </c>
      <c r="P318" t="n">
        <v>0</v>
      </c>
      <c r="Q318" t="n">
        <v>2</v>
      </c>
      <c r="R318" s="2" t="inlineStr">
        <is>
          <t>Lunglav
Ullticka</t>
        </is>
      </c>
      <c r="S318">
        <f>HYPERLINK("https://klasma.github.io/Logging_2283/artfynd/A 5111-2026 artfynd.xlsx", "A 5111-2026")</f>
        <v/>
      </c>
      <c r="T318">
        <f>HYPERLINK("https://klasma.github.io/Logging_2283/kartor/A 5111-2026 karta.png", "A 5111-2026")</f>
        <v/>
      </c>
      <c r="V318">
        <f>HYPERLINK("https://klasma.github.io/Logging_2283/klagomål/A 5111-2026 FSC-klagomål.docx", "A 5111-2026")</f>
        <v/>
      </c>
      <c r="W318">
        <f>HYPERLINK("https://klasma.github.io/Logging_2283/klagomålsmail/A 5111-2026 FSC-klagomål mail.docx", "A 5111-2026")</f>
        <v/>
      </c>
      <c r="X318">
        <f>HYPERLINK("https://klasma.github.io/Logging_2283/tillsyn/A 5111-2026 tillsynsbegäran.docx", "A 5111-2026")</f>
        <v/>
      </c>
      <c r="Y318">
        <f>HYPERLINK("https://klasma.github.io/Logging_2283/tillsynsmail/A 5111-2026 tillsynsbegäran mail.docx", "A 5111-2026")</f>
        <v/>
      </c>
    </row>
    <row r="319" ht="15" customHeight="1">
      <c r="A319" t="inlineStr">
        <is>
          <t>A 20329-2025</t>
        </is>
      </c>
      <c r="B319" s="1" t="n">
        <v>45775</v>
      </c>
      <c r="C319" s="1" t="n">
        <v>46161</v>
      </c>
      <c r="D319" t="inlineStr">
        <is>
          <t>VÄSTERNORRLANDS LÄN</t>
        </is>
      </c>
      <c r="E319" t="inlineStr">
        <is>
          <t>SOLLEFTEÅ</t>
        </is>
      </c>
      <c r="G319" t="n">
        <v>9.5</v>
      </c>
      <c r="H319" t="n">
        <v>2</v>
      </c>
      <c r="I319" t="n">
        <v>1</v>
      </c>
      <c r="J319" t="n">
        <v>0</v>
      </c>
      <c r="K319" t="n">
        <v>0</v>
      </c>
      <c r="L319" t="n">
        <v>0</v>
      </c>
      <c r="M319" t="n">
        <v>0</v>
      </c>
      <c r="N319" t="n">
        <v>0</v>
      </c>
      <c r="O319" t="n">
        <v>0</v>
      </c>
      <c r="P319" t="n">
        <v>0</v>
      </c>
      <c r="Q319" t="n">
        <v>2</v>
      </c>
      <c r="R319" s="2" t="inlineStr">
        <is>
          <t>Tvåblad
Fläcknycklar</t>
        </is>
      </c>
      <c r="S319">
        <f>HYPERLINK("https://klasma.github.io/Logging_2283/artfynd/A 20329-2025 artfynd.xlsx", "A 20329-2025")</f>
        <v/>
      </c>
      <c r="T319">
        <f>HYPERLINK("https://klasma.github.io/Logging_2283/kartor/A 20329-2025 karta.png", "A 20329-2025")</f>
        <v/>
      </c>
      <c r="V319">
        <f>HYPERLINK("https://klasma.github.io/Logging_2283/klagomål/A 20329-2025 FSC-klagomål.docx", "A 20329-2025")</f>
        <v/>
      </c>
      <c r="W319">
        <f>HYPERLINK("https://klasma.github.io/Logging_2283/klagomålsmail/A 20329-2025 FSC-klagomål mail.docx", "A 20329-2025")</f>
        <v/>
      </c>
      <c r="X319">
        <f>HYPERLINK("https://klasma.github.io/Logging_2283/tillsyn/A 20329-2025 tillsynsbegäran.docx", "A 20329-2025")</f>
        <v/>
      </c>
      <c r="Y319">
        <f>HYPERLINK("https://klasma.github.io/Logging_2283/tillsynsmail/A 20329-2025 tillsynsbegäran mail.docx", "A 20329-2025")</f>
        <v/>
      </c>
    </row>
    <row r="320" ht="15" customHeight="1">
      <c r="A320" t="inlineStr">
        <is>
          <t>A 13059-2022</t>
        </is>
      </c>
      <c r="B320" s="1" t="n">
        <v>44643</v>
      </c>
      <c r="C320" s="1" t="n">
        <v>46161</v>
      </c>
      <c r="D320" t="inlineStr">
        <is>
          <t>VÄSTERNORRLANDS LÄN</t>
        </is>
      </c>
      <c r="E320" t="inlineStr">
        <is>
          <t>SOLLEFTEÅ</t>
        </is>
      </c>
      <c r="G320" t="n">
        <v>9.9</v>
      </c>
      <c r="H320" t="n">
        <v>0</v>
      </c>
      <c r="I320" t="n">
        <v>0</v>
      </c>
      <c r="J320" t="n">
        <v>2</v>
      </c>
      <c r="K320" t="n">
        <v>0</v>
      </c>
      <c r="L320" t="n">
        <v>0</v>
      </c>
      <c r="M320" t="n">
        <v>0</v>
      </c>
      <c r="N320" t="n">
        <v>0</v>
      </c>
      <c r="O320" t="n">
        <v>2</v>
      </c>
      <c r="P320" t="n">
        <v>0</v>
      </c>
      <c r="Q320" t="n">
        <v>2</v>
      </c>
      <c r="R320" s="2" t="inlineStr">
        <is>
          <t>Garnlav
Ullticka</t>
        </is>
      </c>
      <c r="S320">
        <f>HYPERLINK("https://klasma.github.io/Logging_2283/artfynd/A 13059-2022 artfynd.xlsx", "A 13059-2022")</f>
        <v/>
      </c>
      <c r="T320">
        <f>HYPERLINK("https://klasma.github.io/Logging_2283/kartor/A 13059-2022 karta.png", "A 13059-2022")</f>
        <v/>
      </c>
      <c r="V320">
        <f>HYPERLINK("https://klasma.github.io/Logging_2283/klagomål/A 13059-2022 FSC-klagomål.docx", "A 13059-2022")</f>
        <v/>
      </c>
      <c r="W320">
        <f>HYPERLINK("https://klasma.github.io/Logging_2283/klagomålsmail/A 13059-2022 FSC-klagomål mail.docx", "A 13059-2022")</f>
        <v/>
      </c>
      <c r="X320">
        <f>HYPERLINK("https://klasma.github.io/Logging_2283/tillsyn/A 13059-2022 tillsynsbegäran.docx", "A 13059-2022")</f>
        <v/>
      </c>
      <c r="Y320">
        <f>HYPERLINK("https://klasma.github.io/Logging_2283/tillsynsmail/A 13059-2022 tillsynsbegäran mail.docx", "A 13059-2022")</f>
        <v/>
      </c>
    </row>
    <row r="321" ht="15" customHeight="1">
      <c r="A321" t="inlineStr">
        <is>
          <t>A 9458-2026</t>
        </is>
      </c>
      <c r="B321" s="1" t="n">
        <v>46071.49013888889</v>
      </c>
      <c r="C321" s="1" t="n">
        <v>46161</v>
      </c>
      <c r="D321" t="inlineStr">
        <is>
          <t>VÄSTERNORRLANDS LÄN</t>
        </is>
      </c>
      <c r="E321" t="inlineStr">
        <is>
          <t>SOLLEFTEÅ</t>
        </is>
      </c>
      <c r="G321" t="n">
        <v>3.4</v>
      </c>
      <c r="H321" t="n">
        <v>2</v>
      </c>
      <c r="I321" t="n">
        <v>0</v>
      </c>
      <c r="J321" t="n">
        <v>1</v>
      </c>
      <c r="K321" t="n">
        <v>0</v>
      </c>
      <c r="L321" t="n">
        <v>0</v>
      </c>
      <c r="M321" t="n">
        <v>0</v>
      </c>
      <c r="N321" t="n">
        <v>0</v>
      </c>
      <c r="O321" t="n">
        <v>1</v>
      </c>
      <c r="P321" t="n">
        <v>0</v>
      </c>
      <c r="Q321" t="n">
        <v>2</v>
      </c>
      <c r="R321" s="2" t="inlineStr">
        <is>
          <t>Tretåig hackspett
Kungsfågel</t>
        </is>
      </c>
      <c r="S321">
        <f>HYPERLINK("https://klasma.github.io/Logging_2283/artfynd/A 9458-2026 artfynd.xlsx", "A 9458-2026")</f>
        <v/>
      </c>
      <c r="T321">
        <f>HYPERLINK("https://klasma.github.io/Logging_2283/kartor/A 9458-2026 karta.png", "A 9458-2026")</f>
        <v/>
      </c>
      <c r="U321">
        <f>HYPERLINK("https://klasma.github.io/Logging_2283/knärot/A 9458-2026 karta knärot.png", "A 9458-2026")</f>
        <v/>
      </c>
      <c r="V321">
        <f>HYPERLINK("https://klasma.github.io/Logging_2283/klagomål/A 9458-2026 FSC-klagomål.docx", "A 9458-2026")</f>
        <v/>
      </c>
      <c r="W321">
        <f>HYPERLINK("https://klasma.github.io/Logging_2283/klagomålsmail/A 9458-2026 FSC-klagomål mail.docx", "A 9458-2026")</f>
        <v/>
      </c>
      <c r="X321">
        <f>HYPERLINK("https://klasma.github.io/Logging_2283/tillsyn/A 9458-2026 tillsynsbegäran.docx", "A 9458-2026")</f>
        <v/>
      </c>
      <c r="Y321">
        <f>HYPERLINK("https://klasma.github.io/Logging_2283/tillsynsmail/A 9458-2026 tillsynsbegäran mail.docx", "A 9458-2026")</f>
        <v/>
      </c>
      <c r="Z321">
        <f>HYPERLINK("https://klasma.github.io/Logging_2283/fåglar/A 9458-2026 prioriterade fågelarter.docx", "A 9458-2026")</f>
        <v/>
      </c>
    </row>
    <row r="322" ht="15" customHeight="1">
      <c r="A322" t="inlineStr">
        <is>
          <t>A 10792-2026</t>
        </is>
      </c>
      <c r="B322" s="1" t="n">
        <v>46078.58736111111</v>
      </c>
      <c r="C322" s="1" t="n">
        <v>46161</v>
      </c>
      <c r="D322" t="inlineStr">
        <is>
          <t>VÄSTERNORRLANDS LÄN</t>
        </is>
      </c>
      <c r="E322" t="inlineStr">
        <is>
          <t>SOLLEFTEÅ</t>
        </is>
      </c>
      <c r="G322" t="n">
        <v>2.4</v>
      </c>
      <c r="H322" t="n">
        <v>0</v>
      </c>
      <c r="I322" t="n">
        <v>0</v>
      </c>
      <c r="J322" t="n">
        <v>1</v>
      </c>
      <c r="K322" t="n">
        <v>1</v>
      </c>
      <c r="L322" t="n">
        <v>0</v>
      </c>
      <c r="M322" t="n">
        <v>0</v>
      </c>
      <c r="N322" t="n">
        <v>0</v>
      </c>
      <c r="O322" t="n">
        <v>2</v>
      </c>
      <c r="P322" t="n">
        <v>1</v>
      </c>
      <c r="Q322" t="n">
        <v>2</v>
      </c>
      <c r="R322" s="2" t="inlineStr">
        <is>
          <t>Mindre barkplattbagge
Garnlav</t>
        </is>
      </c>
      <c r="S322">
        <f>HYPERLINK("https://klasma.github.io/Logging_2283/artfynd/A 10792-2026 artfynd.xlsx", "A 10792-2026")</f>
        <v/>
      </c>
      <c r="T322">
        <f>HYPERLINK("https://klasma.github.io/Logging_2283/kartor/A 10792-2026 karta.png", "A 10792-2026")</f>
        <v/>
      </c>
      <c r="V322">
        <f>HYPERLINK("https://klasma.github.io/Logging_2283/klagomål/A 10792-2026 FSC-klagomål.docx", "A 10792-2026")</f>
        <v/>
      </c>
      <c r="W322">
        <f>HYPERLINK("https://klasma.github.io/Logging_2283/klagomålsmail/A 10792-2026 FSC-klagomål mail.docx", "A 10792-2026")</f>
        <v/>
      </c>
      <c r="X322">
        <f>HYPERLINK("https://klasma.github.io/Logging_2283/tillsyn/A 10792-2026 tillsynsbegäran.docx", "A 10792-2026")</f>
        <v/>
      </c>
      <c r="Y322">
        <f>HYPERLINK("https://klasma.github.io/Logging_2283/tillsynsmail/A 10792-2026 tillsynsbegäran mail.docx", "A 10792-2026")</f>
        <v/>
      </c>
    </row>
    <row r="323" ht="15" customHeight="1">
      <c r="A323" t="inlineStr">
        <is>
          <t>A 2515-2024</t>
        </is>
      </c>
      <c r="B323" s="1" t="n">
        <v>45313</v>
      </c>
      <c r="C323" s="1" t="n">
        <v>46161</v>
      </c>
      <c r="D323" t="inlineStr">
        <is>
          <t>VÄSTERNORRLANDS LÄN</t>
        </is>
      </c>
      <c r="E323" t="inlineStr">
        <is>
          <t>SOLLEFTEÅ</t>
        </is>
      </c>
      <c r="F323" t="inlineStr">
        <is>
          <t>Kommuner</t>
        </is>
      </c>
      <c r="G323" t="n">
        <v>8.699999999999999</v>
      </c>
      <c r="H323" t="n">
        <v>1</v>
      </c>
      <c r="I323" t="n">
        <v>0</v>
      </c>
      <c r="J323" t="n">
        <v>2</v>
      </c>
      <c r="K323" t="n">
        <v>0</v>
      </c>
      <c r="L323" t="n">
        <v>0</v>
      </c>
      <c r="M323" t="n">
        <v>0</v>
      </c>
      <c r="N323" t="n">
        <v>0</v>
      </c>
      <c r="O323" t="n">
        <v>2</v>
      </c>
      <c r="P323" t="n">
        <v>0</v>
      </c>
      <c r="Q323" t="n">
        <v>2</v>
      </c>
      <c r="R323" s="2" t="inlineStr">
        <is>
          <t>Granticka
Talltita</t>
        </is>
      </c>
      <c r="S323">
        <f>HYPERLINK("https://klasma.github.io/Logging_2283/artfynd/A 2515-2024 artfynd.xlsx", "A 2515-2024")</f>
        <v/>
      </c>
      <c r="T323">
        <f>HYPERLINK("https://klasma.github.io/Logging_2283/kartor/A 2515-2024 karta.png", "A 2515-2024")</f>
        <v/>
      </c>
      <c r="V323">
        <f>HYPERLINK("https://klasma.github.io/Logging_2283/klagomål/A 2515-2024 FSC-klagomål.docx", "A 2515-2024")</f>
        <v/>
      </c>
      <c r="W323">
        <f>HYPERLINK("https://klasma.github.io/Logging_2283/klagomålsmail/A 2515-2024 FSC-klagomål mail.docx", "A 2515-2024")</f>
        <v/>
      </c>
      <c r="X323">
        <f>HYPERLINK("https://klasma.github.io/Logging_2283/tillsyn/A 2515-2024 tillsynsbegäran.docx", "A 2515-2024")</f>
        <v/>
      </c>
      <c r="Y323">
        <f>HYPERLINK("https://klasma.github.io/Logging_2283/tillsynsmail/A 2515-2024 tillsynsbegäran mail.docx", "A 2515-2024")</f>
        <v/>
      </c>
      <c r="Z323">
        <f>HYPERLINK("https://klasma.github.io/Logging_2283/fåglar/A 2515-2024 prioriterade fågelarter.docx", "A 2515-2024")</f>
        <v/>
      </c>
    </row>
    <row r="324" ht="15" customHeight="1">
      <c r="A324" t="inlineStr">
        <is>
          <t>A 11741-2026</t>
        </is>
      </c>
      <c r="B324" s="1" t="n">
        <v>46084</v>
      </c>
      <c r="C324" s="1" t="n">
        <v>46161</v>
      </c>
      <c r="D324" t="inlineStr">
        <is>
          <t>VÄSTERNORRLANDS LÄN</t>
        </is>
      </c>
      <c r="E324" t="inlineStr">
        <is>
          <t>SOLLEFTEÅ</t>
        </is>
      </c>
      <c r="G324" t="n">
        <v>8</v>
      </c>
      <c r="H324" t="n">
        <v>0</v>
      </c>
      <c r="I324" t="n">
        <v>1</v>
      </c>
      <c r="J324" t="n">
        <v>1</v>
      </c>
      <c r="K324" t="n">
        <v>0</v>
      </c>
      <c r="L324" t="n">
        <v>0</v>
      </c>
      <c r="M324" t="n">
        <v>0</v>
      </c>
      <c r="N324" t="n">
        <v>0</v>
      </c>
      <c r="O324" t="n">
        <v>1</v>
      </c>
      <c r="P324" t="n">
        <v>0</v>
      </c>
      <c r="Q324" t="n">
        <v>2</v>
      </c>
      <c r="R324" s="2" t="inlineStr">
        <is>
          <t>Svart taggsvamp agg.
Dropptaggsvamp</t>
        </is>
      </c>
      <c r="S324">
        <f>HYPERLINK("https://klasma.github.io/Logging_2283/artfynd/A 11741-2026 artfynd.xlsx", "A 11741-2026")</f>
        <v/>
      </c>
      <c r="T324">
        <f>HYPERLINK("https://klasma.github.io/Logging_2283/kartor/A 11741-2026 karta.png", "A 11741-2026")</f>
        <v/>
      </c>
      <c r="V324">
        <f>HYPERLINK("https://klasma.github.io/Logging_2283/klagomål/A 11741-2026 FSC-klagomål.docx", "A 11741-2026")</f>
        <v/>
      </c>
      <c r="W324">
        <f>HYPERLINK("https://klasma.github.io/Logging_2283/klagomålsmail/A 11741-2026 FSC-klagomål mail.docx", "A 11741-2026")</f>
        <v/>
      </c>
      <c r="X324">
        <f>HYPERLINK("https://klasma.github.io/Logging_2283/tillsyn/A 11741-2026 tillsynsbegäran.docx", "A 11741-2026")</f>
        <v/>
      </c>
      <c r="Y324">
        <f>HYPERLINK("https://klasma.github.io/Logging_2283/tillsynsmail/A 11741-2026 tillsynsbegäran mail.docx", "A 11741-2026")</f>
        <v/>
      </c>
    </row>
    <row r="325" ht="15" customHeight="1">
      <c r="A325" t="inlineStr">
        <is>
          <t>A 59997-2024</t>
        </is>
      </c>
      <c r="B325" s="1" t="n">
        <v>45642.40715277778</v>
      </c>
      <c r="C325" s="1" t="n">
        <v>46161</v>
      </c>
      <c r="D325" t="inlineStr">
        <is>
          <t>VÄSTERNORRLANDS LÄN</t>
        </is>
      </c>
      <c r="E325" t="inlineStr">
        <is>
          <t>SOLLEFTEÅ</t>
        </is>
      </c>
      <c r="F325" t="inlineStr">
        <is>
          <t>SCA</t>
        </is>
      </c>
      <c r="G325" t="n">
        <v>2.8</v>
      </c>
      <c r="H325" t="n">
        <v>1</v>
      </c>
      <c r="I325" t="n">
        <v>0</v>
      </c>
      <c r="J325" t="n">
        <v>1</v>
      </c>
      <c r="K325" t="n">
        <v>1</v>
      </c>
      <c r="L325" t="n">
        <v>0</v>
      </c>
      <c r="M325" t="n">
        <v>0</v>
      </c>
      <c r="N325" t="n">
        <v>0</v>
      </c>
      <c r="O325" t="n">
        <v>2</v>
      </c>
      <c r="P325" t="n">
        <v>1</v>
      </c>
      <c r="Q325" t="n">
        <v>2</v>
      </c>
      <c r="R325" s="2" t="inlineStr">
        <is>
          <t>Knärot
Garnlav</t>
        </is>
      </c>
      <c r="S325">
        <f>HYPERLINK("https://klasma.github.io/Logging_2283/artfynd/A 59997-2024 artfynd.xlsx", "A 59997-2024")</f>
        <v/>
      </c>
      <c r="T325">
        <f>HYPERLINK("https://klasma.github.io/Logging_2283/kartor/A 59997-2024 karta.png", "A 59997-2024")</f>
        <v/>
      </c>
      <c r="U325">
        <f>HYPERLINK("https://klasma.github.io/Logging_2283/knärot/A 59997-2024 karta knärot.png", "A 59997-2024")</f>
        <v/>
      </c>
      <c r="V325">
        <f>HYPERLINK("https://klasma.github.io/Logging_2283/klagomål/A 59997-2024 FSC-klagomål.docx", "A 59997-2024")</f>
        <v/>
      </c>
      <c r="W325">
        <f>HYPERLINK("https://klasma.github.io/Logging_2283/klagomålsmail/A 59997-2024 FSC-klagomål mail.docx", "A 59997-2024")</f>
        <v/>
      </c>
      <c r="X325">
        <f>HYPERLINK("https://klasma.github.io/Logging_2283/tillsyn/A 59997-2024 tillsynsbegäran.docx", "A 59997-2024")</f>
        <v/>
      </c>
      <c r="Y325">
        <f>HYPERLINK("https://klasma.github.io/Logging_2283/tillsynsmail/A 59997-2024 tillsynsbegäran mail.docx", "A 59997-2024")</f>
        <v/>
      </c>
    </row>
    <row r="326" ht="15" customHeight="1">
      <c r="A326" t="inlineStr">
        <is>
          <t>A 12632-2025</t>
        </is>
      </c>
      <c r="B326" s="1" t="n">
        <v>45733.37693287037</v>
      </c>
      <c r="C326" s="1" t="n">
        <v>46161</v>
      </c>
      <c r="D326" t="inlineStr">
        <is>
          <t>VÄSTERNORRLANDS LÄN</t>
        </is>
      </c>
      <c r="E326" t="inlineStr">
        <is>
          <t>SOLLEFTEÅ</t>
        </is>
      </c>
      <c r="G326" t="n">
        <v>2.3</v>
      </c>
      <c r="H326" t="n">
        <v>1</v>
      </c>
      <c r="I326" t="n">
        <v>0</v>
      </c>
      <c r="J326" t="n">
        <v>1</v>
      </c>
      <c r="K326" t="n">
        <v>0</v>
      </c>
      <c r="L326" t="n">
        <v>0</v>
      </c>
      <c r="M326" t="n">
        <v>0</v>
      </c>
      <c r="N326" t="n">
        <v>0</v>
      </c>
      <c r="O326" t="n">
        <v>1</v>
      </c>
      <c r="P326" t="n">
        <v>0</v>
      </c>
      <c r="Q326" t="n">
        <v>2</v>
      </c>
      <c r="R326" s="2" t="inlineStr">
        <is>
          <t>Garnlav
Revlummer</t>
        </is>
      </c>
      <c r="S326">
        <f>HYPERLINK("https://klasma.github.io/Logging_2283/artfynd/A 12632-2025 artfynd.xlsx", "A 12632-2025")</f>
        <v/>
      </c>
      <c r="T326">
        <f>HYPERLINK("https://klasma.github.io/Logging_2283/kartor/A 12632-2025 karta.png", "A 12632-2025")</f>
        <v/>
      </c>
      <c r="V326">
        <f>HYPERLINK("https://klasma.github.io/Logging_2283/klagomål/A 12632-2025 FSC-klagomål.docx", "A 12632-2025")</f>
        <v/>
      </c>
      <c r="W326">
        <f>HYPERLINK("https://klasma.github.io/Logging_2283/klagomålsmail/A 12632-2025 FSC-klagomål mail.docx", "A 12632-2025")</f>
        <v/>
      </c>
      <c r="X326">
        <f>HYPERLINK("https://klasma.github.io/Logging_2283/tillsyn/A 12632-2025 tillsynsbegäran.docx", "A 12632-2025")</f>
        <v/>
      </c>
      <c r="Y326">
        <f>HYPERLINK("https://klasma.github.io/Logging_2283/tillsynsmail/A 12632-2025 tillsynsbegäran mail.docx", "A 12632-2025")</f>
        <v/>
      </c>
    </row>
    <row r="327" ht="15" customHeight="1">
      <c r="A327" t="inlineStr">
        <is>
          <t>A 45083-2022</t>
        </is>
      </c>
      <c r="B327" s="1" t="n">
        <v>44841</v>
      </c>
      <c r="C327" s="1" t="n">
        <v>46161</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45083-2022 artfynd.xlsx", "A 45083-2022")</f>
        <v/>
      </c>
      <c r="T327">
        <f>HYPERLINK("https://klasma.github.io/Logging_2283/kartor/A 45083-2022 karta.png", "A 45083-2022")</f>
        <v/>
      </c>
      <c r="V327">
        <f>HYPERLINK("https://klasma.github.io/Logging_2283/klagomål/A 45083-2022 FSC-klagomål.docx", "A 45083-2022")</f>
        <v/>
      </c>
      <c r="W327">
        <f>HYPERLINK("https://klasma.github.io/Logging_2283/klagomålsmail/A 45083-2022 FSC-klagomål mail.docx", "A 45083-2022")</f>
        <v/>
      </c>
      <c r="X327">
        <f>HYPERLINK("https://klasma.github.io/Logging_2283/tillsyn/A 45083-2022 tillsynsbegäran.docx", "A 45083-2022")</f>
        <v/>
      </c>
      <c r="Y327">
        <f>HYPERLINK("https://klasma.github.io/Logging_2283/tillsynsmail/A 45083-2022 tillsynsbegäran mail.docx", "A 45083-2022")</f>
        <v/>
      </c>
      <c r="Z327">
        <f>HYPERLINK("https://klasma.github.io/Logging_2283/fåglar/A 45083-2022 prioriterade fågelarter.docx", "A 45083-2022")</f>
        <v/>
      </c>
    </row>
    <row r="328" ht="15" customHeight="1">
      <c r="A328" t="inlineStr">
        <is>
          <t>A 22645-2026</t>
        </is>
      </c>
      <c r="B328" s="1" t="n">
        <v>46155.65704861111</v>
      </c>
      <c r="C328" s="1" t="n">
        <v>46161</v>
      </c>
      <c r="D328" t="inlineStr">
        <is>
          <t>VÄSTERNORRLANDS LÄN</t>
        </is>
      </c>
      <c r="E328" t="inlineStr">
        <is>
          <t>SOLLEFTEÅ</t>
        </is>
      </c>
      <c r="F328" t="inlineStr">
        <is>
          <t>SCA</t>
        </is>
      </c>
      <c r="G328" t="n">
        <v>3.8</v>
      </c>
      <c r="H328" t="n">
        <v>2</v>
      </c>
      <c r="I328" t="n">
        <v>0</v>
      </c>
      <c r="J328" t="n">
        <v>1</v>
      </c>
      <c r="K328" t="n">
        <v>0</v>
      </c>
      <c r="L328" t="n">
        <v>0</v>
      </c>
      <c r="M328" t="n">
        <v>0</v>
      </c>
      <c r="N328" t="n">
        <v>0</v>
      </c>
      <c r="O328" t="n">
        <v>1</v>
      </c>
      <c r="P328" t="n">
        <v>0</v>
      </c>
      <c r="Q328" t="n">
        <v>2</v>
      </c>
      <c r="R328" s="2" t="inlineStr">
        <is>
          <t>Duvhök
Orre</t>
        </is>
      </c>
      <c r="S328">
        <f>HYPERLINK("https://klasma.github.io/Logging_2283/artfynd/A 22645-2026 artfynd.xlsx", "A 22645-2026")</f>
        <v/>
      </c>
      <c r="T328">
        <f>HYPERLINK("https://klasma.github.io/Logging_2283/kartor/A 22645-2026 karta.png", "A 22645-2026")</f>
        <v/>
      </c>
      <c r="V328">
        <f>HYPERLINK("https://klasma.github.io/Logging_2283/klagomål/A 22645-2026 FSC-klagomål.docx", "A 22645-2026")</f>
        <v/>
      </c>
      <c r="W328">
        <f>HYPERLINK("https://klasma.github.io/Logging_2283/klagomålsmail/A 22645-2026 FSC-klagomål mail.docx", "A 22645-2026")</f>
        <v/>
      </c>
      <c r="X328">
        <f>HYPERLINK("https://klasma.github.io/Logging_2283/tillsyn/A 22645-2026 tillsynsbegäran.docx", "A 22645-2026")</f>
        <v/>
      </c>
      <c r="Y328">
        <f>HYPERLINK("https://klasma.github.io/Logging_2283/tillsynsmail/A 22645-2026 tillsynsbegäran mail.docx", "A 22645-2026")</f>
        <v/>
      </c>
      <c r="Z328">
        <f>HYPERLINK("https://klasma.github.io/Logging_2283/fåglar/A 22645-2026 prioriterade fågelarter.docx", "A 22645-2026")</f>
        <v/>
      </c>
    </row>
    <row r="329" ht="15" customHeight="1">
      <c r="A329" t="inlineStr">
        <is>
          <t>A 18075-2026</t>
        </is>
      </c>
      <c r="B329" s="1" t="n">
        <v>46125</v>
      </c>
      <c r="C329" s="1" t="n">
        <v>46161</v>
      </c>
      <c r="D329" t="inlineStr">
        <is>
          <t>VÄSTERNORRLANDS LÄN</t>
        </is>
      </c>
      <c r="E329" t="inlineStr">
        <is>
          <t>SOLLEFTEÅ</t>
        </is>
      </c>
      <c r="G329" t="n">
        <v>7.1</v>
      </c>
      <c r="H329" t="n">
        <v>0</v>
      </c>
      <c r="I329" t="n">
        <v>0</v>
      </c>
      <c r="J329" t="n">
        <v>1</v>
      </c>
      <c r="K329" t="n">
        <v>1</v>
      </c>
      <c r="L329" t="n">
        <v>0</v>
      </c>
      <c r="M329" t="n">
        <v>0</v>
      </c>
      <c r="N329" t="n">
        <v>0</v>
      </c>
      <c r="O329" t="n">
        <v>2</v>
      </c>
      <c r="P329" t="n">
        <v>1</v>
      </c>
      <c r="Q329" t="n">
        <v>2</v>
      </c>
      <c r="R329" s="2" t="inlineStr">
        <is>
          <t>Rynkskinn
Rosenticka</t>
        </is>
      </c>
      <c r="S329">
        <f>HYPERLINK("https://klasma.github.io/Logging_2283/artfynd/A 18075-2026 artfynd.xlsx", "A 18075-2026")</f>
        <v/>
      </c>
      <c r="T329">
        <f>HYPERLINK("https://klasma.github.io/Logging_2283/kartor/A 18075-2026 karta.png", "A 18075-2026")</f>
        <v/>
      </c>
      <c r="V329">
        <f>HYPERLINK("https://klasma.github.io/Logging_2283/klagomål/A 18075-2026 FSC-klagomål.docx", "A 18075-2026")</f>
        <v/>
      </c>
      <c r="W329">
        <f>HYPERLINK("https://klasma.github.io/Logging_2283/klagomålsmail/A 18075-2026 FSC-klagomål mail.docx", "A 18075-2026")</f>
        <v/>
      </c>
      <c r="X329">
        <f>HYPERLINK("https://klasma.github.io/Logging_2283/tillsyn/A 18075-2026 tillsynsbegäran.docx", "A 18075-2026")</f>
        <v/>
      </c>
      <c r="Y329">
        <f>HYPERLINK("https://klasma.github.io/Logging_2283/tillsynsmail/A 18075-2026 tillsynsbegäran mail.docx", "A 18075-2026")</f>
        <v/>
      </c>
    </row>
    <row r="330" ht="15" customHeight="1">
      <c r="A330" t="inlineStr">
        <is>
          <t>A 53949-2023</t>
        </is>
      </c>
      <c r="B330" s="1" t="n">
        <v>45224</v>
      </c>
      <c r="C330" s="1" t="n">
        <v>46161</v>
      </c>
      <c r="D330" t="inlineStr">
        <is>
          <t>VÄSTERNORRLANDS LÄN</t>
        </is>
      </c>
      <c r="E330" t="inlineStr">
        <is>
          <t>SOLLEFTEÅ</t>
        </is>
      </c>
      <c r="G330" t="n">
        <v>4</v>
      </c>
      <c r="H330" t="n">
        <v>1</v>
      </c>
      <c r="I330" t="n">
        <v>0</v>
      </c>
      <c r="J330" t="n">
        <v>1</v>
      </c>
      <c r="K330" t="n">
        <v>0</v>
      </c>
      <c r="L330" t="n">
        <v>0</v>
      </c>
      <c r="M330" t="n">
        <v>0</v>
      </c>
      <c r="N330" t="n">
        <v>0</v>
      </c>
      <c r="O330" t="n">
        <v>1</v>
      </c>
      <c r="P330" t="n">
        <v>0</v>
      </c>
      <c r="Q330" t="n">
        <v>2</v>
      </c>
      <c r="R330" s="2" t="inlineStr">
        <is>
          <t>Granticka
Fläcknycklar</t>
        </is>
      </c>
      <c r="S330">
        <f>HYPERLINK("https://klasma.github.io/Logging_2283/artfynd/A 53949-2023 artfynd.xlsx", "A 53949-2023")</f>
        <v/>
      </c>
      <c r="T330">
        <f>HYPERLINK("https://klasma.github.io/Logging_2283/kartor/A 53949-2023 karta.png", "A 53949-2023")</f>
        <v/>
      </c>
      <c r="V330">
        <f>HYPERLINK("https://klasma.github.io/Logging_2283/klagomål/A 53949-2023 FSC-klagomål.docx", "A 53949-2023")</f>
        <v/>
      </c>
      <c r="W330">
        <f>HYPERLINK("https://klasma.github.io/Logging_2283/klagomålsmail/A 53949-2023 FSC-klagomål mail.docx", "A 53949-2023")</f>
        <v/>
      </c>
      <c r="X330">
        <f>HYPERLINK("https://klasma.github.io/Logging_2283/tillsyn/A 53949-2023 tillsynsbegäran.docx", "A 53949-2023")</f>
        <v/>
      </c>
      <c r="Y330">
        <f>HYPERLINK("https://klasma.github.io/Logging_2283/tillsynsmail/A 53949-2023 tillsynsbegäran mail.docx", "A 53949-2023")</f>
        <v/>
      </c>
    </row>
    <row r="331" ht="15" customHeight="1">
      <c r="A331" t="inlineStr">
        <is>
          <t>A 59020-2024</t>
        </is>
      </c>
      <c r="B331" s="1" t="n">
        <v>45636.67765046296</v>
      </c>
      <c r="C331" s="1" t="n">
        <v>46161</v>
      </c>
      <c r="D331" t="inlineStr">
        <is>
          <t>VÄSTERNORRLANDS LÄN</t>
        </is>
      </c>
      <c r="E331" t="inlineStr">
        <is>
          <t>SOLLEFTEÅ</t>
        </is>
      </c>
      <c r="F331" t="inlineStr">
        <is>
          <t>SCA</t>
        </is>
      </c>
      <c r="G331" t="n">
        <v>9.300000000000001</v>
      </c>
      <c r="H331" t="n">
        <v>0</v>
      </c>
      <c r="I331" t="n">
        <v>1</v>
      </c>
      <c r="J331" t="n">
        <v>1</v>
      </c>
      <c r="K331" t="n">
        <v>0</v>
      </c>
      <c r="L331" t="n">
        <v>0</v>
      </c>
      <c r="M331" t="n">
        <v>0</v>
      </c>
      <c r="N331" t="n">
        <v>0</v>
      </c>
      <c r="O331" t="n">
        <v>1</v>
      </c>
      <c r="P331" t="n">
        <v>0</v>
      </c>
      <c r="Q331" t="n">
        <v>2</v>
      </c>
      <c r="R331" s="2" t="inlineStr">
        <is>
          <t>Kortskaftad ärgspik
Bronshjon</t>
        </is>
      </c>
      <c r="S331">
        <f>HYPERLINK("https://klasma.github.io/Logging_2283/artfynd/A 59020-2024 artfynd.xlsx", "A 59020-2024")</f>
        <v/>
      </c>
      <c r="T331">
        <f>HYPERLINK("https://klasma.github.io/Logging_2283/kartor/A 59020-2024 karta.png", "A 59020-2024")</f>
        <v/>
      </c>
      <c r="V331">
        <f>HYPERLINK("https://klasma.github.io/Logging_2283/klagomål/A 59020-2024 FSC-klagomål.docx", "A 59020-2024")</f>
        <v/>
      </c>
      <c r="W331">
        <f>HYPERLINK("https://klasma.github.io/Logging_2283/klagomålsmail/A 59020-2024 FSC-klagomål mail.docx", "A 59020-2024")</f>
        <v/>
      </c>
      <c r="X331">
        <f>HYPERLINK("https://klasma.github.io/Logging_2283/tillsyn/A 59020-2024 tillsynsbegäran.docx", "A 59020-2024")</f>
        <v/>
      </c>
      <c r="Y331">
        <f>HYPERLINK("https://klasma.github.io/Logging_2283/tillsynsmail/A 59020-2024 tillsynsbegäran mail.docx", "A 59020-2024")</f>
        <v/>
      </c>
    </row>
    <row r="332" ht="15" customHeight="1">
      <c r="A332" t="inlineStr">
        <is>
          <t>A 12269-2025</t>
        </is>
      </c>
      <c r="B332" s="1" t="n">
        <v>45729.63542824074</v>
      </c>
      <c r="C332" s="1" t="n">
        <v>46161</v>
      </c>
      <c r="D332" t="inlineStr">
        <is>
          <t>VÄSTERNORRLANDS LÄN</t>
        </is>
      </c>
      <c r="E332" t="inlineStr">
        <is>
          <t>SOLLEFTEÅ</t>
        </is>
      </c>
      <c r="G332" t="n">
        <v>10.9</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12269-2025 artfynd.xlsx", "A 12269-2025")</f>
        <v/>
      </c>
      <c r="T332">
        <f>HYPERLINK("https://klasma.github.io/Logging_2283/kartor/A 12269-2025 karta.png", "A 12269-2025")</f>
        <v/>
      </c>
      <c r="V332">
        <f>HYPERLINK("https://klasma.github.io/Logging_2283/klagomål/A 12269-2025 FSC-klagomål.docx", "A 12269-2025")</f>
        <v/>
      </c>
      <c r="W332">
        <f>HYPERLINK("https://klasma.github.io/Logging_2283/klagomålsmail/A 12269-2025 FSC-klagomål mail.docx", "A 12269-2025")</f>
        <v/>
      </c>
      <c r="X332">
        <f>HYPERLINK("https://klasma.github.io/Logging_2283/tillsyn/A 12269-2025 tillsynsbegäran.docx", "A 12269-2025")</f>
        <v/>
      </c>
      <c r="Y332">
        <f>HYPERLINK("https://klasma.github.io/Logging_2283/tillsynsmail/A 12269-2025 tillsynsbegäran mail.docx", "A 12269-2025")</f>
        <v/>
      </c>
    </row>
    <row r="333" ht="15" customHeight="1">
      <c r="A333" t="inlineStr">
        <is>
          <t>A 2347-2025</t>
        </is>
      </c>
      <c r="B333" s="1" t="n">
        <v>45673.67782407408</v>
      </c>
      <c r="C333" s="1" t="n">
        <v>46161</v>
      </c>
      <c r="D333" t="inlineStr">
        <is>
          <t>VÄSTERNORRLANDS LÄN</t>
        </is>
      </c>
      <c r="E333" t="inlineStr">
        <is>
          <t>SOLLEFTEÅ</t>
        </is>
      </c>
      <c r="F333" t="inlineStr">
        <is>
          <t>SCA</t>
        </is>
      </c>
      <c r="G333" t="n">
        <v>3.3</v>
      </c>
      <c r="H333" t="n">
        <v>1</v>
      </c>
      <c r="I333" t="n">
        <v>0</v>
      </c>
      <c r="J333" t="n">
        <v>2</v>
      </c>
      <c r="K333" t="n">
        <v>0</v>
      </c>
      <c r="L333" t="n">
        <v>0</v>
      </c>
      <c r="M333" t="n">
        <v>0</v>
      </c>
      <c r="N333" t="n">
        <v>0</v>
      </c>
      <c r="O333" t="n">
        <v>2</v>
      </c>
      <c r="P333" t="n">
        <v>0</v>
      </c>
      <c r="Q333" t="n">
        <v>2</v>
      </c>
      <c r="R333" s="2" t="inlineStr">
        <is>
          <t>Garnlav
Spillkråka</t>
        </is>
      </c>
      <c r="S333">
        <f>HYPERLINK("https://klasma.github.io/Logging_2283/artfynd/A 2347-2025 artfynd.xlsx", "A 2347-2025")</f>
        <v/>
      </c>
      <c r="T333">
        <f>HYPERLINK("https://klasma.github.io/Logging_2283/kartor/A 2347-2025 karta.png", "A 2347-2025")</f>
        <v/>
      </c>
      <c r="V333">
        <f>HYPERLINK("https://klasma.github.io/Logging_2283/klagomål/A 2347-2025 FSC-klagomål.docx", "A 2347-2025")</f>
        <v/>
      </c>
      <c r="W333">
        <f>HYPERLINK("https://klasma.github.io/Logging_2283/klagomålsmail/A 2347-2025 FSC-klagomål mail.docx", "A 2347-2025")</f>
        <v/>
      </c>
      <c r="X333">
        <f>HYPERLINK("https://klasma.github.io/Logging_2283/tillsyn/A 2347-2025 tillsynsbegäran.docx", "A 2347-2025")</f>
        <v/>
      </c>
      <c r="Y333">
        <f>HYPERLINK("https://klasma.github.io/Logging_2283/tillsynsmail/A 2347-2025 tillsynsbegäran mail.docx", "A 2347-2025")</f>
        <v/>
      </c>
      <c r="Z333">
        <f>HYPERLINK("https://klasma.github.io/Logging_2283/fåglar/A 2347-2025 prioriterade fågelarter.docx", "A 2347-2025")</f>
        <v/>
      </c>
    </row>
    <row r="334" ht="15" customHeight="1">
      <c r="A334" t="inlineStr">
        <is>
          <t>A 7837-2025</t>
        </is>
      </c>
      <c r="B334" s="1" t="n">
        <v>45706</v>
      </c>
      <c r="C334" s="1" t="n">
        <v>46161</v>
      </c>
      <c r="D334" t="inlineStr">
        <is>
          <t>VÄSTERNORRLANDS LÄN</t>
        </is>
      </c>
      <c r="E334" t="inlineStr">
        <is>
          <t>SOLLEFTEÅ</t>
        </is>
      </c>
      <c r="F334" t="inlineStr">
        <is>
          <t>SCA</t>
        </is>
      </c>
      <c r="G334" t="n">
        <v>2</v>
      </c>
      <c r="H334" t="n">
        <v>0</v>
      </c>
      <c r="I334" t="n">
        <v>1</v>
      </c>
      <c r="J334" t="n">
        <v>1</v>
      </c>
      <c r="K334" t="n">
        <v>0</v>
      </c>
      <c r="L334" t="n">
        <v>0</v>
      </c>
      <c r="M334" t="n">
        <v>0</v>
      </c>
      <c r="N334" t="n">
        <v>0</v>
      </c>
      <c r="O334" t="n">
        <v>1</v>
      </c>
      <c r="P334" t="n">
        <v>0</v>
      </c>
      <c r="Q334" t="n">
        <v>2</v>
      </c>
      <c r="R334" s="2" t="inlineStr">
        <is>
          <t>Gammelgransskål
Norrlandslav</t>
        </is>
      </c>
      <c r="S334">
        <f>HYPERLINK("https://klasma.github.io/Logging_2283/artfynd/A 7837-2025 artfynd.xlsx", "A 7837-2025")</f>
        <v/>
      </c>
      <c r="T334">
        <f>HYPERLINK("https://klasma.github.io/Logging_2283/kartor/A 7837-2025 karta.png", "A 7837-2025")</f>
        <v/>
      </c>
      <c r="V334">
        <f>HYPERLINK("https://klasma.github.io/Logging_2283/klagomål/A 7837-2025 FSC-klagomål.docx", "A 7837-2025")</f>
        <v/>
      </c>
      <c r="W334">
        <f>HYPERLINK("https://klasma.github.io/Logging_2283/klagomålsmail/A 7837-2025 FSC-klagomål mail.docx", "A 7837-2025")</f>
        <v/>
      </c>
      <c r="X334">
        <f>HYPERLINK("https://klasma.github.io/Logging_2283/tillsyn/A 7837-2025 tillsynsbegäran.docx", "A 7837-2025")</f>
        <v/>
      </c>
      <c r="Y334">
        <f>HYPERLINK("https://klasma.github.io/Logging_2283/tillsynsmail/A 7837-2025 tillsynsbegäran mail.docx", "A 7837-2025")</f>
        <v/>
      </c>
    </row>
    <row r="335" ht="15" customHeight="1">
      <c r="A335" t="inlineStr">
        <is>
          <t>A 16718-2025</t>
        </is>
      </c>
      <c r="B335" s="1" t="n">
        <v>45754.48990740741</v>
      </c>
      <c r="C335" s="1" t="n">
        <v>46161</v>
      </c>
      <c r="D335" t="inlineStr">
        <is>
          <t>VÄSTERNORRLANDS LÄN</t>
        </is>
      </c>
      <c r="E335" t="inlineStr">
        <is>
          <t>SOLLEFTEÅ</t>
        </is>
      </c>
      <c r="G335" t="n">
        <v>3.9</v>
      </c>
      <c r="H335" t="n">
        <v>1</v>
      </c>
      <c r="I335" t="n">
        <v>0</v>
      </c>
      <c r="J335" t="n">
        <v>1</v>
      </c>
      <c r="K335" t="n">
        <v>0</v>
      </c>
      <c r="L335" t="n">
        <v>0</v>
      </c>
      <c r="M335" t="n">
        <v>0</v>
      </c>
      <c r="N335" t="n">
        <v>0</v>
      </c>
      <c r="O335" t="n">
        <v>1</v>
      </c>
      <c r="P335" t="n">
        <v>0</v>
      </c>
      <c r="Q335" t="n">
        <v>2</v>
      </c>
      <c r="R335" s="2" t="inlineStr">
        <is>
          <t>Garnlav
Lavskrika</t>
        </is>
      </c>
      <c r="S335">
        <f>HYPERLINK("https://klasma.github.io/Logging_2283/artfynd/A 16718-2025 artfynd.xlsx", "A 16718-2025")</f>
        <v/>
      </c>
      <c r="T335">
        <f>HYPERLINK("https://klasma.github.io/Logging_2283/kartor/A 16718-2025 karta.png", "A 16718-2025")</f>
        <v/>
      </c>
      <c r="V335">
        <f>HYPERLINK("https://klasma.github.io/Logging_2283/klagomål/A 16718-2025 FSC-klagomål.docx", "A 16718-2025")</f>
        <v/>
      </c>
      <c r="W335">
        <f>HYPERLINK("https://klasma.github.io/Logging_2283/klagomålsmail/A 16718-2025 FSC-klagomål mail.docx", "A 16718-2025")</f>
        <v/>
      </c>
      <c r="X335">
        <f>HYPERLINK("https://klasma.github.io/Logging_2283/tillsyn/A 16718-2025 tillsynsbegäran.docx", "A 16718-2025")</f>
        <v/>
      </c>
      <c r="Y335">
        <f>HYPERLINK("https://klasma.github.io/Logging_2283/tillsynsmail/A 16718-2025 tillsynsbegäran mail.docx", "A 16718-2025")</f>
        <v/>
      </c>
      <c r="Z335">
        <f>HYPERLINK("https://klasma.github.io/Logging_2283/fåglar/A 16718-2025 prioriterade fågelarter.docx", "A 16718-2025")</f>
        <v/>
      </c>
    </row>
    <row r="336" ht="15" customHeight="1">
      <c r="A336" t="inlineStr">
        <is>
          <t>A 58572-2021</t>
        </is>
      </c>
      <c r="B336" s="1" t="n">
        <v>44488</v>
      </c>
      <c r="C336" s="1" t="n">
        <v>46161</v>
      </c>
      <c r="D336" t="inlineStr">
        <is>
          <t>VÄSTERNORRLANDS LÄN</t>
        </is>
      </c>
      <c r="E336" t="inlineStr">
        <is>
          <t>SOLLEFTEÅ</t>
        </is>
      </c>
      <c r="G336" t="n">
        <v>0.1</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58572-2021 artfynd.xlsx", "A 58572-2021")</f>
        <v/>
      </c>
      <c r="T336">
        <f>HYPERLINK("https://klasma.github.io/Logging_2283/kartor/A 58572-2021 karta.png", "A 58572-2021")</f>
        <v/>
      </c>
      <c r="V336">
        <f>HYPERLINK("https://klasma.github.io/Logging_2283/klagomål/A 58572-2021 FSC-klagomål.docx", "A 58572-2021")</f>
        <v/>
      </c>
      <c r="W336">
        <f>HYPERLINK("https://klasma.github.io/Logging_2283/klagomålsmail/A 58572-2021 FSC-klagomål mail.docx", "A 58572-2021")</f>
        <v/>
      </c>
      <c r="X336">
        <f>HYPERLINK("https://klasma.github.io/Logging_2283/tillsyn/A 58572-2021 tillsynsbegäran.docx", "A 58572-2021")</f>
        <v/>
      </c>
      <c r="Y336">
        <f>HYPERLINK("https://klasma.github.io/Logging_2283/tillsynsmail/A 58572-2021 tillsynsbegäran mail.docx", "A 58572-2021")</f>
        <v/>
      </c>
    </row>
    <row r="337" ht="15" customHeight="1">
      <c r="A337" t="inlineStr">
        <is>
          <t>A 29037-2022</t>
        </is>
      </c>
      <c r="B337" s="1" t="n">
        <v>44749</v>
      </c>
      <c r="C337" s="1" t="n">
        <v>46161</v>
      </c>
      <c r="D337" t="inlineStr">
        <is>
          <t>VÄSTERNORRLANDS LÄN</t>
        </is>
      </c>
      <c r="E337" t="inlineStr">
        <is>
          <t>SOLLEFTEÅ</t>
        </is>
      </c>
      <c r="F337" t="inlineStr">
        <is>
          <t>SCA</t>
        </is>
      </c>
      <c r="G337" t="n">
        <v>1</v>
      </c>
      <c r="H337" t="n">
        <v>0</v>
      </c>
      <c r="I337" t="n">
        <v>1</v>
      </c>
      <c r="J337" t="n">
        <v>0</v>
      </c>
      <c r="K337" t="n">
        <v>0</v>
      </c>
      <c r="L337" t="n">
        <v>0</v>
      </c>
      <c r="M337" t="n">
        <v>0</v>
      </c>
      <c r="N337" t="n">
        <v>0</v>
      </c>
      <c r="O337" t="n">
        <v>0</v>
      </c>
      <c r="P337" t="n">
        <v>0</v>
      </c>
      <c r="Q337" t="n">
        <v>1</v>
      </c>
      <c r="R337" s="2" t="inlineStr">
        <is>
          <t>Vanlig flatbagge</t>
        </is>
      </c>
      <c r="S337">
        <f>HYPERLINK("https://klasma.github.io/Logging_2283/artfynd/A 29037-2022 artfynd.xlsx", "A 29037-2022")</f>
        <v/>
      </c>
      <c r="T337">
        <f>HYPERLINK("https://klasma.github.io/Logging_2283/kartor/A 29037-2022 karta.png", "A 29037-2022")</f>
        <v/>
      </c>
      <c r="V337">
        <f>HYPERLINK("https://klasma.github.io/Logging_2283/klagomål/A 29037-2022 FSC-klagomål.docx", "A 29037-2022")</f>
        <v/>
      </c>
      <c r="W337">
        <f>HYPERLINK("https://klasma.github.io/Logging_2283/klagomålsmail/A 29037-2022 FSC-klagomål mail.docx", "A 29037-2022")</f>
        <v/>
      </c>
      <c r="X337">
        <f>HYPERLINK("https://klasma.github.io/Logging_2283/tillsyn/A 29037-2022 tillsynsbegäran.docx", "A 29037-2022")</f>
        <v/>
      </c>
      <c r="Y337">
        <f>HYPERLINK("https://klasma.github.io/Logging_2283/tillsynsmail/A 29037-2022 tillsynsbegäran mail.docx", "A 29037-2022")</f>
        <v/>
      </c>
    </row>
    <row r="338" ht="15" customHeight="1">
      <c r="A338" t="inlineStr">
        <is>
          <t>A 51019-2021</t>
        </is>
      </c>
      <c r="B338" s="1" t="n">
        <v>44460</v>
      </c>
      <c r="C338" s="1" t="n">
        <v>46161</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Fläcknycklar</t>
        </is>
      </c>
      <c r="S338">
        <f>HYPERLINK("https://klasma.github.io/Logging_2283/artfynd/A 51019-2021 artfynd.xlsx", "A 51019-2021")</f>
        <v/>
      </c>
      <c r="T338">
        <f>HYPERLINK("https://klasma.github.io/Logging_2283/kartor/A 51019-2021 karta.png", "A 51019-2021")</f>
        <v/>
      </c>
      <c r="V338">
        <f>HYPERLINK("https://klasma.github.io/Logging_2283/klagomål/A 51019-2021 FSC-klagomål.docx", "A 51019-2021")</f>
        <v/>
      </c>
      <c r="W338">
        <f>HYPERLINK("https://klasma.github.io/Logging_2283/klagomålsmail/A 51019-2021 FSC-klagomål mail.docx", "A 51019-2021")</f>
        <v/>
      </c>
      <c r="X338">
        <f>HYPERLINK("https://klasma.github.io/Logging_2283/tillsyn/A 51019-2021 tillsynsbegäran.docx", "A 51019-2021")</f>
        <v/>
      </c>
      <c r="Y338">
        <f>HYPERLINK("https://klasma.github.io/Logging_2283/tillsynsmail/A 51019-2021 tillsynsbegäran mail.docx", "A 51019-2021")</f>
        <v/>
      </c>
    </row>
    <row r="339" ht="15" customHeight="1">
      <c r="A339" t="inlineStr">
        <is>
          <t>A 67402-2021</t>
        </is>
      </c>
      <c r="B339" s="1" t="n">
        <v>44523</v>
      </c>
      <c r="C339" s="1" t="n">
        <v>46161</v>
      </c>
      <c r="D339" t="inlineStr">
        <is>
          <t>VÄSTERNORRLANDS LÄN</t>
        </is>
      </c>
      <c r="E339" t="inlineStr">
        <is>
          <t>SOLLEFTEÅ</t>
        </is>
      </c>
      <c r="F339" t="inlineStr">
        <is>
          <t>SCA</t>
        </is>
      </c>
      <c r="G339" t="n">
        <v>11</v>
      </c>
      <c r="H339" t="n">
        <v>1</v>
      </c>
      <c r="I339" t="n">
        <v>0</v>
      </c>
      <c r="J339" t="n">
        <v>0</v>
      </c>
      <c r="K339" t="n">
        <v>1</v>
      </c>
      <c r="L339" t="n">
        <v>0</v>
      </c>
      <c r="M339" t="n">
        <v>0</v>
      </c>
      <c r="N339" t="n">
        <v>0</v>
      </c>
      <c r="O339" t="n">
        <v>1</v>
      </c>
      <c r="P339" t="n">
        <v>1</v>
      </c>
      <c r="Q339" t="n">
        <v>1</v>
      </c>
      <c r="R339" s="2" t="inlineStr">
        <is>
          <t>Knärot</t>
        </is>
      </c>
      <c r="S339">
        <f>HYPERLINK("https://klasma.github.io/Logging_2283/artfynd/A 67402-2021 artfynd.xlsx", "A 67402-2021")</f>
        <v/>
      </c>
      <c r="T339">
        <f>HYPERLINK("https://klasma.github.io/Logging_2283/kartor/A 67402-2021 karta.png", "A 67402-2021")</f>
        <v/>
      </c>
      <c r="U339">
        <f>HYPERLINK("https://klasma.github.io/Logging_2283/knärot/A 67402-2021 karta knärot.png", "A 67402-2021")</f>
        <v/>
      </c>
      <c r="V339">
        <f>HYPERLINK("https://klasma.github.io/Logging_2283/klagomål/A 67402-2021 FSC-klagomål.docx", "A 67402-2021")</f>
        <v/>
      </c>
      <c r="W339">
        <f>HYPERLINK("https://klasma.github.io/Logging_2283/klagomålsmail/A 67402-2021 FSC-klagomål mail.docx", "A 67402-2021")</f>
        <v/>
      </c>
      <c r="X339">
        <f>HYPERLINK("https://klasma.github.io/Logging_2283/tillsyn/A 67402-2021 tillsynsbegäran.docx", "A 67402-2021")</f>
        <v/>
      </c>
      <c r="Y339">
        <f>HYPERLINK("https://klasma.github.io/Logging_2283/tillsynsmail/A 67402-2021 tillsynsbegäran mail.docx", "A 67402-2021")</f>
        <v/>
      </c>
    </row>
    <row r="340" ht="15" customHeight="1">
      <c r="A340" t="inlineStr">
        <is>
          <t>A 71349-2021</t>
        </is>
      </c>
      <c r="B340" s="1" t="n">
        <v>44539</v>
      </c>
      <c r="C340" s="1" t="n">
        <v>46161</v>
      </c>
      <c r="D340" t="inlineStr">
        <is>
          <t>VÄSTERNORRLANDS LÄN</t>
        </is>
      </c>
      <c r="E340" t="inlineStr">
        <is>
          <t>SOLLEFTEÅ</t>
        </is>
      </c>
      <c r="G340" t="n">
        <v>0.5</v>
      </c>
      <c r="H340" t="n">
        <v>1</v>
      </c>
      <c r="I340" t="n">
        <v>0</v>
      </c>
      <c r="J340" t="n">
        <v>1</v>
      </c>
      <c r="K340" t="n">
        <v>0</v>
      </c>
      <c r="L340" t="n">
        <v>0</v>
      </c>
      <c r="M340" t="n">
        <v>0</v>
      </c>
      <c r="N340" t="n">
        <v>0</v>
      </c>
      <c r="O340" t="n">
        <v>1</v>
      </c>
      <c r="P340" t="n">
        <v>0</v>
      </c>
      <c r="Q340" t="n">
        <v>1</v>
      </c>
      <c r="R340" s="2" t="inlineStr">
        <is>
          <t>Björktrast</t>
        </is>
      </c>
      <c r="S340">
        <f>HYPERLINK("https://klasma.github.io/Logging_2283/artfynd/A 71349-2021 artfynd.xlsx", "A 71349-2021")</f>
        <v/>
      </c>
      <c r="T340">
        <f>HYPERLINK("https://klasma.github.io/Logging_2283/kartor/A 71349-2021 karta.png", "A 71349-2021")</f>
        <v/>
      </c>
      <c r="V340">
        <f>HYPERLINK("https://klasma.github.io/Logging_2283/klagomål/A 71349-2021 FSC-klagomål.docx", "A 71349-2021")</f>
        <v/>
      </c>
      <c r="W340">
        <f>HYPERLINK("https://klasma.github.io/Logging_2283/klagomålsmail/A 71349-2021 FSC-klagomål mail.docx", "A 71349-2021")</f>
        <v/>
      </c>
      <c r="X340">
        <f>HYPERLINK("https://klasma.github.io/Logging_2283/tillsyn/A 71349-2021 tillsynsbegäran.docx", "A 71349-2021")</f>
        <v/>
      </c>
      <c r="Y340">
        <f>HYPERLINK("https://klasma.github.io/Logging_2283/tillsynsmail/A 71349-2021 tillsynsbegäran mail.docx", "A 71349-2021")</f>
        <v/>
      </c>
      <c r="Z340">
        <f>HYPERLINK("https://klasma.github.io/Logging_2283/fåglar/A 71349-2021 prioriterade fågelarter.docx", "A 71349-2021")</f>
        <v/>
      </c>
    </row>
    <row r="341" ht="15" customHeight="1">
      <c r="A341" t="inlineStr">
        <is>
          <t>A 30047-2022</t>
        </is>
      </c>
      <c r="B341" s="1" t="n">
        <v>44756.94622685185</v>
      </c>
      <c r="C341" s="1" t="n">
        <v>46161</v>
      </c>
      <c r="D341" t="inlineStr">
        <is>
          <t>VÄSTERNORRLANDS LÄN</t>
        </is>
      </c>
      <c r="E341" t="inlineStr">
        <is>
          <t>SOLLEFTEÅ</t>
        </is>
      </c>
      <c r="F341" t="inlineStr">
        <is>
          <t>SCA</t>
        </is>
      </c>
      <c r="G341" t="n">
        <v>2.5</v>
      </c>
      <c r="H341" t="n">
        <v>0</v>
      </c>
      <c r="I341" t="n">
        <v>0</v>
      </c>
      <c r="J341" t="n">
        <v>1</v>
      </c>
      <c r="K341" t="n">
        <v>0</v>
      </c>
      <c r="L341" t="n">
        <v>0</v>
      </c>
      <c r="M341" t="n">
        <v>0</v>
      </c>
      <c r="N341" t="n">
        <v>0</v>
      </c>
      <c r="O341" t="n">
        <v>1</v>
      </c>
      <c r="P341" t="n">
        <v>0</v>
      </c>
      <c r="Q341" t="n">
        <v>1</v>
      </c>
      <c r="R341" s="2" t="inlineStr">
        <is>
          <t>Garnlav</t>
        </is>
      </c>
      <c r="S341">
        <f>HYPERLINK("https://klasma.github.io/Logging_2283/artfynd/A 30047-2022 artfynd.xlsx", "A 30047-2022")</f>
        <v/>
      </c>
      <c r="T341">
        <f>HYPERLINK("https://klasma.github.io/Logging_2283/kartor/A 30047-2022 karta.png", "A 30047-2022")</f>
        <v/>
      </c>
      <c r="V341">
        <f>HYPERLINK("https://klasma.github.io/Logging_2283/klagomål/A 30047-2022 FSC-klagomål.docx", "A 30047-2022")</f>
        <v/>
      </c>
      <c r="W341">
        <f>HYPERLINK("https://klasma.github.io/Logging_2283/klagomålsmail/A 30047-2022 FSC-klagomål mail.docx", "A 30047-2022")</f>
        <v/>
      </c>
      <c r="X341">
        <f>HYPERLINK("https://klasma.github.io/Logging_2283/tillsyn/A 30047-2022 tillsynsbegäran.docx", "A 30047-2022")</f>
        <v/>
      </c>
      <c r="Y341">
        <f>HYPERLINK("https://klasma.github.io/Logging_2283/tillsynsmail/A 30047-2022 tillsynsbegäran mail.docx", "A 30047-2022")</f>
        <v/>
      </c>
    </row>
    <row r="342" ht="15" customHeight="1">
      <c r="A342" t="inlineStr">
        <is>
          <t>A 44763-2022</t>
        </is>
      </c>
      <c r="B342" s="1" t="n">
        <v>44840</v>
      </c>
      <c r="C342" s="1" t="n">
        <v>46161</v>
      </c>
      <c r="D342" t="inlineStr">
        <is>
          <t>VÄSTERNORRLANDS LÄN</t>
        </is>
      </c>
      <c r="E342" t="inlineStr">
        <is>
          <t>SOLLEFTEÅ</t>
        </is>
      </c>
      <c r="F342" t="inlineStr">
        <is>
          <t>SCA</t>
        </is>
      </c>
      <c r="G342" t="n">
        <v>1.2</v>
      </c>
      <c r="H342" t="n">
        <v>0</v>
      </c>
      <c r="I342" t="n">
        <v>0</v>
      </c>
      <c r="J342" t="n">
        <v>1</v>
      </c>
      <c r="K342" t="n">
        <v>0</v>
      </c>
      <c r="L342" t="n">
        <v>0</v>
      </c>
      <c r="M342" t="n">
        <v>0</v>
      </c>
      <c r="N342" t="n">
        <v>0</v>
      </c>
      <c r="O342" t="n">
        <v>1</v>
      </c>
      <c r="P342" t="n">
        <v>0</v>
      </c>
      <c r="Q342" t="n">
        <v>1</v>
      </c>
      <c r="R342" s="2" t="inlineStr">
        <is>
          <t>Rosenticka</t>
        </is>
      </c>
      <c r="S342">
        <f>HYPERLINK("https://klasma.github.io/Logging_2283/artfynd/A 44763-2022 artfynd.xlsx", "A 44763-2022")</f>
        <v/>
      </c>
      <c r="T342">
        <f>HYPERLINK("https://klasma.github.io/Logging_2283/kartor/A 44763-2022 karta.png", "A 44763-2022")</f>
        <v/>
      </c>
      <c r="V342">
        <f>HYPERLINK("https://klasma.github.io/Logging_2283/klagomål/A 44763-2022 FSC-klagomål.docx", "A 44763-2022")</f>
        <v/>
      </c>
      <c r="W342">
        <f>HYPERLINK("https://klasma.github.io/Logging_2283/klagomålsmail/A 44763-2022 FSC-klagomål mail.docx", "A 44763-2022")</f>
        <v/>
      </c>
      <c r="X342">
        <f>HYPERLINK("https://klasma.github.io/Logging_2283/tillsyn/A 44763-2022 tillsynsbegäran.docx", "A 44763-2022")</f>
        <v/>
      </c>
      <c r="Y342">
        <f>HYPERLINK("https://klasma.github.io/Logging_2283/tillsynsmail/A 44763-2022 tillsynsbegäran mail.docx", "A 44763-2022")</f>
        <v/>
      </c>
    </row>
    <row r="343" ht="15" customHeight="1">
      <c r="A343" t="inlineStr">
        <is>
          <t>A 22323-2022</t>
        </is>
      </c>
      <c r="B343" s="1" t="n">
        <v>44712.94081018519</v>
      </c>
      <c r="C343" s="1" t="n">
        <v>46161</v>
      </c>
      <c r="D343" t="inlineStr">
        <is>
          <t>VÄSTERNORRLANDS LÄN</t>
        </is>
      </c>
      <c r="E343" t="inlineStr">
        <is>
          <t>SOLLEFTEÅ</t>
        </is>
      </c>
      <c r="F343" t="inlineStr">
        <is>
          <t>SCA</t>
        </is>
      </c>
      <c r="G343" t="n">
        <v>1.8</v>
      </c>
      <c r="H343" t="n">
        <v>0</v>
      </c>
      <c r="I343" t="n">
        <v>0</v>
      </c>
      <c r="J343" t="n">
        <v>1</v>
      </c>
      <c r="K343" t="n">
        <v>0</v>
      </c>
      <c r="L343" t="n">
        <v>0</v>
      </c>
      <c r="M343" t="n">
        <v>0</v>
      </c>
      <c r="N343" t="n">
        <v>0</v>
      </c>
      <c r="O343" t="n">
        <v>1</v>
      </c>
      <c r="P343" t="n">
        <v>0</v>
      </c>
      <c r="Q343" t="n">
        <v>1</v>
      </c>
      <c r="R343" s="2" t="inlineStr">
        <is>
          <t>Granticka</t>
        </is>
      </c>
      <c r="S343">
        <f>HYPERLINK("https://klasma.github.io/Logging_2283/artfynd/A 22323-2022 artfynd.xlsx", "A 22323-2022")</f>
        <v/>
      </c>
      <c r="T343">
        <f>HYPERLINK("https://klasma.github.io/Logging_2283/kartor/A 22323-2022 karta.png", "A 22323-2022")</f>
        <v/>
      </c>
      <c r="V343">
        <f>HYPERLINK("https://klasma.github.io/Logging_2283/klagomål/A 22323-2022 FSC-klagomål.docx", "A 22323-2022")</f>
        <v/>
      </c>
      <c r="W343">
        <f>HYPERLINK("https://klasma.github.io/Logging_2283/klagomålsmail/A 22323-2022 FSC-klagomål mail.docx", "A 22323-2022")</f>
        <v/>
      </c>
      <c r="X343">
        <f>HYPERLINK("https://klasma.github.io/Logging_2283/tillsyn/A 22323-2022 tillsynsbegäran.docx", "A 22323-2022")</f>
        <v/>
      </c>
      <c r="Y343">
        <f>HYPERLINK("https://klasma.github.io/Logging_2283/tillsynsmail/A 22323-2022 tillsynsbegäran mail.docx", "A 22323-2022")</f>
        <v/>
      </c>
    </row>
    <row r="344" ht="15" customHeight="1">
      <c r="A344" t="inlineStr">
        <is>
          <t>A 40626-2022</t>
        </is>
      </c>
      <c r="B344" s="1" t="n">
        <v>44823.95071759259</v>
      </c>
      <c r="C344" s="1" t="n">
        <v>46161</v>
      </c>
      <c r="D344" t="inlineStr">
        <is>
          <t>VÄSTERNORRLANDS LÄN</t>
        </is>
      </c>
      <c r="E344" t="inlineStr">
        <is>
          <t>SOLLEFTEÅ</t>
        </is>
      </c>
      <c r="F344" t="inlineStr">
        <is>
          <t>SCA</t>
        </is>
      </c>
      <c r="G344" t="n">
        <v>2.5</v>
      </c>
      <c r="H344" t="n">
        <v>1</v>
      </c>
      <c r="I344" t="n">
        <v>0</v>
      </c>
      <c r="J344" t="n">
        <v>1</v>
      </c>
      <c r="K344" t="n">
        <v>0</v>
      </c>
      <c r="L344" t="n">
        <v>0</v>
      </c>
      <c r="M344" t="n">
        <v>0</v>
      </c>
      <c r="N344" t="n">
        <v>0</v>
      </c>
      <c r="O344" t="n">
        <v>1</v>
      </c>
      <c r="P344" t="n">
        <v>0</v>
      </c>
      <c r="Q344" t="n">
        <v>1</v>
      </c>
      <c r="R344" s="2" t="inlineStr">
        <is>
          <t>Spillkråka</t>
        </is>
      </c>
      <c r="S344">
        <f>HYPERLINK("https://klasma.github.io/Logging_2283/artfynd/A 40626-2022 artfynd.xlsx", "A 40626-2022")</f>
        <v/>
      </c>
      <c r="T344">
        <f>HYPERLINK("https://klasma.github.io/Logging_2283/kartor/A 40626-2022 karta.png", "A 40626-2022")</f>
        <v/>
      </c>
      <c r="V344">
        <f>HYPERLINK("https://klasma.github.io/Logging_2283/klagomål/A 40626-2022 FSC-klagomål.docx", "A 40626-2022")</f>
        <v/>
      </c>
      <c r="W344">
        <f>HYPERLINK("https://klasma.github.io/Logging_2283/klagomålsmail/A 40626-2022 FSC-klagomål mail.docx", "A 40626-2022")</f>
        <v/>
      </c>
      <c r="X344">
        <f>HYPERLINK("https://klasma.github.io/Logging_2283/tillsyn/A 40626-2022 tillsynsbegäran.docx", "A 40626-2022")</f>
        <v/>
      </c>
      <c r="Y344">
        <f>HYPERLINK("https://klasma.github.io/Logging_2283/tillsynsmail/A 40626-2022 tillsynsbegäran mail.docx", "A 40626-2022")</f>
        <v/>
      </c>
      <c r="Z344">
        <f>HYPERLINK("https://klasma.github.io/Logging_2283/fåglar/A 40626-2022 prioriterade fågelarter.docx", "A 40626-2022")</f>
        <v/>
      </c>
    </row>
    <row r="345" ht="15" customHeight="1">
      <c r="A345" t="inlineStr">
        <is>
          <t>A 35502-2024</t>
        </is>
      </c>
      <c r="B345" s="1" t="n">
        <v>45531</v>
      </c>
      <c r="C345" s="1" t="n">
        <v>46161</v>
      </c>
      <c r="D345" t="inlineStr">
        <is>
          <t>VÄSTERNORRLANDS LÄN</t>
        </is>
      </c>
      <c r="E345" t="inlineStr">
        <is>
          <t>SOLLEFTEÅ</t>
        </is>
      </c>
      <c r="F345" t="inlineStr">
        <is>
          <t>Övriga Aktiebolag</t>
        </is>
      </c>
      <c r="G345" t="n">
        <v>1.1</v>
      </c>
      <c r="H345" t="n">
        <v>0</v>
      </c>
      <c r="I345" t="n">
        <v>0</v>
      </c>
      <c r="J345" t="n">
        <v>0</v>
      </c>
      <c r="K345" t="n">
        <v>1</v>
      </c>
      <c r="L345" t="n">
        <v>0</v>
      </c>
      <c r="M345" t="n">
        <v>0</v>
      </c>
      <c r="N345" t="n">
        <v>0</v>
      </c>
      <c r="O345" t="n">
        <v>1</v>
      </c>
      <c r="P345" t="n">
        <v>1</v>
      </c>
      <c r="Q345" t="n">
        <v>1</v>
      </c>
      <c r="R345" s="2" t="inlineStr">
        <is>
          <t>Skuggnål</t>
        </is>
      </c>
      <c r="S345">
        <f>HYPERLINK("https://klasma.github.io/Logging_2283/artfynd/A 35502-2024 artfynd.xlsx", "A 35502-2024")</f>
        <v/>
      </c>
      <c r="T345">
        <f>HYPERLINK("https://klasma.github.io/Logging_2283/kartor/A 35502-2024 karta.png", "A 35502-2024")</f>
        <v/>
      </c>
      <c r="V345">
        <f>HYPERLINK("https://klasma.github.io/Logging_2283/klagomål/A 35502-2024 FSC-klagomål.docx", "A 35502-2024")</f>
        <v/>
      </c>
      <c r="W345">
        <f>HYPERLINK("https://klasma.github.io/Logging_2283/klagomålsmail/A 35502-2024 FSC-klagomål mail.docx", "A 35502-2024")</f>
        <v/>
      </c>
      <c r="X345">
        <f>HYPERLINK("https://klasma.github.io/Logging_2283/tillsyn/A 35502-2024 tillsynsbegäran.docx", "A 35502-2024")</f>
        <v/>
      </c>
      <c r="Y345">
        <f>HYPERLINK("https://klasma.github.io/Logging_2283/tillsynsmail/A 35502-2024 tillsynsbegäran mail.docx", "A 35502-2024")</f>
        <v/>
      </c>
    </row>
    <row r="346" ht="15" customHeight="1">
      <c r="A346" t="inlineStr">
        <is>
          <t>A 18697-2025</t>
        </is>
      </c>
      <c r="B346" s="1" t="n">
        <v>45763.61592592593</v>
      </c>
      <c r="C346" s="1" t="n">
        <v>46161</v>
      </c>
      <c r="D346" t="inlineStr">
        <is>
          <t>VÄSTERNORRLANDS LÄN</t>
        </is>
      </c>
      <c r="E346" t="inlineStr">
        <is>
          <t>SOLLEFTEÅ</t>
        </is>
      </c>
      <c r="F346" t="inlineStr">
        <is>
          <t>SCA</t>
        </is>
      </c>
      <c r="G346" t="n">
        <v>6.4</v>
      </c>
      <c r="H346" t="n">
        <v>0</v>
      </c>
      <c r="I346" t="n">
        <v>0</v>
      </c>
      <c r="J346" t="n">
        <v>1</v>
      </c>
      <c r="K346" t="n">
        <v>0</v>
      </c>
      <c r="L346" t="n">
        <v>0</v>
      </c>
      <c r="M346" t="n">
        <v>0</v>
      </c>
      <c r="N346" t="n">
        <v>0</v>
      </c>
      <c r="O346" t="n">
        <v>1</v>
      </c>
      <c r="P346" t="n">
        <v>0</v>
      </c>
      <c r="Q346" t="n">
        <v>1</v>
      </c>
      <c r="R346" s="2" t="inlineStr">
        <is>
          <t>Kolflarnlav</t>
        </is>
      </c>
      <c r="S346">
        <f>HYPERLINK("https://klasma.github.io/Logging_2283/artfynd/A 18697-2025 artfynd.xlsx", "A 18697-2025")</f>
        <v/>
      </c>
      <c r="T346">
        <f>HYPERLINK("https://klasma.github.io/Logging_2283/kartor/A 18697-2025 karta.png", "A 18697-2025")</f>
        <v/>
      </c>
      <c r="V346">
        <f>HYPERLINK("https://klasma.github.io/Logging_2283/klagomål/A 18697-2025 FSC-klagomål.docx", "A 18697-2025")</f>
        <v/>
      </c>
      <c r="W346">
        <f>HYPERLINK("https://klasma.github.io/Logging_2283/klagomålsmail/A 18697-2025 FSC-klagomål mail.docx", "A 18697-2025")</f>
        <v/>
      </c>
      <c r="X346">
        <f>HYPERLINK("https://klasma.github.io/Logging_2283/tillsyn/A 18697-2025 tillsynsbegäran.docx", "A 18697-2025")</f>
        <v/>
      </c>
      <c r="Y346">
        <f>HYPERLINK("https://klasma.github.io/Logging_2283/tillsynsmail/A 18697-2025 tillsynsbegäran mail.docx", "A 18697-2025")</f>
        <v/>
      </c>
    </row>
    <row r="347" ht="15" customHeight="1">
      <c r="A347" t="inlineStr">
        <is>
          <t>A 48526-2025</t>
        </is>
      </c>
      <c r="B347" s="1" t="n">
        <v>45936.40723379629</v>
      </c>
      <c r="C347" s="1" t="n">
        <v>46161</v>
      </c>
      <c r="D347" t="inlineStr">
        <is>
          <t>VÄSTERNORRLANDS LÄN</t>
        </is>
      </c>
      <c r="E347" t="inlineStr">
        <is>
          <t>SOLLEFTEÅ</t>
        </is>
      </c>
      <c r="F347" t="inlineStr">
        <is>
          <t>SCA</t>
        </is>
      </c>
      <c r="G347" t="n">
        <v>6.9</v>
      </c>
      <c r="H347" t="n">
        <v>1</v>
      </c>
      <c r="I347" t="n">
        <v>0</v>
      </c>
      <c r="J347" t="n">
        <v>0</v>
      </c>
      <c r="K347" t="n">
        <v>0</v>
      </c>
      <c r="L347" t="n">
        <v>0</v>
      </c>
      <c r="M347" t="n">
        <v>0</v>
      </c>
      <c r="N347" t="n">
        <v>0</v>
      </c>
      <c r="O347" t="n">
        <v>0</v>
      </c>
      <c r="P347" t="n">
        <v>0</v>
      </c>
      <c r="Q347" t="n">
        <v>1</v>
      </c>
      <c r="R347" s="2" t="inlineStr">
        <is>
          <t>Revlummer</t>
        </is>
      </c>
      <c r="S347">
        <f>HYPERLINK("https://klasma.github.io/Logging_2283/artfynd/A 48526-2025 artfynd.xlsx", "A 48526-2025")</f>
        <v/>
      </c>
      <c r="T347">
        <f>HYPERLINK("https://klasma.github.io/Logging_2283/kartor/A 48526-2025 karta.png", "A 48526-2025")</f>
        <v/>
      </c>
      <c r="V347">
        <f>HYPERLINK("https://klasma.github.io/Logging_2283/klagomål/A 48526-2025 FSC-klagomål.docx", "A 48526-2025")</f>
        <v/>
      </c>
      <c r="W347">
        <f>HYPERLINK("https://klasma.github.io/Logging_2283/klagomålsmail/A 48526-2025 FSC-klagomål mail.docx", "A 48526-2025")</f>
        <v/>
      </c>
      <c r="X347">
        <f>HYPERLINK("https://klasma.github.io/Logging_2283/tillsyn/A 48526-2025 tillsynsbegäran.docx", "A 48526-2025")</f>
        <v/>
      </c>
      <c r="Y347">
        <f>HYPERLINK("https://klasma.github.io/Logging_2283/tillsynsmail/A 48526-2025 tillsynsbegäran mail.docx", "A 48526-2025")</f>
        <v/>
      </c>
    </row>
    <row r="348" ht="15" customHeight="1">
      <c r="A348" t="inlineStr">
        <is>
          <t>A 37589-2022</t>
        </is>
      </c>
      <c r="B348" s="1" t="n">
        <v>44809.94556712963</v>
      </c>
      <c r="C348" s="1" t="n">
        <v>46161</v>
      </c>
      <c r="D348" t="inlineStr">
        <is>
          <t>VÄSTERNORRLANDS LÄN</t>
        </is>
      </c>
      <c r="E348" t="inlineStr">
        <is>
          <t>SOLLEFTEÅ</t>
        </is>
      </c>
      <c r="F348" t="inlineStr">
        <is>
          <t>SCA</t>
        </is>
      </c>
      <c r="G348" t="n">
        <v>2.6</v>
      </c>
      <c r="H348" t="n">
        <v>1</v>
      </c>
      <c r="I348" t="n">
        <v>0</v>
      </c>
      <c r="J348" t="n">
        <v>0</v>
      </c>
      <c r="K348" t="n">
        <v>0</v>
      </c>
      <c r="L348" t="n">
        <v>0</v>
      </c>
      <c r="M348" t="n">
        <v>0</v>
      </c>
      <c r="N348" t="n">
        <v>0</v>
      </c>
      <c r="O348" t="n">
        <v>0</v>
      </c>
      <c r="P348" t="n">
        <v>0</v>
      </c>
      <c r="Q348" t="n">
        <v>1</v>
      </c>
      <c r="R348" s="2" t="inlineStr">
        <is>
          <t>Tjäder</t>
        </is>
      </c>
      <c r="S348">
        <f>HYPERLINK("https://klasma.github.io/Logging_2283/artfynd/A 37589-2022 artfynd.xlsx", "A 37589-2022")</f>
        <v/>
      </c>
      <c r="T348">
        <f>HYPERLINK("https://klasma.github.io/Logging_2283/kartor/A 37589-2022 karta.png", "A 37589-2022")</f>
        <v/>
      </c>
      <c r="V348">
        <f>HYPERLINK("https://klasma.github.io/Logging_2283/klagomål/A 37589-2022 FSC-klagomål.docx", "A 37589-2022")</f>
        <v/>
      </c>
      <c r="W348">
        <f>HYPERLINK("https://klasma.github.io/Logging_2283/klagomålsmail/A 37589-2022 FSC-klagomål mail.docx", "A 37589-2022")</f>
        <v/>
      </c>
      <c r="X348">
        <f>HYPERLINK("https://klasma.github.io/Logging_2283/tillsyn/A 37589-2022 tillsynsbegäran.docx", "A 37589-2022")</f>
        <v/>
      </c>
      <c r="Y348">
        <f>HYPERLINK("https://klasma.github.io/Logging_2283/tillsynsmail/A 37589-2022 tillsynsbegäran mail.docx", "A 37589-2022")</f>
        <v/>
      </c>
      <c r="Z348">
        <f>HYPERLINK("https://klasma.github.io/Logging_2283/fåglar/A 37589-2022 prioriterade fågelarter.docx", "A 37589-2022")</f>
        <v/>
      </c>
    </row>
    <row r="349" ht="15" customHeight="1">
      <c r="A349" t="inlineStr">
        <is>
          <t>A 22345-2025</t>
        </is>
      </c>
      <c r="B349" s="1" t="n">
        <v>45786.44869212963</v>
      </c>
      <c r="C349" s="1" t="n">
        <v>46161</v>
      </c>
      <c r="D349" t="inlineStr">
        <is>
          <t>VÄSTERNORRLANDS LÄN</t>
        </is>
      </c>
      <c r="E349" t="inlineStr">
        <is>
          <t>SOLLEFTEÅ</t>
        </is>
      </c>
      <c r="F349" t="inlineStr">
        <is>
          <t>SCA</t>
        </is>
      </c>
      <c r="G349" t="n">
        <v>7.2</v>
      </c>
      <c r="H349" t="n">
        <v>0</v>
      </c>
      <c r="I349" t="n">
        <v>0</v>
      </c>
      <c r="J349" t="n">
        <v>1</v>
      </c>
      <c r="K349" t="n">
        <v>0</v>
      </c>
      <c r="L349" t="n">
        <v>0</v>
      </c>
      <c r="M349" t="n">
        <v>0</v>
      </c>
      <c r="N349" t="n">
        <v>0</v>
      </c>
      <c r="O349" t="n">
        <v>1</v>
      </c>
      <c r="P349" t="n">
        <v>0</v>
      </c>
      <c r="Q349" t="n">
        <v>1</v>
      </c>
      <c r="R349" s="2" t="inlineStr">
        <is>
          <t>Gammelgransskål</t>
        </is>
      </c>
      <c r="S349">
        <f>HYPERLINK("https://klasma.github.io/Logging_2283/artfynd/A 22345-2025 artfynd.xlsx", "A 22345-2025")</f>
        <v/>
      </c>
      <c r="T349">
        <f>HYPERLINK("https://klasma.github.io/Logging_2283/kartor/A 22345-2025 karta.png", "A 22345-2025")</f>
        <v/>
      </c>
      <c r="V349">
        <f>HYPERLINK("https://klasma.github.io/Logging_2283/klagomål/A 22345-2025 FSC-klagomål.docx", "A 22345-2025")</f>
        <v/>
      </c>
      <c r="W349">
        <f>HYPERLINK("https://klasma.github.io/Logging_2283/klagomålsmail/A 22345-2025 FSC-klagomål mail.docx", "A 22345-2025")</f>
        <v/>
      </c>
      <c r="X349">
        <f>HYPERLINK("https://klasma.github.io/Logging_2283/tillsyn/A 22345-2025 tillsynsbegäran.docx", "A 22345-2025")</f>
        <v/>
      </c>
      <c r="Y349">
        <f>HYPERLINK("https://klasma.github.io/Logging_2283/tillsynsmail/A 22345-2025 tillsynsbegäran mail.docx", "A 22345-2025")</f>
        <v/>
      </c>
    </row>
    <row r="350" ht="15" customHeight="1">
      <c r="A350" t="inlineStr">
        <is>
          <t>A 22768-2025</t>
        </is>
      </c>
      <c r="B350" s="1" t="n">
        <v>45789.63329861111</v>
      </c>
      <c r="C350" s="1" t="n">
        <v>46161</v>
      </c>
      <c r="D350" t="inlineStr">
        <is>
          <t>VÄSTERNORRLANDS LÄN</t>
        </is>
      </c>
      <c r="E350" t="inlineStr">
        <is>
          <t>SOLLEFTEÅ</t>
        </is>
      </c>
      <c r="G350" t="n">
        <v>1.9</v>
      </c>
      <c r="H350" t="n">
        <v>0</v>
      </c>
      <c r="I350" t="n">
        <v>0</v>
      </c>
      <c r="J350" t="n">
        <v>1</v>
      </c>
      <c r="K350" t="n">
        <v>0</v>
      </c>
      <c r="L350" t="n">
        <v>0</v>
      </c>
      <c r="M350" t="n">
        <v>0</v>
      </c>
      <c r="N350" t="n">
        <v>0</v>
      </c>
      <c r="O350" t="n">
        <v>1</v>
      </c>
      <c r="P350" t="n">
        <v>0</v>
      </c>
      <c r="Q350" t="n">
        <v>1</v>
      </c>
      <c r="R350" s="2" t="inlineStr">
        <is>
          <t>Granticka</t>
        </is>
      </c>
      <c r="S350">
        <f>HYPERLINK("https://klasma.github.io/Logging_2283/artfynd/A 22768-2025 artfynd.xlsx", "A 22768-2025")</f>
        <v/>
      </c>
      <c r="T350">
        <f>HYPERLINK("https://klasma.github.io/Logging_2283/kartor/A 22768-2025 karta.png", "A 22768-2025")</f>
        <v/>
      </c>
      <c r="V350">
        <f>HYPERLINK("https://klasma.github.io/Logging_2283/klagomål/A 22768-2025 FSC-klagomål.docx", "A 22768-2025")</f>
        <v/>
      </c>
      <c r="W350">
        <f>HYPERLINK("https://klasma.github.io/Logging_2283/klagomålsmail/A 22768-2025 FSC-klagomål mail.docx", "A 22768-2025")</f>
        <v/>
      </c>
      <c r="X350">
        <f>HYPERLINK("https://klasma.github.io/Logging_2283/tillsyn/A 22768-2025 tillsynsbegäran.docx", "A 22768-2025")</f>
        <v/>
      </c>
      <c r="Y350">
        <f>HYPERLINK("https://klasma.github.io/Logging_2283/tillsynsmail/A 22768-2025 tillsynsbegäran mail.docx", "A 22768-2025")</f>
        <v/>
      </c>
    </row>
    <row r="351" ht="15" customHeight="1">
      <c r="A351" t="inlineStr">
        <is>
          <t>A 27391-2023</t>
        </is>
      </c>
      <c r="B351" s="1" t="n">
        <v>45096.93991898148</v>
      </c>
      <c r="C351" s="1" t="n">
        <v>46161</v>
      </c>
      <c r="D351" t="inlineStr">
        <is>
          <t>VÄSTERNORRLANDS LÄN</t>
        </is>
      </c>
      <c r="E351" t="inlineStr">
        <is>
          <t>SOLLEFTEÅ</t>
        </is>
      </c>
      <c r="F351" t="inlineStr">
        <is>
          <t>SCA</t>
        </is>
      </c>
      <c r="G351" t="n">
        <v>3.7</v>
      </c>
      <c r="H351" t="n">
        <v>0</v>
      </c>
      <c r="I351" t="n">
        <v>0</v>
      </c>
      <c r="J351" t="n">
        <v>1</v>
      </c>
      <c r="K351" t="n">
        <v>0</v>
      </c>
      <c r="L351" t="n">
        <v>0</v>
      </c>
      <c r="M351" t="n">
        <v>0</v>
      </c>
      <c r="N351" t="n">
        <v>0</v>
      </c>
      <c r="O351" t="n">
        <v>1</v>
      </c>
      <c r="P351" t="n">
        <v>0</v>
      </c>
      <c r="Q351" t="n">
        <v>1</v>
      </c>
      <c r="R351" s="2" t="inlineStr">
        <is>
          <t>Lunglav</t>
        </is>
      </c>
      <c r="S351">
        <f>HYPERLINK("https://klasma.github.io/Logging_2283/artfynd/A 27391-2023 artfynd.xlsx", "A 27391-2023")</f>
        <v/>
      </c>
      <c r="T351">
        <f>HYPERLINK("https://klasma.github.io/Logging_2283/kartor/A 27391-2023 karta.png", "A 27391-2023")</f>
        <v/>
      </c>
      <c r="V351">
        <f>HYPERLINK("https://klasma.github.io/Logging_2283/klagomål/A 27391-2023 FSC-klagomål.docx", "A 27391-2023")</f>
        <v/>
      </c>
      <c r="W351">
        <f>HYPERLINK("https://klasma.github.io/Logging_2283/klagomålsmail/A 27391-2023 FSC-klagomål mail.docx", "A 27391-2023")</f>
        <v/>
      </c>
      <c r="X351">
        <f>HYPERLINK("https://klasma.github.io/Logging_2283/tillsyn/A 27391-2023 tillsynsbegäran.docx", "A 27391-2023")</f>
        <v/>
      </c>
      <c r="Y351">
        <f>HYPERLINK("https://klasma.github.io/Logging_2283/tillsynsmail/A 27391-2023 tillsynsbegäran mail.docx", "A 27391-2023")</f>
        <v/>
      </c>
    </row>
    <row r="352" ht="15" customHeight="1">
      <c r="A352" t="inlineStr">
        <is>
          <t>A 27901-2024</t>
        </is>
      </c>
      <c r="B352" s="1" t="n">
        <v>45475.92859953704</v>
      </c>
      <c r="C352" s="1" t="n">
        <v>46161</v>
      </c>
      <c r="D352" t="inlineStr">
        <is>
          <t>VÄSTERNORRLANDS LÄN</t>
        </is>
      </c>
      <c r="E352" t="inlineStr">
        <is>
          <t>SOLLEFTEÅ</t>
        </is>
      </c>
      <c r="G352" t="n">
        <v>12.7</v>
      </c>
      <c r="H352" t="n">
        <v>0</v>
      </c>
      <c r="I352" t="n">
        <v>0</v>
      </c>
      <c r="J352" t="n">
        <v>1</v>
      </c>
      <c r="K352" t="n">
        <v>0</v>
      </c>
      <c r="L352" t="n">
        <v>0</v>
      </c>
      <c r="M352" t="n">
        <v>0</v>
      </c>
      <c r="N352" t="n">
        <v>0</v>
      </c>
      <c r="O352" t="n">
        <v>1</v>
      </c>
      <c r="P352" t="n">
        <v>0</v>
      </c>
      <c r="Q352" t="n">
        <v>1</v>
      </c>
      <c r="R352" s="2" t="inlineStr">
        <is>
          <t>Garnlav</t>
        </is>
      </c>
      <c r="S352">
        <f>HYPERLINK("https://klasma.github.io/Logging_2283/artfynd/A 27901-2024 artfynd.xlsx", "A 27901-2024")</f>
        <v/>
      </c>
      <c r="T352">
        <f>HYPERLINK("https://klasma.github.io/Logging_2283/kartor/A 27901-2024 karta.png", "A 27901-2024")</f>
        <v/>
      </c>
      <c r="V352">
        <f>HYPERLINK("https://klasma.github.io/Logging_2283/klagomål/A 27901-2024 FSC-klagomål.docx", "A 27901-2024")</f>
        <v/>
      </c>
      <c r="W352">
        <f>HYPERLINK("https://klasma.github.io/Logging_2283/klagomålsmail/A 27901-2024 FSC-klagomål mail.docx", "A 27901-2024")</f>
        <v/>
      </c>
      <c r="X352">
        <f>HYPERLINK("https://klasma.github.io/Logging_2283/tillsyn/A 27901-2024 tillsynsbegäran.docx", "A 27901-2024")</f>
        <v/>
      </c>
      <c r="Y352">
        <f>HYPERLINK("https://klasma.github.io/Logging_2283/tillsynsmail/A 27901-2024 tillsynsbegäran mail.docx", "A 27901-2024")</f>
        <v/>
      </c>
    </row>
    <row r="353" ht="15" customHeight="1">
      <c r="A353" t="inlineStr">
        <is>
          <t>A 22810-2025</t>
        </is>
      </c>
      <c r="B353" s="1" t="n">
        <v>45789.68076388889</v>
      </c>
      <c r="C353" s="1" t="n">
        <v>46161</v>
      </c>
      <c r="D353" t="inlineStr">
        <is>
          <t>VÄSTERNORRLANDS LÄN</t>
        </is>
      </c>
      <c r="E353" t="inlineStr">
        <is>
          <t>SOLLEFTEÅ</t>
        </is>
      </c>
      <c r="G353" t="n">
        <v>1.8</v>
      </c>
      <c r="H353" t="n">
        <v>0</v>
      </c>
      <c r="I353" t="n">
        <v>0</v>
      </c>
      <c r="J353" t="n">
        <v>1</v>
      </c>
      <c r="K353" t="n">
        <v>0</v>
      </c>
      <c r="L353" t="n">
        <v>0</v>
      </c>
      <c r="M353" t="n">
        <v>0</v>
      </c>
      <c r="N353" t="n">
        <v>0</v>
      </c>
      <c r="O353" t="n">
        <v>1</v>
      </c>
      <c r="P353" t="n">
        <v>0</v>
      </c>
      <c r="Q353" t="n">
        <v>1</v>
      </c>
      <c r="R353" s="2" t="inlineStr">
        <is>
          <t>Ullticka</t>
        </is>
      </c>
      <c r="S353">
        <f>HYPERLINK("https://klasma.github.io/Logging_2283/artfynd/A 22810-2025 artfynd.xlsx", "A 22810-2025")</f>
        <v/>
      </c>
      <c r="T353">
        <f>HYPERLINK("https://klasma.github.io/Logging_2283/kartor/A 22810-2025 karta.png", "A 22810-2025")</f>
        <v/>
      </c>
      <c r="V353">
        <f>HYPERLINK("https://klasma.github.io/Logging_2283/klagomål/A 22810-2025 FSC-klagomål.docx", "A 22810-2025")</f>
        <v/>
      </c>
      <c r="W353">
        <f>HYPERLINK("https://klasma.github.io/Logging_2283/klagomålsmail/A 22810-2025 FSC-klagomål mail.docx", "A 22810-2025")</f>
        <v/>
      </c>
      <c r="X353">
        <f>HYPERLINK("https://klasma.github.io/Logging_2283/tillsyn/A 22810-2025 tillsynsbegäran.docx", "A 22810-2025")</f>
        <v/>
      </c>
      <c r="Y353">
        <f>HYPERLINK("https://klasma.github.io/Logging_2283/tillsynsmail/A 22810-2025 tillsynsbegäran mail.docx", "A 22810-2025")</f>
        <v/>
      </c>
    </row>
    <row r="354" ht="15" customHeight="1">
      <c r="A354" t="inlineStr">
        <is>
          <t>A 40190-2025</t>
        </is>
      </c>
      <c r="B354" s="1" t="n">
        <v>45894.65664351852</v>
      </c>
      <c r="C354" s="1" t="n">
        <v>46161</v>
      </c>
      <c r="D354" t="inlineStr">
        <is>
          <t>VÄSTERNORRLANDS LÄN</t>
        </is>
      </c>
      <c r="E354" t="inlineStr">
        <is>
          <t>SOLLEFTEÅ</t>
        </is>
      </c>
      <c r="F354" t="inlineStr">
        <is>
          <t>SCA</t>
        </is>
      </c>
      <c r="G354" t="n">
        <v>6.5</v>
      </c>
      <c r="H354" t="n">
        <v>1</v>
      </c>
      <c r="I354" t="n">
        <v>0</v>
      </c>
      <c r="J354" t="n">
        <v>1</v>
      </c>
      <c r="K354" t="n">
        <v>0</v>
      </c>
      <c r="L354" t="n">
        <v>0</v>
      </c>
      <c r="M354" t="n">
        <v>0</v>
      </c>
      <c r="N354" t="n">
        <v>0</v>
      </c>
      <c r="O354" t="n">
        <v>1</v>
      </c>
      <c r="P354" t="n">
        <v>0</v>
      </c>
      <c r="Q354" t="n">
        <v>1</v>
      </c>
      <c r="R354" s="2" t="inlineStr">
        <is>
          <t>Spillkråka</t>
        </is>
      </c>
      <c r="S354">
        <f>HYPERLINK("https://klasma.github.io/Logging_2283/artfynd/A 40190-2025 artfynd.xlsx", "A 40190-2025")</f>
        <v/>
      </c>
      <c r="T354">
        <f>HYPERLINK("https://klasma.github.io/Logging_2283/kartor/A 40190-2025 karta.png", "A 40190-2025")</f>
        <v/>
      </c>
      <c r="V354">
        <f>HYPERLINK("https://klasma.github.io/Logging_2283/klagomål/A 40190-2025 FSC-klagomål.docx", "A 40190-2025")</f>
        <v/>
      </c>
      <c r="W354">
        <f>HYPERLINK("https://klasma.github.io/Logging_2283/klagomålsmail/A 40190-2025 FSC-klagomål mail.docx", "A 40190-2025")</f>
        <v/>
      </c>
      <c r="X354">
        <f>HYPERLINK("https://klasma.github.io/Logging_2283/tillsyn/A 40190-2025 tillsynsbegäran.docx", "A 40190-2025")</f>
        <v/>
      </c>
      <c r="Y354">
        <f>HYPERLINK("https://klasma.github.io/Logging_2283/tillsynsmail/A 40190-2025 tillsynsbegäran mail.docx", "A 40190-2025")</f>
        <v/>
      </c>
      <c r="Z354">
        <f>HYPERLINK("https://klasma.github.io/Logging_2283/fåglar/A 40190-2025 prioriterade fågelarter.docx", "A 40190-2025")</f>
        <v/>
      </c>
    </row>
    <row r="355" ht="15" customHeight="1">
      <c r="A355" t="inlineStr">
        <is>
          <t>A 37206-2024</t>
        </is>
      </c>
      <c r="B355" s="1" t="n">
        <v>45539</v>
      </c>
      <c r="C355" s="1" t="n">
        <v>46161</v>
      </c>
      <c r="D355" t="inlineStr">
        <is>
          <t>VÄSTERNORRLANDS LÄN</t>
        </is>
      </c>
      <c r="E355" t="inlineStr">
        <is>
          <t>SOLLEFTEÅ</t>
        </is>
      </c>
      <c r="F355" t="inlineStr">
        <is>
          <t>SCA</t>
        </is>
      </c>
      <c r="G355" t="n">
        <v>3.6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37206-2024 artfynd.xlsx", "A 37206-2024")</f>
        <v/>
      </c>
      <c r="T355">
        <f>HYPERLINK("https://klasma.github.io/Logging_2283/kartor/A 37206-2024 karta.png", "A 37206-2024")</f>
        <v/>
      </c>
      <c r="V355">
        <f>HYPERLINK("https://klasma.github.io/Logging_2283/klagomål/A 37206-2024 FSC-klagomål.docx", "A 37206-2024")</f>
        <v/>
      </c>
      <c r="W355">
        <f>HYPERLINK("https://klasma.github.io/Logging_2283/klagomålsmail/A 37206-2024 FSC-klagomål mail.docx", "A 37206-2024")</f>
        <v/>
      </c>
      <c r="X355">
        <f>HYPERLINK("https://klasma.github.io/Logging_2283/tillsyn/A 37206-2024 tillsynsbegäran.docx", "A 37206-2024")</f>
        <v/>
      </c>
      <c r="Y355">
        <f>HYPERLINK("https://klasma.github.io/Logging_2283/tillsynsmail/A 37206-2024 tillsynsbegäran mail.docx", "A 37206-2024")</f>
        <v/>
      </c>
      <c r="Z355">
        <f>HYPERLINK("https://klasma.github.io/Logging_2283/fåglar/A 37206-2024 prioriterade fågelarter.docx", "A 37206-2024")</f>
        <v/>
      </c>
    </row>
    <row r="356" ht="15" customHeight="1">
      <c r="A356" t="inlineStr">
        <is>
          <t>A 22428-2025</t>
        </is>
      </c>
      <c r="B356" s="1" t="n">
        <v>45786.57351851852</v>
      </c>
      <c r="C356" s="1" t="n">
        <v>46161</v>
      </c>
      <c r="D356" t="inlineStr">
        <is>
          <t>VÄSTERNORRLANDS LÄN</t>
        </is>
      </c>
      <c r="E356" t="inlineStr">
        <is>
          <t>SOLLEFTEÅ</t>
        </is>
      </c>
      <c r="G356" t="n">
        <v>11.6</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22428-2025 artfynd.xlsx", "A 22428-2025")</f>
        <v/>
      </c>
      <c r="T356">
        <f>HYPERLINK("https://klasma.github.io/Logging_2283/kartor/A 22428-2025 karta.png", "A 22428-2025")</f>
        <v/>
      </c>
      <c r="V356">
        <f>HYPERLINK("https://klasma.github.io/Logging_2283/klagomål/A 22428-2025 FSC-klagomål.docx", "A 22428-2025")</f>
        <v/>
      </c>
      <c r="W356">
        <f>HYPERLINK("https://klasma.github.io/Logging_2283/klagomålsmail/A 22428-2025 FSC-klagomål mail.docx", "A 22428-2025")</f>
        <v/>
      </c>
      <c r="X356">
        <f>HYPERLINK("https://klasma.github.io/Logging_2283/tillsyn/A 22428-2025 tillsynsbegäran.docx", "A 22428-2025")</f>
        <v/>
      </c>
      <c r="Y356">
        <f>HYPERLINK("https://klasma.github.io/Logging_2283/tillsynsmail/A 22428-2025 tillsynsbegäran mail.docx", "A 22428-2025")</f>
        <v/>
      </c>
      <c r="Z356">
        <f>HYPERLINK("https://klasma.github.io/Logging_2283/fåglar/A 22428-2025 prioriterade fågelarter.docx", "A 22428-2025")</f>
        <v/>
      </c>
    </row>
    <row r="357" ht="15" customHeight="1">
      <c r="A357" t="inlineStr">
        <is>
          <t>A 49251-2025</t>
        </is>
      </c>
      <c r="B357" s="1" t="n">
        <v>45938</v>
      </c>
      <c r="C357" s="1" t="n">
        <v>46161</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Granticka</t>
        </is>
      </c>
      <c r="S357">
        <f>HYPERLINK("https://klasma.github.io/Logging_2283/artfynd/A 49251-2025 artfynd.xlsx", "A 49251-2025")</f>
        <v/>
      </c>
      <c r="T357">
        <f>HYPERLINK("https://klasma.github.io/Logging_2283/kartor/A 49251-2025 karta.png", "A 49251-2025")</f>
        <v/>
      </c>
      <c r="V357">
        <f>HYPERLINK("https://klasma.github.io/Logging_2283/klagomål/A 49251-2025 FSC-klagomål.docx", "A 49251-2025")</f>
        <v/>
      </c>
      <c r="W357">
        <f>HYPERLINK("https://klasma.github.io/Logging_2283/klagomålsmail/A 49251-2025 FSC-klagomål mail.docx", "A 49251-2025")</f>
        <v/>
      </c>
      <c r="X357">
        <f>HYPERLINK("https://klasma.github.io/Logging_2283/tillsyn/A 49251-2025 tillsynsbegäran.docx", "A 49251-2025")</f>
        <v/>
      </c>
      <c r="Y357">
        <f>HYPERLINK("https://klasma.github.io/Logging_2283/tillsynsmail/A 49251-2025 tillsynsbegäran mail.docx", "A 49251-2025")</f>
        <v/>
      </c>
    </row>
    <row r="358" ht="15" customHeight="1">
      <c r="A358" t="inlineStr">
        <is>
          <t>A 51786-2025</t>
        </is>
      </c>
      <c r="B358" s="1" t="n">
        <v>45951.67787037037</v>
      </c>
      <c r="C358" s="1" t="n">
        <v>46161</v>
      </c>
      <c r="D358" t="inlineStr">
        <is>
          <t>VÄSTERNORRLANDS LÄN</t>
        </is>
      </c>
      <c r="E358" t="inlineStr">
        <is>
          <t>SOLLEFTEÅ</t>
        </is>
      </c>
      <c r="F358" t="inlineStr">
        <is>
          <t>SCA</t>
        </is>
      </c>
      <c r="G358" t="n">
        <v>19.8</v>
      </c>
      <c r="H358" t="n">
        <v>0</v>
      </c>
      <c r="I358" t="n">
        <v>0</v>
      </c>
      <c r="J358" t="n">
        <v>1</v>
      </c>
      <c r="K358" t="n">
        <v>0</v>
      </c>
      <c r="L358" t="n">
        <v>0</v>
      </c>
      <c r="M358" t="n">
        <v>0</v>
      </c>
      <c r="N358" t="n">
        <v>0</v>
      </c>
      <c r="O358" t="n">
        <v>1</v>
      </c>
      <c r="P358" t="n">
        <v>0</v>
      </c>
      <c r="Q358" t="n">
        <v>1</v>
      </c>
      <c r="R358" s="2" t="inlineStr">
        <is>
          <t>Motaggsvamp</t>
        </is>
      </c>
      <c r="S358">
        <f>HYPERLINK("https://klasma.github.io/Logging_2283/artfynd/A 51786-2025 artfynd.xlsx", "A 51786-2025")</f>
        <v/>
      </c>
      <c r="T358">
        <f>HYPERLINK("https://klasma.github.io/Logging_2283/kartor/A 51786-2025 karta.png", "A 51786-2025")</f>
        <v/>
      </c>
      <c r="V358">
        <f>HYPERLINK("https://klasma.github.io/Logging_2283/klagomål/A 51786-2025 FSC-klagomål.docx", "A 51786-2025")</f>
        <v/>
      </c>
      <c r="W358">
        <f>HYPERLINK("https://klasma.github.io/Logging_2283/klagomålsmail/A 51786-2025 FSC-klagomål mail.docx", "A 51786-2025")</f>
        <v/>
      </c>
      <c r="X358">
        <f>HYPERLINK("https://klasma.github.io/Logging_2283/tillsyn/A 51786-2025 tillsynsbegäran.docx", "A 51786-2025")</f>
        <v/>
      </c>
      <c r="Y358">
        <f>HYPERLINK("https://klasma.github.io/Logging_2283/tillsynsmail/A 51786-2025 tillsynsbegäran mail.docx", "A 51786-2025")</f>
        <v/>
      </c>
    </row>
    <row r="359" ht="15" customHeight="1">
      <c r="A359" t="inlineStr">
        <is>
          <t>A 41472-2025</t>
        </is>
      </c>
      <c r="B359" s="1" t="n">
        <v>45901.4693287037</v>
      </c>
      <c r="C359" s="1" t="n">
        <v>46161</v>
      </c>
      <c r="D359" t="inlineStr">
        <is>
          <t>VÄSTERNORRLANDS LÄN</t>
        </is>
      </c>
      <c r="E359" t="inlineStr">
        <is>
          <t>SOLLEFTEÅ</t>
        </is>
      </c>
      <c r="F359" t="inlineStr">
        <is>
          <t>SCA</t>
        </is>
      </c>
      <c r="G359" t="n">
        <v>6.1</v>
      </c>
      <c r="H359" t="n">
        <v>0</v>
      </c>
      <c r="I359" t="n">
        <v>0</v>
      </c>
      <c r="J359" t="n">
        <v>1</v>
      </c>
      <c r="K359" t="n">
        <v>0</v>
      </c>
      <c r="L359" t="n">
        <v>0</v>
      </c>
      <c r="M359" t="n">
        <v>0</v>
      </c>
      <c r="N359" t="n">
        <v>0</v>
      </c>
      <c r="O359" t="n">
        <v>1</v>
      </c>
      <c r="P359" t="n">
        <v>0</v>
      </c>
      <c r="Q359" t="n">
        <v>1</v>
      </c>
      <c r="R359" s="2" t="inlineStr">
        <is>
          <t>Skogshare</t>
        </is>
      </c>
      <c r="S359">
        <f>HYPERLINK("https://klasma.github.io/Logging_2283/artfynd/A 41472-2025 artfynd.xlsx", "A 41472-2025")</f>
        <v/>
      </c>
      <c r="T359">
        <f>HYPERLINK("https://klasma.github.io/Logging_2283/kartor/A 41472-2025 karta.png", "A 41472-2025")</f>
        <v/>
      </c>
      <c r="V359">
        <f>HYPERLINK("https://klasma.github.io/Logging_2283/klagomål/A 41472-2025 FSC-klagomål.docx", "A 41472-2025")</f>
        <v/>
      </c>
      <c r="W359">
        <f>HYPERLINK("https://klasma.github.io/Logging_2283/klagomålsmail/A 41472-2025 FSC-klagomål mail.docx", "A 41472-2025")</f>
        <v/>
      </c>
      <c r="X359">
        <f>HYPERLINK("https://klasma.github.io/Logging_2283/tillsyn/A 41472-2025 tillsynsbegäran.docx", "A 41472-2025")</f>
        <v/>
      </c>
      <c r="Y359">
        <f>HYPERLINK("https://klasma.github.io/Logging_2283/tillsynsmail/A 41472-2025 tillsynsbegäran mail.docx", "A 41472-2025")</f>
        <v/>
      </c>
    </row>
    <row r="360" ht="15" customHeight="1">
      <c r="A360" t="inlineStr">
        <is>
          <t>A 23169-2025</t>
        </is>
      </c>
      <c r="B360" s="1" t="n">
        <v>45791.42752314815</v>
      </c>
      <c r="C360" s="1" t="n">
        <v>46161</v>
      </c>
      <c r="D360" t="inlineStr">
        <is>
          <t>VÄSTERNORRLANDS LÄN</t>
        </is>
      </c>
      <c r="E360" t="inlineStr">
        <is>
          <t>SOLLEFTEÅ</t>
        </is>
      </c>
      <c r="F360" t="inlineStr">
        <is>
          <t>SCA</t>
        </is>
      </c>
      <c r="G360" t="n">
        <v>1.8</v>
      </c>
      <c r="H360" t="n">
        <v>1</v>
      </c>
      <c r="I360" t="n">
        <v>0</v>
      </c>
      <c r="J360" t="n">
        <v>1</v>
      </c>
      <c r="K360" t="n">
        <v>0</v>
      </c>
      <c r="L360" t="n">
        <v>0</v>
      </c>
      <c r="M360" t="n">
        <v>0</v>
      </c>
      <c r="N360" t="n">
        <v>0</v>
      </c>
      <c r="O360" t="n">
        <v>1</v>
      </c>
      <c r="P360" t="n">
        <v>0</v>
      </c>
      <c r="Q360" t="n">
        <v>1</v>
      </c>
      <c r="R360" s="2" t="inlineStr">
        <is>
          <t>Järpe</t>
        </is>
      </c>
      <c r="S360">
        <f>HYPERLINK("https://klasma.github.io/Logging_2283/artfynd/A 23169-2025 artfynd.xlsx", "A 23169-2025")</f>
        <v/>
      </c>
      <c r="T360">
        <f>HYPERLINK("https://klasma.github.io/Logging_2283/kartor/A 23169-2025 karta.png", "A 23169-2025")</f>
        <v/>
      </c>
      <c r="V360">
        <f>HYPERLINK("https://klasma.github.io/Logging_2283/klagomål/A 23169-2025 FSC-klagomål.docx", "A 23169-2025")</f>
        <v/>
      </c>
      <c r="W360">
        <f>HYPERLINK("https://klasma.github.io/Logging_2283/klagomålsmail/A 23169-2025 FSC-klagomål mail.docx", "A 23169-2025")</f>
        <v/>
      </c>
      <c r="X360">
        <f>HYPERLINK("https://klasma.github.io/Logging_2283/tillsyn/A 23169-2025 tillsynsbegäran.docx", "A 23169-2025")</f>
        <v/>
      </c>
      <c r="Y360">
        <f>HYPERLINK("https://klasma.github.io/Logging_2283/tillsynsmail/A 23169-2025 tillsynsbegäran mail.docx", "A 23169-2025")</f>
        <v/>
      </c>
      <c r="Z360">
        <f>HYPERLINK("https://klasma.github.io/Logging_2283/fåglar/A 23169-2025 prioriterade fågelarter.docx", "A 23169-2025")</f>
        <v/>
      </c>
    </row>
    <row r="361" ht="15" customHeight="1">
      <c r="A361" t="inlineStr">
        <is>
          <t>A 22214-2025</t>
        </is>
      </c>
      <c r="B361" s="1" t="n">
        <v>45785.65792824074</v>
      </c>
      <c r="C361" s="1" t="n">
        <v>46161</v>
      </c>
      <c r="D361" t="inlineStr">
        <is>
          <t>VÄSTERNORRLANDS LÄN</t>
        </is>
      </c>
      <c r="E361" t="inlineStr">
        <is>
          <t>SOLLEFTEÅ</t>
        </is>
      </c>
      <c r="F361" t="inlineStr">
        <is>
          <t>SCA</t>
        </is>
      </c>
      <c r="G361" t="n">
        <v>4.6</v>
      </c>
      <c r="H361" t="n">
        <v>0</v>
      </c>
      <c r="I361" t="n">
        <v>0</v>
      </c>
      <c r="J361" t="n">
        <v>1</v>
      </c>
      <c r="K361" t="n">
        <v>0</v>
      </c>
      <c r="L361" t="n">
        <v>0</v>
      </c>
      <c r="M361" t="n">
        <v>0</v>
      </c>
      <c r="N361" t="n">
        <v>0</v>
      </c>
      <c r="O361" t="n">
        <v>1</v>
      </c>
      <c r="P361" t="n">
        <v>0</v>
      </c>
      <c r="Q361" t="n">
        <v>1</v>
      </c>
      <c r="R361" s="2" t="inlineStr">
        <is>
          <t>Reliktbock</t>
        </is>
      </c>
      <c r="S361">
        <f>HYPERLINK("https://klasma.github.io/Logging_2283/artfynd/A 22214-2025 artfynd.xlsx", "A 22214-2025")</f>
        <v/>
      </c>
      <c r="T361">
        <f>HYPERLINK("https://klasma.github.io/Logging_2283/kartor/A 22214-2025 karta.png", "A 22214-2025")</f>
        <v/>
      </c>
      <c r="V361">
        <f>HYPERLINK("https://klasma.github.io/Logging_2283/klagomål/A 22214-2025 FSC-klagomål.docx", "A 22214-2025")</f>
        <v/>
      </c>
      <c r="W361">
        <f>HYPERLINK("https://klasma.github.io/Logging_2283/klagomålsmail/A 22214-2025 FSC-klagomål mail.docx", "A 22214-2025")</f>
        <v/>
      </c>
      <c r="X361">
        <f>HYPERLINK("https://klasma.github.io/Logging_2283/tillsyn/A 22214-2025 tillsynsbegäran.docx", "A 22214-2025")</f>
        <v/>
      </c>
      <c r="Y361">
        <f>HYPERLINK("https://klasma.github.io/Logging_2283/tillsynsmail/A 22214-2025 tillsynsbegäran mail.docx", "A 22214-2025")</f>
        <v/>
      </c>
    </row>
    <row r="362" ht="15" customHeight="1">
      <c r="A362" t="inlineStr">
        <is>
          <t>A 42554-2025</t>
        </is>
      </c>
      <c r="B362" s="1" t="n">
        <v>45905.59445601852</v>
      </c>
      <c r="C362" s="1" t="n">
        <v>46161</v>
      </c>
      <c r="D362" t="inlineStr">
        <is>
          <t>VÄSTERNORRLANDS LÄN</t>
        </is>
      </c>
      <c r="E362" t="inlineStr">
        <is>
          <t>SOLLEFTEÅ</t>
        </is>
      </c>
      <c r="F362" t="inlineStr">
        <is>
          <t>SCA</t>
        </is>
      </c>
      <c r="G362" t="n">
        <v>0.7</v>
      </c>
      <c r="H362" t="n">
        <v>0</v>
      </c>
      <c r="I362" t="n">
        <v>0</v>
      </c>
      <c r="J362" t="n">
        <v>1</v>
      </c>
      <c r="K362" t="n">
        <v>0</v>
      </c>
      <c r="L362" t="n">
        <v>0</v>
      </c>
      <c r="M362" t="n">
        <v>0</v>
      </c>
      <c r="N362" t="n">
        <v>0</v>
      </c>
      <c r="O362" t="n">
        <v>1</v>
      </c>
      <c r="P362" t="n">
        <v>0</v>
      </c>
      <c r="Q362" t="n">
        <v>1</v>
      </c>
      <c r="R362" s="2" t="inlineStr">
        <is>
          <t>Harticka</t>
        </is>
      </c>
      <c r="S362">
        <f>HYPERLINK("https://klasma.github.io/Logging_2283/artfynd/A 42554-2025 artfynd.xlsx", "A 42554-2025")</f>
        <v/>
      </c>
      <c r="T362">
        <f>HYPERLINK("https://klasma.github.io/Logging_2283/kartor/A 42554-2025 karta.png", "A 42554-2025")</f>
        <v/>
      </c>
      <c r="V362">
        <f>HYPERLINK("https://klasma.github.io/Logging_2283/klagomål/A 42554-2025 FSC-klagomål.docx", "A 42554-2025")</f>
        <v/>
      </c>
      <c r="W362">
        <f>HYPERLINK("https://klasma.github.io/Logging_2283/klagomålsmail/A 42554-2025 FSC-klagomål mail.docx", "A 42554-2025")</f>
        <v/>
      </c>
      <c r="X362">
        <f>HYPERLINK("https://klasma.github.io/Logging_2283/tillsyn/A 42554-2025 tillsynsbegäran.docx", "A 42554-2025")</f>
        <v/>
      </c>
      <c r="Y362">
        <f>HYPERLINK("https://klasma.github.io/Logging_2283/tillsynsmail/A 42554-2025 tillsynsbegäran mail.docx", "A 42554-2025")</f>
        <v/>
      </c>
    </row>
    <row r="363" ht="15" customHeight="1">
      <c r="A363" t="inlineStr">
        <is>
          <t>A 26019-2025</t>
        </is>
      </c>
      <c r="B363" s="1" t="n">
        <v>45804.67811342593</v>
      </c>
      <c r="C363" s="1" t="n">
        <v>46161</v>
      </c>
      <c r="D363" t="inlineStr">
        <is>
          <t>VÄSTERNORRLANDS LÄN</t>
        </is>
      </c>
      <c r="E363" t="inlineStr">
        <is>
          <t>SOLLEFTEÅ</t>
        </is>
      </c>
      <c r="F363" t="inlineStr">
        <is>
          <t>SCA</t>
        </is>
      </c>
      <c r="G363" t="n">
        <v>3.7</v>
      </c>
      <c r="H363" t="n">
        <v>0</v>
      </c>
      <c r="I363" t="n">
        <v>0</v>
      </c>
      <c r="J363" t="n">
        <v>1</v>
      </c>
      <c r="K363" t="n">
        <v>0</v>
      </c>
      <c r="L363" t="n">
        <v>0</v>
      </c>
      <c r="M363" t="n">
        <v>0</v>
      </c>
      <c r="N363" t="n">
        <v>0</v>
      </c>
      <c r="O363" t="n">
        <v>1</v>
      </c>
      <c r="P363" t="n">
        <v>0</v>
      </c>
      <c r="Q363" t="n">
        <v>1</v>
      </c>
      <c r="R363" s="2" t="inlineStr">
        <is>
          <t>Rosenticka</t>
        </is>
      </c>
      <c r="S363">
        <f>HYPERLINK("https://klasma.github.io/Logging_2283/artfynd/A 26019-2025 artfynd.xlsx", "A 26019-2025")</f>
        <v/>
      </c>
      <c r="T363">
        <f>HYPERLINK("https://klasma.github.io/Logging_2283/kartor/A 26019-2025 karta.png", "A 26019-2025")</f>
        <v/>
      </c>
      <c r="V363">
        <f>HYPERLINK("https://klasma.github.io/Logging_2283/klagomål/A 26019-2025 FSC-klagomål.docx", "A 26019-2025")</f>
        <v/>
      </c>
      <c r="W363">
        <f>HYPERLINK("https://klasma.github.io/Logging_2283/klagomålsmail/A 26019-2025 FSC-klagomål mail.docx", "A 26019-2025")</f>
        <v/>
      </c>
      <c r="X363">
        <f>HYPERLINK("https://klasma.github.io/Logging_2283/tillsyn/A 26019-2025 tillsynsbegäran.docx", "A 26019-2025")</f>
        <v/>
      </c>
      <c r="Y363">
        <f>HYPERLINK("https://klasma.github.io/Logging_2283/tillsynsmail/A 26019-2025 tillsynsbegäran mail.docx", "A 26019-2025")</f>
        <v/>
      </c>
    </row>
    <row r="364" ht="15" customHeight="1">
      <c r="A364" t="inlineStr">
        <is>
          <t>A 53039-2023</t>
        </is>
      </c>
      <c r="B364" s="1" t="n">
        <v>45226</v>
      </c>
      <c r="C364" s="1" t="n">
        <v>46161</v>
      </c>
      <c r="D364" t="inlineStr">
        <is>
          <t>VÄSTERNORRLANDS LÄN</t>
        </is>
      </c>
      <c r="E364" t="inlineStr">
        <is>
          <t>SOLLEFTEÅ</t>
        </is>
      </c>
      <c r="F364" t="inlineStr">
        <is>
          <t>SCA</t>
        </is>
      </c>
      <c r="G364" t="n">
        <v>1.8</v>
      </c>
      <c r="H364" t="n">
        <v>1</v>
      </c>
      <c r="I364" t="n">
        <v>0</v>
      </c>
      <c r="J364" t="n">
        <v>1</v>
      </c>
      <c r="K364" t="n">
        <v>0</v>
      </c>
      <c r="L364" t="n">
        <v>0</v>
      </c>
      <c r="M364" t="n">
        <v>0</v>
      </c>
      <c r="N364" t="n">
        <v>0</v>
      </c>
      <c r="O364" t="n">
        <v>1</v>
      </c>
      <c r="P364" t="n">
        <v>0</v>
      </c>
      <c r="Q364" t="n">
        <v>1</v>
      </c>
      <c r="R364" s="2" t="inlineStr">
        <is>
          <t>Nordfladdermus</t>
        </is>
      </c>
      <c r="S364">
        <f>HYPERLINK("https://klasma.github.io/Logging_2283/artfynd/A 53039-2023 artfynd.xlsx", "A 53039-2023")</f>
        <v/>
      </c>
      <c r="T364">
        <f>HYPERLINK("https://klasma.github.io/Logging_2283/kartor/A 53039-2023 karta.png", "A 53039-2023")</f>
        <v/>
      </c>
      <c r="V364">
        <f>HYPERLINK("https://klasma.github.io/Logging_2283/klagomål/A 53039-2023 FSC-klagomål.docx", "A 53039-2023")</f>
        <v/>
      </c>
      <c r="W364">
        <f>HYPERLINK("https://klasma.github.io/Logging_2283/klagomålsmail/A 53039-2023 FSC-klagomål mail.docx", "A 53039-2023")</f>
        <v/>
      </c>
      <c r="X364">
        <f>HYPERLINK("https://klasma.github.io/Logging_2283/tillsyn/A 53039-2023 tillsynsbegäran.docx", "A 53039-2023")</f>
        <v/>
      </c>
      <c r="Y364">
        <f>HYPERLINK("https://klasma.github.io/Logging_2283/tillsynsmail/A 53039-2023 tillsynsbegäran mail.docx", "A 53039-2023")</f>
        <v/>
      </c>
    </row>
    <row r="365" ht="15" customHeight="1">
      <c r="A365" t="inlineStr">
        <is>
          <t>A 26501-2025</t>
        </is>
      </c>
      <c r="B365" s="1" t="n">
        <v>45807</v>
      </c>
      <c r="C365" s="1" t="n">
        <v>46161</v>
      </c>
      <c r="D365" t="inlineStr">
        <is>
          <t>VÄSTERNORRLANDS LÄN</t>
        </is>
      </c>
      <c r="E365" t="inlineStr">
        <is>
          <t>SOLLEFTEÅ</t>
        </is>
      </c>
      <c r="F365" t="inlineStr">
        <is>
          <t>SCA</t>
        </is>
      </c>
      <c r="G365" t="n">
        <v>3.9</v>
      </c>
      <c r="H365" t="n">
        <v>0</v>
      </c>
      <c r="I365" t="n">
        <v>0</v>
      </c>
      <c r="J365" t="n">
        <v>1</v>
      </c>
      <c r="K365" t="n">
        <v>0</v>
      </c>
      <c r="L365" t="n">
        <v>0</v>
      </c>
      <c r="M365" t="n">
        <v>0</v>
      </c>
      <c r="N365" t="n">
        <v>0</v>
      </c>
      <c r="O365" t="n">
        <v>1</v>
      </c>
      <c r="P365" t="n">
        <v>0</v>
      </c>
      <c r="Q365" t="n">
        <v>1</v>
      </c>
      <c r="R365" s="2" t="inlineStr">
        <is>
          <t>Vedflikmossa</t>
        </is>
      </c>
      <c r="S365">
        <f>HYPERLINK("https://klasma.github.io/Logging_2283/artfynd/A 26501-2025 artfynd.xlsx", "A 26501-2025")</f>
        <v/>
      </c>
      <c r="T365">
        <f>HYPERLINK("https://klasma.github.io/Logging_2283/kartor/A 26501-2025 karta.png", "A 26501-2025")</f>
        <v/>
      </c>
      <c r="V365">
        <f>HYPERLINK("https://klasma.github.io/Logging_2283/klagomål/A 26501-2025 FSC-klagomål.docx", "A 26501-2025")</f>
        <v/>
      </c>
      <c r="W365">
        <f>HYPERLINK("https://klasma.github.io/Logging_2283/klagomålsmail/A 26501-2025 FSC-klagomål mail.docx", "A 26501-2025")</f>
        <v/>
      </c>
      <c r="X365">
        <f>HYPERLINK("https://klasma.github.io/Logging_2283/tillsyn/A 26501-2025 tillsynsbegäran.docx", "A 26501-2025")</f>
        <v/>
      </c>
      <c r="Y365">
        <f>HYPERLINK("https://klasma.github.io/Logging_2283/tillsynsmail/A 26501-2025 tillsynsbegäran mail.docx", "A 26501-2025")</f>
        <v/>
      </c>
    </row>
    <row r="366" ht="15" customHeight="1">
      <c r="A366" t="inlineStr">
        <is>
          <t>A 52218-2025</t>
        </is>
      </c>
      <c r="B366" s="1" t="n">
        <v>45953.43634259259</v>
      </c>
      <c r="C366" s="1" t="n">
        <v>46161</v>
      </c>
      <c r="D366" t="inlineStr">
        <is>
          <t>VÄSTERNORRLANDS LÄN</t>
        </is>
      </c>
      <c r="E366" t="inlineStr">
        <is>
          <t>SOLLEFTEÅ</t>
        </is>
      </c>
      <c r="G366" t="n">
        <v>6.7</v>
      </c>
      <c r="H366" t="n">
        <v>1</v>
      </c>
      <c r="I366" t="n">
        <v>0</v>
      </c>
      <c r="J366" t="n">
        <v>0</v>
      </c>
      <c r="K366" t="n">
        <v>0</v>
      </c>
      <c r="L366" t="n">
        <v>0</v>
      </c>
      <c r="M366" t="n">
        <v>0</v>
      </c>
      <c r="N366" t="n">
        <v>0</v>
      </c>
      <c r="O366" t="n">
        <v>0</v>
      </c>
      <c r="P366" t="n">
        <v>0</v>
      </c>
      <c r="Q366" t="n">
        <v>1</v>
      </c>
      <c r="R366" s="2" t="inlineStr">
        <is>
          <t>Revlummer</t>
        </is>
      </c>
      <c r="S366">
        <f>HYPERLINK("https://klasma.github.io/Logging_2283/artfynd/A 52218-2025 artfynd.xlsx", "A 52218-2025")</f>
        <v/>
      </c>
      <c r="T366">
        <f>HYPERLINK("https://klasma.github.io/Logging_2283/kartor/A 52218-2025 karta.png", "A 52218-2025")</f>
        <v/>
      </c>
      <c r="V366">
        <f>HYPERLINK("https://klasma.github.io/Logging_2283/klagomål/A 52218-2025 FSC-klagomål.docx", "A 52218-2025")</f>
        <v/>
      </c>
      <c r="W366">
        <f>HYPERLINK("https://klasma.github.io/Logging_2283/klagomålsmail/A 52218-2025 FSC-klagomål mail.docx", "A 52218-2025")</f>
        <v/>
      </c>
      <c r="X366">
        <f>HYPERLINK("https://klasma.github.io/Logging_2283/tillsyn/A 52218-2025 tillsynsbegäran.docx", "A 52218-2025")</f>
        <v/>
      </c>
      <c r="Y366">
        <f>HYPERLINK("https://klasma.github.io/Logging_2283/tillsynsmail/A 52218-2025 tillsynsbegäran mail.docx", "A 52218-2025")</f>
        <v/>
      </c>
    </row>
    <row r="367" ht="15" customHeight="1">
      <c r="A367" t="inlineStr">
        <is>
          <t>A 48087-2023</t>
        </is>
      </c>
      <c r="B367" s="1" t="n">
        <v>45204</v>
      </c>
      <c r="C367" s="1" t="n">
        <v>46161</v>
      </c>
      <c r="D367" t="inlineStr">
        <is>
          <t>VÄSTERNORRLANDS LÄN</t>
        </is>
      </c>
      <c r="E367" t="inlineStr">
        <is>
          <t>SOLLEFTEÅ</t>
        </is>
      </c>
      <c r="F367" t="inlineStr">
        <is>
          <t>SCA</t>
        </is>
      </c>
      <c r="G367" t="n">
        <v>0.6</v>
      </c>
      <c r="H367" t="n">
        <v>0</v>
      </c>
      <c r="I367" t="n">
        <v>0</v>
      </c>
      <c r="J367" t="n">
        <v>1</v>
      </c>
      <c r="K367" t="n">
        <v>0</v>
      </c>
      <c r="L367" t="n">
        <v>0</v>
      </c>
      <c r="M367" t="n">
        <v>0</v>
      </c>
      <c r="N367" t="n">
        <v>0</v>
      </c>
      <c r="O367" t="n">
        <v>1</v>
      </c>
      <c r="P367" t="n">
        <v>0</v>
      </c>
      <c r="Q367" t="n">
        <v>1</v>
      </c>
      <c r="R367" s="2" t="inlineStr">
        <is>
          <t>Doftskinn</t>
        </is>
      </c>
      <c r="S367">
        <f>HYPERLINK("https://klasma.github.io/Logging_2283/artfynd/A 48087-2023 artfynd.xlsx", "A 48087-2023")</f>
        <v/>
      </c>
      <c r="T367">
        <f>HYPERLINK("https://klasma.github.io/Logging_2283/kartor/A 48087-2023 karta.png", "A 48087-2023")</f>
        <v/>
      </c>
      <c r="V367">
        <f>HYPERLINK("https://klasma.github.io/Logging_2283/klagomål/A 48087-2023 FSC-klagomål.docx", "A 48087-2023")</f>
        <v/>
      </c>
      <c r="W367">
        <f>HYPERLINK("https://klasma.github.io/Logging_2283/klagomålsmail/A 48087-2023 FSC-klagomål mail.docx", "A 48087-2023")</f>
        <v/>
      </c>
      <c r="X367">
        <f>HYPERLINK("https://klasma.github.io/Logging_2283/tillsyn/A 48087-2023 tillsynsbegäran.docx", "A 48087-2023")</f>
        <v/>
      </c>
      <c r="Y367">
        <f>HYPERLINK("https://klasma.github.io/Logging_2283/tillsynsmail/A 48087-2023 tillsynsbegäran mail.docx", "A 48087-2023")</f>
        <v/>
      </c>
    </row>
    <row r="368" ht="15" customHeight="1">
      <c r="A368" t="inlineStr">
        <is>
          <t>A 44556-2025</t>
        </is>
      </c>
      <c r="B368" s="1" t="n">
        <v>45917.34424768519</v>
      </c>
      <c r="C368" s="1" t="n">
        <v>46161</v>
      </c>
      <c r="D368" t="inlineStr">
        <is>
          <t>VÄSTERNORRLANDS LÄN</t>
        </is>
      </c>
      <c r="E368" t="inlineStr">
        <is>
          <t>SOLLEFTEÅ</t>
        </is>
      </c>
      <c r="F368" t="inlineStr">
        <is>
          <t>SCA</t>
        </is>
      </c>
      <c r="G368" t="n">
        <v>8.4</v>
      </c>
      <c r="H368" t="n">
        <v>1</v>
      </c>
      <c r="I368" t="n">
        <v>0</v>
      </c>
      <c r="J368" t="n">
        <v>0</v>
      </c>
      <c r="K368" t="n">
        <v>1</v>
      </c>
      <c r="L368" t="n">
        <v>0</v>
      </c>
      <c r="M368" t="n">
        <v>0</v>
      </c>
      <c r="N368" t="n">
        <v>0</v>
      </c>
      <c r="O368" t="n">
        <v>1</v>
      </c>
      <c r="P368" t="n">
        <v>1</v>
      </c>
      <c r="Q368" t="n">
        <v>1</v>
      </c>
      <c r="R368" s="2" t="inlineStr">
        <is>
          <t>Lappuggla</t>
        </is>
      </c>
      <c r="S368">
        <f>HYPERLINK("https://klasma.github.io/Logging_2283/artfynd/A 44556-2025 artfynd.xlsx", "A 44556-2025")</f>
        <v/>
      </c>
      <c r="T368">
        <f>HYPERLINK("https://klasma.github.io/Logging_2283/kartor/A 44556-2025 karta.png", "A 44556-2025")</f>
        <v/>
      </c>
      <c r="V368">
        <f>HYPERLINK("https://klasma.github.io/Logging_2283/klagomål/A 44556-2025 FSC-klagomål.docx", "A 44556-2025")</f>
        <v/>
      </c>
      <c r="W368">
        <f>HYPERLINK("https://klasma.github.io/Logging_2283/klagomålsmail/A 44556-2025 FSC-klagomål mail.docx", "A 44556-2025")</f>
        <v/>
      </c>
      <c r="X368">
        <f>HYPERLINK("https://klasma.github.io/Logging_2283/tillsyn/A 44556-2025 tillsynsbegäran.docx", "A 44556-2025")</f>
        <v/>
      </c>
      <c r="Y368">
        <f>HYPERLINK("https://klasma.github.io/Logging_2283/tillsynsmail/A 44556-2025 tillsynsbegäran mail.docx", "A 44556-2025")</f>
        <v/>
      </c>
      <c r="Z368">
        <f>HYPERLINK("https://klasma.github.io/Logging_2283/fåglar/A 44556-2025 prioriterade fågelarter.docx", "A 44556-2025")</f>
        <v/>
      </c>
    </row>
    <row r="369" ht="15" customHeight="1">
      <c r="A369" t="inlineStr">
        <is>
          <t>A 3959-2024</t>
        </is>
      </c>
      <c r="B369" s="1" t="n">
        <v>45322</v>
      </c>
      <c r="C369" s="1" t="n">
        <v>46161</v>
      </c>
      <c r="D369" t="inlineStr">
        <is>
          <t>VÄSTERNORRLANDS LÄN</t>
        </is>
      </c>
      <c r="E369" t="inlineStr">
        <is>
          <t>SOLLEFTEÅ</t>
        </is>
      </c>
      <c r="F369" t="inlineStr">
        <is>
          <t>Kommuner</t>
        </is>
      </c>
      <c r="G369" t="n">
        <v>1</v>
      </c>
      <c r="H369" t="n">
        <v>0</v>
      </c>
      <c r="I369" t="n">
        <v>0</v>
      </c>
      <c r="J369" t="n">
        <v>1</v>
      </c>
      <c r="K369" t="n">
        <v>0</v>
      </c>
      <c r="L369" t="n">
        <v>0</v>
      </c>
      <c r="M369" t="n">
        <v>0</v>
      </c>
      <c r="N369" t="n">
        <v>0</v>
      </c>
      <c r="O369" t="n">
        <v>1</v>
      </c>
      <c r="P369" t="n">
        <v>0</v>
      </c>
      <c r="Q369" t="n">
        <v>1</v>
      </c>
      <c r="R369" s="2" t="inlineStr">
        <is>
          <t>Garnlav</t>
        </is>
      </c>
      <c r="S369">
        <f>HYPERLINK("https://klasma.github.io/Logging_2283/artfynd/A 3959-2024 artfynd.xlsx", "A 3959-2024")</f>
        <v/>
      </c>
      <c r="T369">
        <f>HYPERLINK("https://klasma.github.io/Logging_2283/kartor/A 3959-2024 karta.png", "A 3959-2024")</f>
        <v/>
      </c>
      <c r="V369">
        <f>HYPERLINK("https://klasma.github.io/Logging_2283/klagomål/A 3959-2024 FSC-klagomål.docx", "A 3959-2024")</f>
        <v/>
      </c>
      <c r="W369">
        <f>HYPERLINK("https://klasma.github.io/Logging_2283/klagomålsmail/A 3959-2024 FSC-klagomål mail.docx", "A 3959-2024")</f>
        <v/>
      </c>
      <c r="X369">
        <f>HYPERLINK("https://klasma.github.io/Logging_2283/tillsyn/A 3959-2024 tillsynsbegäran.docx", "A 3959-2024")</f>
        <v/>
      </c>
      <c r="Y369">
        <f>HYPERLINK("https://klasma.github.io/Logging_2283/tillsynsmail/A 3959-2024 tillsynsbegäran mail.docx", "A 3959-2024")</f>
        <v/>
      </c>
    </row>
    <row r="370" ht="15" customHeight="1">
      <c r="A370" t="inlineStr">
        <is>
          <t>A 11667-2025</t>
        </is>
      </c>
      <c r="B370" s="1" t="n">
        <v>45727.51074074074</v>
      </c>
      <c r="C370" s="1" t="n">
        <v>46161</v>
      </c>
      <c r="D370" t="inlineStr">
        <is>
          <t>VÄSTERNORRLANDS LÄN</t>
        </is>
      </c>
      <c r="E370" t="inlineStr">
        <is>
          <t>SOLLEFTEÅ</t>
        </is>
      </c>
      <c r="F370" t="inlineStr">
        <is>
          <t>SCA</t>
        </is>
      </c>
      <c r="G370" t="n">
        <v>4.5</v>
      </c>
      <c r="H370" t="n">
        <v>1</v>
      </c>
      <c r="I370" t="n">
        <v>0</v>
      </c>
      <c r="J370" t="n">
        <v>1</v>
      </c>
      <c r="K370" t="n">
        <v>0</v>
      </c>
      <c r="L370" t="n">
        <v>0</v>
      </c>
      <c r="M370" t="n">
        <v>0</v>
      </c>
      <c r="N370" t="n">
        <v>0</v>
      </c>
      <c r="O370" t="n">
        <v>1</v>
      </c>
      <c r="P370" t="n">
        <v>0</v>
      </c>
      <c r="Q370" t="n">
        <v>1</v>
      </c>
      <c r="R370" s="2" t="inlineStr">
        <is>
          <t>Järpe</t>
        </is>
      </c>
      <c r="S370">
        <f>HYPERLINK("https://klasma.github.io/Logging_2283/artfynd/A 11667-2025 artfynd.xlsx", "A 11667-2025")</f>
        <v/>
      </c>
      <c r="T370">
        <f>HYPERLINK("https://klasma.github.io/Logging_2283/kartor/A 11667-2025 karta.png", "A 11667-2025")</f>
        <v/>
      </c>
      <c r="V370">
        <f>HYPERLINK("https://klasma.github.io/Logging_2283/klagomål/A 11667-2025 FSC-klagomål.docx", "A 11667-2025")</f>
        <v/>
      </c>
      <c r="W370">
        <f>HYPERLINK("https://klasma.github.io/Logging_2283/klagomålsmail/A 11667-2025 FSC-klagomål mail.docx", "A 11667-2025")</f>
        <v/>
      </c>
      <c r="X370">
        <f>HYPERLINK("https://klasma.github.io/Logging_2283/tillsyn/A 11667-2025 tillsynsbegäran.docx", "A 11667-2025")</f>
        <v/>
      </c>
      <c r="Y370">
        <f>HYPERLINK("https://klasma.github.io/Logging_2283/tillsynsmail/A 11667-2025 tillsynsbegäran mail.docx", "A 11667-2025")</f>
        <v/>
      </c>
      <c r="Z370">
        <f>HYPERLINK("https://klasma.github.io/Logging_2283/fåglar/A 11667-2025 prioriterade fågelarter.docx", "A 11667-2025")</f>
        <v/>
      </c>
    </row>
    <row r="371" ht="15" customHeight="1">
      <c r="A371" t="inlineStr">
        <is>
          <t>A 30948-2025</t>
        </is>
      </c>
      <c r="B371" s="1" t="n">
        <v>45832.42745370371</v>
      </c>
      <c r="C371" s="1" t="n">
        <v>46161</v>
      </c>
      <c r="D371" t="inlineStr">
        <is>
          <t>VÄSTERNORRLANDS LÄN</t>
        </is>
      </c>
      <c r="E371" t="inlineStr">
        <is>
          <t>SOLLEFTEÅ</t>
        </is>
      </c>
      <c r="F371" t="inlineStr">
        <is>
          <t>SCA</t>
        </is>
      </c>
      <c r="G371" t="n">
        <v>1.7</v>
      </c>
      <c r="H371" t="n">
        <v>1</v>
      </c>
      <c r="I371" t="n">
        <v>0</v>
      </c>
      <c r="J371" t="n">
        <v>0</v>
      </c>
      <c r="K371" t="n">
        <v>1</v>
      </c>
      <c r="L371" t="n">
        <v>0</v>
      </c>
      <c r="M371" t="n">
        <v>0</v>
      </c>
      <c r="N371" t="n">
        <v>0</v>
      </c>
      <c r="O371" t="n">
        <v>1</v>
      </c>
      <c r="P371" t="n">
        <v>1</v>
      </c>
      <c r="Q371" t="n">
        <v>1</v>
      </c>
      <c r="R371" s="2" t="inlineStr">
        <is>
          <t>Knärot</t>
        </is>
      </c>
      <c r="S371">
        <f>HYPERLINK("https://klasma.github.io/Logging_2283/artfynd/A 30948-2025 artfynd.xlsx", "A 30948-2025")</f>
        <v/>
      </c>
      <c r="T371">
        <f>HYPERLINK("https://klasma.github.io/Logging_2283/kartor/A 30948-2025 karta.png", "A 30948-2025")</f>
        <v/>
      </c>
      <c r="U371">
        <f>HYPERLINK("https://klasma.github.io/Logging_2283/knärot/A 30948-2025 karta knärot.png", "A 30948-2025")</f>
        <v/>
      </c>
      <c r="V371">
        <f>HYPERLINK("https://klasma.github.io/Logging_2283/klagomål/A 30948-2025 FSC-klagomål.docx", "A 30948-2025")</f>
        <v/>
      </c>
      <c r="W371">
        <f>HYPERLINK("https://klasma.github.io/Logging_2283/klagomålsmail/A 30948-2025 FSC-klagomål mail.docx", "A 30948-2025")</f>
        <v/>
      </c>
      <c r="X371">
        <f>HYPERLINK("https://klasma.github.io/Logging_2283/tillsyn/A 30948-2025 tillsynsbegäran.docx", "A 30948-2025")</f>
        <v/>
      </c>
      <c r="Y371">
        <f>HYPERLINK("https://klasma.github.io/Logging_2283/tillsynsmail/A 30948-2025 tillsynsbegäran mail.docx", "A 30948-2025")</f>
        <v/>
      </c>
    </row>
    <row r="372" ht="15" customHeight="1">
      <c r="A372" t="inlineStr">
        <is>
          <t>A 25310-2023</t>
        </is>
      </c>
      <c r="B372" s="1" t="n">
        <v>45086</v>
      </c>
      <c r="C372" s="1" t="n">
        <v>46161</v>
      </c>
      <c r="D372" t="inlineStr">
        <is>
          <t>VÄSTERNORRLANDS LÄN</t>
        </is>
      </c>
      <c r="E372" t="inlineStr">
        <is>
          <t>SOLLEFTEÅ</t>
        </is>
      </c>
      <c r="F372" t="inlineStr">
        <is>
          <t>SCA</t>
        </is>
      </c>
      <c r="G372" t="n">
        <v>1.1</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25310-2023 artfynd.xlsx", "A 25310-2023")</f>
        <v/>
      </c>
      <c r="T372">
        <f>HYPERLINK("https://klasma.github.io/Logging_2283/kartor/A 25310-2023 karta.png", "A 25310-2023")</f>
        <v/>
      </c>
      <c r="V372">
        <f>HYPERLINK("https://klasma.github.io/Logging_2283/klagomål/A 25310-2023 FSC-klagomål.docx", "A 25310-2023")</f>
        <v/>
      </c>
      <c r="W372">
        <f>HYPERLINK("https://klasma.github.io/Logging_2283/klagomålsmail/A 25310-2023 FSC-klagomål mail.docx", "A 25310-2023")</f>
        <v/>
      </c>
      <c r="X372">
        <f>HYPERLINK("https://klasma.github.io/Logging_2283/tillsyn/A 25310-2023 tillsynsbegäran.docx", "A 25310-2023")</f>
        <v/>
      </c>
      <c r="Y372">
        <f>HYPERLINK("https://klasma.github.io/Logging_2283/tillsynsmail/A 25310-2023 tillsynsbegäran mail.docx", "A 25310-2023")</f>
        <v/>
      </c>
      <c r="Z372">
        <f>HYPERLINK("https://klasma.github.io/Logging_2283/fåglar/A 25310-2023 prioriterade fågelarter.docx", "A 25310-2023")</f>
        <v/>
      </c>
    </row>
    <row r="373" ht="15" customHeight="1">
      <c r="A373" t="inlineStr">
        <is>
          <t>A 46898-2025</t>
        </is>
      </c>
      <c r="B373" s="1" t="n">
        <v>45929.38613425926</v>
      </c>
      <c r="C373" s="1" t="n">
        <v>46161</v>
      </c>
      <c r="D373" t="inlineStr">
        <is>
          <t>VÄSTERNORRLANDS LÄN</t>
        </is>
      </c>
      <c r="E373" t="inlineStr">
        <is>
          <t>SOLLEFTEÅ</t>
        </is>
      </c>
      <c r="F373" t="inlineStr">
        <is>
          <t>SCA</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HYPERLINK("https://klasma.github.io/Logging_2283/artfynd/A 46898-2025 artfynd.xlsx", "A 46898-2025")</f>
        <v/>
      </c>
      <c r="T373">
        <f>HYPERLINK("https://klasma.github.io/Logging_2283/kartor/A 46898-2025 karta.png", "A 46898-2025")</f>
        <v/>
      </c>
      <c r="V373">
        <f>HYPERLINK("https://klasma.github.io/Logging_2283/klagomål/A 46898-2025 FSC-klagomål.docx", "A 46898-2025")</f>
        <v/>
      </c>
      <c r="W373">
        <f>HYPERLINK("https://klasma.github.io/Logging_2283/klagomålsmail/A 46898-2025 FSC-klagomål mail.docx", "A 46898-2025")</f>
        <v/>
      </c>
      <c r="X373">
        <f>HYPERLINK("https://klasma.github.io/Logging_2283/tillsyn/A 46898-2025 tillsynsbegäran.docx", "A 46898-2025")</f>
        <v/>
      </c>
      <c r="Y373">
        <f>HYPERLINK("https://klasma.github.io/Logging_2283/tillsynsmail/A 46898-2025 tillsynsbegäran mail.docx", "A 46898-2025")</f>
        <v/>
      </c>
      <c r="Z373">
        <f>HYPERLINK("https://klasma.github.io/Logging_2283/fåglar/A 46898-2025 prioriterade fågelarter.docx", "A 46898-2025")</f>
        <v/>
      </c>
    </row>
    <row r="374" ht="15" customHeight="1">
      <c r="A374" t="inlineStr">
        <is>
          <t>A 53822-2025</t>
        </is>
      </c>
      <c r="B374" s="1" t="n">
        <v>45961.32806712963</v>
      </c>
      <c r="C374" s="1" t="n">
        <v>46161</v>
      </c>
      <c r="D374" t="inlineStr">
        <is>
          <t>VÄSTERNORRLANDS LÄN</t>
        </is>
      </c>
      <c r="E374" t="inlineStr">
        <is>
          <t>SOLLEFTEÅ</t>
        </is>
      </c>
      <c r="G374" t="n">
        <v>2.1</v>
      </c>
      <c r="H374" t="n">
        <v>1</v>
      </c>
      <c r="I374" t="n">
        <v>0</v>
      </c>
      <c r="J374" t="n">
        <v>0</v>
      </c>
      <c r="K374" t="n">
        <v>0</v>
      </c>
      <c r="L374" t="n">
        <v>0</v>
      </c>
      <c r="M374" t="n">
        <v>0</v>
      </c>
      <c r="N374" t="n">
        <v>0</v>
      </c>
      <c r="O374" t="n">
        <v>0</v>
      </c>
      <c r="P374" t="n">
        <v>0</v>
      </c>
      <c r="Q374" t="n">
        <v>1</v>
      </c>
      <c r="R374" s="2" t="inlineStr">
        <is>
          <t>Sångsvan</t>
        </is>
      </c>
      <c r="S374">
        <f>HYPERLINK("https://klasma.github.io/Logging_2283/artfynd/A 53822-2025 artfynd.xlsx", "A 53822-2025")</f>
        <v/>
      </c>
      <c r="T374">
        <f>HYPERLINK("https://klasma.github.io/Logging_2283/kartor/A 53822-2025 karta.png", "A 53822-2025")</f>
        <v/>
      </c>
      <c r="V374">
        <f>HYPERLINK("https://klasma.github.io/Logging_2283/klagomål/A 53822-2025 FSC-klagomål.docx", "A 53822-2025")</f>
        <v/>
      </c>
      <c r="W374">
        <f>HYPERLINK("https://klasma.github.io/Logging_2283/klagomålsmail/A 53822-2025 FSC-klagomål mail.docx", "A 53822-2025")</f>
        <v/>
      </c>
      <c r="X374">
        <f>HYPERLINK("https://klasma.github.io/Logging_2283/tillsyn/A 53822-2025 tillsynsbegäran.docx", "A 53822-2025")</f>
        <v/>
      </c>
      <c r="Y374">
        <f>HYPERLINK("https://klasma.github.io/Logging_2283/tillsynsmail/A 53822-2025 tillsynsbegäran mail.docx", "A 53822-2025")</f>
        <v/>
      </c>
      <c r="Z374">
        <f>HYPERLINK("https://klasma.github.io/Logging_2283/fåglar/A 53822-2025 prioriterade fågelarter.docx", "A 53822-2025")</f>
        <v/>
      </c>
    </row>
    <row r="375" ht="15" customHeight="1">
      <c r="A375" t="inlineStr">
        <is>
          <t>A 32101-2025</t>
        </is>
      </c>
      <c r="B375" s="1" t="n">
        <v>45835.46914351852</v>
      </c>
      <c r="C375" s="1" t="n">
        <v>46161</v>
      </c>
      <c r="D375" t="inlineStr">
        <is>
          <t>VÄSTERNORRLANDS LÄN</t>
        </is>
      </c>
      <c r="E375" t="inlineStr">
        <is>
          <t>SOLLEFTEÅ</t>
        </is>
      </c>
      <c r="F375" t="inlineStr">
        <is>
          <t>SCA</t>
        </is>
      </c>
      <c r="G375" t="n">
        <v>2.2</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32101-2025 artfynd.xlsx", "A 32101-2025")</f>
        <v/>
      </c>
      <c r="T375">
        <f>HYPERLINK("https://klasma.github.io/Logging_2283/kartor/A 32101-2025 karta.png", "A 32101-2025")</f>
        <v/>
      </c>
      <c r="V375">
        <f>HYPERLINK("https://klasma.github.io/Logging_2283/klagomål/A 32101-2025 FSC-klagomål.docx", "A 32101-2025")</f>
        <v/>
      </c>
      <c r="W375">
        <f>HYPERLINK("https://klasma.github.io/Logging_2283/klagomålsmail/A 32101-2025 FSC-klagomål mail.docx", "A 32101-2025")</f>
        <v/>
      </c>
      <c r="X375">
        <f>HYPERLINK("https://klasma.github.io/Logging_2283/tillsyn/A 32101-2025 tillsynsbegäran.docx", "A 32101-2025")</f>
        <v/>
      </c>
      <c r="Y375">
        <f>HYPERLINK("https://klasma.github.io/Logging_2283/tillsynsmail/A 32101-2025 tillsynsbegäran mail.docx", "A 32101-2025")</f>
        <v/>
      </c>
      <c r="Z375">
        <f>HYPERLINK("https://klasma.github.io/Logging_2283/fåglar/A 32101-2025 prioriterade fågelarter.docx", "A 32101-2025")</f>
        <v/>
      </c>
    </row>
    <row r="376" ht="15" customHeight="1">
      <c r="A376" t="inlineStr">
        <is>
          <t>A 31963-2025</t>
        </is>
      </c>
      <c r="B376" s="1" t="n">
        <v>45835.34480324074</v>
      </c>
      <c r="C376" s="1" t="n">
        <v>46161</v>
      </c>
      <c r="D376" t="inlineStr">
        <is>
          <t>VÄSTERNORRLANDS LÄN</t>
        </is>
      </c>
      <c r="E376" t="inlineStr">
        <is>
          <t>SOLLEFTEÅ</t>
        </is>
      </c>
      <c r="F376" t="inlineStr">
        <is>
          <t>SCA</t>
        </is>
      </c>
      <c r="G376" t="n">
        <v>1.8</v>
      </c>
      <c r="H376" t="n">
        <v>0</v>
      </c>
      <c r="I376" t="n">
        <v>0</v>
      </c>
      <c r="J376" t="n">
        <v>1</v>
      </c>
      <c r="K376" t="n">
        <v>0</v>
      </c>
      <c r="L376" t="n">
        <v>0</v>
      </c>
      <c r="M376" t="n">
        <v>0</v>
      </c>
      <c r="N376" t="n">
        <v>0</v>
      </c>
      <c r="O376" t="n">
        <v>1</v>
      </c>
      <c r="P376" t="n">
        <v>0</v>
      </c>
      <c r="Q376" t="n">
        <v>1</v>
      </c>
      <c r="R376" s="2" t="inlineStr">
        <is>
          <t>Lunglav</t>
        </is>
      </c>
      <c r="S376">
        <f>HYPERLINK("https://klasma.github.io/Logging_2283/artfynd/A 31963-2025 artfynd.xlsx", "A 31963-2025")</f>
        <v/>
      </c>
      <c r="T376">
        <f>HYPERLINK("https://klasma.github.io/Logging_2283/kartor/A 31963-2025 karta.png", "A 31963-2025")</f>
        <v/>
      </c>
      <c r="V376">
        <f>HYPERLINK("https://klasma.github.io/Logging_2283/klagomål/A 31963-2025 FSC-klagomål.docx", "A 31963-2025")</f>
        <v/>
      </c>
      <c r="W376">
        <f>HYPERLINK("https://klasma.github.io/Logging_2283/klagomålsmail/A 31963-2025 FSC-klagomål mail.docx", "A 31963-2025")</f>
        <v/>
      </c>
      <c r="X376">
        <f>HYPERLINK("https://klasma.github.io/Logging_2283/tillsyn/A 31963-2025 tillsynsbegäran.docx", "A 31963-2025")</f>
        <v/>
      </c>
      <c r="Y376">
        <f>HYPERLINK("https://klasma.github.io/Logging_2283/tillsynsmail/A 31963-2025 tillsynsbegäran mail.docx", "A 31963-2025")</f>
        <v/>
      </c>
    </row>
    <row r="377" ht="15" customHeight="1">
      <c r="A377" t="inlineStr">
        <is>
          <t>A 21962-2025</t>
        </is>
      </c>
      <c r="B377" s="1" t="n">
        <v>45784</v>
      </c>
      <c r="C377" s="1" t="n">
        <v>46161</v>
      </c>
      <c r="D377" t="inlineStr">
        <is>
          <t>VÄSTERNORRLANDS LÄN</t>
        </is>
      </c>
      <c r="E377" t="inlineStr">
        <is>
          <t>SOLLEFTEÅ</t>
        </is>
      </c>
      <c r="F377" t="inlineStr">
        <is>
          <t>SCA</t>
        </is>
      </c>
      <c r="G377" t="n">
        <v>22.5</v>
      </c>
      <c r="H377" t="n">
        <v>1</v>
      </c>
      <c r="I377" t="n">
        <v>0</v>
      </c>
      <c r="J377" t="n">
        <v>1</v>
      </c>
      <c r="K377" t="n">
        <v>0</v>
      </c>
      <c r="L377" t="n">
        <v>0</v>
      </c>
      <c r="M377" t="n">
        <v>0</v>
      </c>
      <c r="N377" t="n">
        <v>0</v>
      </c>
      <c r="O377" t="n">
        <v>1</v>
      </c>
      <c r="P377" t="n">
        <v>0</v>
      </c>
      <c r="Q377" t="n">
        <v>1</v>
      </c>
      <c r="R377" s="2" t="inlineStr">
        <is>
          <t>Järpe</t>
        </is>
      </c>
      <c r="S377">
        <f>HYPERLINK("https://klasma.github.io/Logging_2283/artfynd/A 21962-2025 artfynd.xlsx", "A 21962-2025")</f>
        <v/>
      </c>
      <c r="T377">
        <f>HYPERLINK("https://klasma.github.io/Logging_2283/kartor/A 21962-2025 karta.png", "A 21962-2025")</f>
        <v/>
      </c>
      <c r="V377">
        <f>HYPERLINK("https://klasma.github.io/Logging_2283/klagomål/A 21962-2025 FSC-klagomål.docx", "A 21962-2025")</f>
        <v/>
      </c>
      <c r="W377">
        <f>HYPERLINK("https://klasma.github.io/Logging_2283/klagomålsmail/A 21962-2025 FSC-klagomål mail.docx", "A 21962-2025")</f>
        <v/>
      </c>
      <c r="X377">
        <f>HYPERLINK("https://klasma.github.io/Logging_2283/tillsyn/A 21962-2025 tillsynsbegäran.docx", "A 21962-2025")</f>
        <v/>
      </c>
      <c r="Y377">
        <f>HYPERLINK("https://klasma.github.io/Logging_2283/tillsynsmail/A 21962-2025 tillsynsbegäran mail.docx", "A 21962-2025")</f>
        <v/>
      </c>
      <c r="Z377">
        <f>HYPERLINK("https://klasma.github.io/Logging_2283/fåglar/A 21962-2025 prioriterade fågelarter.docx", "A 21962-2025")</f>
        <v/>
      </c>
    </row>
    <row r="378" ht="15" customHeight="1">
      <c r="A378" t="inlineStr">
        <is>
          <t>A 33853-2025</t>
        </is>
      </c>
      <c r="B378" s="1" t="n">
        <v>45842.51097222222</v>
      </c>
      <c r="C378" s="1" t="n">
        <v>46161</v>
      </c>
      <c r="D378" t="inlineStr">
        <is>
          <t>VÄSTERNORRLANDS LÄN</t>
        </is>
      </c>
      <c r="E378" t="inlineStr">
        <is>
          <t>SOLLEFTEÅ</t>
        </is>
      </c>
      <c r="F378" t="inlineStr">
        <is>
          <t>SCA</t>
        </is>
      </c>
      <c r="G378" t="n">
        <v>6.5</v>
      </c>
      <c r="H378" t="n">
        <v>1</v>
      </c>
      <c r="I378" t="n">
        <v>0</v>
      </c>
      <c r="J378" t="n">
        <v>0</v>
      </c>
      <c r="K378" t="n">
        <v>0</v>
      </c>
      <c r="L378" t="n">
        <v>0</v>
      </c>
      <c r="M378" t="n">
        <v>0</v>
      </c>
      <c r="N378" t="n">
        <v>0</v>
      </c>
      <c r="O378" t="n">
        <v>0</v>
      </c>
      <c r="P378" t="n">
        <v>0</v>
      </c>
      <c r="Q378" t="n">
        <v>1</v>
      </c>
      <c r="R378" s="2" t="inlineStr">
        <is>
          <t>Tjäder</t>
        </is>
      </c>
      <c r="S378">
        <f>HYPERLINK("https://klasma.github.io/Logging_2283/artfynd/A 33853-2025 artfynd.xlsx", "A 33853-2025")</f>
        <v/>
      </c>
      <c r="T378">
        <f>HYPERLINK("https://klasma.github.io/Logging_2283/kartor/A 33853-2025 karta.png", "A 33853-2025")</f>
        <v/>
      </c>
      <c r="V378">
        <f>HYPERLINK("https://klasma.github.io/Logging_2283/klagomål/A 33853-2025 FSC-klagomål.docx", "A 33853-2025")</f>
        <v/>
      </c>
      <c r="W378">
        <f>HYPERLINK("https://klasma.github.io/Logging_2283/klagomålsmail/A 33853-2025 FSC-klagomål mail.docx", "A 33853-2025")</f>
        <v/>
      </c>
      <c r="X378">
        <f>HYPERLINK("https://klasma.github.io/Logging_2283/tillsyn/A 33853-2025 tillsynsbegäran.docx", "A 33853-2025")</f>
        <v/>
      </c>
      <c r="Y378">
        <f>HYPERLINK("https://klasma.github.io/Logging_2283/tillsynsmail/A 33853-2025 tillsynsbegäran mail.docx", "A 33853-2025")</f>
        <v/>
      </c>
      <c r="Z378">
        <f>HYPERLINK("https://klasma.github.io/Logging_2283/fåglar/A 33853-2025 prioriterade fågelarter.docx", "A 33853-2025")</f>
        <v/>
      </c>
    </row>
    <row r="379" ht="15" customHeight="1">
      <c r="A379" t="inlineStr">
        <is>
          <t>A 34865-2025</t>
        </is>
      </c>
      <c r="B379" s="1" t="n">
        <v>45849.4421412037</v>
      </c>
      <c r="C379" s="1" t="n">
        <v>46161</v>
      </c>
      <c r="D379" t="inlineStr">
        <is>
          <t>VÄSTERNORRLANDS LÄN</t>
        </is>
      </c>
      <c r="E379" t="inlineStr">
        <is>
          <t>SOLLEFTEÅ</t>
        </is>
      </c>
      <c r="G379" t="n">
        <v>3.3</v>
      </c>
      <c r="H379" t="n">
        <v>1</v>
      </c>
      <c r="I379" t="n">
        <v>0</v>
      </c>
      <c r="J379" t="n">
        <v>1</v>
      </c>
      <c r="K379" t="n">
        <v>0</v>
      </c>
      <c r="L379" t="n">
        <v>0</v>
      </c>
      <c r="M379" t="n">
        <v>0</v>
      </c>
      <c r="N379" t="n">
        <v>0</v>
      </c>
      <c r="O379" t="n">
        <v>1</v>
      </c>
      <c r="P379" t="n">
        <v>0</v>
      </c>
      <c r="Q379" t="n">
        <v>1</v>
      </c>
      <c r="R379" s="2" t="inlineStr">
        <is>
          <t>Spillkråka</t>
        </is>
      </c>
      <c r="S379">
        <f>HYPERLINK("https://klasma.github.io/Logging_2283/artfynd/A 34865-2025 artfynd.xlsx", "A 34865-2025")</f>
        <v/>
      </c>
      <c r="T379">
        <f>HYPERLINK("https://klasma.github.io/Logging_2283/kartor/A 34865-2025 karta.png", "A 34865-2025")</f>
        <v/>
      </c>
      <c r="V379">
        <f>HYPERLINK("https://klasma.github.io/Logging_2283/klagomål/A 34865-2025 FSC-klagomål.docx", "A 34865-2025")</f>
        <v/>
      </c>
      <c r="W379">
        <f>HYPERLINK("https://klasma.github.io/Logging_2283/klagomålsmail/A 34865-2025 FSC-klagomål mail.docx", "A 34865-2025")</f>
        <v/>
      </c>
      <c r="X379">
        <f>HYPERLINK("https://klasma.github.io/Logging_2283/tillsyn/A 34865-2025 tillsynsbegäran.docx", "A 34865-2025")</f>
        <v/>
      </c>
      <c r="Y379">
        <f>HYPERLINK("https://klasma.github.io/Logging_2283/tillsynsmail/A 34865-2025 tillsynsbegäran mail.docx", "A 34865-2025")</f>
        <v/>
      </c>
      <c r="Z379">
        <f>HYPERLINK("https://klasma.github.io/Logging_2283/fåglar/A 34865-2025 prioriterade fågelarter.docx", "A 34865-2025")</f>
        <v/>
      </c>
    </row>
    <row r="380" ht="15" customHeight="1">
      <c r="A380" t="inlineStr">
        <is>
          <t>A 39897-2024</t>
        </is>
      </c>
      <c r="B380" s="1" t="n">
        <v>45553.48841435185</v>
      </c>
      <c r="C380" s="1" t="n">
        <v>46161</v>
      </c>
      <c r="D380" t="inlineStr">
        <is>
          <t>VÄSTERNORRLANDS LÄN</t>
        </is>
      </c>
      <c r="E380" t="inlineStr">
        <is>
          <t>SOLLEFTEÅ</t>
        </is>
      </c>
      <c r="G380" t="n">
        <v>1.1</v>
      </c>
      <c r="H380" t="n">
        <v>1</v>
      </c>
      <c r="I380" t="n">
        <v>0</v>
      </c>
      <c r="J380" t="n">
        <v>0</v>
      </c>
      <c r="K380" t="n">
        <v>0</v>
      </c>
      <c r="L380" t="n">
        <v>0</v>
      </c>
      <c r="M380" t="n">
        <v>0</v>
      </c>
      <c r="N380" t="n">
        <v>0</v>
      </c>
      <c r="O380" t="n">
        <v>0</v>
      </c>
      <c r="P380" t="n">
        <v>0</v>
      </c>
      <c r="Q380" t="n">
        <v>1</v>
      </c>
      <c r="R380" s="2" t="inlineStr">
        <is>
          <t>Revlummer</t>
        </is>
      </c>
      <c r="S380">
        <f>HYPERLINK("https://klasma.github.io/Logging_2283/artfynd/A 39897-2024 artfynd.xlsx", "A 39897-2024")</f>
        <v/>
      </c>
      <c r="T380">
        <f>HYPERLINK("https://klasma.github.io/Logging_2283/kartor/A 39897-2024 karta.png", "A 39897-2024")</f>
        <v/>
      </c>
      <c r="V380">
        <f>HYPERLINK("https://klasma.github.io/Logging_2283/klagomål/A 39897-2024 FSC-klagomål.docx", "A 39897-2024")</f>
        <v/>
      </c>
      <c r="W380">
        <f>HYPERLINK("https://klasma.github.io/Logging_2283/klagomålsmail/A 39897-2024 FSC-klagomål mail.docx", "A 39897-2024")</f>
        <v/>
      </c>
      <c r="X380">
        <f>HYPERLINK("https://klasma.github.io/Logging_2283/tillsyn/A 39897-2024 tillsynsbegäran.docx", "A 39897-2024")</f>
        <v/>
      </c>
      <c r="Y380">
        <f>HYPERLINK("https://klasma.github.io/Logging_2283/tillsynsmail/A 39897-2024 tillsynsbegäran mail.docx", "A 39897-2024")</f>
        <v/>
      </c>
    </row>
    <row r="381" ht="15" customHeight="1">
      <c r="A381" t="inlineStr">
        <is>
          <t>A 35217-2025</t>
        </is>
      </c>
      <c r="B381" s="1" t="n">
        <v>45853.49020833334</v>
      </c>
      <c r="C381" s="1" t="n">
        <v>46161</v>
      </c>
      <c r="D381" t="inlineStr">
        <is>
          <t>VÄSTERNORRLANDS LÄN</t>
        </is>
      </c>
      <c r="E381" t="inlineStr">
        <is>
          <t>SOLLEFTEÅ</t>
        </is>
      </c>
      <c r="F381" t="inlineStr">
        <is>
          <t>SCA</t>
        </is>
      </c>
      <c r="G381" t="n">
        <v>2.1</v>
      </c>
      <c r="H381" t="n">
        <v>1</v>
      </c>
      <c r="I381" t="n">
        <v>0</v>
      </c>
      <c r="J381" t="n">
        <v>0</v>
      </c>
      <c r="K381" t="n">
        <v>0</v>
      </c>
      <c r="L381" t="n">
        <v>0</v>
      </c>
      <c r="M381" t="n">
        <v>0</v>
      </c>
      <c r="N381" t="n">
        <v>0</v>
      </c>
      <c r="O381" t="n">
        <v>0</v>
      </c>
      <c r="P381" t="n">
        <v>0</v>
      </c>
      <c r="Q381" t="n">
        <v>1</v>
      </c>
      <c r="R381" s="2" t="inlineStr">
        <is>
          <t>Mattlummer</t>
        </is>
      </c>
      <c r="S381">
        <f>HYPERLINK("https://klasma.github.io/Logging_2283/artfynd/A 35217-2025 artfynd.xlsx", "A 35217-2025")</f>
        <v/>
      </c>
      <c r="T381">
        <f>HYPERLINK("https://klasma.github.io/Logging_2283/kartor/A 35217-2025 karta.png", "A 35217-2025")</f>
        <v/>
      </c>
      <c r="V381">
        <f>HYPERLINK("https://klasma.github.io/Logging_2283/klagomål/A 35217-2025 FSC-klagomål.docx", "A 35217-2025")</f>
        <v/>
      </c>
      <c r="W381">
        <f>HYPERLINK("https://klasma.github.io/Logging_2283/klagomålsmail/A 35217-2025 FSC-klagomål mail.docx", "A 35217-2025")</f>
        <v/>
      </c>
      <c r="X381">
        <f>HYPERLINK("https://klasma.github.io/Logging_2283/tillsyn/A 35217-2025 tillsynsbegäran.docx", "A 35217-2025")</f>
        <v/>
      </c>
      <c r="Y381">
        <f>HYPERLINK("https://klasma.github.io/Logging_2283/tillsynsmail/A 35217-2025 tillsynsbegäran mail.docx", "A 35217-2025")</f>
        <v/>
      </c>
    </row>
    <row r="382" ht="15" customHeight="1">
      <c r="A382" t="inlineStr">
        <is>
          <t>A 39565-2023</t>
        </is>
      </c>
      <c r="B382" s="1" t="n">
        <v>45167</v>
      </c>
      <c r="C382" s="1" t="n">
        <v>46161</v>
      </c>
      <c r="D382" t="inlineStr">
        <is>
          <t>VÄSTERNORRLANDS LÄN</t>
        </is>
      </c>
      <c r="E382" t="inlineStr">
        <is>
          <t>SOLLEFTEÅ</t>
        </is>
      </c>
      <c r="G382" t="n">
        <v>3.2</v>
      </c>
      <c r="H382" t="n">
        <v>0</v>
      </c>
      <c r="I382" t="n">
        <v>0</v>
      </c>
      <c r="J382" t="n">
        <v>1</v>
      </c>
      <c r="K382" t="n">
        <v>0</v>
      </c>
      <c r="L382" t="n">
        <v>0</v>
      </c>
      <c r="M382" t="n">
        <v>0</v>
      </c>
      <c r="N382" t="n">
        <v>0</v>
      </c>
      <c r="O382" t="n">
        <v>1</v>
      </c>
      <c r="P382" t="n">
        <v>0</v>
      </c>
      <c r="Q382" t="n">
        <v>1</v>
      </c>
      <c r="R382" s="2" t="inlineStr">
        <is>
          <t>Ullticka</t>
        </is>
      </c>
      <c r="S382">
        <f>HYPERLINK("https://klasma.github.io/Logging_2283/artfynd/A 39565-2023 artfynd.xlsx", "A 39565-2023")</f>
        <v/>
      </c>
      <c r="T382">
        <f>HYPERLINK("https://klasma.github.io/Logging_2283/kartor/A 39565-2023 karta.png", "A 39565-2023")</f>
        <v/>
      </c>
      <c r="V382">
        <f>HYPERLINK("https://klasma.github.io/Logging_2283/klagomål/A 39565-2023 FSC-klagomål.docx", "A 39565-2023")</f>
        <v/>
      </c>
      <c r="W382">
        <f>HYPERLINK("https://klasma.github.io/Logging_2283/klagomålsmail/A 39565-2023 FSC-klagomål mail.docx", "A 39565-2023")</f>
        <v/>
      </c>
      <c r="X382">
        <f>HYPERLINK("https://klasma.github.io/Logging_2283/tillsyn/A 39565-2023 tillsynsbegäran.docx", "A 39565-2023")</f>
        <v/>
      </c>
      <c r="Y382">
        <f>HYPERLINK("https://klasma.github.io/Logging_2283/tillsynsmail/A 39565-2023 tillsynsbegäran mail.docx", "A 39565-2023")</f>
        <v/>
      </c>
    </row>
    <row r="383" ht="15" customHeight="1">
      <c r="A383" t="inlineStr">
        <is>
          <t>A 35618-2025</t>
        </is>
      </c>
      <c r="B383" s="1" t="n">
        <v>45859.41335648148</v>
      </c>
      <c r="C383" s="1" t="n">
        <v>46161</v>
      </c>
      <c r="D383" t="inlineStr">
        <is>
          <t>VÄSTERNORRLANDS LÄN</t>
        </is>
      </c>
      <c r="E383" t="inlineStr">
        <is>
          <t>SOLLEFTEÅ</t>
        </is>
      </c>
      <c r="G383" t="n">
        <v>6.9</v>
      </c>
      <c r="H383" t="n">
        <v>1</v>
      </c>
      <c r="I383" t="n">
        <v>0</v>
      </c>
      <c r="J383" t="n">
        <v>1</v>
      </c>
      <c r="K383" t="n">
        <v>0</v>
      </c>
      <c r="L383" t="n">
        <v>0</v>
      </c>
      <c r="M383" t="n">
        <v>0</v>
      </c>
      <c r="N383" t="n">
        <v>0</v>
      </c>
      <c r="O383" t="n">
        <v>1</v>
      </c>
      <c r="P383" t="n">
        <v>0</v>
      </c>
      <c r="Q383" t="n">
        <v>1</v>
      </c>
      <c r="R383" s="2" t="inlineStr">
        <is>
          <t>Spillkråka</t>
        </is>
      </c>
      <c r="S383">
        <f>HYPERLINK("https://klasma.github.io/Logging_2283/artfynd/A 35618-2025 artfynd.xlsx", "A 35618-2025")</f>
        <v/>
      </c>
      <c r="T383">
        <f>HYPERLINK("https://klasma.github.io/Logging_2283/kartor/A 35618-2025 karta.png", "A 35618-2025")</f>
        <v/>
      </c>
      <c r="V383">
        <f>HYPERLINK("https://klasma.github.io/Logging_2283/klagomål/A 35618-2025 FSC-klagomål.docx", "A 35618-2025")</f>
        <v/>
      </c>
      <c r="W383">
        <f>HYPERLINK("https://klasma.github.io/Logging_2283/klagomålsmail/A 35618-2025 FSC-klagomål mail.docx", "A 35618-2025")</f>
        <v/>
      </c>
      <c r="X383">
        <f>HYPERLINK("https://klasma.github.io/Logging_2283/tillsyn/A 35618-2025 tillsynsbegäran.docx", "A 35618-2025")</f>
        <v/>
      </c>
      <c r="Y383">
        <f>HYPERLINK("https://klasma.github.io/Logging_2283/tillsynsmail/A 35618-2025 tillsynsbegäran mail.docx", "A 35618-2025")</f>
        <v/>
      </c>
      <c r="Z383">
        <f>HYPERLINK("https://klasma.github.io/Logging_2283/fåglar/A 35618-2025 prioriterade fågelarter.docx", "A 35618-2025")</f>
        <v/>
      </c>
    </row>
    <row r="384" ht="15" customHeight="1">
      <c r="A384" t="inlineStr">
        <is>
          <t>A 55722-2025</t>
        </is>
      </c>
      <c r="B384" s="1" t="n">
        <v>45972.51136574074</v>
      </c>
      <c r="C384" s="1" t="n">
        <v>46161</v>
      </c>
      <c r="D384" t="inlineStr">
        <is>
          <t>VÄSTERNORRLANDS LÄN</t>
        </is>
      </c>
      <c r="E384" t="inlineStr">
        <is>
          <t>SOLLEFTEÅ</t>
        </is>
      </c>
      <c r="F384" t="inlineStr">
        <is>
          <t>SCA</t>
        </is>
      </c>
      <c r="G384" t="n">
        <v>3.3</v>
      </c>
      <c r="H384" t="n">
        <v>0</v>
      </c>
      <c r="I384" t="n">
        <v>0</v>
      </c>
      <c r="J384" t="n">
        <v>1</v>
      </c>
      <c r="K384" t="n">
        <v>0</v>
      </c>
      <c r="L384" t="n">
        <v>0</v>
      </c>
      <c r="M384" t="n">
        <v>0</v>
      </c>
      <c r="N384" t="n">
        <v>0</v>
      </c>
      <c r="O384" t="n">
        <v>1</v>
      </c>
      <c r="P384" t="n">
        <v>0</v>
      </c>
      <c r="Q384" t="n">
        <v>1</v>
      </c>
      <c r="R384" s="2" t="inlineStr">
        <is>
          <t>Violettgrå tagellav</t>
        </is>
      </c>
      <c r="S384">
        <f>HYPERLINK("https://klasma.github.io/Logging_2283/artfynd/A 55722-2025 artfynd.xlsx", "A 55722-2025")</f>
        <v/>
      </c>
      <c r="T384">
        <f>HYPERLINK("https://klasma.github.io/Logging_2283/kartor/A 55722-2025 karta.png", "A 55722-2025")</f>
        <v/>
      </c>
      <c r="V384">
        <f>HYPERLINK("https://klasma.github.io/Logging_2283/klagomål/A 55722-2025 FSC-klagomål.docx", "A 55722-2025")</f>
        <v/>
      </c>
      <c r="W384">
        <f>HYPERLINK("https://klasma.github.io/Logging_2283/klagomålsmail/A 55722-2025 FSC-klagomål mail.docx", "A 55722-2025")</f>
        <v/>
      </c>
      <c r="X384">
        <f>HYPERLINK("https://klasma.github.io/Logging_2283/tillsyn/A 55722-2025 tillsynsbegäran.docx", "A 55722-2025")</f>
        <v/>
      </c>
      <c r="Y384">
        <f>HYPERLINK("https://klasma.github.io/Logging_2283/tillsynsmail/A 55722-2025 tillsynsbegäran mail.docx", "A 55722-2025")</f>
        <v/>
      </c>
    </row>
    <row r="385" ht="15" customHeight="1">
      <c r="A385" t="inlineStr">
        <is>
          <t>A 36432-2025</t>
        </is>
      </c>
      <c r="B385" s="1" t="n">
        <v>45869.36505787037</v>
      </c>
      <c r="C385" s="1" t="n">
        <v>46161</v>
      </c>
      <c r="D385" t="inlineStr">
        <is>
          <t>VÄSTERNORRLANDS LÄN</t>
        </is>
      </c>
      <c r="E385" t="inlineStr">
        <is>
          <t>SOLLEFTEÅ</t>
        </is>
      </c>
      <c r="F385" t="inlineStr">
        <is>
          <t>SCA</t>
        </is>
      </c>
      <c r="G385" t="n">
        <v>4.1</v>
      </c>
      <c r="H385" t="n">
        <v>0</v>
      </c>
      <c r="I385" t="n">
        <v>0</v>
      </c>
      <c r="J385" t="n">
        <v>1</v>
      </c>
      <c r="K385" t="n">
        <v>0</v>
      </c>
      <c r="L385" t="n">
        <v>0</v>
      </c>
      <c r="M385" t="n">
        <v>0</v>
      </c>
      <c r="N385" t="n">
        <v>0</v>
      </c>
      <c r="O385" t="n">
        <v>1</v>
      </c>
      <c r="P385" t="n">
        <v>0</v>
      </c>
      <c r="Q385" t="n">
        <v>1</v>
      </c>
      <c r="R385" s="2" t="inlineStr">
        <is>
          <t>Garnlav</t>
        </is>
      </c>
      <c r="S385">
        <f>HYPERLINK("https://klasma.github.io/Logging_2283/artfynd/A 36432-2025 artfynd.xlsx", "A 36432-2025")</f>
        <v/>
      </c>
      <c r="T385">
        <f>HYPERLINK("https://klasma.github.io/Logging_2283/kartor/A 36432-2025 karta.png", "A 36432-2025")</f>
        <v/>
      </c>
      <c r="V385">
        <f>HYPERLINK("https://klasma.github.io/Logging_2283/klagomål/A 36432-2025 FSC-klagomål.docx", "A 36432-2025")</f>
        <v/>
      </c>
      <c r="W385">
        <f>HYPERLINK("https://klasma.github.io/Logging_2283/klagomålsmail/A 36432-2025 FSC-klagomål mail.docx", "A 36432-2025")</f>
        <v/>
      </c>
      <c r="X385">
        <f>HYPERLINK("https://klasma.github.io/Logging_2283/tillsyn/A 36432-2025 tillsynsbegäran.docx", "A 36432-2025")</f>
        <v/>
      </c>
      <c r="Y385">
        <f>HYPERLINK("https://klasma.github.io/Logging_2283/tillsynsmail/A 36432-2025 tillsynsbegäran mail.docx", "A 36432-2025")</f>
        <v/>
      </c>
    </row>
    <row r="386" ht="15" customHeight="1">
      <c r="A386" t="inlineStr">
        <is>
          <t>A 27106-2022</t>
        </is>
      </c>
      <c r="B386" s="1" t="n">
        <v>44741</v>
      </c>
      <c r="C386" s="1" t="n">
        <v>46161</v>
      </c>
      <c r="D386" t="inlineStr">
        <is>
          <t>VÄSTERNORRLANDS LÄN</t>
        </is>
      </c>
      <c r="E386" t="inlineStr">
        <is>
          <t>SOLLEFTEÅ</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HYPERLINK("https://klasma.github.io/Logging_2283/artfynd/A 27106-2022 artfynd.xlsx", "A 27106-2022")</f>
        <v/>
      </c>
      <c r="T386">
        <f>HYPERLINK("https://klasma.github.io/Logging_2283/kartor/A 27106-2022 karta.png", "A 27106-2022")</f>
        <v/>
      </c>
      <c r="V386">
        <f>HYPERLINK("https://klasma.github.io/Logging_2283/klagomål/A 27106-2022 FSC-klagomål.docx", "A 27106-2022")</f>
        <v/>
      </c>
      <c r="W386">
        <f>HYPERLINK("https://klasma.github.io/Logging_2283/klagomålsmail/A 27106-2022 FSC-klagomål mail.docx", "A 27106-2022")</f>
        <v/>
      </c>
      <c r="X386">
        <f>HYPERLINK("https://klasma.github.io/Logging_2283/tillsyn/A 27106-2022 tillsynsbegäran.docx", "A 27106-2022")</f>
        <v/>
      </c>
      <c r="Y386">
        <f>HYPERLINK("https://klasma.github.io/Logging_2283/tillsynsmail/A 27106-2022 tillsynsbegäran mail.docx", "A 27106-2022")</f>
        <v/>
      </c>
    </row>
    <row r="387" ht="15" customHeight="1">
      <c r="A387" t="inlineStr">
        <is>
          <t>A 56421-2025</t>
        </is>
      </c>
      <c r="B387" s="1" t="n">
        <v>45975.34498842592</v>
      </c>
      <c r="C387" s="1" t="n">
        <v>46161</v>
      </c>
      <c r="D387" t="inlineStr">
        <is>
          <t>VÄSTERNORRLANDS LÄN</t>
        </is>
      </c>
      <c r="E387" t="inlineStr">
        <is>
          <t>SOLLEFTEÅ</t>
        </is>
      </c>
      <c r="F387" t="inlineStr">
        <is>
          <t>SCA</t>
        </is>
      </c>
      <c r="G387" t="n">
        <v>2.2</v>
      </c>
      <c r="H387" t="n">
        <v>0</v>
      </c>
      <c r="I387" t="n">
        <v>0</v>
      </c>
      <c r="J387" t="n">
        <v>1</v>
      </c>
      <c r="K387" t="n">
        <v>0</v>
      </c>
      <c r="L387" t="n">
        <v>0</v>
      </c>
      <c r="M387" t="n">
        <v>0</v>
      </c>
      <c r="N387" t="n">
        <v>0</v>
      </c>
      <c r="O387" t="n">
        <v>1</v>
      </c>
      <c r="P387" t="n">
        <v>0</v>
      </c>
      <c r="Q387" t="n">
        <v>1</v>
      </c>
      <c r="R387" s="2" t="inlineStr">
        <is>
          <t>Harticka</t>
        </is>
      </c>
      <c r="S387">
        <f>HYPERLINK("https://klasma.github.io/Logging_2283/artfynd/A 56421-2025 artfynd.xlsx", "A 56421-2025")</f>
        <v/>
      </c>
      <c r="T387">
        <f>HYPERLINK("https://klasma.github.io/Logging_2283/kartor/A 56421-2025 karta.png", "A 56421-2025")</f>
        <v/>
      </c>
      <c r="V387">
        <f>HYPERLINK("https://klasma.github.io/Logging_2283/klagomål/A 56421-2025 FSC-klagomål.docx", "A 56421-2025")</f>
        <v/>
      </c>
      <c r="W387">
        <f>HYPERLINK("https://klasma.github.io/Logging_2283/klagomålsmail/A 56421-2025 FSC-klagomål mail.docx", "A 56421-2025")</f>
        <v/>
      </c>
      <c r="X387">
        <f>HYPERLINK("https://klasma.github.io/Logging_2283/tillsyn/A 56421-2025 tillsynsbegäran.docx", "A 56421-2025")</f>
        <v/>
      </c>
      <c r="Y387">
        <f>HYPERLINK("https://klasma.github.io/Logging_2283/tillsynsmail/A 56421-2025 tillsynsbegäran mail.docx", "A 56421-2025")</f>
        <v/>
      </c>
    </row>
    <row r="388" ht="15" customHeight="1">
      <c r="A388" t="inlineStr">
        <is>
          <t>A 37018-2025</t>
        </is>
      </c>
      <c r="B388" s="1" t="n">
        <v>45874</v>
      </c>
      <c r="C388" s="1" t="n">
        <v>46161</v>
      </c>
      <c r="D388" t="inlineStr">
        <is>
          <t>VÄSTERNORRLANDS LÄN</t>
        </is>
      </c>
      <c r="E388" t="inlineStr">
        <is>
          <t>SOLLEFTEÅ</t>
        </is>
      </c>
      <c r="G388" t="n">
        <v>3.6</v>
      </c>
      <c r="H388" t="n">
        <v>0</v>
      </c>
      <c r="I388" t="n">
        <v>0</v>
      </c>
      <c r="J388" t="n">
        <v>1</v>
      </c>
      <c r="K388" t="n">
        <v>0</v>
      </c>
      <c r="L388" t="n">
        <v>0</v>
      </c>
      <c r="M388" t="n">
        <v>0</v>
      </c>
      <c r="N388" t="n">
        <v>0</v>
      </c>
      <c r="O388" t="n">
        <v>1</v>
      </c>
      <c r="P388" t="n">
        <v>0</v>
      </c>
      <c r="Q388" t="n">
        <v>1</v>
      </c>
      <c r="R388" s="2" t="inlineStr">
        <is>
          <t>Ullticka</t>
        </is>
      </c>
      <c r="S388">
        <f>HYPERLINK("https://klasma.github.io/Logging_2283/artfynd/A 37018-2025 artfynd.xlsx", "A 37018-2025")</f>
        <v/>
      </c>
      <c r="T388">
        <f>HYPERLINK("https://klasma.github.io/Logging_2283/kartor/A 37018-2025 karta.png", "A 37018-2025")</f>
        <v/>
      </c>
      <c r="V388">
        <f>HYPERLINK("https://klasma.github.io/Logging_2283/klagomål/A 37018-2025 FSC-klagomål.docx", "A 37018-2025")</f>
        <v/>
      </c>
      <c r="W388">
        <f>HYPERLINK("https://klasma.github.io/Logging_2283/klagomålsmail/A 37018-2025 FSC-klagomål mail.docx", "A 37018-2025")</f>
        <v/>
      </c>
      <c r="X388">
        <f>HYPERLINK("https://klasma.github.io/Logging_2283/tillsyn/A 37018-2025 tillsynsbegäran.docx", "A 37018-2025")</f>
        <v/>
      </c>
      <c r="Y388">
        <f>HYPERLINK("https://klasma.github.io/Logging_2283/tillsynsmail/A 37018-2025 tillsynsbegäran mail.docx", "A 37018-2025")</f>
        <v/>
      </c>
    </row>
    <row r="389" ht="15" customHeight="1">
      <c r="A389" t="inlineStr">
        <is>
          <t>A 56444-2025</t>
        </is>
      </c>
      <c r="B389" s="1" t="n">
        <v>45975.3480324074</v>
      </c>
      <c r="C389" s="1" t="n">
        <v>46161</v>
      </c>
      <c r="D389" t="inlineStr">
        <is>
          <t>VÄSTERNORRLANDS LÄN</t>
        </is>
      </c>
      <c r="E389" t="inlineStr">
        <is>
          <t>SOLLEFTEÅ</t>
        </is>
      </c>
      <c r="F389" t="inlineStr">
        <is>
          <t>SCA</t>
        </is>
      </c>
      <c r="G389" t="n">
        <v>4.1</v>
      </c>
      <c r="H389" t="n">
        <v>1</v>
      </c>
      <c r="I389" t="n">
        <v>1</v>
      </c>
      <c r="J389" t="n">
        <v>0</v>
      </c>
      <c r="K389" t="n">
        <v>0</v>
      </c>
      <c r="L389" t="n">
        <v>0</v>
      </c>
      <c r="M389" t="n">
        <v>0</v>
      </c>
      <c r="N389" t="n">
        <v>0</v>
      </c>
      <c r="O389" t="n">
        <v>0</v>
      </c>
      <c r="P389" t="n">
        <v>0</v>
      </c>
      <c r="Q389" t="n">
        <v>1</v>
      </c>
      <c r="R389" s="2" t="inlineStr">
        <is>
          <t>Plattlummer</t>
        </is>
      </c>
      <c r="S389">
        <f>HYPERLINK("https://klasma.github.io/Logging_2283/artfynd/A 56444-2025 artfynd.xlsx", "A 56444-2025")</f>
        <v/>
      </c>
      <c r="T389">
        <f>HYPERLINK("https://klasma.github.io/Logging_2283/kartor/A 56444-2025 karta.png", "A 56444-2025")</f>
        <v/>
      </c>
      <c r="V389">
        <f>HYPERLINK("https://klasma.github.io/Logging_2283/klagomål/A 56444-2025 FSC-klagomål.docx", "A 56444-2025")</f>
        <v/>
      </c>
      <c r="W389">
        <f>HYPERLINK("https://klasma.github.io/Logging_2283/klagomålsmail/A 56444-2025 FSC-klagomål mail.docx", "A 56444-2025")</f>
        <v/>
      </c>
      <c r="X389">
        <f>HYPERLINK("https://klasma.github.io/Logging_2283/tillsyn/A 56444-2025 tillsynsbegäran.docx", "A 56444-2025")</f>
        <v/>
      </c>
      <c r="Y389">
        <f>HYPERLINK("https://klasma.github.io/Logging_2283/tillsynsmail/A 56444-2025 tillsynsbegäran mail.docx", "A 56444-2025")</f>
        <v/>
      </c>
    </row>
    <row r="390" ht="15" customHeight="1">
      <c r="A390" t="inlineStr">
        <is>
          <t>A 56048-2025</t>
        </is>
      </c>
      <c r="B390" s="1" t="n">
        <v>45973</v>
      </c>
      <c r="C390" s="1" t="n">
        <v>46161</v>
      </c>
      <c r="D390" t="inlineStr">
        <is>
          <t>VÄSTERNORRLANDS LÄN</t>
        </is>
      </c>
      <c r="E390" t="inlineStr">
        <is>
          <t>SOLLEFTEÅ</t>
        </is>
      </c>
      <c r="G390" t="n">
        <v>3.6</v>
      </c>
      <c r="H390" t="n">
        <v>1</v>
      </c>
      <c r="I390" t="n">
        <v>0</v>
      </c>
      <c r="J390" t="n">
        <v>0</v>
      </c>
      <c r="K390" t="n">
        <v>0</v>
      </c>
      <c r="L390" t="n">
        <v>0</v>
      </c>
      <c r="M390" t="n">
        <v>0</v>
      </c>
      <c r="N390" t="n">
        <v>0</v>
      </c>
      <c r="O390" t="n">
        <v>0</v>
      </c>
      <c r="P390" t="n">
        <v>0</v>
      </c>
      <c r="Q390" t="n">
        <v>1</v>
      </c>
      <c r="R390" s="2" t="inlineStr">
        <is>
          <t>Tjäder</t>
        </is>
      </c>
      <c r="S390">
        <f>HYPERLINK("https://klasma.github.io/Logging_2283/artfynd/A 56048-2025 artfynd.xlsx", "A 56048-2025")</f>
        <v/>
      </c>
      <c r="T390">
        <f>HYPERLINK("https://klasma.github.io/Logging_2283/kartor/A 56048-2025 karta.png", "A 56048-2025")</f>
        <v/>
      </c>
      <c r="V390">
        <f>HYPERLINK("https://klasma.github.io/Logging_2283/klagomål/A 56048-2025 FSC-klagomål.docx", "A 56048-2025")</f>
        <v/>
      </c>
      <c r="W390">
        <f>HYPERLINK("https://klasma.github.io/Logging_2283/klagomålsmail/A 56048-2025 FSC-klagomål mail.docx", "A 56048-2025")</f>
        <v/>
      </c>
      <c r="X390">
        <f>HYPERLINK("https://klasma.github.io/Logging_2283/tillsyn/A 56048-2025 tillsynsbegäran.docx", "A 56048-2025")</f>
        <v/>
      </c>
      <c r="Y390">
        <f>HYPERLINK("https://klasma.github.io/Logging_2283/tillsynsmail/A 56048-2025 tillsynsbegäran mail.docx", "A 56048-2025")</f>
        <v/>
      </c>
      <c r="Z390">
        <f>HYPERLINK("https://klasma.github.io/Logging_2283/fåglar/A 56048-2025 prioriterade fågelarter.docx", "A 56048-2025")</f>
        <v/>
      </c>
    </row>
    <row r="391" ht="15" customHeight="1">
      <c r="A391" t="inlineStr">
        <is>
          <t>A 57987-2025</t>
        </is>
      </c>
      <c r="B391" s="1" t="n">
        <v>45982.41984953704</v>
      </c>
      <c r="C391" s="1" t="n">
        <v>46161</v>
      </c>
      <c r="D391" t="inlineStr">
        <is>
          <t>VÄSTERNORRLANDS LÄN</t>
        </is>
      </c>
      <c r="E391" t="inlineStr">
        <is>
          <t>SOLLEFTEÅ</t>
        </is>
      </c>
      <c r="G391" t="n">
        <v>2.8</v>
      </c>
      <c r="H391" t="n">
        <v>0</v>
      </c>
      <c r="I391" t="n">
        <v>1</v>
      </c>
      <c r="J391" t="n">
        <v>0</v>
      </c>
      <c r="K391" t="n">
        <v>0</v>
      </c>
      <c r="L391" t="n">
        <v>0</v>
      </c>
      <c r="M391" t="n">
        <v>0</v>
      </c>
      <c r="N391" t="n">
        <v>0</v>
      </c>
      <c r="O391" t="n">
        <v>0</v>
      </c>
      <c r="P391" t="n">
        <v>0</v>
      </c>
      <c r="Q391" t="n">
        <v>1</v>
      </c>
      <c r="R391" s="2" t="inlineStr">
        <is>
          <t>Stuplav</t>
        </is>
      </c>
      <c r="S391">
        <f>HYPERLINK("https://klasma.github.io/Logging_2283/artfynd/A 57987-2025 artfynd.xlsx", "A 57987-2025")</f>
        <v/>
      </c>
      <c r="T391">
        <f>HYPERLINK("https://klasma.github.io/Logging_2283/kartor/A 57987-2025 karta.png", "A 57987-2025")</f>
        <v/>
      </c>
      <c r="V391">
        <f>HYPERLINK("https://klasma.github.io/Logging_2283/klagomål/A 57987-2025 FSC-klagomål.docx", "A 57987-2025")</f>
        <v/>
      </c>
      <c r="W391">
        <f>HYPERLINK("https://klasma.github.io/Logging_2283/klagomålsmail/A 57987-2025 FSC-klagomål mail.docx", "A 57987-2025")</f>
        <v/>
      </c>
      <c r="X391">
        <f>HYPERLINK("https://klasma.github.io/Logging_2283/tillsyn/A 57987-2025 tillsynsbegäran.docx", "A 57987-2025")</f>
        <v/>
      </c>
      <c r="Y391">
        <f>HYPERLINK("https://klasma.github.io/Logging_2283/tillsynsmail/A 57987-2025 tillsynsbegäran mail.docx", "A 57987-2025")</f>
        <v/>
      </c>
    </row>
    <row r="392" ht="15" customHeight="1">
      <c r="A392" t="inlineStr">
        <is>
          <t>A 35295-2023</t>
        </is>
      </c>
      <c r="B392" s="1" t="n">
        <v>45145</v>
      </c>
      <c r="C392" s="1" t="n">
        <v>46161</v>
      </c>
      <c r="D392" t="inlineStr">
        <is>
          <t>VÄSTERNORRLANDS LÄN</t>
        </is>
      </c>
      <c r="E392" t="inlineStr">
        <is>
          <t>SOLLEFTEÅ</t>
        </is>
      </c>
      <c r="F392" t="inlineStr">
        <is>
          <t>SCA</t>
        </is>
      </c>
      <c r="G392" t="n">
        <v>8.9</v>
      </c>
      <c r="H392" t="n">
        <v>1</v>
      </c>
      <c r="I392" t="n">
        <v>0</v>
      </c>
      <c r="J392" t="n">
        <v>1</v>
      </c>
      <c r="K392" t="n">
        <v>0</v>
      </c>
      <c r="L392" t="n">
        <v>0</v>
      </c>
      <c r="M392" t="n">
        <v>0</v>
      </c>
      <c r="N392" t="n">
        <v>0</v>
      </c>
      <c r="O392" t="n">
        <v>1</v>
      </c>
      <c r="P392" t="n">
        <v>0</v>
      </c>
      <c r="Q392" t="n">
        <v>1</v>
      </c>
      <c r="R392" s="2" t="inlineStr">
        <is>
          <t>Talltita</t>
        </is>
      </c>
      <c r="S392">
        <f>HYPERLINK("https://klasma.github.io/Logging_2283/artfynd/A 35295-2023 artfynd.xlsx", "A 35295-2023")</f>
        <v/>
      </c>
      <c r="T392">
        <f>HYPERLINK("https://klasma.github.io/Logging_2283/kartor/A 35295-2023 karta.png", "A 35295-2023")</f>
        <v/>
      </c>
      <c r="V392">
        <f>HYPERLINK("https://klasma.github.io/Logging_2283/klagomål/A 35295-2023 FSC-klagomål.docx", "A 35295-2023")</f>
        <v/>
      </c>
      <c r="W392">
        <f>HYPERLINK("https://klasma.github.io/Logging_2283/klagomålsmail/A 35295-2023 FSC-klagomål mail.docx", "A 35295-2023")</f>
        <v/>
      </c>
      <c r="X392">
        <f>HYPERLINK("https://klasma.github.io/Logging_2283/tillsyn/A 35295-2023 tillsynsbegäran.docx", "A 35295-2023")</f>
        <v/>
      </c>
      <c r="Y392">
        <f>HYPERLINK("https://klasma.github.io/Logging_2283/tillsynsmail/A 35295-2023 tillsynsbegäran mail.docx", "A 35295-2023")</f>
        <v/>
      </c>
      <c r="Z392">
        <f>HYPERLINK("https://klasma.github.io/Logging_2283/fåglar/A 35295-2023 prioriterade fågelarter.docx", "A 35295-2023")</f>
        <v/>
      </c>
    </row>
    <row r="393" ht="15" customHeight="1">
      <c r="A393" t="inlineStr">
        <is>
          <t>A 49189-2025</t>
        </is>
      </c>
      <c r="B393" s="1" t="n">
        <v>45938</v>
      </c>
      <c r="C393" s="1" t="n">
        <v>46161</v>
      </c>
      <c r="D393" t="inlineStr">
        <is>
          <t>VÄSTERNORRLANDS LÄN</t>
        </is>
      </c>
      <c r="E393" t="inlineStr">
        <is>
          <t>SOLLEFTEÅ</t>
        </is>
      </c>
      <c r="F393" t="inlineStr">
        <is>
          <t>SCA</t>
        </is>
      </c>
      <c r="G393" t="n">
        <v>7.5</v>
      </c>
      <c r="H393" t="n">
        <v>0</v>
      </c>
      <c r="I393" t="n">
        <v>0</v>
      </c>
      <c r="J393" t="n">
        <v>1</v>
      </c>
      <c r="K393" t="n">
        <v>0</v>
      </c>
      <c r="L393" t="n">
        <v>0</v>
      </c>
      <c r="M393" t="n">
        <v>0</v>
      </c>
      <c r="N393" t="n">
        <v>0</v>
      </c>
      <c r="O393" t="n">
        <v>1</v>
      </c>
      <c r="P393" t="n">
        <v>0</v>
      </c>
      <c r="Q393" t="n">
        <v>1</v>
      </c>
      <c r="R393" s="2" t="inlineStr">
        <is>
          <t>Rosenticka</t>
        </is>
      </c>
      <c r="S393">
        <f>HYPERLINK("https://klasma.github.io/Logging_2283/artfynd/A 49189-2025 artfynd.xlsx", "A 49189-2025")</f>
        <v/>
      </c>
      <c r="T393">
        <f>HYPERLINK("https://klasma.github.io/Logging_2283/kartor/A 49189-2025 karta.png", "A 49189-2025")</f>
        <v/>
      </c>
      <c r="U393">
        <f>HYPERLINK("https://klasma.github.io/Logging_2283/knärot/A 49189-2025 karta knärot.png", "A 49189-2025")</f>
        <v/>
      </c>
      <c r="V393">
        <f>HYPERLINK("https://klasma.github.io/Logging_2283/klagomål/A 49189-2025 FSC-klagomål.docx", "A 49189-2025")</f>
        <v/>
      </c>
      <c r="W393">
        <f>HYPERLINK("https://klasma.github.io/Logging_2283/klagomålsmail/A 49189-2025 FSC-klagomål mail.docx", "A 49189-2025")</f>
        <v/>
      </c>
      <c r="X393">
        <f>HYPERLINK("https://klasma.github.io/Logging_2283/tillsyn/A 49189-2025 tillsynsbegäran.docx", "A 49189-2025")</f>
        <v/>
      </c>
      <c r="Y393">
        <f>HYPERLINK("https://klasma.github.io/Logging_2283/tillsynsmail/A 49189-2025 tillsynsbegäran mail.docx", "A 49189-2025")</f>
        <v/>
      </c>
    </row>
    <row r="394" ht="15" customHeight="1">
      <c r="A394" t="inlineStr">
        <is>
          <t>A 62256-2025</t>
        </is>
      </c>
      <c r="B394" s="1" t="n">
        <v>46006.61503472222</v>
      </c>
      <c r="C394" s="1" t="n">
        <v>46161</v>
      </c>
      <c r="D394" t="inlineStr">
        <is>
          <t>VÄSTERNORRLANDS LÄN</t>
        </is>
      </c>
      <c r="E394" t="inlineStr">
        <is>
          <t>SOLLEFTEÅ</t>
        </is>
      </c>
      <c r="F394" t="inlineStr">
        <is>
          <t>SCA</t>
        </is>
      </c>
      <c r="G394" t="n">
        <v>9</v>
      </c>
      <c r="H394" t="n">
        <v>0</v>
      </c>
      <c r="I394" t="n">
        <v>0</v>
      </c>
      <c r="J394" t="n">
        <v>1</v>
      </c>
      <c r="K394" t="n">
        <v>0</v>
      </c>
      <c r="L394" t="n">
        <v>0</v>
      </c>
      <c r="M394" t="n">
        <v>0</v>
      </c>
      <c r="N394" t="n">
        <v>0</v>
      </c>
      <c r="O394" t="n">
        <v>1</v>
      </c>
      <c r="P394" t="n">
        <v>0</v>
      </c>
      <c r="Q394" t="n">
        <v>1</v>
      </c>
      <c r="R394" s="2" t="inlineStr">
        <is>
          <t>Harticka</t>
        </is>
      </c>
      <c r="S394">
        <f>HYPERLINK("https://klasma.github.io/Logging_2283/artfynd/A 62256-2025 artfynd.xlsx", "A 62256-2025")</f>
        <v/>
      </c>
      <c r="T394">
        <f>HYPERLINK("https://klasma.github.io/Logging_2283/kartor/A 62256-2025 karta.png", "A 62256-2025")</f>
        <v/>
      </c>
      <c r="V394">
        <f>HYPERLINK("https://klasma.github.io/Logging_2283/klagomål/A 62256-2025 FSC-klagomål.docx", "A 62256-2025")</f>
        <v/>
      </c>
      <c r="W394">
        <f>HYPERLINK("https://klasma.github.io/Logging_2283/klagomålsmail/A 62256-2025 FSC-klagomål mail.docx", "A 62256-2025")</f>
        <v/>
      </c>
      <c r="X394">
        <f>HYPERLINK("https://klasma.github.io/Logging_2283/tillsyn/A 62256-2025 tillsynsbegäran.docx", "A 62256-2025")</f>
        <v/>
      </c>
      <c r="Y394">
        <f>HYPERLINK("https://klasma.github.io/Logging_2283/tillsynsmail/A 62256-2025 tillsynsbegäran mail.docx", "A 62256-2025")</f>
        <v/>
      </c>
    </row>
    <row r="395" ht="15" customHeight="1">
      <c r="A395" t="inlineStr">
        <is>
          <t>A 21708-2022</t>
        </is>
      </c>
      <c r="B395" s="1" t="n">
        <v>44707</v>
      </c>
      <c r="C395" s="1" t="n">
        <v>46161</v>
      </c>
      <c r="D395" t="inlineStr">
        <is>
          <t>VÄSTERNORRLANDS LÄN</t>
        </is>
      </c>
      <c r="E395" t="inlineStr">
        <is>
          <t>SOLLEFTEÅ</t>
        </is>
      </c>
      <c r="F395" t="inlineStr">
        <is>
          <t>SCA</t>
        </is>
      </c>
      <c r="G395" t="n">
        <v>2.6</v>
      </c>
      <c r="H395" t="n">
        <v>0</v>
      </c>
      <c r="I395" t="n">
        <v>0</v>
      </c>
      <c r="J395" t="n">
        <v>1</v>
      </c>
      <c r="K395" t="n">
        <v>0</v>
      </c>
      <c r="L395" t="n">
        <v>0</v>
      </c>
      <c r="M395" t="n">
        <v>0</v>
      </c>
      <c r="N395" t="n">
        <v>0</v>
      </c>
      <c r="O395" t="n">
        <v>1</v>
      </c>
      <c r="P395" t="n">
        <v>0</v>
      </c>
      <c r="Q395" t="n">
        <v>1</v>
      </c>
      <c r="R395" s="2" t="inlineStr">
        <is>
          <t>Lunglav</t>
        </is>
      </c>
      <c r="S395">
        <f>HYPERLINK("https://klasma.github.io/Logging_2283/artfynd/A 21708-2022 artfynd.xlsx", "A 21708-2022")</f>
        <v/>
      </c>
      <c r="T395">
        <f>HYPERLINK("https://klasma.github.io/Logging_2283/kartor/A 21708-2022 karta.png", "A 21708-2022")</f>
        <v/>
      </c>
      <c r="V395">
        <f>HYPERLINK("https://klasma.github.io/Logging_2283/klagomål/A 21708-2022 FSC-klagomål.docx", "A 21708-2022")</f>
        <v/>
      </c>
      <c r="W395">
        <f>HYPERLINK("https://klasma.github.io/Logging_2283/klagomålsmail/A 21708-2022 FSC-klagomål mail.docx", "A 21708-2022")</f>
        <v/>
      </c>
      <c r="X395">
        <f>HYPERLINK("https://klasma.github.io/Logging_2283/tillsyn/A 21708-2022 tillsynsbegäran.docx", "A 21708-2022")</f>
        <v/>
      </c>
      <c r="Y395">
        <f>HYPERLINK("https://klasma.github.io/Logging_2283/tillsynsmail/A 21708-2022 tillsynsbegäran mail.docx", "A 21708-2022")</f>
        <v/>
      </c>
    </row>
    <row r="396" ht="15" customHeight="1">
      <c r="A396" t="inlineStr">
        <is>
          <t>A 63874-2025</t>
        </is>
      </c>
      <c r="B396" s="1" t="n">
        <v>46020.53168981482</v>
      </c>
      <c r="C396" s="1" t="n">
        <v>46161</v>
      </c>
      <c r="D396" t="inlineStr">
        <is>
          <t>VÄSTERNORRLANDS LÄN</t>
        </is>
      </c>
      <c r="E396" t="inlineStr">
        <is>
          <t>SOLLEFTEÅ</t>
        </is>
      </c>
      <c r="G396" t="n">
        <v>1.2</v>
      </c>
      <c r="H396" t="n">
        <v>0</v>
      </c>
      <c r="I396" t="n">
        <v>1</v>
      </c>
      <c r="J396" t="n">
        <v>0</v>
      </c>
      <c r="K396" t="n">
        <v>0</v>
      </c>
      <c r="L396" t="n">
        <v>0</v>
      </c>
      <c r="M396" t="n">
        <v>0</v>
      </c>
      <c r="N396" t="n">
        <v>0</v>
      </c>
      <c r="O396" t="n">
        <v>0</v>
      </c>
      <c r="P396" t="n">
        <v>0</v>
      </c>
      <c r="Q396" t="n">
        <v>1</v>
      </c>
      <c r="R396" s="2" t="inlineStr">
        <is>
          <t>Stuplav</t>
        </is>
      </c>
      <c r="S396">
        <f>HYPERLINK("https://klasma.github.io/Logging_2283/artfynd/A 63874-2025 artfynd.xlsx", "A 63874-2025")</f>
        <v/>
      </c>
      <c r="T396">
        <f>HYPERLINK("https://klasma.github.io/Logging_2283/kartor/A 63874-2025 karta.png", "A 63874-2025")</f>
        <v/>
      </c>
      <c r="V396">
        <f>HYPERLINK("https://klasma.github.io/Logging_2283/klagomål/A 63874-2025 FSC-klagomål.docx", "A 63874-2025")</f>
        <v/>
      </c>
      <c r="W396">
        <f>HYPERLINK("https://klasma.github.io/Logging_2283/klagomålsmail/A 63874-2025 FSC-klagomål mail.docx", "A 63874-2025")</f>
        <v/>
      </c>
      <c r="X396">
        <f>HYPERLINK("https://klasma.github.io/Logging_2283/tillsyn/A 63874-2025 tillsynsbegäran.docx", "A 63874-2025")</f>
        <v/>
      </c>
      <c r="Y396">
        <f>HYPERLINK("https://klasma.github.io/Logging_2283/tillsynsmail/A 63874-2025 tillsynsbegäran mail.docx", "A 63874-2025")</f>
        <v/>
      </c>
    </row>
    <row r="397" ht="15" customHeight="1">
      <c r="A397" t="inlineStr">
        <is>
          <t>A 54734-2024</t>
        </is>
      </c>
      <c r="B397" s="1" t="n">
        <v>45618.43879629629</v>
      </c>
      <c r="C397" s="1" t="n">
        <v>46161</v>
      </c>
      <c r="D397" t="inlineStr">
        <is>
          <t>VÄSTERNORRLANDS LÄN</t>
        </is>
      </c>
      <c r="E397" t="inlineStr">
        <is>
          <t>SOLLEFTEÅ</t>
        </is>
      </c>
      <c r="F397" t="inlineStr">
        <is>
          <t>SCA</t>
        </is>
      </c>
      <c r="G397" t="n">
        <v>3.2</v>
      </c>
      <c r="H397" t="n">
        <v>0</v>
      </c>
      <c r="I397" t="n">
        <v>0</v>
      </c>
      <c r="J397" t="n">
        <v>1</v>
      </c>
      <c r="K397" t="n">
        <v>0</v>
      </c>
      <c r="L397" t="n">
        <v>0</v>
      </c>
      <c r="M397" t="n">
        <v>0</v>
      </c>
      <c r="N397" t="n">
        <v>0</v>
      </c>
      <c r="O397" t="n">
        <v>1</v>
      </c>
      <c r="P397" t="n">
        <v>0</v>
      </c>
      <c r="Q397" t="n">
        <v>1</v>
      </c>
      <c r="R397" s="2" t="inlineStr">
        <is>
          <t>Ullticka</t>
        </is>
      </c>
      <c r="S397">
        <f>HYPERLINK("https://klasma.github.io/Logging_2283/artfynd/A 54734-2024 artfynd.xlsx", "A 54734-2024")</f>
        <v/>
      </c>
      <c r="T397">
        <f>HYPERLINK("https://klasma.github.io/Logging_2283/kartor/A 54734-2024 karta.png", "A 54734-2024")</f>
        <v/>
      </c>
      <c r="V397">
        <f>HYPERLINK("https://klasma.github.io/Logging_2283/klagomål/A 54734-2024 FSC-klagomål.docx", "A 54734-2024")</f>
        <v/>
      </c>
      <c r="W397">
        <f>HYPERLINK("https://klasma.github.io/Logging_2283/klagomålsmail/A 54734-2024 FSC-klagomål mail.docx", "A 54734-2024")</f>
        <v/>
      </c>
      <c r="X397">
        <f>HYPERLINK("https://klasma.github.io/Logging_2283/tillsyn/A 54734-2024 tillsynsbegäran.docx", "A 54734-2024")</f>
        <v/>
      </c>
      <c r="Y397">
        <f>HYPERLINK("https://klasma.github.io/Logging_2283/tillsynsmail/A 54734-2024 tillsynsbegäran mail.docx", "A 54734-2024")</f>
        <v/>
      </c>
    </row>
    <row r="398" ht="15" customHeight="1">
      <c r="A398" t="inlineStr">
        <is>
          <t>A 3804-2026</t>
        </is>
      </c>
      <c r="B398" s="1" t="n">
        <v>46043.58314814815</v>
      </c>
      <c r="C398" s="1" t="n">
        <v>46161</v>
      </c>
      <c r="D398" t="inlineStr">
        <is>
          <t>VÄSTERNORRLANDS LÄN</t>
        </is>
      </c>
      <c r="E398" t="inlineStr">
        <is>
          <t>SOLLEFTEÅ</t>
        </is>
      </c>
      <c r="F398" t="inlineStr">
        <is>
          <t>SCA</t>
        </is>
      </c>
      <c r="G398" t="n">
        <v>11.8</v>
      </c>
      <c r="H398" t="n">
        <v>0</v>
      </c>
      <c r="I398" t="n">
        <v>0</v>
      </c>
      <c r="J398" t="n">
        <v>1</v>
      </c>
      <c r="K398" t="n">
        <v>0</v>
      </c>
      <c r="L398" t="n">
        <v>0</v>
      </c>
      <c r="M398" t="n">
        <v>0</v>
      </c>
      <c r="N398" t="n">
        <v>0</v>
      </c>
      <c r="O398" t="n">
        <v>1</v>
      </c>
      <c r="P398" t="n">
        <v>0</v>
      </c>
      <c r="Q398" t="n">
        <v>1</v>
      </c>
      <c r="R398" s="2" t="inlineStr">
        <is>
          <t>Dofttaggsvamp</t>
        </is>
      </c>
      <c r="S398">
        <f>HYPERLINK("https://klasma.github.io/Logging_2283/artfynd/A 3804-2026 artfynd.xlsx", "A 3804-2026")</f>
        <v/>
      </c>
      <c r="T398">
        <f>HYPERLINK("https://klasma.github.io/Logging_2283/kartor/A 3804-2026 karta.png", "A 3804-2026")</f>
        <v/>
      </c>
      <c r="V398">
        <f>HYPERLINK("https://klasma.github.io/Logging_2283/klagomål/A 3804-2026 FSC-klagomål.docx", "A 3804-2026")</f>
        <v/>
      </c>
      <c r="W398">
        <f>HYPERLINK("https://klasma.github.io/Logging_2283/klagomålsmail/A 3804-2026 FSC-klagomål mail.docx", "A 3804-2026")</f>
        <v/>
      </c>
      <c r="X398">
        <f>HYPERLINK("https://klasma.github.io/Logging_2283/tillsyn/A 3804-2026 tillsynsbegäran.docx", "A 3804-2026")</f>
        <v/>
      </c>
      <c r="Y398">
        <f>HYPERLINK("https://klasma.github.io/Logging_2283/tillsynsmail/A 3804-2026 tillsynsbegäran mail.docx", "A 3804-2026")</f>
        <v/>
      </c>
    </row>
    <row r="399" ht="15" customHeight="1">
      <c r="A399" t="inlineStr">
        <is>
          <t>A 17215-2025</t>
        </is>
      </c>
      <c r="B399" s="1" t="n">
        <v>45756.44856481482</v>
      </c>
      <c r="C399" s="1" t="n">
        <v>46161</v>
      </c>
      <c r="D399" t="inlineStr">
        <is>
          <t>VÄSTERNORRLANDS LÄN</t>
        </is>
      </c>
      <c r="E399" t="inlineStr">
        <is>
          <t>SOLLEFTEÅ</t>
        </is>
      </c>
      <c r="F399" t="inlineStr">
        <is>
          <t>SCA</t>
        </is>
      </c>
      <c r="G399" t="n">
        <v>5</v>
      </c>
      <c r="H399" t="n">
        <v>0</v>
      </c>
      <c r="I399" t="n">
        <v>0</v>
      </c>
      <c r="J399" t="n">
        <v>1</v>
      </c>
      <c r="K399" t="n">
        <v>0</v>
      </c>
      <c r="L399" t="n">
        <v>0</v>
      </c>
      <c r="M399" t="n">
        <v>0</v>
      </c>
      <c r="N399" t="n">
        <v>0</v>
      </c>
      <c r="O399" t="n">
        <v>1</v>
      </c>
      <c r="P399" t="n">
        <v>0</v>
      </c>
      <c r="Q399" t="n">
        <v>1</v>
      </c>
      <c r="R399" s="2" t="inlineStr">
        <is>
          <t>Vitgrynig nållav</t>
        </is>
      </c>
      <c r="S399">
        <f>HYPERLINK("https://klasma.github.io/Logging_2283/artfynd/A 17215-2025 artfynd.xlsx", "A 17215-2025")</f>
        <v/>
      </c>
      <c r="T399">
        <f>HYPERLINK("https://klasma.github.io/Logging_2283/kartor/A 17215-2025 karta.png", "A 17215-2025")</f>
        <v/>
      </c>
      <c r="V399">
        <f>HYPERLINK("https://klasma.github.io/Logging_2283/klagomål/A 17215-2025 FSC-klagomål.docx", "A 17215-2025")</f>
        <v/>
      </c>
      <c r="W399">
        <f>HYPERLINK("https://klasma.github.io/Logging_2283/klagomålsmail/A 17215-2025 FSC-klagomål mail.docx", "A 17215-2025")</f>
        <v/>
      </c>
      <c r="X399">
        <f>HYPERLINK("https://klasma.github.io/Logging_2283/tillsyn/A 17215-2025 tillsynsbegäran.docx", "A 17215-2025")</f>
        <v/>
      </c>
      <c r="Y399">
        <f>HYPERLINK("https://klasma.github.io/Logging_2283/tillsynsmail/A 17215-2025 tillsynsbegäran mail.docx", "A 17215-2025")</f>
        <v/>
      </c>
    </row>
    <row r="400" ht="15" customHeight="1">
      <c r="A400" t="inlineStr">
        <is>
          <t>A 49367-2024</t>
        </is>
      </c>
      <c r="B400" s="1" t="n">
        <v>45595.63591435185</v>
      </c>
      <c r="C400" s="1" t="n">
        <v>46161</v>
      </c>
      <c r="D400" t="inlineStr">
        <is>
          <t>VÄSTERNORRLANDS LÄN</t>
        </is>
      </c>
      <c r="E400" t="inlineStr">
        <is>
          <t>SOLLEFTEÅ</t>
        </is>
      </c>
      <c r="F400" t="inlineStr">
        <is>
          <t>SCA</t>
        </is>
      </c>
      <c r="G400" t="n">
        <v>1.6</v>
      </c>
      <c r="H400" t="n">
        <v>1</v>
      </c>
      <c r="I400" t="n">
        <v>0</v>
      </c>
      <c r="J400" t="n">
        <v>0</v>
      </c>
      <c r="K400" t="n">
        <v>1</v>
      </c>
      <c r="L400" t="n">
        <v>0</v>
      </c>
      <c r="M400" t="n">
        <v>0</v>
      </c>
      <c r="N400" t="n">
        <v>0</v>
      </c>
      <c r="O400" t="n">
        <v>1</v>
      </c>
      <c r="P400" t="n">
        <v>1</v>
      </c>
      <c r="Q400" t="n">
        <v>1</v>
      </c>
      <c r="R400" s="2" t="inlineStr">
        <is>
          <t>Knärot</t>
        </is>
      </c>
      <c r="S400">
        <f>HYPERLINK("https://klasma.github.io/Logging_2283/artfynd/A 49367-2024 artfynd.xlsx", "A 49367-2024")</f>
        <v/>
      </c>
      <c r="T400">
        <f>HYPERLINK("https://klasma.github.io/Logging_2283/kartor/A 49367-2024 karta.png", "A 49367-2024")</f>
        <v/>
      </c>
      <c r="U400">
        <f>HYPERLINK("https://klasma.github.io/Logging_2283/knärot/A 49367-2024 karta knärot.png", "A 49367-2024")</f>
        <v/>
      </c>
      <c r="V400">
        <f>HYPERLINK("https://klasma.github.io/Logging_2283/klagomål/A 49367-2024 FSC-klagomål.docx", "A 49367-2024")</f>
        <v/>
      </c>
      <c r="W400">
        <f>HYPERLINK("https://klasma.github.io/Logging_2283/klagomålsmail/A 49367-2024 FSC-klagomål mail.docx", "A 49367-2024")</f>
        <v/>
      </c>
      <c r="X400">
        <f>HYPERLINK("https://klasma.github.io/Logging_2283/tillsyn/A 49367-2024 tillsynsbegäran.docx", "A 49367-2024")</f>
        <v/>
      </c>
      <c r="Y400">
        <f>HYPERLINK("https://klasma.github.io/Logging_2283/tillsynsmail/A 49367-2024 tillsynsbegäran mail.docx", "A 49367-2024")</f>
        <v/>
      </c>
    </row>
    <row r="401" ht="15" customHeight="1">
      <c r="A401" t="inlineStr">
        <is>
          <t>A 33504-2022</t>
        </is>
      </c>
      <c r="B401" s="1" t="n">
        <v>44788</v>
      </c>
      <c r="C401" s="1" t="n">
        <v>46161</v>
      </c>
      <c r="D401" t="inlineStr">
        <is>
          <t>VÄSTERNORRLANDS LÄN</t>
        </is>
      </c>
      <c r="E401" t="inlineStr">
        <is>
          <t>SOLLEFTEÅ</t>
        </is>
      </c>
      <c r="F401" t="inlineStr">
        <is>
          <t>SCA</t>
        </is>
      </c>
      <c r="G401" t="n">
        <v>5.2</v>
      </c>
      <c r="H401" t="n">
        <v>1</v>
      </c>
      <c r="I401" t="n">
        <v>0</v>
      </c>
      <c r="J401" t="n">
        <v>0</v>
      </c>
      <c r="K401" t="n">
        <v>1</v>
      </c>
      <c r="L401" t="n">
        <v>0</v>
      </c>
      <c r="M401" t="n">
        <v>0</v>
      </c>
      <c r="N401" t="n">
        <v>0</v>
      </c>
      <c r="O401" t="n">
        <v>1</v>
      </c>
      <c r="P401" t="n">
        <v>1</v>
      </c>
      <c r="Q401" t="n">
        <v>1</v>
      </c>
      <c r="R401" s="2" t="inlineStr">
        <is>
          <t>Knärot</t>
        </is>
      </c>
      <c r="S401">
        <f>HYPERLINK("https://klasma.github.io/Logging_2283/artfynd/A 33504-2022 artfynd.xlsx", "A 33504-2022")</f>
        <v/>
      </c>
      <c r="T401">
        <f>HYPERLINK("https://klasma.github.io/Logging_2283/kartor/A 33504-2022 karta.png", "A 33504-2022")</f>
        <v/>
      </c>
      <c r="U401">
        <f>HYPERLINK("https://klasma.github.io/Logging_2283/knärot/A 33504-2022 karta knärot.png", "A 33504-2022")</f>
        <v/>
      </c>
      <c r="V401">
        <f>HYPERLINK("https://klasma.github.io/Logging_2283/klagomål/A 33504-2022 FSC-klagomål.docx", "A 33504-2022")</f>
        <v/>
      </c>
      <c r="W401">
        <f>HYPERLINK("https://klasma.github.io/Logging_2283/klagomålsmail/A 33504-2022 FSC-klagomål mail.docx", "A 33504-2022")</f>
        <v/>
      </c>
      <c r="X401">
        <f>HYPERLINK("https://klasma.github.io/Logging_2283/tillsyn/A 33504-2022 tillsynsbegäran.docx", "A 33504-2022")</f>
        <v/>
      </c>
      <c r="Y401">
        <f>HYPERLINK("https://klasma.github.io/Logging_2283/tillsynsmail/A 33504-2022 tillsynsbegäran mail.docx", "A 33504-2022")</f>
        <v/>
      </c>
    </row>
    <row r="402" ht="15" customHeight="1">
      <c r="A402" t="inlineStr">
        <is>
          <t>A 5048-2026</t>
        </is>
      </c>
      <c r="B402" s="1" t="n">
        <v>46049.46950231482</v>
      </c>
      <c r="C402" s="1" t="n">
        <v>46161</v>
      </c>
      <c r="D402" t="inlineStr">
        <is>
          <t>VÄSTERNORRLANDS LÄN</t>
        </is>
      </c>
      <c r="E402" t="inlineStr">
        <is>
          <t>SOLLEFTEÅ</t>
        </is>
      </c>
      <c r="F402" t="inlineStr">
        <is>
          <t>SCA</t>
        </is>
      </c>
      <c r="G402" t="n">
        <v>5.2</v>
      </c>
      <c r="H402" t="n">
        <v>0</v>
      </c>
      <c r="I402" t="n">
        <v>0</v>
      </c>
      <c r="J402" t="n">
        <v>1</v>
      </c>
      <c r="K402" t="n">
        <v>0</v>
      </c>
      <c r="L402" t="n">
        <v>0</v>
      </c>
      <c r="M402" t="n">
        <v>0</v>
      </c>
      <c r="N402" t="n">
        <v>0</v>
      </c>
      <c r="O402" t="n">
        <v>1</v>
      </c>
      <c r="P402" t="n">
        <v>0</v>
      </c>
      <c r="Q402" t="n">
        <v>1</v>
      </c>
      <c r="R402" s="2" t="inlineStr">
        <is>
          <t>Motaggsvamp</t>
        </is>
      </c>
      <c r="S402">
        <f>HYPERLINK("https://klasma.github.io/Logging_2283/artfynd/A 5048-2026 artfynd.xlsx", "A 5048-2026")</f>
        <v/>
      </c>
      <c r="T402">
        <f>HYPERLINK("https://klasma.github.io/Logging_2283/kartor/A 5048-2026 karta.png", "A 5048-2026")</f>
        <v/>
      </c>
      <c r="V402">
        <f>HYPERLINK("https://klasma.github.io/Logging_2283/klagomål/A 5048-2026 FSC-klagomål.docx", "A 5048-2026")</f>
        <v/>
      </c>
      <c r="W402">
        <f>HYPERLINK("https://klasma.github.io/Logging_2283/klagomålsmail/A 5048-2026 FSC-klagomål mail.docx", "A 5048-2026")</f>
        <v/>
      </c>
      <c r="X402">
        <f>HYPERLINK("https://klasma.github.io/Logging_2283/tillsyn/A 5048-2026 tillsynsbegäran.docx", "A 5048-2026")</f>
        <v/>
      </c>
      <c r="Y402">
        <f>HYPERLINK("https://klasma.github.io/Logging_2283/tillsynsmail/A 5048-2026 tillsynsbegäran mail.docx", "A 5048-2026")</f>
        <v/>
      </c>
    </row>
    <row r="403" ht="15" customHeight="1">
      <c r="A403" t="inlineStr">
        <is>
          <t>A 1343-2025</t>
        </is>
      </c>
      <c r="B403" s="1" t="n">
        <v>45667.6043287037</v>
      </c>
      <c r="C403" s="1" t="n">
        <v>46161</v>
      </c>
      <c r="D403" t="inlineStr">
        <is>
          <t>VÄSTERNORRLANDS LÄN</t>
        </is>
      </c>
      <c r="E403" t="inlineStr">
        <is>
          <t>SOLLEFTEÅ</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HYPERLINK("https://klasma.github.io/Logging_2283/artfynd/A 1343-2025 artfynd.xlsx", "A 1343-2025")</f>
        <v/>
      </c>
      <c r="T403">
        <f>HYPERLINK("https://klasma.github.io/Logging_2283/kartor/A 1343-2025 karta.png", "A 1343-2025")</f>
        <v/>
      </c>
      <c r="V403">
        <f>HYPERLINK("https://klasma.github.io/Logging_2283/klagomål/A 1343-2025 FSC-klagomål.docx", "A 1343-2025")</f>
        <v/>
      </c>
      <c r="W403">
        <f>HYPERLINK("https://klasma.github.io/Logging_2283/klagomålsmail/A 1343-2025 FSC-klagomål mail.docx", "A 1343-2025")</f>
        <v/>
      </c>
      <c r="X403">
        <f>HYPERLINK("https://klasma.github.io/Logging_2283/tillsyn/A 1343-2025 tillsynsbegäran.docx", "A 1343-2025")</f>
        <v/>
      </c>
      <c r="Y403">
        <f>HYPERLINK("https://klasma.github.io/Logging_2283/tillsynsmail/A 1343-2025 tillsynsbegäran mail.docx", "A 1343-2025")</f>
        <v/>
      </c>
    </row>
    <row r="404" ht="15" customHeight="1">
      <c r="A404" t="inlineStr">
        <is>
          <t>A 31920-2023</t>
        </is>
      </c>
      <c r="B404" s="1" t="n">
        <v>45118</v>
      </c>
      <c r="C404" s="1" t="n">
        <v>46161</v>
      </c>
      <c r="D404" t="inlineStr">
        <is>
          <t>VÄSTERNORRLANDS LÄN</t>
        </is>
      </c>
      <c r="E404" t="inlineStr">
        <is>
          <t>SOLLEFTEÅ</t>
        </is>
      </c>
      <c r="F404" t="inlineStr">
        <is>
          <t>SCA</t>
        </is>
      </c>
      <c r="G404" t="n">
        <v>2</v>
      </c>
      <c r="H404" t="n">
        <v>0</v>
      </c>
      <c r="I404" t="n">
        <v>0</v>
      </c>
      <c r="J404" t="n">
        <v>1</v>
      </c>
      <c r="K404" t="n">
        <v>0</v>
      </c>
      <c r="L404" t="n">
        <v>0</v>
      </c>
      <c r="M404" t="n">
        <v>0</v>
      </c>
      <c r="N404" t="n">
        <v>0</v>
      </c>
      <c r="O404" t="n">
        <v>1</v>
      </c>
      <c r="P404" t="n">
        <v>0</v>
      </c>
      <c r="Q404" t="n">
        <v>1</v>
      </c>
      <c r="R404" s="2" t="inlineStr">
        <is>
          <t>Ullticka</t>
        </is>
      </c>
      <c r="S404">
        <f>HYPERLINK("https://klasma.github.io/Logging_2283/artfynd/A 31920-2023 artfynd.xlsx", "A 31920-2023")</f>
        <v/>
      </c>
      <c r="T404">
        <f>HYPERLINK("https://klasma.github.io/Logging_2283/kartor/A 31920-2023 karta.png", "A 31920-2023")</f>
        <v/>
      </c>
      <c r="V404">
        <f>HYPERLINK("https://klasma.github.io/Logging_2283/klagomål/A 31920-2023 FSC-klagomål.docx", "A 31920-2023")</f>
        <v/>
      </c>
      <c r="W404">
        <f>HYPERLINK("https://klasma.github.io/Logging_2283/klagomålsmail/A 31920-2023 FSC-klagomål mail.docx", "A 31920-2023")</f>
        <v/>
      </c>
      <c r="X404">
        <f>HYPERLINK("https://klasma.github.io/Logging_2283/tillsyn/A 31920-2023 tillsynsbegäran.docx", "A 31920-2023")</f>
        <v/>
      </c>
      <c r="Y404">
        <f>HYPERLINK("https://klasma.github.io/Logging_2283/tillsynsmail/A 31920-2023 tillsynsbegäran mail.docx", "A 31920-2023")</f>
        <v/>
      </c>
    </row>
    <row r="405" ht="15" customHeight="1">
      <c r="A405" t="inlineStr">
        <is>
          <t>A 10067-2026</t>
        </is>
      </c>
      <c r="B405" s="1" t="n">
        <v>46073.6360300926</v>
      </c>
      <c r="C405" s="1" t="n">
        <v>46161</v>
      </c>
      <c r="D405" t="inlineStr">
        <is>
          <t>VÄSTERNORRLANDS LÄN</t>
        </is>
      </c>
      <c r="E405" t="inlineStr">
        <is>
          <t>SOLLEFTEÅ</t>
        </is>
      </c>
      <c r="F405" t="inlineStr">
        <is>
          <t>SCA</t>
        </is>
      </c>
      <c r="G405" t="n">
        <v>1.3</v>
      </c>
      <c r="H405" t="n">
        <v>0</v>
      </c>
      <c r="I405" t="n">
        <v>0</v>
      </c>
      <c r="J405" t="n">
        <v>1</v>
      </c>
      <c r="K405" t="n">
        <v>0</v>
      </c>
      <c r="L405" t="n">
        <v>0</v>
      </c>
      <c r="M405" t="n">
        <v>0</v>
      </c>
      <c r="N405" t="n">
        <v>0</v>
      </c>
      <c r="O405" t="n">
        <v>1</v>
      </c>
      <c r="P405" t="n">
        <v>0</v>
      </c>
      <c r="Q405" t="n">
        <v>1</v>
      </c>
      <c r="R405" s="2" t="inlineStr">
        <is>
          <t>Ullticka</t>
        </is>
      </c>
      <c r="S405">
        <f>HYPERLINK("https://klasma.github.io/Logging_2283/artfynd/A 10067-2026 artfynd.xlsx", "A 10067-2026")</f>
        <v/>
      </c>
      <c r="T405">
        <f>HYPERLINK("https://klasma.github.io/Logging_2283/kartor/A 10067-2026 karta.png", "A 10067-2026")</f>
        <v/>
      </c>
      <c r="V405">
        <f>HYPERLINK("https://klasma.github.io/Logging_2283/klagomål/A 10067-2026 FSC-klagomål.docx", "A 10067-2026")</f>
        <v/>
      </c>
      <c r="W405">
        <f>HYPERLINK("https://klasma.github.io/Logging_2283/klagomålsmail/A 10067-2026 FSC-klagomål mail.docx", "A 10067-2026")</f>
        <v/>
      </c>
      <c r="X405">
        <f>HYPERLINK("https://klasma.github.io/Logging_2283/tillsyn/A 10067-2026 tillsynsbegäran.docx", "A 10067-2026")</f>
        <v/>
      </c>
      <c r="Y405">
        <f>HYPERLINK("https://klasma.github.io/Logging_2283/tillsynsmail/A 10067-2026 tillsynsbegäran mail.docx", "A 10067-2026")</f>
        <v/>
      </c>
    </row>
    <row r="406" ht="15" customHeight="1">
      <c r="A406" t="inlineStr">
        <is>
          <t>A 10793-2026</t>
        </is>
      </c>
      <c r="B406" s="1" t="n">
        <v>46078.59078703704</v>
      </c>
      <c r="C406" s="1" t="n">
        <v>46161</v>
      </c>
      <c r="D406" t="inlineStr">
        <is>
          <t>VÄSTERNORRLANDS LÄN</t>
        </is>
      </c>
      <c r="E406" t="inlineStr">
        <is>
          <t>SOLLEFTEÅ</t>
        </is>
      </c>
      <c r="G406" t="n">
        <v>1.5</v>
      </c>
      <c r="H406" t="n">
        <v>0</v>
      </c>
      <c r="I406" t="n">
        <v>0</v>
      </c>
      <c r="J406" t="n">
        <v>1</v>
      </c>
      <c r="K406" t="n">
        <v>0</v>
      </c>
      <c r="L406" t="n">
        <v>0</v>
      </c>
      <c r="M406" t="n">
        <v>0</v>
      </c>
      <c r="N406" t="n">
        <v>0</v>
      </c>
      <c r="O406" t="n">
        <v>1</v>
      </c>
      <c r="P406" t="n">
        <v>0</v>
      </c>
      <c r="Q406" t="n">
        <v>1</v>
      </c>
      <c r="R406" s="2" t="inlineStr">
        <is>
          <t>Garnlav</t>
        </is>
      </c>
      <c r="S406">
        <f>HYPERLINK("https://klasma.github.io/Logging_2283/artfynd/A 10793-2026 artfynd.xlsx", "A 10793-2026")</f>
        <v/>
      </c>
      <c r="T406">
        <f>HYPERLINK("https://klasma.github.io/Logging_2283/kartor/A 10793-2026 karta.png", "A 10793-2026")</f>
        <v/>
      </c>
      <c r="V406">
        <f>HYPERLINK("https://klasma.github.io/Logging_2283/klagomål/A 10793-2026 FSC-klagomål.docx", "A 10793-2026")</f>
        <v/>
      </c>
      <c r="W406">
        <f>HYPERLINK("https://klasma.github.io/Logging_2283/klagomålsmail/A 10793-2026 FSC-klagomål mail.docx", "A 10793-2026")</f>
        <v/>
      </c>
      <c r="X406">
        <f>HYPERLINK("https://klasma.github.io/Logging_2283/tillsyn/A 10793-2026 tillsynsbegäran.docx", "A 10793-2026")</f>
        <v/>
      </c>
      <c r="Y406">
        <f>HYPERLINK("https://klasma.github.io/Logging_2283/tillsynsmail/A 10793-2026 tillsynsbegäran mail.docx", "A 10793-2026")</f>
        <v/>
      </c>
    </row>
    <row r="407" ht="15" customHeight="1">
      <c r="A407" t="inlineStr">
        <is>
          <t>A 10853-2026</t>
        </is>
      </c>
      <c r="B407" s="1" t="n">
        <v>46078.65715277778</v>
      </c>
      <c r="C407" s="1" t="n">
        <v>46161</v>
      </c>
      <c r="D407" t="inlineStr">
        <is>
          <t>VÄSTERNORRLANDS LÄN</t>
        </is>
      </c>
      <c r="E407" t="inlineStr">
        <is>
          <t>SOLLEFTEÅ</t>
        </is>
      </c>
      <c r="F407" t="inlineStr">
        <is>
          <t>SCA</t>
        </is>
      </c>
      <c r="G407" t="n">
        <v>1.8</v>
      </c>
      <c r="H407" t="n">
        <v>1</v>
      </c>
      <c r="I407" t="n">
        <v>0</v>
      </c>
      <c r="J407" t="n">
        <v>0</v>
      </c>
      <c r="K407" t="n">
        <v>1</v>
      </c>
      <c r="L407" t="n">
        <v>0</v>
      </c>
      <c r="M407" t="n">
        <v>0</v>
      </c>
      <c r="N407" t="n">
        <v>0</v>
      </c>
      <c r="O407" t="n">
        <v>1</v>
      </c>
      <c r="P407" t="n">
        <v>1</v>
      </c>
      <c r="Q407" t="n">
        <v>1</v>
      </c>
      <c r="R407" s="2" t="inlineStr">
        <is>
          <t>Knärot</t>
        </is>
      </c>
      <c r="S407">
        <f>HYPERLINK("https://klasma.github.io/Logging_2283/artfynd/A 10853-2026 artfynd.xlsx", "A 10853-2026")</f>
        <v/>
      </c>
      <c r="T407">
        <f>HYPERLINK("https://klasma.github.io/Logging_2283/kartor/A 10853-2026 karta.png", "A 10853-2026")</f>
        <v/>
      </c>
      <c r="U407">
        <f>HYPERLINK("https://klasma.github.io/Logging_2283/knärot/A 10853-2026 karta knärot.png", "A 10853-2026")</f>
        <v/>
      </c>
      <c r="V407">
        <f>HYPERLINK("https://klasma.github.io/Logging_2283/klagomål/A 10853-2026 FSC-klagomål.docx", "A 10853-2026")</f>
        <v/>
      </c>
      <c r="W407">
        <f>HYPERLINK("https://klasma.github.io/Logging_2283/klagomålsmail/A 10853-2026 FSC-klagomål mail.docx", "A 10853-2026")</f>
        <v/>
      </c>
      <c r="X407">
        <f>HYPERLINK("https://klasma.github.io/Logging_2283/tillsyn/A 10853-2026 tillsynsbegäran.docx", "A 10853-2026")</f>
        <v/>
      </c>
      <c r="Y407">
        <f>HYPERLINK("https://klasma.github.io/Logging_2283/tillsynsmail/A 10853-2026 tillsynsbegäran mail.docx", "A 10853-2026")</f>
        <v/>
      </c>
    </row>
    <row r="408" ht="15" customHeight="1">
      <c r="A408" t="inlineStr">
        <is>
          <t>A 44632-2024</t>
        </is>
      </c>
      <c r="B408" s="1" t="n">
        <v>45574.51446759259</v>
      </c>
      <c r="C408" s="1" t="n">
        <v>46161</v>
      </c>
      <c r="D408" t="inlineStr">
        <is>
          <t>VÄSTERNORRLANDS LÄN</t>
        </is>
      </c>
      <c r="E408" t="inlineStr">
        <is>
          <t>SOLLEFTEÅ</t>
        </is>
      </c>
      <c r="F408" t="inlineStr">
        <is>
          <t>SCA</t>
        </is>
      </c>
      <c r="G408" t="n">
        <v>3.1</v>
      </c>
      <c r="H408" t="n">
        <v>0</v>
      </c>
      <c r="I408" t="n">
        <v>1</v>
      </c>
      <c r="J408" t="n">
        <v>0</v>
      </c>
      <c r="K408" t="n">
        <v>0</v>
      </c>
      <c r="L408" t="n">
        <v>0</v>
      </c>
      <c r="M408" t="n">
        <v>0</v>
      </c>
      <c r="N408" t="n">
        <v>0</v>
      </c>
      <c r="O408" t="n">
        <v>0</v>
      </c>
      <c r="P408" t="n">
        <v>0</v>
      </c>
      <c r="Q408" t="n">
        <v>1</v>
      </c>
      <c r="R408" s="2" t="inlineStr">
        <is>
          <t>Vedticka</t>
        </is>
      </c>
      <c r="S408">
        <f>HYPERLINK("https://klasma.github.io/Logging_2283/artfynd/A 44632-2024 artfynd.xlsx", "A 44632-2024")</f>
        <v/>
      </c>
      <c r="T408">
        <f>HYPERLINK("https://klasma.github.io/Logging_2283/kartor/A 44632-2024 karta.png", "A 44632-2024")</f>
        <v/>
      </c>
      <c r="V408">
        <f>HYPERLINK("https://klasma.github.io/Logging_2283/klagomål/A 44632-2024 FSC-klagomål.docx", "A 44632-2024")</f>
        <v/>
      </c>
      <c r="W408">
        <f>HYPERLINK("https://klasma.github.io/Logging_2283/klagomålsmail/A 44632-2024 FSC-klagomål mail.docx", "A 44632-2024")</f>
        <v/>
      </c>
      <c r="X408">
        <f>HYPERLINK("https://klasma.github.io/Logging_2283/tillsyn/A 44632-2024 tillsynsbegäran.docx", "A 44632-2024")</f>
        <v/>
      </c>
      <c r="Y408">
        <f>HYPERLINK("https://klasma.github.io/Logging_2283/tillsynsmail/A 44632-2024 tillsynsbegäran mail.docx", "A 44632-2024")</f>
        <v/>
      </c>
    </row>
    <row r="409" ht="15" customHeight="1">
      <c r="A409" t="inlineStr">
        <is>
          <t>A 54558-2022</t>
        </is>
      </c>
      <c r="B409" s="1" t="n">
        <v>44882</v>
      </c>
      <c r="C409" s="1" t="n">
        <v>46161</v>
      </c>
      <c r="D409" t="inlineStr">
        <is>
          <t>VÄSTERNORRLANDS LÄN</t>
        </is>
      </c>
      <c r="E409" t="inlineStr">
        <is>
          <t>SOLLEFTEÅ</t>
        </is>
      </c>
      <c r="G409" t="n">
        <v>5.8</v>
      </c>
      <c r="H409" t="n">
        <v>0</v>
      </c>
      <c r="I409" t="n">
        <v>1</v>
      </c>
      <c r="J409" t="n">
        <v>0</v>
      </c>
      <c r="K409" t="n">
        <v>0</v>
      </c>
      <c r="L409" t="n">
        <v>0</v>
      </c>
      <c r="M409" t="n">
        <v>0</v>
      </c>
      <c r="N409" t="n">
        <v>0</v>
      </c>
      <c r="O409" t="n">
        <v>0</v>
      </c>
      <c r="P409" t="n">
        <v>0</v>
      </c>
      <c r="Q409" t="n">
        <v>1</v>
      </c>
      <c r="R409" s="2" t="inlineStr">
        <is>
          <t>Strutbräken</t>
        </is>
      </c>
      <c r="S409">
        <f>HYPERLINK("https://klasma.github.io/Logging_2283/artfynd/A 54558-2022 artfynd.xlsx", "A 54558-2022")</f>
        <v/>
      </c>
      <c r="T409">
        <f>HYPERLINK("https://klasma.github.io/Logging_2283/kartor/A 54558-2022 karta.png", "A 54558-2022")</f>
        <v/>
      </c>
      <c r="V409">
        <f>HYPERLINK("https://klasma.github.io/Logging_2283/klagomål/A 54558-2022 FSC-klagomål.docx", "A 54558-2022")</f>
        <v/>
      </c>
      <c r="W409">
        <f>HYPERLINK("https://klasma.github.io/Logging_2283/klagomålsmail/A 54558-2022 FSC-klagomål mail.docx", "A 54558-2022")</f>
        <v/>
      </c>
      <c r="X409">
        <f>HYPERLINK("https://klasma.github.io/Logging_2283/tillsyn/A 54558-2022 tillsynsbegäran.docx", "A 54558-2022")</f>
        <v/>
      </c>
      <c r="Y409">
        <f>HYPERLINK("https://klasma.github.io/Logging_2283/tillsynsmail/A 54558-2022 tillsynsbegäran mail.docx", "A 54558-2022")</f>
        <v/>
      </c>
    </row>
    <row r="410" ht="15" customHeight="1">
      <c r="A410" t="inlineStr">
        <is>
          <t>A 8903-2024</t>
        </is>
      </c>
      <c r="B410" s="1" t="n">
        <v>45355</v>
      </c>
      <c r="C410" s="1" t="n">
        <v>46161</v>
      </c>
      <c r="D410" t="inlineStr">
        <is>
          <t>VÄSTERNORRLANDS LÄN</t>
        </is>
      </c>
      <c r="E410" t="inlineStr">
        <is>
          <t>SOLLEFTEÅ</t>
        </is>
      </c>
      <c r="G410" t="n">
        <v>1.7</v>
      </c>
      <c r="H410" t="n">
        <v>0</v>
      </c>
      <c r="I410" t="n">
        <v>1</v>
      </c>
      <c r="J410" t="n">
        <v>0</v>
      </c>
      <c r="K410" t="n">
        <v>0</v>
      </c>
      <c r="L410" t="n">
        <v>0</v>
      </c>
      <c r="M410" t="n">
        <v>0</v>
      </c>
      <c r="N410" t="n">
        <v>0</v>
      </c>
      <c r="O410" t="n">
        <v>0</v>
      </c>
      <c r="P410" t="n">
        <v>0</v>
      </c>
      <c r="Q410" t="n">
        <v>1</v>
      </c>
      <c r="R410" s="2" t="inlineStr">
        <is>
          <t>Strutbräken</t>
        </is>
      </c>
      <c r="S410">
        <f>HYPERLINK("https://klasma.github.io/Logging_2283/artfynd/A 8903-2024 artfynd.xlsx", "A 8903-2024")</f>
        <v/>
      </c>
      <c r="T410">
        <f>HYPERLINK("https://klasma.github.io/Logging_2283/kartor/A 8903-2024 karta.png", "A 8903-2024")</f>
        <v/>
      </c>
      <c r="V410">
        <f>HYPERLINK("https://klasma.github.io/Logging_2283/klagomål/A 8903-2024 FSC-klagomål.docx", "A 8903-2024")</f>
        <v/>
      </c>
      <c r="W410">
        <f>HYPERLINK("https://klasma.github.io/Logging_2283/klagomålsmail/A 8903-2024 FSC-klagomål mail.docx", "A 8903-2024")</f>
        <v/>
      </c>
      <c r="X410">
        <f>HYPERLINK("https://klasma.github.io/Logging_2283/tillsyn/A 8903-2024 tillsynsbegäran.docx", "A 8903-2024")</f>
        <v/>
      </c>
      <c r="Y410">
        <f>HYPERLINK("https://klasma.github.io/Logging_2283/tillsynsmail/A 8903-2024 tillsynsbegäran mail.docx", "A 8903-2024")</f>
        <v/>
      </c>
    </row>
    <row r="411" ht="15" customHeight="1">
      <c r="A411" t="inlineStr">
        <is>
          <t>A 18825-2026</t>
        </is>
      </c>
      <c r="B411" s="1" t="n">
        <v>46128</v>
      </c>
      <c r="C411" s="1" t="n">
        <v>46161</v>
      </c>
      <c r="D411" t="inlineStr">
        <is>
          <t>VÄSTERNORRLANDS LÄN</t>
        </is>
      </c>
      <c r="E411" t="inlineStr">
        <is>
          <t>SOLLEFTEÅ</t>
        </is>
      </c>
      <c r="G411" t="n">
        <v>3.2</v>
      </c>
      <c r="H411" t="n">
        <v>1</v>
      </c>
      <c r="I411" t="n">
        <v>0</v>
      </c>
      <c r="J411" t="n">
        <v>0</v>
      </c>
      <c r="K411" t="n">
        <v>0</v>
      </c>
      <c r="L411" t="n">
        <v>0</v>
      </c>
      <c r="M411" t="n">
        <v>0</v>
      </c>
      <c r="N411" t="n">
        <v>0</v>
      </c>
      <c r="O411" t="n">
        <v>0</v>
      </c>
      <c r="P411" t="n">
        <v>0</v>
      </c>
      <c r="Q411" t="n">
        <v>1</v>
      </c>
      <c r="R411" s="2" t="inlineStr">
        <is>
          <t>Blåsippa</t>
        </is>
      </c>
      <c r="S411">
        <f>HYPERLINK("https://klasma.github.io/Logging_2283/artfynd/A 18825-2026 artfynd.xlsx", "A 18825-2026")</f>
        <v/>
      </c>
      <c r="T411">
        <f>HYPERLINK("https://klasma.github.io/Logging_2283/kartor/A 18825-2026 karta.png", "A 18825-2026")</f>
        <v/>
      </c>
      <c r="V411">
        <f>HYPERLINK("https://klasma.github.io/Logging_2283/klagomål/A 18825-2026 FSC-klagomål.docx", "A 18825-2026")</f>
        <v/>
      </c>
      <c r="W411">
        <f>HYPERLINK("https://klasma.github.io/Logging_2283/klagomålsmail/A 18825-2026 FSC-klagomål mail.docx", "A 18825-2026")</f>
        <v/>
      </c>
      <c r="X411">
        <f>HYPERLINK("https://klasma.github.io/Logging_2283/tillsyn/A 18825-2026 tillsynsbegäran.docx", "A 18825-2026")</f>
        <v/>
      </c>
      <c r="Y411">
        <f>HYPERLINK("https://klasma.github.io/Logging_2283/tillsynsmail/A 18825-2026 tillsynsbegäran mail.docx", "A 18825-2026")</f>
        <v/>
      </c>
    </row>
    <row r="412" ht="15" customHeight="1">
      <c r="A412" t="inlineStr">
        <is>
          <t>A 15669-2022</t>
        </is>
      </c>
      <c r="B412" s="1" t="n">
        <v>44662</v>
      </c>
      <c r="C412" s="1" t="n">
        <v>46161</v>
      </c>
      <c r="D412" t="inlineStr">
        <is>
          <t>VÄSTERNORRLANDS LÄN</t>
        </is>
      </c>
      <c r="E412" t="inlineStr">
        <is>
          <t>SOLLEFTEÅ</t>
        </is>
      </c>
      <c r="G412" t="n">
        <v>12.1</v>
      </c>
      <c r="H412" t="n">
        <v>0</v>
      </c>
      <c r="I412" t="n">
        <v>1</v>
      </c>
      <c r="J412" t="n">
        <v>0</v>
      </c>
      <c r="K412" t="n">
        <v>0</v>
      </c>
      <c r="L412" t="n">
        <v>0</v>
      </c>
      <c r="M412" t="n">
        <v>0</v>
      </c>
      <c r="N412" t="n">
        <v>0</v>
      </c>
      <c r="O412" t="n">
        <v>0</v>
      </c>
      <c r="P412" t="n">
        <v>0</v>
      </c>
      <c r="Q412" t="n">
        <v>1</v>
      </c>
      <c r="R412" s="2" t="inlineStr">
        <is>
          <t>Skinnlav</t>
        </is>
      </c>
      <c r="S412">
        <f>HYPERLINK("https://klasma.github.io/Logging_2283/artfynd/A 15669-2022 artfynd.xlsx", "A 15669-2022")</f>
        <v/>
      </c>
      <c r="T412">
        <f>HYPERLINK("https://klasma.github.io/Logging_2283/kartor/A 15669-2022 karta.png", "A 15669-2022")</f>
        <v/>
      </c>
      <c r="V412">
        <f>HYPERLINK("https://klasma.github.io/Logging_2283/klagomål/A 15669-2022 FSC-klagomål.docx", "A 15669-2022")</f>
        <v/>
      </c>
      <c r="W412">
        <f>HYPERLINK("https://klasma.github.io/Logging_2283/klagomålsmail/A 15669-2022 FSC-klagomål mail.docx", "A 15669-2022")</f>
        <v/>
      </c>
      <c r="X412">
        <f>HYPERLINK("https://klasma.github.io/Logging_2283/tillsyn/A 15669-2022 tillsynsbegäran.docx", "A 15669-2022")</f>
        <v/>
      </c>
      <c r="Y412">
        <f>HYPERLINK("https://klasma.github.io/Logging_2283/tillsynsmail/A 15669-2022 tillsynsbegäran mail.docx", "A 15669-2022")</f>
        <v/>
      </c>
    </row>
    <row r="413" ht="15" customHeight="1">
      <c r="A413" t="inlineStr">
        <is>
          <t>A 386-2024</t>
        </is>
      </c>
      <c r="B413" s="1" t="n">
        <v>45296</v>
      </c>
      <c r="C413" s="1" t="n">
        <v>46161</v>
      </c>
      <c r="D413" t="inlineStr">
        <is>
          <t>VÄSTERNORRLANDS LÄN</t>
        </is>
      </c>
      <c r="E413" t="inlineStr">
        <is>
          <t>SOLLEFTEÅ</t>
        </is>
      </c>
      <c r="G413" t="n">
        <v>3.7</v>
      </c>
      <c r="H413" t="n">
        <v>0</v>
      </c>
      <c r="I413" t="n">
        <v>0</v>
      </c>
      <c r="J413" t="n">
        <v>1</v>
      </c>
      <c r="K413" t="n">
        <v>0</v>
      </c>
      <c r="L413" t="n">
        <v>0</v>
      </c>
      <c r="M413" t="n">
        <v>0</v>
      </c>
      <c r="N413" t="n">
        <v>0</v>
      </c>
      <c r="O413" t="n">
        <v>1</v>
      </c>
      <c r="P413" t="n">
        <v>0</v>
      </c>
      <c r="Q413" t="n">
        <v>1</v>
      </c>
      <c r="R413" s="2" t="inlineStr">
        <is>
          <t>Kolflarnlav</t>
        </is>
      </c>
      <c r="S413">
        <f>HYPERLINK("https://klasma.github.io/Logging_2283/artfynd/A 386-2024 artfynd.xlsx", "A 386-2024")</f>
        <v/>
      </c>
      <c r="T413">
        <f>HYPERLINK("https://klasma.github.io/Logging_2283/kartor/A 386-2024 karta.png", "A 386-2024")</f>
        <v/>
      </c>
      <c r="V413">
        <f>HYPERLINK("https://klasma.github.io/Logging_2283/klagomål/A 386-2024 FSC-klagomål.docx", "A 386-2024")</f>
        <v/>
      </c>
      <c r="W413">
        <f>HYPERLINK("https://klasma.github.io/Logging_2283/klagomålsmail/A 386-2024 FSC-klagomål mail.docx", "A 386-2024")</f>
        <v/>
      </c>
      <c r="X413">
        <f>HYPERLINK("https://klasma.github.io/Logging_2283/tillsyn/A 386-2024 tillsynsbegäran.docx", "A 386-2024")</f>
        <v/>
      </c>
      <c r="Y413">
        <f>HYPERLINK("https://klasma.github.io/Logging_2283/tillsynsmail/A 386-2024 tillsynsbegäran mail.docx", "A 386-2024")</f>
        <v/>
      </c>
    </row>
    <row r="414" ht="15" customHeight="1">
      <c r="A414" t="inlineStr">
        <is>
          <t>A 13323-2026</t>
        </is>
      </c>
      <c r="B414" s="1" t="n">
        <v>46094</v>
      </c>
      <c r="C414" s="1" t="n">
        <v>46161</v>
      </c>
      <c r="D414" t="inlineStr">
        <is>
          <t>VÄSTERNORRLANDS LÄN</t>
        </is>
      </c>
      <c r="E414" t="inlineStr">
        <is>
          <t>SOLLEFTEÅ</t>
        </is>
      </c>
      <c r="G414" t="n">
        <v>3.7</v>
      </c>
      <c r="H414" t="n">
        <v>0</v>
      </c>
      <c r="I414" t="n">
        <v>1</v>
      </c>
      <c r="J414" t="n">
        <v>0</v>
      </c>
      <c r="K414" t="n">
        <v>0</v>
      </c>
      <c r="L414" t="n">
        <v>0</v>
      </c>
      <c r="M414" t="n">
        <v>0</v>
      </c>
      <c r="N414" t="n">
        <v>0</v>
      </c>
      <c r="O414" t="n">
        <v>0</v>
      </c>
      <c r="P414" t="n">
        <v>0</v>
      </c>
      <c r="Q414" t="n">
        <v>1</v>
      </c>
      <c r="R414" s="2" t="inlineStr">
        <is>
          <t>Springkorn</t>
        </is>
      </c>
      <c r="S414">
        <f>HYPERLINK("https://klasma.github.io/Logging_2283/artfynd/A 13323-2026 artfynd.xlsx", "A 13323-2026")</f>
        <v/>
      </c>
      <c r="T414">
        <f>HYPERLINK("https://klasma.github.io/Logging_2283/kartor/A 13323-2026 karta.png", "A 13323-2026")</f>
        <v/>
      </c>
      <c r="V414">
        <f>HYPERLINK("https://klasma.github.io/Logging_2283/klagomål/A 13323-2026 FSC-klagomål.docx", "A 13323-2026")</f>
        <v/>
      </c>
      <c r="W414">
        <f>HYPERLINK("https://klasma.github.io/Logging_2283/klagomålsmail/A 13323-2026 FSC-klagomål mail.docx", "A 13323-2026")</f>
        <v/>
      </c>
      <c r="X414">
        <f>HYPERLINK("https://klasma.github.io/Logging_2283/tillsyn/A 13323-2026 tillsynsbegäran.docx", "A 13323-2026")</f>
        <v/>
      </c>
      <c r="Y414">
        <f>HYPERLINK("https://klasma.github.io/Logging_2283/tillsynsmail/A 13323-2026 tillsynsbegäran mail.docx", "A 13323-2026")</f>
        <v/>
      </c>
    </row>
    <row r="415" ht="15" customHeight="1">
      <c r="A415" t="inlineStr">
        <is>
          <t>A 39995-2024</t>
        </is>
      </c>
      <c r="B415" s="1" t="n">
        <v>45553.63572916666</v>
      </c>
      <c r="C415" s="1" t="n">
        <v>46161</v>
      </c>
      <c r="D415" t="inlineStr">
        <is>
          <t>VÄSTERNORRLANDS LÄN</t>
        </is>
      </c>
      <c r="E415" t="inlineStr">
        <is>
          <t>SOLLEFTEÅ</t>
        </is>
      </c>
      <c r="F415" t="inlineStr">
        <is>
          <t>SCA</t>
        </is>
      </c>
      <c r="G415" t="n">
        <v>3.5</v>
      </c>
      <c r="H415" t="n">
        <v>0</v>
      </c>
      <c r="I415" t="n">
        <v>0</v>
      </c>
      <c r="J415" t="n">
        <v>1</v>
      </c>
      <c r="K415" t="n">
        <v>0</v>
      </c>
      <c r="L415" t="n">
        <v>0</v>
      </c>
      <c r="M415" t="n">
        <v>0</v>
      </c>
      <c r="N415" t="n">
        <v>0</v>
      </c>
      <c r="O415" t="n">
        <v>1</v>
      </c>
      <c r="P415" t="n">
        <v>0</v>
      </c>
      <c r="Q415" t="n">
        <v>1</v>
      </c>
      <c r="R415" s="2" t="inlineStr">
        <is>
          <t>Garnlav</t>
        </is>
      </c>
      <c r="S415">
        <f>HYPERLINK("https://klasma.github.io/Logging_2283/artfynd/A 39995-2024 artfynd.xlsx", "A 39995-2024")</f>
        <v/>
      </c>
      <c r="T415">
        <f>HYPERLINK("https://klasma.github.io/Logging_2283/kartor/A 39995-2024 karta.png", "A 39995-2024")</f>
        <v/>
      </c>
      <c r="V415">
        <f>HYPERLINK("https://klasma.github.io/Logging_2283/klagomål/A 39995-2024 FSC-klagomål.docx", "A 39995-2024")</f>
        <v/>
      </c>
      <c r="W415">
        <f>HYPERLINK("https://klasma.github.io/Logging_2283/klagomålsmail/A 39995-2024 FSC-klagomål mail.docx", "A 39995-2024")</f>
        <v/>
      </c>
      <c r="X415">
        <f>HYPERLINK("https://klasma.github.io/Logging_2283/tillsyn/A 39995-2024 tillsynsbegäran.docx", "A 39995-2024")</f>
        <v/>
      </c>
      <c r="Y415">
        <f>HYPERLINK("https://klasma.github.io/Logging_2283/tillsynsmail/A 39995-2024 tillsynsbegäran mail.docx", "A 39995-2024")</f>
        <v/>
      </c>
    </row>
    <row r="416" ht="15" customHeight="1">
      <c r="A416" t="inlineStr">
        <is>
          <t>A 38363-2022</t>
        </is>
      </c>
      <c r="B416" s="1" t="n">
        <v>44812</v>
      </c>
      <c r="C416" s="1" t="n">
        <v>46161</v>
      </c>
      <c r="D416" t="inlineStr">
        <is>
          <t>VÄSTERNORRLANDS LÄN</t>
        </is>
      </c>
      <c r="E416" t="inlineStr">
        <is>
          <t>SOLLEFTEÅ</t>
        </is>
      </c>
      <c r="F416" t="inlineStr">
        <is>
          <t>Kommuner</t>
        </is>
      </c>
      <c r="G416" t="n">
        <v>16</v>
      </c>
      <c r="H416" t="n">
        <v>0</v>
      </c>
      <c r="I416" t="n">
        <v>0</v>
      </c>
      <c r="J416" t="n">
        <v>1</v>
      </c>
      <c r="K416" t="n">
        <v>0</v>
      </c>
      <c r="L416" t="n">
        <v>0</v>
      </c>
      <c r="M416" t="n">
        <v>0</v>
      </c>
      <c r="N416" t="n">
        <v>0</v>
      </c>
      <c r="O416" t="n">
        <v>1</v>
      </c>
      <c r="P416" t="n">
        <v>0</v>
      </c>
      <c r="Q416" t="n">
        <v>1</v>
      </c>
      <c r="R416" s="2" t="inlineStr">
        <is>
          <t>Garnlav</t>
        </is>
      </c>
      <c r="S416">
        <f>HYPERLINK("https://klasma.github.io/Logging_2283/artfynd/A 38363-2022 artfynd.xlsx", "A 38363-2022")</f>
        <v/>
      </c>
      <c r="T416">
        <f>HYPERLINK("https://klasma.github.io/Logging_2283/kartor/A 38363-2022 karta.png", "A 38363-2022")</f>
        <v/>
      </c>
      <c r="V416">
        <f>HYPERLINK("https://klasma.github.io/Logging_2283/klagomål/A 38363-2022 FSC-klagomål.docx", "A 38363-2022")</f>
        <v/>
      </c>
      <c r="W416">
        <f>HYPERLINK("https://klasma.github.io/Logging_2283/klagomålsmail/A 38363-2022 FSC-klagomål mail.docx", "A 38363-2022")</f>
        <v/>
      </c>
      <c r="X416">
        <f>HYPERLINK("https://klasma.github.io/Logging_2283/tillsyn/A 38363-2022 tillsynsbegäran.docx", "A 38363-2022")</f>
        <v/>
      </c>
      <c r="Y416">
        <f>HYPERLINK("https://klasma.github.io/Logging_2283/tillsynsmail/A 38363-2022 tillsynsbegäran mail.docx", "A 38363-2022")</f>
        <v/>
      </c>
    </row>
    <row r="417" ht="15" customHeight="1">
      <c r="A417" t="inlineStr">
        <is>
          <t>A 49366-2024</t>
        </is>
      </c>
      <c r="B417" s="1" t="n">
        <v>45595.63572916666</v>
      </c>
      <c r="C417" s="1" t="n">
        <v>46161</v>
      </c>
      <c r="D417" t="inlineStr">
        <is>
          <t>VÄSTERNORRLANDS LÄN</t>
        </is>
      </c>
      <c r="E417" t="inlineStr">
        <is>
          <t>SOLLEFTEÅ</t>
        </is>
      </c>
      <c r="F417" t="inlineStr">
        <is>
          <t>SCA</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HYPERLINK("https://klasma.github.io/Logging_2283/artfynd/A 49366-2024 artfynd.xlsx", "A 49366-2024")</f>
        <v/>
      </c>
      <c r="T417">
        <f>HYPERLINK("https://klasma.github.io/Logging_2283/kartor/A 49366-2024 karta.png", "A 49366-2024")</f>
        <v/>
      </c>
      <c r="U417">
        <f>HYPERLINK("https://klasma.github.io/Logging_2283/knärot/A 49366-2024 karta knärot.png", "A 49366-2024")</f>
        <v/>
      </c>
      <c r="V417">
        <f>HYPERLINK("https://klasma.github.io/Logging_2283/klagomål/A 49366-2024 FSC-klagomål.docx", "A 49366-2024")</f>
        <v/>
      </c>
      <c r="W417">
        <f>HYPERLINK("https://klasma.github.io/Logging_2283/klagomålsmail/A 49366-2024 FSC-klagomål mail.docx", "A 49366-2024")</f>
        <v/>
      </c>
      <c r="X417">
        <f>HYPERLINK("https://klasma.github.io/Logging_2283/tillsyn/A 49366-2024 tillsynsbegäran.docx", "A 49366-2024")</f>
        <v/>
      </c>
      <c r="Y417">
        <f>HYPERLINK("https://klasma.github.io/Logging_2283/tillsynsmail/A 49366-2024 tillsynsbegäran mail.docx", "A 49366-2024")</f>
        <v/>
      </c>
    </row>
    <row r="418" ht="15" customHeight="1">
      <c r="A418" t="inlineStr">
        <is>
          <t>A 15361-2026</t>
        </is>
      </c>
      <c r="B418" s="1" t="n">
        <v>46105</v>
      </c>
      <c r="C418" s="1" t="n">
        <v>46161</v>
      </c>
      <c r="D418" t="inlineStr">
        <is>
          <t>VÄSTERNORRLANDS LÄN</t>
        </is>
      </c>
      <c r="E418" t="inlineStr">
        <is>
          <t>SOLLEFTEÅ</t>
        </is>
      </c>
      <c r="F418" t="inlineStr">
        <is>
          <t>SCA</t>
        </is>
      </c>
      <c r="G418" t="n">
        <v>1.3</v>
      </c>
      <c r="H418" t="n">
        <v>0</v>
      </c>
      <c r="I418" t="n">
        <v>0</v>
      </c>
      <c r="J418" t="n">
        <v>1</v>
      </c>
      <c r="K418" t="n">
        <v>0</v>
      </c>
      <c r="L418" t="n">
        <v>0</v>
      </c>
      <c r="M418" t="n">
        <v>0</v>
      </c>
      <c r="N418" t="n">
        <v>0</v>
      </c>
      <c r="O418" t="n">
        <v>1</v>
      </c>
      <c r="P418" t="n">
        <v>0</v>
      </c>
      <c r="Q418" t="n">
        <v>1</v>
      </c>
      <c r="R418" s="2" t="inlineStr">
        <is>
          <t>Ullticka</t>
        </is>
      </c>
      <c r="S418">
        <f>HYPERLINK("https://klasma.github.io/Logging_2283/artfynd/A 15361-2026 artfynd.xlsx", "A 15361-2026")</f>
        <v/>
      </c>
      <c r="T418">
        <f>HYPERLINK("https://klasma.github.io/Logging_2283/kartor/A 15361-2026 karta.png", "A 15361-2026")</f>
        <v/>
      </c>
      <c r="V418">
        <f>HYPERLINK("https://klasma.github.io/Logging_2283/klagomål/A 15361-2026 FSC-klagomål.docx", "A 15361-2026")</f>
        <v/>
      </c>
      <c r="W418">
        <f>HYPERLINK("https://klasma.github.io/Logging_2283/klagomålsmail/A 15361-2026 FSC-klagomål mail.docx", "A 15361-2026")</f>
        <v/>
      </c>
      <c r="X418">
        <f>HYPERLINK("https://klasma.github.io/Logging_2283/tillsyn/A 15361-2026 tillsynsbegäran.docx", "A 15361-2026")</f>
        <v/>
      </c>
      <c r="Y418">
        <f>HYPERLINK("https://klasma.github.io/Logging_2283/tillsynsmail/A 15361-2026 tillsynsbegäran mail.docx", "A 15361-2026")</f>
        <v/>
      </c>
    </row>
    <row r="419" ht="15" customHeight="1">
      <c r="A419" t="inlineStr">
        <is>
          <t>A 5033-2024</t>
        </is>
      </c>
      <c r="B419" s="1" t="n">
        <v>45329</v>
      </c>
      <c r="C419" s="1" t="n">
        <v>46161</v>
      </c>
      <c r="D419" t="inlineStr">
        <is>
          <t>VÄSTERNORRLANDS LÄN</t>
        </is>
      </c>
      <c r="E419" t="inlineStr">
        <is>
          <t>SOLLEFTEÅ</t>
        </is>
      </c>
      <c r="F419" t="inlineStr">
        <is>
          <t>Övriga Aktiebolag</t>
        </is>
      </c>
      <c r="G419" t="n">
        <v>3.2</v>
      </c>
      <c r="H419" t="n">
        <v>0</v>
      </c>
      <c r="I419" t="n">
        <v>1</v>
      </c>
      <c r="J419" t="n">
        <v>0</v>
      </c>
      <c r="K419" t="n">
        <v>0</v>
      </c>
      <c r="L419" t="n">
        <v>0</v>
      </c>
      <c r="M419" t="n">
        <v>0</v>
      </c>
      <c r="N419" t="n">
        <v>0</v>
      </c>
      <c r="O419" t="n">
        <v>0</v>
      </c>
      <c r="P419" t="n">
        <v>0</v>
      </c>
      <c r="Q419" t="n">
        <v>1</v>
      </c>
      <c r="R419" s="2" t="inlineStr">
        <is>
          <t>Kransrams</t>
        </is>
      </c>
      <c r="S419">
        <f>HYPERLINK("https://klasma.github.io/Logging_2283/artfynd/A 5033-2024 artfynd.xlsx", "A 5033-2024")</f>
        <v/>
      </c>
      <c r="T419">
        <f>HYPERLINK("https://klasma.github.io/Logging_2283/kartor/A 5033-2024 karta.png", "A 5033-2024")</f>
        <v/>
      </c>
      <c r="V419">
        <f>HYPERLINK("https://klasma.github.io/Logging_2283/klagomål/A 5033-2024 FSC-klagomål.docx", "A 5033-2024")</f>
        <v/>
      </c>
      <c r="W419">
        <f>HYPERLINK("https://klasma.github.io/Logging_2283/klagomålsmail/A 5033-2024 FSC-klagomål mail.docx", "A 5033-2024")</f>
        <v/>
      </c>
      <c r="X419">
        <f>HYPERLINK("https://klasma.github.io/Logging_2283/tillsyn/A 5033-2024 tillsynsbegäran.docx", "A 5033-2024")</f>
        <v/>
      </c>
      <c r="Y419">
        <f>HYPERLINK("https://klasma.github.io/Logging_2283/tillsynsmail/A 5033-2024 tillsynsbegäran mail.docx", "A 5033-2024")</f>
        <v/>
      </c>
    </row>
    <row r="420" ht="15" customHeight="1">
      <c r="A420" t="inlineStr">
        <is>
          <t>A 15627-2026</t>
        </is>
      </c>
      <c r="B420" s="1" t="n">
        <v>46106.61586805555</v>
      </c>
      <c r="C420" s="1" t="n">
        <v>46161</v>
      </c>
      <c r="D420" t="inlineStr">
        <is>
          <t>VÄSTERNORRLANDS LÄN</t>
        </is>
      </c>
      <c r="E420" t="inlineStr">
        <is>
          <t>SOLLEFTEÅ</t>
        </is>
      </c>
      <c r="F420" t="inlineStr">
        <is>
          <t>SCA</t>
        </is>
      </c>
      <c r="G420" t="n">
        <v>8.6</v>
      </c>
      <c r="H420" t="n">
        <v>1</v>
      </c>
      <c r="I420" t="n">
        <v>0</v>
      </c>
      <c r="J420" t="n">
        <v>0</v>
      </c>
      <c r="K420" t="n">
        <v>0</v>
      </c>
      <c r="L420" t="n">
        <v>0</v>
      </c>
      <c r="M420" t="n">
        <v>0</v>
      </c>
      <c r="N420" t="n">
        <v>0</v>
      </c>
      <c r="O420" t="n">
        <v>0</v>
      </c>
      <c r="P420" t="n">
        <v>0</v>
      </c>
      <c r="Q420" t="n">
        <v>1</v>
      </c>
      <c r="R420" s="2" t="inlineStr">
        <is>
          <t>Fläcknycklar</t>
        </is>
      </c>
      <c r="S420">
        <f>HYPERLINK("https://klasma.github.io/Logging_2283/artfynd/A 15627-2026 artfynd.xlsx", "A 15627-2026")</f>
        <v/>
      </c>
      <c r="T420">
        <f>HYPERLINK("https://klasma.github.io/Logging_2283/kartor/A 15627-2026 karta.png", "A 15627-2026")</f>
        <v/>
      </c>
      <c r="V420">
        <f>HYPERLINK("https://klasma.github.io/Logging_2283/klagomål/A 15627-2026 FSC-klagomål.docx", "A 15627-2026")</f>
        <v/>
      </c>
      <c r="W420">
        <f>HYPERLINK("https://klasma.github.io/Logging_2283/klagomålsmail/A 15627-2026 FSC-klagomål mail.docx", "A 15627-2026")</f>
        <v/>
      </c>
      <c r="X420">
        <f>HYPERLINK("https://klasma.github.io/Logging_2283/tillsyn/A 15627-2026 tillsynsbegäran.docx", "A 15627-2026")</f>
        <v/>
      </c>
      <c r="Y420">
        <f>HYPERLINK("https://klasma.github.io/Logging_2283/tillsynsmail/A 15627-2026 tillsynsbegäran mail.docx", "A 15627-2026")</f>
        <v/>
      </c>
    </row>
    <row r="421" ht="15" customHeight="1">
      <c r="A421" t="inlineStr">
        <is>
          <t>A 22372-2026</t>
        </is>
      </c>
      <c r="B421" s="1" t="n">
        <v>46154.61506944444</v>
      </c>
      <c r="C421" s="1" t="n">
        <v>46161</v>
      </c>
      <c r="D421" t="inlineStr">
        <is>
          <t>VÄSTERNORRLANDS LÄN</t>
        </is>
      </c>
      <c r="E421" t="inlineStr">
        <is>
          <t>SOLLEFTEÅ</t>
        </is>
      </c>
      <c r="F421" t="inlineStr">
        <is>
          <t>SCA</t>
        </is>
      </c>
      <c r="G421" t="n">
        <v>2.6</v>
      </c>
      <c r="H421" t="n">
        <v>1</v>
      </c>
      <c r="I421" t="n">
        <v>0</v>
      </c>
      <c r="J421" t="n">
        <v>0</v>
      </c>
      <c r="K421" t="n">
        <v>0</v>
      </c>
      <c r="L421" t="n">
        <v>0</v>
      </c>
      <c r="M421" t="n">
        <v>0</v>
      </c>
      <c r="N421" t="n">
        <v>0</v>
      </c>
      <c r="O421" t="n">
        <v>0</v>
      </c>
      <c r="P421" t="n">
        <v>0</v>
      </c>
      <c r="Q421" t="n">
        <v>1</v>
      </c>
      <c r="R421" s="2" t="inlineStr">
        <is>
          <t>Fläcknycklar</t>
        </is>
      </c>
      <c r="S421">
        <f>HYPERLINK("https://klasma.github.io/Logging_2283/artfynd/A 22372-2026 artfynd.xlsx", "A 22372-2026")</f>
        <v/>
      </c>
      <c r="T421">
        <f>HYPERLINK("https://klasma.github.io/Logging_2283/kartor/A 22372-2026 karta.png", "A 22372-2026")</f>
        <v/>
      </c>
      <c r="V421">
        <f>HYPERLINK("https://klasma.github.io/Logging_2283/klagomål/A 22372-2026 FSC-klagomål.docx", "A 22372-2026")</f>
        <v/>
      </c>
      <c r="W421">
        <f>HYPERLINK("https://klasma.github.io/Logging_2283/klagomålsmail/A 22372-2026 FSC-klagomål mail.docx", "A 22372-2026")</f>
        <v/>
      </c>
      <c r="X421">
        <f>HYPERLINK("https://klasma.github.io/Logging_2283/tillsyn/A 22372-2026 tillsynsbegäran.docx", "A 22372-2026")</f>
        <v/>
      </c>
      <c r="Y421">
        <f>HYPERLINK("https://klasma.github.io/Logging_2283/tillsynsmail/A 22372-2026 tillsynsbegäran mail.docx", "A 22372-2026")</f>
        <v/>
      </c>
    </row>
    <row r="422" ht="15" customHeight="1">
      <c r="A422" t="inlineStr">
        <is>
          <t>A 5790-2025</t>
        </is>
      </c>
      <c r="B422" s="1" t="n">
        <v>45694.65657407408</v>
      </c>
      <c r="C422" s="1" t="n">
        <v>46161</v>
      </c>
      <c r="D422" t="inlineStr">
        <is>
          <t>VÄSTERNORRLANDS LÄN</t>
        </is>
      </c>
      <c r="E422" t="inlineStr">
        <is>
          <t>SOLLEFTEÅ</t>
        </is>
      </c>
      <c r="F422" t="inlineStr">
        <is>
          <t>SCA</t>
        </is>
      </c>
      <c r="G422" t="n">
        <v>32.7</v>
      </c>
      <c r="H422" t="n">
        <v>0</v>
      </c>
      <c r="I422" t="n">
        <v>0</v>
      </c>
      <c r="J422" t="n">
        <v>1</v>
      </c>
      <c r="K422" t="n">
        <v>0</v>
      </c>
      <c r="L422" t="n">
        <v>0</v>
      </c>
      <c r="M422" t="n">
        <v>0</v>
      </c>
      <c r="N422" t="n">
        <v>0</v>
      </c>
      <c r="O422" t="n">
        <v>1</v>
      </c>
      <c r="P422" t="n">
        <v>0</v>
      </c>
      <c r="Q422" t="n">
        <v>1</v>
      </c>
      <c r="R422" s="2" t="inlineStr">
        <is>
          <t>Lunglav</t>
        </is>
      </c>
      <c r="S422">
        <f>HYPERLINK("https://klasma.github.io/Logging_2283/artfynd/A 5790-2025 artfynd.xlsx", "A 5790-2025")</f>
        <v/>
      </c>
      <c r="T422">
        <f>HYPERLINK("https://klasma.github.io/Logging_2283/kartor/A 5790-2025 karta.png", "A 5790-2025")</f>
        <v/>
      </c>
      <c r="V422">
        <f>HYPERLINK("https://klasma.github.io/Logging_2283/klagomål/A 5790-2025 FSC-klagomål.docx", "A 5790-2025")</f>
        <v/>
      </c>
      <c r="W422">
        <f>HYPERLINK("https://klasma.github.io/Logging_2283/klagomålsmail/A 5790-2025 FSC-klagomål mail.docx", "A 5790-2025")</f>
        <v/>
      </c>
      <c r="X422">
        <f>HYPERLINK("https://klasma.github.io/Logging_2283/tillsyn/A 5790-2025 tillsynsbegäran.docx", "A 5790-2025")</f>
        <v/>
      </c>
      <c r="Y422">
        <f>HYPERLINK("https://klasma.github.io/Logging_2283/tillsynsmail/A 5790-2025 tillsynsbegäran mail.docx", "A 5790-2025")</f>
        <v/>
      </c>
    </row>
    <row r="423" ht="15" customHeight="1">
      <c r="A423" t="inlineStr">
        <is>
          <t>A 22928-2026</t>
        </is>
      </c>
      <c r="B423" s="1" t="n">
        <v>46160.55259259259</v>
      </c>
      <c r="C423" s="1" t="n">
        <v>46161</v>
      </c>
      <c r="D423" t="inlineStr">
        <is>
          <t>VÄSTERNORRLANDS LÄN</t>
        </is>
      </c>
      <c r="E423" t="inlineStr">
        <is>
          <t>SOLLEFTEÅ</t>
        </is>
      </c>
      <c r="F423" t="inlineStr">
        <is>
          <t>SCA</t>
        </is>
      </c>
      <c r="G423" t="n">
        <v>1.3</v>
      </c>
      <c r="H423" t="n">
        <v>0</v>
      </c>
      <c r="I423" t="n">
        <v>0</v>
      </c>
      <c r="J423" t="n">
        <v>1</v>
      </c>
      <c r="K423" t="n">
        <v>0</v>
      </c>
      <c r="L423" t="n">
        <v>0</v>
      </c>
      <c r="M423" t="n">
        <v>0</v>
      </c>
      <c r="N423" t="n">
        <v>0</v>
      </c>
      <c r="O423" t="n">
        <v>1</v>
      </c>
      <c r="P423" t="n">
        <v>0</v>
      </c>
      <c r="Q423" t="n">
        <v>1</v>
      </c>
      <c r="R423" s="2" t="inlineStr">
        <is>
          <t>Koralltaggsvamp</t>
        </is>
      </c>
      <c r="S423">
        <f>HYPERLINK("https://klasma.github.io/Logging_2283/artfynd/A 22928-2026 artfynd.xlsx", "A 22928-2026")</f>
        <v/>
      </c>
      <c r="T423">
        <f>HYPERLINK("https://klasma.github.io/Logging_2283/kartor/A 22928-2026 karta.png", "A 22928-2026")</f>
        <v/>
      </c>
      <c r="V423">
        <f>HYPERLINK("https://klasma.github.io/Logging_2283/klagomål/A 22928-2026 FSC-klagomål.docx", "A 22928-2026")</f>
        <v/>
      </c>
      <c r="W423">
        <f>HYPERLINK("https://klasma.github.io/Logging_2283/klagomålsmail/A 22928-2026 FSC-klagomål mail.docx", "A 22928-2026")</f>
        <v/>
      </c>
      <c r="X423">
        <f>HYPERLINK("https://klasma.github.io/Logging_2283/tillsyn/A 22928-2026 tillsynsbegäran.docx", "A 22928-2026")</f>
        <v/>
      </c>
      <c r="Y423">
        <f>HYPERLINK("https://klasma.github.io/Logging_2283/tillsynsmail/A 22928-2026 tillsynsbegäran mail.docx", "A 22928-2026")</f>
        <v/>
      </c>
    </row>
    <row r="424" ht="15" customHeight="1">
      <c r="A424" t="inlineStr">
        <is>
          <t>A 53059-2023</t>
        </is>
      </c>
      <c r="B424" s="1" t="n">
        <v>45226</v>
      </c>
      <c r="C424" s="1" t="n">
        <v>46161</v>
      </c>
      <c r="D424" t="inlineStr">
        <is>
          <t>VÄSTERNORRLANDS LÄN</t>
        </is>
      </c>
      <c r="E424" t="inlineStr">
        <is>
          <t>SOLLEFTEÅ</t>
        </is>
      </c>
      <c r="F424" t="inlineStr">
        <is>
          <t>SCA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HYPERLINK("https://klasma.github.io/Logging_2283/artfynd/A 53059-2023 artfynd.xlsx", "A 53059-2023")</f>
        <v/>
      </c>
      <c r="T424">
        <f>HYPERLINK("https://klasma.github.io/Logging_2283/kartor/A 53059-2023 karta.png", "A 53059-2023")</f>
        <v/>
      </c>
      <c r="U424">
        <f>HYPERLINK("https://klasma.github.io/Logging_2283/knärot/A 53059-2023 karta knärot.png", "A 53059-2023")</f>
        <v/>
      </c>
      <c r="V424">
        <f>HYPERLINK("https://klasma.github.io/Logging_2283/klagomål/A 53059-2023 FSC-klagomål.docx", "A 53059-2023")</f>
        <v/>
      </c>
      <c r="W424">
        <f>HYPERLINK("https://klasma.github.io/Logging_2283/klagomålsmail/A 53059-2023 FSC-klagomål mail.docx", "A 53059-2023")</f>
        <v/>
      </c>
      <c r="X424">
        <f>HYPERLINK("https://klasma.github.io/Logging_2283/tillsyn/A 53059-2023 tillsynsbegäran.docx", "A 53059-2023")</f>
        <v/>
      </c>
      <c r="Y424">
        <f>HYPERLINK("https://klasma.github.io/Logging_2283/tillsynsmail/A 53059-2023 tillsynsbegäran mail.docx", "A 53059-2023")</f>
        <v/>
      </c>
    </row>
    <row r="425" ht="15" customHeight="1">
      <c r="A425" t="inlineStr">
        <is>
          <t>A 16269-2022</t>
        </is>
      </c>
      <c r="B425" s="1" t="n">
        <v>44670</v>
      </c>
      <c r="C425" s="1" t="n">
        <v>46161</v>
      </c>
      <c r="D425" t="inlineStr">
        <is>
          <t>VÄSTERNORRLANDS LÄN</t>
        </is>
      </c>
      <c r="E425" t="inlineStr">
        <is>
          <t>SOLLEFTEÅ</t>
        </is>
      </c>
      <c r="F425" t="inlineStr">
        <is>
          <t>Holmen skog AB</t>
        </is>
      </c>
      <c r="G425" t="n">
        <v>4.6</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16269-2022 artfynd.xlsx", "A 16269-2022")</f>
        <v/>
      </c>
      <c r="T425">
        <f>HYPERLINK("https://klasma.github.io/Logging_2283/kartor/A 16269-2022 karta.png", "A 16269-2022")</f>
        <v/>
      </c>
      <c r="V425">
        <f>HYPERLINK("https://klasma.github.io/Logging_2283/klagomål/A 16269-2022 FSC-klagomål.docx", "A 16269-2022")</f>
        <v/>
      </c>
      <c r="W425">
        <f>HYPERLINK("https://klasma.github.io/Logging_2283/klagomålsmail/A 16269-2022 FSC-klagomål mail.docx", "A 16269-2022")</f>
        <v/>
      </c>
      <c r="X425">
        <f>HYPERLINK("https://klasma.github.io/Logging_2283/tillsyn/A 16269-2022 tillsynsbegäran.docx", "A 16269-2022")</f>
        <v/>
      </c>
      <c r="Y425">
        <f>HYPERLINK("https://klasma.github.io/Logging_2283/tillsynsmail/A 16269-2022 tillsynsbegäran mail.docx", "A 16269-2022")</f>
        <v/>
      </c>
      <c r="Z425">
        <f>HYPERLINK("https://klasma.github.io/Logging_2283/fåglar/A 16269-2022 prioriterade fågelarter.docx", "A 16269-2022")</f>
        <v/>
      </c>
    </row>
    <row r="426" ht="15" customHeight="1">
      <c r="A426" t="inlineStr">
        <is>
          <t>A 48948-2024</t>
        </is>
      </c>
      <c r="B426" s="1" t="n">
        <v>45594.42767361111</v>
      </c>
      <c r="C426" s="1" t="n">
        <v>46161</v>
      </c>
      <c r="D426" t="inlineStr">
        <is>
          <t>VÄSTERNORRLANDS LÄN</t>
        </is>
      </c>
      <c r="E426" t="inlineStr">
        <is>
          <t>SOLLEFTEÅ</t>
        </is>
      </c>
      <c r="F426" t="inlineStr">
        <is>
          <t>SCA</t>
        </is>
      </c>
      <c r="G426" t="n">
        <v>15</v>
      </c>
      <c r="H426" t="n">
        <v>1</v>
      </c>
      <c r="I426" t="n">
        <v>0</v>
      </c>
      <c r="J426" t="n">
        <v>0</v>
      </c>
      <c r="K426" t="n">
        <v>0</v>
      </c>
      <c r="L426" t="n">
        <v>0</v>
      </c>
      <c r="M426" t="n">
        <v>0</v>
      </c>
      <c r="N426" t="n">
        <v>0</v>
      </c>
      <c r="O426" t="n">
        <v>0</v>
      </c>
      <c r="P426" t="n">
        <v>0</v>
      </c>
      <c r="Q426" t="n">
        <v>1</v>
      </c>
      <c r="R426" s="2" t="inlineStr">
        <is>
          <t>Mattlummer</t>
        </is>
      </c>
      <c r="S426">
        <f>HYPERLINK("https://klasma.github.io/Logging_2283/artfynd/A 48948-2024 artfynd.xlsx", "A 48948-2024")</f>
        <v/>
      </c>
      <c r="T426">
        <f>HYPERLINK("https://klasma.github.io/Logging_2283/kartor/A 48948-2024 karta.png", "A 48948-2024")</f>
        <v/>
      </c>
      <c r="V426">
        <f>HYPERLINK("https://klasma.github.io/Logging_2283/klagomål/A 48948-2024 FSC-klagomål.docx", "A 48948-2024")</f>
        <v/>
      </c>
      <c r="W426">
        <f>HYPERLINK("https://klasma.github.io/Logging_2283/klagomålsmail/A 48948-2024 FSC-klagomål mail.docx", "A 48948-2024")</f>
        <v/>
      </c>
      <c r="X426">
        <f>HYPERLINK("https://klasma.github.io/Logging_2283/tillsyn/A 48948-2024 tillsynsbegäran.docx", "A 48948-2024")</f>
        <v/>
      </c>
      <c r="Y426">
        <f>HYPERLINK("https://klasma.github.io/Logging_2283/tillsynsmail/A 48948-2024 tillsynsbegäran mail.docx", "A 48948-2024")</f>
        <v/>
      </c>
    </row>
    <row r="427" ht="15" customHeight="1">
      <c r="A427" t="inlineStr">
        <is>
          <t>A 14805-2024</t>
        </is>
      </c>
      <c r="B427" s="1" t="n">
        <v>45397</v>
      </c>
      <c r="C427" s="1" t="n">
        <v>46161</v>
      </c>
      <c r="D427" t="inlineStr">
        <is>
          <t>VÄSTERNORRLANDS LÄN</t>
        </is>
      </c>
      <c r="E427" t="inlineStr">
        <is>
          <t>SOLLEFTEÅ</t>
        </is>
      </c>
      <c r="F427" t="inlineStr">
        <is>
          <t>SCA</t>
        </is>
      </c>
      <c r="G427" t="n">
        <v>3.5</v>
      </c>
      <c r="H427" t="n">
        <v>0</v>
      </c>
      <c r="I427" t="n">
        <v>0</v>
      </c>
      <c r="J427" t="n">
        <v>1</v>
      </c>
      <c r="K427" t="n">
        <v>0</v>
      </c>
      <c r="L427" t="n">
        <v>0</v>
      </c>
      <c r="M427" t="n">
        <v>0</v>
      </c>
      <c r="N427" t="n">
        <v>0</v>
      </c>
      <c r="O427" t="n">
        <v>1</v>
      </c>
      <c r="P427" t="n">
        <v>0</v>
      </c>
      <c r="Q427" t="n">
        <v>1</v>
      </c>
      <c r="R427" s="2" t="inlineStr">
        <is>
          <t>Dvärgbägarlav</t>
        </is>
      </c>
      <c r="S427">
        <f>HYPERLINK("https://klasma.github.io/Logging_2283/artfynd/A 14805-2024 artfynd.xlsx", "A 14805-2024")</f>
        <v/>
      </c>
      <c r="T427">
        <f>HYPERLINK("https://klasma.github.io/Logging_2283/kartor/A 14805-2024 karta.png", "A 14805-2024")</f>
        <v/>
      </c>
      <c r="V427">
        <f>HYPERLINK("https://klasma.github.io/Logging_2283/klagomål/A 14805-2024 FSC-klagomål.docx", "A 14805-2024")</f>
        <v/>
      </c>
      <c r="W427">
        <f>HYPERLINK("https://klasma.github.io/Logging_2283/klagomålsmail/A 14805-2024 FSC-klagomål mail.docx", "A 14805-2024")</f>
        <v/>
      </c>
      <c r="X427">
        <f>HYPERLINK("https://klasma.github.io/Logging_2283/tillsyn/A 14805-2024 tillsynsbegäran.docx", "A 14805-2024")</f>
        <v/>
      </c>
      <c r="Y427">
        <f>HYPERLINK("https://klasma.github.io/Logging_2283/tillsynsmail/A 14805-2024 tillsynsbegäran mail.docx", "A 14805-2024")</f>
        <v/>
      </c>
    </row>
    <row r="428" ht="15" customHeight="1">
      <c r="A428" t="inlineStr">
        <is>
          <t>A 49181-2022</t>
        </is>
      </c>
      <c r="B428" s="1" t="n">
        <v>44860.95321759259</v>
      </c>
      <c r="C428" s="1" t="n">
        <v>46161</v>
      </c>
      <c r="D428" t="inlineStr">
        <is>
          <t>VÄSTERNORRLANDS LÄN</t>
        </is>
      </c>
      <c r="E428" t="inlineStr">
        <is>
          <t>SOLLEFTEÅ</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51104-2021</t>
        </is>
      </c>
      <c r="B429" s="1" t="n">
        <v>44459</v>
      </c>
      <c r="C429" s="1" t="n">
        <v>46161</v>
      </c>
      <c r="D429" t="inlineStr">
        <is>
          <t>VÄSTERNORRLANDS LÄN</t>
        </is>
      </c>
      <c r="E429" t="inlineStr">
        <is>
          <t>SOLLEFTEÅ</t>
        </is>
      </c>
      <c r="G429" t="n">
        <v>1.6</v>
      </c>
      <c r="H429" t="n">
        <v>0</v>
      </c>
      <c r="I429" t="n">
        <v>0</v>
      </c>
      <c r="J429" t="n">
        <v>0</v>
      </c>
      <c r="K429" t="n">
        <v>0</v>
      </c>
      <c r="L429" t="n">
        <v>0</v>
      </c>
      <c r="M429" t="n">
        <v>0</v>
      </c>
      <c r="N429" t="n">
        <v>0</v>
      </c>
      <c r="O429" t="n">
        <v>0</v>
      </c>
      <c r="P429" t="n">
        <v>0</v>
      </c>
      <c r="Q429" t="n">
        <v>0</v>
      </c>
      <c r="R429" s="2" t="inlineStr"/>
    </row>
    <row r="430" ht="15" customHeight="1">
      <c r="A430" t="inlineStr">
        <is>
          <t>A 12564-2022</t>
        </is>
      </c>
      <c r="B430" s="1" t="n">
        <v>44638.94256944444</v>
      </c>
      <c r="C430" s="1" t="n">
        <v>46161</v>
      </c>
      <c r="D430" t="inlineStr">
        <is>
          <t>VÄSTERNORRLANDS LÄN</t>
        </is>
      </c>
      <c r="E430" t="inlineStr">
        <is>
          <t>SOLLEFTEÅ</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37835-2022</t>
        </is>
      </c>
      <c r="B431" s="1" t="n">
        <v>44810</v>
      </c>
      <c r="C431" s="1" t="n">
        <v>46161</v>
      </c>
      <c r="D431" t="inlineStr">
        <is>
          <t>VÄSTERNORRLANDS LÄN</t>
        </is>
      </c>
      <c r="E431" t="inlineStr">
        <is>
          <t>SOLLEFTEÅ</t>
        </is>
      </c>
      <c r="F431" t="inlineStr">
        <is>
          <t>SCA</t>
        </is>
      </c>
      <c r="G431" t="n">
        <v>8.5</v>
      </c>
      <c r="H431" t="n">
        <v>0</v>
      </c>
      <c r="I431" t="n">
        <v>0</v>
      </c>
      <c r="J431" t="n">
        <v>0</v>
      </c>
      <c r="K431" t="n">
        <v>0</v>
      </c>
      <c r="L431" t="n">
        <v>0</v>
      </c>
      <c r="M431" t="n">
        <v>0</v>
      </c>
      <c r="N431" t="n">
        <v>0</v>
      </c>
      <c r="O431" t="n">
        <v>0</v>
      </c>
      <c r="P431" t="n">
        <v>0</v>
      </c>
      <c r="Q431" t="n">
        <v>0</v>
      </c>
      <c r="R431" s="2" t="inlineStr"/>
    </row>
    <row r="432" ht="15" customHeight="1">
      <c r="A432" t="inlineStr">
        <is>
          <t>A 30937-2022</t>
        </is>
      </c>
      <c r="B432" s="1" t="n">
        <v>44767.94092592593</v>
      </c>
      <c r="C432" s="1" t="n">
        <v>46161</v>
      </c>
      <c r="D432" t="inlineStr">
        <is>
          <t>VÄSTERNORRLANDS LÄN</t>
        </is>
      </c>
      <c r="E432" t="inlineStr">
        <is>
          <t>SOLLEFTEÅ</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45187-2021</t>
        </is>
      </c>
      <c r="B433" s="1" t="n">
        <v>44439</v>
      </c>
      <c r="C433" s="1" t="n">
        <v>46161</v>
      </c>
      <c r="D433" t="inlineStr">
        <is>
          <t>VÄSTERNORRLANDS LÄN</t>
        </is>
      </c>
      <c r="E433" t="inlineStr">
        <is>
          <t>SOLLEFTEÅ</t>
        </is>
      </c>
      <c r="G433" t="n">
        <v>3.2</v>
      </c>
      <c r="H433" t="n">
        <v>0</v>
      </c>
      <c r="I433" t="n">
        <v>0</v>
      </c>
      <c r="J433" t="n">
        <v>0</v>
      </c>
      <c r="K433" t="n">
        <v>0</v>
      </c>
      <c r="L433" t="n">
        <v>0</v>
      </c>
      <c r="M433" t="n">
        <v>0</v>
      </c>
      <c r="N433" t="n">
        <v>0</v>
      </c>
      <c r="O433" t="n">
        <v>0</v>
      </c>
      <c r="P433" t="n">
        <v>0</v>
      </c>
      <c r="Q433" t="n">
        <v>0</v>
      </c>
      <c r="R433" s="2" t="inlineStr"/>
    </row>
    <row r="434" ht="15" customHeight="1">
      <c r="A434" t="inlineStr">
        <is>
          <t>A 41455-2022</t>
        </is>
      </c>
      <c r="B434" s="1" t="n">
        <v>44826</v>
      </c>
      <c r="C434" s="1" t="n">
        <v>46161</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28288-2021</t>
        </is>
      </c>
      <c r="B435" s="1" t="n">
        <v>44355</v>
      </c>
      <c r="C435" s="1" t="n">
        <v>46161</v>
      </c>
      <c r="D435" t="inlineStr">
        <is>
          <t>VÄSTERNORRLANDS LÄN</t>
        </is>
      </c>
      <c r="E435" t="inlineStr">
        <is>
          <t>SOLLEFTEÅ</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29623-2021</t>
        </is>
      </c>
      <c r="B436" s="1" t="n">
        <v>44361</v>
      </c>
      <c r="C436" s="1" t="n">
        <v>46161</v>
      </c>
      <c r="D436" t="inlineStr">
        <is>
          <t>VÄSTERNORRLANDS LÄN</t>
        </is>
      </c>
      <c r="E436" t="inlineStr">
        <is>
          <t>SOLLEFTEÅ</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34542-2022</t>
        </is>
      </c>
      <c r="B437" s="1" t="n">
        <v>44793</v>
      </c>
      <c r="C437" s="1" t="n">
        <v>46161</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58486-2021</t>
        </is>
      </c>
      <c r="B438" s="1" t="n">
        <v>44488</v>
      </c>
      <c r="C438" s="1" t="n">
        <v>46161</v>
      </c>
      <c r="D438" t="inlineStr">
        <is>
          <t>VÄSTERNORRLANDS LÄN</t>
        </is>
      </c>
      <c r="E438" t="inlineStr">
        <is>
          <t>SOLLEFTEÅ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32779-2022</t>
        </is>
      </c>
      <c r="B439" s="1" t="n">
        <v>44783.94623842592</v>
      </c>
      <c r="C439" s="1" t="n">
        <v>46161</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71350-2021</t>
        </is>
      </c>
      <c r="B440" s="1" t="n">
        <v>44539</v>
      </c>
      <c r="C440" s="1" t="n">
        <v>46161</v>
      </c>
      <c r="D440" t="inlineStr">
        <is>
          <t>VÄSTERNORRLANDS LÄN</t>
        </is>
      </c>
      <c r="E440" t="inlineStr">
        <is>
          <t>SOLLEFTEÅ</t>
        </is>
      </c>
      <c r="G440" t="n">
        <v>0</v>
      </c>
      <c r="H440" t="n">
        <v>0</v>
      </c>
      <c r="I440" t="n">
        <v>0</v>
      </c>
      <c r="J440" t="n">
        <v>0</v>
      </c>
      <c r="K440" t="n">
        <v>0</v>
      </c>
      <c r="L440" t="n">
        <v>0</v>
      </c>
      <c r="M440" t="n">
        <v>0</v>
      </c>
      <c r="N440" t="n">
        <v>0</v>
      </c>
      <c r="O440" t="n">
        <v>0</v>
      </c>
      <c r="P440" t="n">
        <v>0</v>
      </c>
      <c r="Q440" t="n">
        <v>0</v>
      </c>
      <c r="R440" s="2" t="inlineStr"/>
    </row>
    <row r="441" ht="15" customHeight="1">
      <c r="A441" t="inlineStr">
        <is>
          <t>A 39372-2022</t>
        </is>
      </c>
      <c r="B441" s="1" t="n">
        <v>44817.94298611111</v>
      </c>
      <c r="C441" s="1" t="n">
        <v>46161</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17045-2022</t>
        </is>
      </c>
      <c r="B442" s="1" t="n">
        <v>44676</v>
      </c>
      <c r="C442" s="1" t="n">
        <v>46161</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67390-2021</t>
        </is>
      </c>
      <c r="B443" s="1" t="n">
        <v>44523.93848379629</v>
      </c>
      <c r="C443" s="1" t="n">
        <v>46161</v>
      </c>
      <c r="D443" t="inlineStr">
        <is>
          <t>VÄSTERNORRLANDS LÄN</t>
        </is>
      </c>
      <c r="E443" t="inlineStr">
        <is>
          <t>SOLLEFTEÅ</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3557-2022</t>
        </is>
      </c>
      <c r="B444" s="1" t="n">
        <v>44585.93833333333</v>
      </c>
      <c r="C444" s="1" t="n">
        <v>46161</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18015-2022</t>
        </is>
      </c>
      <c r="B445" s="1" t="n">
        <v>44683.94319444444</v>
      </c>
      <c r="C445" s="1" t="n">
        <v>46161</v>
      </c>
      <c r="D445" t="inlineStr">
        <is>
          <t>VÄSTERNORRLANDS LÄN</t>
        </is>
      </c>
      <c r="E445" t="inlineStr">
        <is>
          <t>SOLLEFTEÅ</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44627.94453703704</v>
      </c>
      <c r="C446" s="1" t="n">
        <v>46161</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4555-2022</t>
        </is>
      </c>
      <c r="B447" s="1" t="n">
        <v>44590.93231481482</v>
      </c>
      <c r="C447" s="1" t="n">
        <v>46161</v>
      </c>
      <c r="D447" t="inlineStr">
        <is>
          <t>VÄSTERNORRLANDS LÄN</t>
        </is>
      </c>
      <c r="E447" t="inlineStr">
        <is>
          <t>SOLLEFTEÅ</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24322-2022</t>
        </is>
      </c>
      <c r="B448" s="1" t="n">
        <v>44725.94471064815</v>
      </c>
      <c r="C448" s="1" t="n">
        <v>46161</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29842-2022</t>
        </is>
      </c>
      <c r="B449" s="1" t="n">
        <v>44756.32835648148</v>
      </c>
      <c r="C449" s="1" t="n">
        <v>46161</v>
      </c>
      <c r="D449" t="inlineStr">
        <is>
          <t>VÄSTERNORRLANDS LÄN</t>
        </is>
      </c>
      <c r="E449" t="inlineStr">
        <is>
          <t>SOLLEFTEÅ</t>
        </is>
      </c>
      <c r="F449" t="inlineStr">
        <is>
          <t>Holmen skog AB</t>
        </is>
      </c>
      <c r="G449" t="n">
        <v>0.3</v>
      </c>
      <c r="H449" t="n">
        <v>0</v>
      </c>
      <c r="I449" t="n">
        <v>0</v>
      </c>
      <c r="J449" t="n">
        <v>0</v>
      </c>
      <c r="K449" t="n">
        <v>0</v>
      </c>
      <c r="L449" t="n">
        <v>0</v>
      </c>
      <c r="M449" t="n">
        <v>0</v>
      </c>
      <c r="N449" t="n">
        <v>0</v>
      </c>
      <c r="O449" t="n">
        <v>0</v>
      </c>
      <c r="P449" t="n">
        <v>0</v>
      </c>
      <c r="Q449" t="n">
        <v>0</v>
      </c>
      <c r="R449" s="2" t="inlineStr"/>
    </row>
    <row r="450" ht="15" customHeight="1">
      <c r="A450" t="inlineStr">
        <is>
          <t>A 30043-2022</t>
        </is>
      </c>
      <c r="B450" s="1" t="n">
        <v>44756</v>
      </c>
      <c r="C450" s="1" t="n">
        <v>46161</v>
      </c>
      <c r="D450" t="inlineStr">
        <is>
          <t>VÄSTERNORRLANDS LÄN</t>
        </is>
      </c>
      <c r="E450" t="inlineStr">
        <is>
          <t>SOLLEFTEÅ</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27282-2022</t>
        </is>
      </c>
      <c r="B451" s="1" t="n">
        <v>44741</v>
      </c>
      <c r="C451" s="1" t="n">
        <v>46161</v>
      </c>
      <c r="D451" t="inlineStr">
        <is>
          <t>VÄSTERNORRLANDS LÄN</t>
        </is>
      </c>
      <c r="E451" t="inlineStr">
        <is>
          <t>SOLLEFTEÅ</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39006-2022</t>
        </is>
      </c>
      <c r="B452" s="1" t="n">
        <v>44816.94675925926</v>
      </c>
      <c r="C452" s="1" t="n">
        <v>46161</v>
      </c>
      <c r="D452" t="inlineStr">
        <is>
          <t>VÄSTERNORRLANDS LÄN</t>
        </is>
      </c>
      <c r="E452" t="inlineStr">
        <is>
          <t>SOLLEFTEÅ</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21714-2022</t>
        </is>
      </c>
      <c r="B453" s="1" t="n">
        <v>44707.94015046296</v>
      </c>
      <c r="C453" s="1" t="n">
        <v>46161</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49175-2022</t>
        </is>
      </c>
      <c r="B454" s="1" t="n">
        <v>44860.92922453704</v>
      </c>
      <c r="C454" s="1" t="n">
        <v>46161</v>
      </c>
      <c r="D454" t="inlineStr">
        <is>
          <t>VÄSTERNORRLANDS LÄN</t>
        </is>
      </c>
      <c r="E454" t="inlineStr">
        <is>
          <t>SOLLEFTEÅ</t>
        </is>
      </c>
      <c r="G454" t="n">
        <v>0.8</v>
      </c>
      <c r="H454" t="n">
        <v>0</v>
      </c>
      <c r="I454" t="n">
        <v>0</v>
      </c>
      <c r="J454" t="n">
        <v>0</v>
      </c>
      <c r="K454" t="n">
        <v>0</v>
      </c>
      <c r="L454" t="n">
        <v>0</v>
      </c>
      <c r="M454" t="n">
        <v>0</v>
      </c>
      <c r="N454" t="n">
        <v>0</v>
      </c>
      <c r="O454" t="n">
        <v>0</v>
      </c>
      <c r="P454" t="n">
        <v>0</v>
      </c>
      <c r="Q454" t="n">
        <v>0</v>
      </c>
      <c r="R454" s="2" t="inlineStr"/>
    </row>
    <row r="455" ht="15" customHeight="1">
      <c r="A455" t="inlineStr">
        <is>
          <t>A 10417-2022</t>
        </is>
      </c>
      <c r="B455" s="1" t="n">
        <v>44623</v>
      </c>
      <c r="C455" s="1" t="n">
        <v>46161</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67085-2021</t>
        </is>
      </c>
      <c r="B456" s="1" t="n">
        <v>44522.94458333333</v>
      </c>
      <c r="C456" s="1" t="n">
        <v>46161</v>
      </c>
      <c r="D456" t="inlineStr">
        <is>
          <t>VÄSTERNORRLANDS LÄN</t>
        </is>
      </c>
      <c r="E456" t="inlineStr">
        <is>
          <t>SOLLEFTEÅ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45423-2022</t>
        </is>
      </c>
      <c r="B457" s="1" t="n">
        <v>44844.95256944445</v>
      </c>
      <c r="C457" s="1" t="n">
        <v>46161</v>
      </c>
      <c r="D457" t="inlineStr">
        <is>
          <t>VÄSTERNORRLANDS LÄN</t>
        </is>
      </c>
      <c r="E457" t="inlineStr">
        <is>
          <t>SOLLEFTEÅ</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42219-2021</t>
        </is>
      </c>
      <c r="B458" s="1" t="n">
        <v>44426.87444444445</v>
      </c>
      <c r="C458" s="1" t="n">
        <v>46161</v>
      </c>
      <c r="D458" t="inlineStr">
        <is>
          <t>VÄSTERNORRLANDS LÄN</t>
        </is>
      </c>
      <c r="E458" t="inlineStr">
        <is>
          <t>SOLLEFTEÅ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41172-2022</t>
        </is>
      </c>
      <c r="B459" s="1" t="n">
        <v>44825.94738425926</v>
      </c>
      <c r="C459" s="1" t="n">
        <v>46161</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1987-2022</t>
        </is>
      </c>
      <c r="B460" s="1" t="n">
        <v>44575</v>
      </c>
      <c r="C460" s="1" t="n">
        <v>46161</v>
      </c>
      <c r="D460" t="inlineStr">
        <is>
          <t>VÄSTERNORRLANDS LÄN</t>
        </is>
      </c>
      <c r="E460" t="inlineStr">
        <is>
          <t>SOLLEFTEÅ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29602-2021</t>
        </is>
      </c>
      <c r="B461" s="1" t="n">
        <v>44361.93674768518</v>
      </c>
      <c r="C461" s="1" t="n">
        <v>46161</v>
      </c>
      <c r="D461" t="inlineStr">
        <is>
          <t>VÄSTERNORRLANDS LÄN</t>
        </is>
      </c>
      <c r="E461" t="inlineStr">
        <is>
          <t>SOLLEFTEÅ</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49200-2022</t>
        </is>
      </c>
      <c r="B462" s="1" t="n">
        <v>44860.95540509259</v>
      </c>
      <c r="C462" s="1" t="n">
        <v>46161</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38663-2022</t>
        </is>
      </c>
      <c r="B463" s="1" t="n">
        <v>44813.94670138889</v>
      </c>
      <c r="C463" s="1" t="n">
        <v>46161</v>
      </c>
      <c r="D463" t="inlineStr">
        <is>
          <t>VÄSTERNORRLANDS LÄN</t>
        </is>
      </c>
      <c r="E463" t="inlineStr">
        <is>
          <t>SOLLEFTEÅ</t>
        </is>
      </c>
      <c r="G463" t="n">
        <v>3.4</v>
      </c>
      <c r="H463" t="n">
        <v>0</v>
      </c>
      <c r="I463" t="n">
        <v>0</v>
      </c>
      <c r="J463" t="n">
        <v>0</v>
      </c>
      <c r="K463" t="n">
        <v>0</v>
      </c>
      <c r="L463" t="n">
        <v>0</v>
      </c>
      <c r="M463" t="n">
        <v>0</v>
      </c>
      <c r="N463" t="n">
        <v>0</v>
      </c>
      <c r="O463" t="n">
        <v>0</v>
      </c>
      <c r="P463" t="n">
        <v>0</v>
      </c>
      <c r="Q463" t="n">
        <v>0</v>
      </c>
      <c r="R463" s="2" t="inlineStr"/>
    </row>
    <row r="464" ht="15" customHeight="1">
      <c r="A464" t="inlineStr">
        <is>
          <t>A 31490-2022</t>
        </is>
      </c>
      <c r="B464" s="1" t="n">
        <v>44774.94451388889</v>
      </c>
      <c r="C464" s="1" t="n">
        <v>46161</v>
      </c>
      <c r="D464" t="inlineStr">
        <is>
          <t>VÄSTERNORRLANDS LÄN</t>
        </is>
      </c>
      <c r="E464" t="inlineStr">
        <is>
          <t>SOLLEFTEÅ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39594-2021</t>
        </is>
      </c>
      <c r="B465" s="1" t="n">
        <v>44413</v>
      </c>
      <c r="C465" s="1" t="n">
        <v>46161</v>
      </c>
      <c r="D465" t="inlineStr">
        <is>
          <t>VÄSTERNORRLANDS LÄN</t>
        </is>
      </c>
      <c r="E465" t="inlineStr">
        <is>
          <t>SOLLEFTEÅ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1094-2022</t>
        </is>
      </c>
      <c r="B466" s="1" t="n">
        <v>44571</v>
      </c>
      <c r="C466" s="1" t="n">
        <v>46161</v>
      </c>
      <c r="D466" t="inlineStr">
        <is>
          <t>VÄSTERNORRLANDS LÄN</t>
        </is>
      </c>
      <c r="E466" t="inlineStr">
        <is>
          <t>SOLLEFTEÅ</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64947-2021</t>
        </is>
      </c>
      <c r="B467" s="1" t="n">
        <v>44512.94497685185</v>
      </c>
      <c r="C467" s="1" t="n">
        <v>46161</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48923-2022</t>
        </is>
      </c>
      <c r="B468" s="1" t="n">
        <v>44859.95590277778</v>
      </c>
      <c r="C468" s="1" t="n">
        <v>46161</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18196-2022</t>
        </is>
      </c>
      <c r="B469" s="1" t="n">
        <v>44684.94048611111</v>
      </c>
      <c r="C469" s="1" t="n">
        <v>46161</v>
      </c>
      <c r="D469" t="inlineStr">
        <is>
          <t>VÄSTERNORRLANDS LÄN</t>
        </is>
      </c>
      <c r="E469" t="inlineStr">
        <is>
          <t>SOLLEFTEÅ</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25329-2021</t>
        </is>
      </c>
      <c r="B470" s="1" t="n">
        <v>44342</v>
      </c>
      <c r="C470" s="1" t="n">
        <v>46161</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68843-2021</t>
        </is>
      </c>
      <c r="B471" s="1" t="n">
        <v>44530</v>
      </c>
      <c r="C471" s="1" t="n">
        <v>46161</v>
      </c>
      <c r="D471" t="inlineStr">
        <is>
          <t>VÄSTERNORRLANDS LÄN</t>
        </is>
      </c>
      <c r="E471" t="inlineStr">
        <is>
          <t>SOLLEFTEÅ</t>
        </is>
      </c>
      <c r="F471" t="inlineStr">
        <is>
          <t>Holmen skog AB</t>
        </is>
      </c>
      <c r="G471" t="n">
        <v>3.5</v>
      </c>
      <c r="H471" t="n">
        <v>0</v>
      </c>
      <c r="I471" t="n">
        <v>0</v>
      </c>
      <c r="J471" t="n">
        <v>0</v>
      </c>
      <c r="K471" t="n">
        <v>0</v>
      </c>
      <c r="L471" t="n">
        <v>0</v>
      </c>
      <c r="M471" t="n">
        <v>0</v>
      </c>
      <c r="N471" t="n">
        <v>0</v>
      </c>
      <c r="O471" t="n">
        <v>0</v>
      </c>
      <c r="P471" t="n">
        <v>0</v>
      </c>
      <c r="Q471" t="n">
        <v>0</v>
      </c>
      <c r="R471" s="2" t="inlineStr"/>
    </row>
    <row r="472" ht="15" customHeight="1">
      <c r="A472" t="inlineStr">
        <is>
          <t>A 35862-2021</t>
        </is>
      </c>
      <c r="B472" s="1" t="n">
        <v>44386</v>
      </c>
      <c r="C472" s="1" t="n">
        <v>46161</v>
      </c>
      <c r="D472" t="inlineStr">
        <is>
          <t>VÄSTERNORRLANDS LÄN</t>
        </is>
      </c>
      <c r="E472" t="inlineStr">
        <is>
          <t>SOLLEFTEÅ</t>
        </is>
      </c>
      <c r="G472" t="n">
        <v>5.5</v>
      </c>
      <c r="H472" t="n">
        <v>0</v>
      </c>
      <c r="I472" t="n">
        <v>0</v>
      </c>
      <c r="J472" t="n">
        <v>0</v>
      </c>
      <c r="K472" t="n">
        <v>0</v>
      </c>
      <c r="L472" t="n">
        <v>0</v>
      </c>
      <c r="M472" t="n">
        <v>0</v>
      </c>
      <c r="N472" t="n">
        <v>0</v>
      </c>
      <c r="O472" t="n">
        <v>0</v>
      </c>
      <c r="P472" t="n">
        <v>0</v>
      </c>
      <c r="Q472" t="n">
        <v>0</v>
      </c>
      <c r="R472" s="2" t="inlineStr"/>
    </row>
    <row r="473" ht="15" customHeight="1">
      <c r="A473" t="inlineStr">
        <is>
          <t>A 5110-2022</t>
        </is>
      </c>
      <c r="B473" s="1" t="n">
        <v>44593.92141203704</v>
      </c>
      <c r="C473" s="1" t="n">
        <v>46161</v>
      </c>
      <c r="D473" t="inlineStr">
        <is>
          <t>VÄSTERNORRLANDS LÄN</t>
        </is>
      </c>
      <c r="E473" t="inlineStr">
        <is>
          <t>SOLLEFTEÅ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44454-2022</t>
        </is>
      </c>
      <c r="B474" s="1" t="n">
        <v>44839.95543981482</v>
      </c>
      <c r="C474" s="1" t="n">
        <v>46161</v>
      </c>
      <c r="D474" t="inlineStr">
        <is>
          <t>VÄSTERNORRLANDS LÄN</t>
        </is>
      </c>
      <c r="E474" t="inlineStr">
        <is>
          <t>SOLLEFTEÅ</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14299-2022</t>
        </is>
      </c>
      <c r="B475" s="1" t="n">
        <v>44651.93903935186</v>
      </c>
      <c r="C475" s="1" t="n">
        <v>46161</v>
      </c>
      <c r="D475" t="inlineStr">
        <is>
          <t>VÄSTERNORRLANDS LÄN</t>
        </is>
      </c>
      <c r="E475" t="inlineStr">
        <is>
          <t>SOLLEFTEÅ</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46664-2022</t>
        </is>
      </c>
      <c r="B476" s="1" t="n">
        <v>44850.94962962963</v>
      </c>
      <c r="C476" s="1" t="n">
        <v>46161</v>
      </c>
      <c r="D476" t="inlineStr">
        <is>
          <t>VÄSTERNORRLANDS LÄN</t>
        </is>
      </c>
      <c r="E476" t="inlineStr">
        <is>
          <t>SOLLEFTEÅ</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41475-2022</t>
        </is>
      </c>
      <c r="B477" s="1" t="n">
        <v>44826</v>
      </c>
      <c r="C477" s="1" t="n">
        <v>46161</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3699-2022</t>
        </is>
      </c>
      <c r="B478" s="1" t="n">
        <v>44586.58597222222</v>
      </c>
      <c r="C478" s="1" t="n">
        <v>46161</v>
      </c>
      <c r="D478" t="inlineStr">
        <is>
          <t>VÄSTERNORRLANDS LÄN</t>
        </is>
      </c>
      <c r="E478" t="inlineStr">
        <is>
          <t>SOLLEFTEÅ</t>
        </is>
      </c>
      <c r="G478" t="n">
        <v>1.1</v>
      </c>
      <c r="H478" t="n">
        <v>0</v>
      </c>
      <c r="I478" t="n">
        <v>0</v>
      </c>
      <c r="J478" t="n">
        <v>0</v>
      </c>
      <c r="K478" t="n">
        <v>0</v>
      </c>
      <c r="L478" t="n">
        <v>0</v>
      </c>
      <c r="M478" t="n">
        <v>0</v>
      </c>
      <c r="N478" t="n">
        <v>0</v>
      </c>
      <c r="O478" t="n">
        <v>0</v>
      </c>
      <c r="P478" t="n">
        <v>0</v>
      </c>
      <c r="Q478" t="n">
        <v>0</v>
      </c>
      <c r="R478" s="2" t="inlineStr"/>
    </row>
    <row r="479" ht="15" customHeight="1">
      <c r="A479" t="inlineStr">
        <is>
          <t>A 18197-2022</t>
        </is>
      </c>
      <c r="B479" s="1" t="n">
        <v>44684</v>
      </c>
      <c r="C479" s="1" t="n">
        <v>46161</v>
      </c>
      <c r="D479" t="inlineStr">
        <is>
          <t>VÄSTERNORRLANDS LÄN</t>
        </is>
      </c>
      <c r="E479" t="inlineStr">
        <is>
          <t>SOLLEFTEÅ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12562-2022</t>
        </is>
      </c>
      <c r="B480" s="1" t="n">
        <v>44638.94247685185</v>
      </c>
      <c r="C480" s="1" t="n">
        <v>46161</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55209-2022</t>
        </is>
      </c>
      <c r="B481" s="1" t="n">
        <v>44886.96086805555</v>
      </c>
      <c r="C481" s="1" t="n">
        <v>46161</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20994-2022</t>
        </is>
      </c>
      <c r="B482" s="1" t="n">
        <v>44703</v>
      </c>
      <c r="C482" s="1" t="n">
        <v>46161</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20996-2022</t>
        </is>
      </c>
      <c r="B483" s="1" t="n">
        <v>44703</v>
      </c>
      <c r="C483" s="1" t="n">
        <v>46161</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49694-2022</t>
        </is>
      </c>
      <c r="B484" s="1" t="n">
        <v>44859</v>
      </c>
      <c r="C484" s="1" t="n">
        <v>46161</v>
      </c>
      <c r="D484" t="inlineStr">
        <is>
          <t>VÄSTERNORRLANDS LÄN</t>
        </is>
      </c>
      <c r="E484" t="inlineStr">
        <is>
          <t>SOLLEFTEÅ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30032-2022</t>
        </is>
      </c>
      <c r="B485" s="1" t="n">
        <v>44756</v>
      </c>
      <c r="C485" s="1" t="n">
        <v>46161</v>
      </c>
      <c r="D485" t="inlineStr">
        <is>
          <t>VÄSTERNORRLANDS LÄN</t>
        </is>
      </c>
      <c r="E485" t="inlineStr">
        <is>
          <t>SOLLEFTEÅ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44285-2022</t>
        </is>
      </c>
      <c r="B486" s="1" t="n">
        <v>44839</v>
      </c>
      <c r="C486" s="1" t="n">
        <v>46161</v>
      </c>
      <c r="D486" t="inlineStr">
        <is>
          <t>VÄSTERNORRLANDS LÄN</t>
        </is>
      </c>
      <c r="E486" t="inlineStr">
        <is>
          <t>SOLLEFTEÅ</t>
        </is>
      </c>
      <c r="F486" t="inlineStr">
        <is>
          <t>Holmen skog AB</t>
        </is>
      </c>
      <c r="G486" t="n">
        <v>13.9</v>
      </c>
      <c r="H486" t="n">
        <v>0</v>
      </c>
      <c r="I486" t="n">
        <v>0</v>
      </c>
      <c r="J486" t="n">
        <v>0</v>
      </c>
      <c r="K486" t="n">
        <v>0</v>
      </c>
      <c r="L486" t="n">
        <v>0</v>
      </c>
      <c r="M486" t="n">
        <v>0</v>
      </c>
      <c r="N486" t="n">
        <v>0</v>
      </c>
      <c r="O486" t="n">
        <v>0</v>
      </c>
      <c r="P486" t="n">
        <v>0</v>
      </c>
      <c r="Q486" t="n">
        <v>0</v>
      </c>
      <c r="R486" s="2" t="inlineStr"/>
    </row>
    <row r="487" ht="15" customHeight="1">
      <c r="A487" t="inlineStr">
        <is>
          <t>A 12007-2022</t>
        </is>
      </c>
      <c r="B487" s="1" t="n">
        <v>44635.925</v>
      </c>
      <c r="C487" s="1" t="n">
        <v>46161</v>
      </c>
      <c r="D487" t="inlineStr">
        <is>
          <t>VÄSTERNORRLANDS LÄN</t>
        </is>
      </c>
      <c r="E487" t="inlineStr">
        <is>
          <t>SOLLEFTEÅ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46324-2022</t>
        </is>
      </c>
      <c r="B488" s="1" t="n">
        <v>44847</v>
      </c>
      <c r="C488" s="1" t="n">
        <v>46161</v>
      </c>
      <c r="D488" t="inlineStr">
        <is>
          <t>VÄSTERNORRLANDS LÄN</t>
        </is>
      </c>
      <c r="E488" t="inlineStr">
        <is>
          <t>SOLLEFTEÅ</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25183-2021</t>
        </is>
      </c>
      <c r="B489" s="1" t="n">
        <v>44341</v>
      </c>
      <c r="C489" s="1" t="n">
        <v>46161</v>
      </c>
      <c r="D489" t="inlineStr">
        <is>
          <t>VÄSTERNORRLANDS LÄN</t>
        </is>
      </c>
      <c r="E489" t="inlineStr">
        <is>
          <t>SOLLEFTEÅ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43442-2022</t>
        </is>
      </c>
      <c r="B490" s="1" t="n">
        <v>44834</v>
      </c>
      <c r="C490" s="1" t="n">
        <v>46161</v>
      </c>
      <c r="D490" t="inlineStr">
        <is>
          <t>VÄSTERNORRLANDS LÄN</t>
        </is>
      </c>
      <c r="E490" t="inlineStr">
        <is>
          <t>SOLLEFTEÅ</t>
        </is>
      </c>
      <c r="F490" t="inlineStr">
        <is>
          <t>Kyrkan</t>
        </is>
      </c>
      <c r="G490" t="n">
        <v>3</v>
      </c>
      <c r="H490" t="n">
        <v>0</v>
      </c>
      <c r="I490" t="n">
        <v>0</v>
      </c>
      <c r="J490" t="n">
        <v>0</v>
      </c>
      <c r="K490" t="n">
        <v>0</v>
      </c>
      <c r="L490" t="n">
        <v>0</v>
      </c>
      <c r="M490" t="n">
        <v>0</v>
      </c>
      <c r="N490" t="n">
        <v>0</v>
      </c>
      <c r="O490" t="n">
        <v>0</v>
      </c>
      <c r="P490" t="n">
        <v>0</v>
      </c>
      <c r="Q490" t="n">
        <v>0</v>
      </c>
      <c r="R490" s="2" t="inlineStr"/>
    </row>
    <row r="491" ht="15" customHeight="1">
      <c r="A491" t="inlineStr">
        <is>
          <t>A 34534-2022</t>
        </is>
      </c>
      <c r="B491" s="1" t="n">
        <v>44792.94587962963</v>
      </c>
      <c r="C491" s="1" t="n">
        <v>46161</v>
      </c>
      <c r="D491" t="inlineStr">
        <is>
          <t>VÄSTERNORRLANDS LÄN</t>
        </is>
      </c>
      <c r="E491" t="inlineStr">
        <is>
          <t>SOLLEFTEÅ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43124-2022</t>
        </is>
      </c>
      <c r="B492" s="1" t="n">
        <v>44833.92898148148</v>
      </c>
      <c r="C492" s="1" t="n">
        <v>46161</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27809-2021</t>
        </is>
      </c>
      <c r="B493" s="1" t="n">
        <v>44354</v>
      </c>
      <c r="C493" s="1" t="n">
        <v>46161</v>
      </c>
      <c r="D493" t="inlineStr">
        <is>
          <t>VÄSTERNORRLANDS LÄN</t>
        </is>
      </c>
      <c r="E493" t="inlineStr">
        <is>
          <t>SOLLEFTEÅ</t>
        </is>
      </c>
      <c r="F493" t="inlineStr">
        <is>
          <t>Holmen skog AB</t>
        </is>
      </c>
      <c r="G493" t="n">
        <v>1.9</v>
      </c>
      <c r="H493" t="n">
        <v>0</v>
      </c>
      <c r="I493" t="n">
        <v>0</v>
      </c>
      <c r="J493" t="n">
        <v>0</v>
      </c>
      <c r="K493" t="n">
        <v>0</v>
      </c>
      <c r="L493" t="n">
        <v>0</v>
      </c>
      <c r="M493" t="n">
        <v>0</v>
      </c>
      <c r="N493" t="n">
        <v>0</v>
      </c>
      <c r="O493" t="n">
        <v>0</v>
      </c>
      <c r="P493" t="n">
        <v>0</v>
      </c>
      <c r="Q493" t="n">
        <v>0</v>
      </c>
      <c r="R493" s="2" t="inlineStr"/>
    </row>
    <row r="494" ht="15" customHeight="1">
      <c r="A494" t="inlineStr">
        <is>
          <t>A 29829-2021</t>
        </is>
      </c>
      <c r="B494" s="1" t="n">
        <v>44362</v>
      </c>
      <c r="C494" s="1" t="n">
        <v>46161</v>
      </c>
      <c r="D494" t="inlineStr">
        <is>
          <t>VÄSTERNORRLANDS LÄN</t>
        </is>
      </c>
      <c r="E494" t="inlineStr">
        <is>
          <t>SOLLEFTEÅ</t>
        </is>
      </c>
      <c r="G494" t="n">
        <v>4</v>
      </c>
      <c r="H494" t="n">
        <v>0</v>
      </c>
      <c r="I494" t="n">
        <v>0</v>
      </c>
      <c r="J494" t="n">
        <v>0</v>
      </c>
      <c r="K494" t="n">
        <v>0</v>
      </c>
      <c r="L494" t="n">
        <v>0</v>
      </c>
      <c r="M494" t="n">
        <v>0</v>
      </c>
      <c r="N494" t="n">
        <v>0</v>
      </c>
      <c r="O494" t="n">
        <v>0</v>
      </c>
      <c r="P494" t="n">
        <v>0</v>
      </c>
      <c r="Q494" t="n">
        <v>0</v>
      </c>
      <c r="R494" s="2" t="inlineStr"/>
    </row>
    <row r="495" ht="15" customHeight="1">
      <c r="A495" t="inlineStr">
        <is>
          <t>A 25345-2021</t>
        </is>
      </c>
      <c r="B495" s="1" t="n">
        <v>44342</v>
      </c>
      <c r="C495" s="1" t="n">
        <v>46161</v>
      </c>
      <c r="D495" t="inlineStr">
        <is>
          <t>VÄSTERNORRLANDS LÄN</t>
        </is>
      </c>
      <c r="E495" t="inlineStr">
        <is>
          <t>SOLLEFTEÅ</t>
        </is>
      </c>
      <c r="G495" t="n">
        <v>0.2</v>
      </c>
      <c r="H495" t="n">
        <v>0</v>
      </c>
      <c r="I495" t="n">
        <v>0</v>
      </c>
      <c r="J495" t="n">
        <v>0</v>
      </c>
      <c r="K495" t="n">
        <v>0</v>
      </c>
      <c r="L495" t="n">
        <v>0</v>
      </c>
      <c r="M495" t="n">
        <v>0</v>
      </c>
      <c r="N495" t="n">
        <v>0</v>
      </c>
      <c r="O495" t="n">
        <v>0</v>
      </c>
      <c r="P495" t="n">
        <v>0</v>
      </c>
      <c r="Q495" t="n">
        <v>0</v>
      </c>
      <c r="R495" s="2" t="inlineStr"/>
    </row>
    <row r="496" ht="15" customHeight="1">
      <c r="A496" t="inlineStr">
        <is>
          <t>A 51442-2021</t>
        </is>
      </c>
      <c r="B496" s="1" t="n">
        <v>44461.94450231481</v>
      </c>
      <c r="C496" s="1" t="n">
        <v>46161</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51443-2021</t>
        </is>
      </c>
      <c r="B497" s="1" t="n">
        <v>44461</v>
      </c>
      <c r="C497" s="1" t="n">
        <v>46161</v>
      </c>
      <c r="D497" t="inlineStr">
        <is>
          <t>VÄSTERNORRLANDS LÄN</t>
        </is>
      </c>
      <c r="E497" t="inlineStr">
        <is>
          <t>SOLLEFTEÅ</t>
        </is>
      </c>
      <c r="F497" t="inlineStr">
        <is>
          <t>SCA</t>
        </is>
      </c>
      <c r="G497" t="n">
        <v>6.7</v>
      </c>
      <c r="H497" t="n">
        <v>0</v>
      </c>
      <c r="I497" t="n">
        <v>0</v>
      </c>
      <c r="J497" t="n">
        <v>0</v>
      </c>
      <c r="K497" t="n">
        <v>0</v>
      </c>
      <c r="L497" t="n">
        <v>0</v>
      </c>
      <c r="M497" t="n">
        <v>0</v>
      </c>
      <c r="N497" t="n">
        <v>0</v>
      </c>
      <c r="O497" t="n">
        <v>0</v>
      </c>
      <c r="P497" t="n">
        <v>0</v>
      </c>
      <c r="Q497" t="n">
        <v>0</v>
      </c>
      <c r="R497" s="2" t="inlineStr"/>
    </row>
    <row r="498" ht="15" customHeight="1">
      <c r="A498" t="inlineStr">
        <is>
          <t>A 51952-2021</t>
        </is>
      </c>
      <c r="B498" s="1" t="n">
        <v>44462.95631944444</v>
      </c>
      <c r="C498" s="1" t="n">
        <v>46161</v>
      </c>
      <c r="D498" t="inlineStr">
        <is>
          <t>VÄSTERNORRLANDS LÄN</t>
        </is>
      </c>
      <c r="E498" t="inlineStr">
        <is>
          <t>SOLLEFTEÅ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18013-2022</t>
        </is>
      </c>
      <c r="B499" s="1" t="n">
        <v>44683.94355324074</v>
      </c>
      <c r="C499" s="1" t="n">
        <v>46161</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21404-2022</t>
        </is>
      </c>
      <c r="B500" s="1" t="n">
        <v>44705.94037037037</v>
      </c>
      <c r="C500" s="1" t="n">
        <v>46161</v>
      </c>
      <c r="D500" t="inlineStr">
        <is>
          <t>VÄSTERNORRLANDS LÄN</t>
        </is>
      </c>
      <c r="E500" t="inlineStr">
        <is>
          <t>SOLLEFTEÅ</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57856-2021</t>
        </is>
      </c>
      <c r="B501" s="1" t="n">
        <v>44484.98627314815</v>
      </c>
      <c r="C501" s="1" t="n">
        <v>46161</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64939-2021</t>
        </is>
      </c>
      <c r="B502" s="1" t="n">
        <v>44512</v>
      </c>
      <c r="C502" s="1" t="n">
        <v>46161</v>
      </c>
      <c r="D502" t="inlineStr">
        <is>
          <t>VÄSTERNORRLANDS LÄN</t>
        </is>
      </c>
      <c r="E502" t="inlineStr">
        <is>
          <t>SOLLEFTEÅ</t>
        </is>
      </c>
      <c r="G502" t="n">
        <v>0.8</v>
      </c>
      <c r="H502" t="n">
        <v>0</v>
      </c>
      <c r="I502" t="n">
        <v>0</v>
      </c>
      <c r="J502" t="n">
        <v>0</v>
      </c>
      <c r="K502" t="n">
        <v>0</v>
      </c>
      <c r="L502" t="n">
        <v>0</v>
      </c>
      <c r="M502" t="n">
        <v>0</v>
      </c>
      <c r="N502" t="n">
        <v>0</v>
      </c>
      <c r="O502" t="n">
        <v>0</v>
      </c>
      <c r="P502" t="n">
        <v>0</v>
      </c>
      <c r="Q502" t="n">
        <v>0</v>
      </c>
      <c r="R502" s="2" t="inlineStr"/>
    </row>
    <row r="503" ht="15" customHeight="1">
      <c r="A503" t="inlineStr">
        <is>
          <t>A 25339-2022</t>
        </is>
      </c>
      <c r="B503" s="1" t="n">
        <v>44731.9378125</v>
      </c>
      <c r="C503" s="1" t="n">
        <v>46161</v>
      </c>
      <c r="D503" t="inlineStr">
        <is>
          <t>VÄSTERNORRLANDS LÄN</t>
        </is>
      </c>
      <c r="E503" t="inlineStr">
        <is>
          <t>SOLLEFTEÅ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41192-2022</t>
        </is>
      </c>
      <c r="B504" s="1" t="n">
        <v>44825.94971064815</v>
      </c>
      <c r="C504" s="1" t="n">
        <v>46161</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41195-2022</t>
        </is>
      </c>
      <c r="B505" s="1" t="n">
        <v>44825.94988425926</v>
      </c>
      <c r="C505" s="1" t="n">
        <v>46161</v>
      </c>
      <c r="D505" t="inlineStr">
        <is>
          <t>VÄSTERNORRLANDS LÄN</t>
        </is>
      </c>
      <c r="E505" t="inlineStr">
        <is>
          <t>SOLLEFTEÅ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34267-2022</t>
        </is>
      </c>
      <c r="B506" s="1" t="n">
        <v>44791.9455787037</v>
      </c>
      <c r="C506" s="1" t="n">
        <v>46161</v>
      </c>
      <c r="D506" t="inlineStr">
        <is>
          <t>VÄSTERNORRLANDS LÄN</t>
        </is>
      </c>
      <c r="E506" t="inlineStr">
        <is>
          <t>SOLLEFTEÅ</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72977-2021</t>
        </is>
      </c>
      <c r="B507" s="1" t="n">
        <v>44548</v>
      </c>
      <c r="C507" s="1" t="n">
        <v>46161</v>
      </c>
      <c r="D507" t="inlineStr">
        <is>
          <t>VÄSTERNORRLANDS LÄN</t>
        </is>
      </c>
      <c r="E507" t="inlineStr">
        <is>
          <t>SOLLEFTEÅ</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6121-2022</t>
        </is>
      </c>
      <c r="B508" s="1" t="n">
        <v>44599</v>
      </c>
      <c r="C508" s="1" t="n">
        <v>46161</v>
      </c>
      <c r="D508" t="inlineStr">
        <is>
          <t>VÄSTERNORRLANDS LÄN</t>
        </is>
      </c>
      <c r="E508" t="inlineStr">
        <is>
          <t>SOLLEFTEÅ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48511-2022</t>
        </is>
      </c>
      <c r="B509" s="1" t="n">
        <v>44858.94972222222</v>
      </c>
      <c r="C509" s="1" t="n">
        <v>46161</v>
      </c>
      <c r="D509" t="inlineStr">
        <is>
          <t>VÄSTERNORRLANDS LÄN</t>
        </is>
      </c>
      <c r="E509" t="inlineStr">
        <is>
          <t>SOLLEFTEÅ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45105-2021</t>
        </is>
      </c>
      <c r="B510" s="1" t="n">
        <v>44439</v>
      </c>
      <c r="C510" s="1" t="n">
        <v>46161</v>
      </c>
      <c r="D510" t="inlineStr">
        <is>
          <t>VÄSTERNORRLANDS LÄN</t>
        </is>
      </c>
      <c r="E510" t="inlineStr">
        <is>
          <t>SOLLEFTEÅ</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15090-2022</t>
        </is>
      </c>
      <c r="B511" s="1" t="n">
        <v>44657.95271990741</v>
      </c>
      <c r="C511" s="1" t="n">
        <v>46161</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58268-2021</t>
        </is>
      </c>
      <c r="B512" s="1" t="n">
        <v>44487</v>
      </c>
      <c r="C512" s="1" t="n">
        <v>46161</v>
      </c>
      <c r="D512" t="inlineStr">
        <is>
          <t>VÄSTERNORRLANDS LÄN</t>
        </is>
      </c>
      <c r="E512" t="inlineStr">
        <is>
          <t>SOLLEFTEÅ</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57911-2021</t>
        </is>
      </c>
      <c r="B513" s="1" t="n">
        <v>44486.90736111111</v>
      </c>
      <c r="C513" s="1" t="n">
        <v>46161</v>
      </c>
      <c r="D513" t="inlineStr">
        <is>
          <t>VÄSTERNORRLANDS LÄN</t>
        </is>
      </c>
      <c r="E513" t="inlineStr">
        <is>
          <t>SOLLEFTEÅ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61426-2021</t>
        </is>
      </c>
      <c r="B514" s="1" t="n">
        <v>44500</v>
      </c>
      <c r="C514" s="1" t="n">
        <v>46161</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71348-2021</t>
        </is>
      </c>
      <c r="B515" s="1" t="n">
        <v>44539</v>
      </c>
      <c r="C515" s="1" t="n">
        <v>46161</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71351-2021</t>
        </is>
      </c>
      <c r="B516" s="1" t="n">
        <v>44539</v>
      </c>
      <c r="C516" s="1" t="n">
        <v>46161</v>
      </c>
      <c r="D516" t="inlineStr">
        <is>
          <t>VÄSTERNORRLANDS LÄN</t>
        </is>
      </c>
      <c r="E516" t="inlineStr">
        <is>
          <t>SOLLEFTEÅ</t>
        </is>
      </c>
      <c r="G516" t="n">
        <v>0.1</v>
      </c>
      <c r="H516" t="n">
        <v>0</v>
      </c>
      <c r="I516" t="n">
        <v>0</v>
      </c>
      <c r="J516" t="n">
        <v>0</v>
      </c>
      <c r="K516" t="n">
        <v>0</v>
      </c>
      <c r="L516" t="n">
        <v>0</v>
      </c>
      <c r="M516" t="n">
        <v>0</v>
      </c>
      <c r="N516" t="n">
        <v>0</v>
      </c>
      <c r="O516" t="n">
        <v>0</v>
      </c>
      <c r="P516" t="n">
        <v>0</v>
      </c>
      <c r="Q516" t="n">
        <v>0</v>
      </c>
      <c r="R516" s="2" t="inlineStr"/>
    </row>
    <row r="517" ht="15" customHeight="1">
      <c r="A517" t="inlineStr">
        <is>
          <t>A 22101-2022</t>
        </is>
      </c>
      <c r="B517" s="1" t="n">
        <v>44711.94153935185</v>
      </c>
      <c r="C517" s="1" t="n">
        <v>46161</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26416-2022</t>
        </is>
      </c>
      <c r="B518" s="1" t="n">
        <v>44735.94130787037</v>
      </c>
      <c r="C518" s="1" t="n">
        <v>46161</v>
      </c>
      <c r="D518" t="inlineStr">
        <is>
          <t>VÄSTERNORRLANDS LÄN</t>
        </is>
      </c>
      <c r="E518" t="inlineStr">
        <is>
          <t>SOLLEFTEÅ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30039-2022</t>
        </is>
      </c>
      <c r="B519" s="1" t="n">
        <v>44756.94572916667</v>
      </c>
      <c r="C519" s="1" t="n">
        <v>46161</v>
      </c>
      <c r="D519" t="inlineStr">
        <is>
          <t>VÄSTERNORRLANDS LÄN</t>
        </is>
      </c>
      <c r="E519" t="inlineStr">
        <is>
          <t>SOLLEFTEÅ</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61424-2021</t>
        </is>
      </c>
      <c r="B520" s="1" t="n">
        <v>44500.93637731481</v>
      </c>
      <c r="C520" s="1" t="n">
        <v>46161</v>
      </c>
      <c r="D520" t="inlineStr">
        <is>
          <t>VÄSTERNORRLANDS LÄN</t>
        </is>
      </c>
      <c r="E520" t="inlineStr">
        <is>
          <t>SOLLEFTEÅ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58755-2021</t>
        </is>
      </c>
      <c r="B521" s="1" t="n">
        <v>44489</v>
      </c>
      <c r="C521" s="1" t="n">
        <v>46161</v>
      </c>
      <c r="D521" t="inlineStr">
        <is>
          <t>VÄSTERNORRLANDS LÄN</t>
        </is>
      </c>
      <c r="E521" t="inlineStr">
        <is>
          <t>SOLLEFTEÅ</t>
        </is>
      </c>
      <c r="G521" t="n">
        <v>12.2</v>
      </c>
      <c r="H521" t="n">
        <v>0</v>
      </c>
      <c r="I521" t="n">
        <v>0</v>
      </c>
      <c r="J521" t="n">
        <v>0</v>
      </c>
      <c r="K521" t="n">
        <v>0</v>
      </c>
      <c r="L521" t="n">
        <v>0</v>
      </c>
      <c r="M521" t="n">
        <v>0</v>
      </c>
      <c r="N521" t="n">
        <v>0</v>
      </c>
      <c r="O521" t="n">
        <v>0</v>
      </c>
      <c r="P521" t="n">
        <v>0</v>
      </c>
      <c r="Q521" t="n">
        <v>0</v>
      </c>
      <c r="R521" s="2" t="inlineStr"/>
    </row>
    <row r="522" ht="15" customHeight="1">
      <c r="A522" t="inlineStr">
        <is>
          <t>A 32091-2021</t>
        </is>
      </c>
      <c r="B522" s="1" t="n">
        <v>44370</v>
      </c>
      <c r="C522" s="1" t="n">
        <v>46161</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40539-2021</t>
        </is>
      </c>
      <c r="B523" s="1" t="n">
        <v>44420</v>
      </c>
      <c r="C523" s="1" t="n">
        <v>46161</v>
      </c>
      <c r="D523" t="inlineStr">
        <is>
          <t>VÄSTERNORRLANDS LÄN</t>
        </is>
      </c>
      <c r="E523" t="inlineStr">
        <is>
          <t>SOLLEFTEÅ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68792-2021</t>
        </is>
      </c>
      <c r="B524" s="1" t="n">
        <v>44529.94640046296</v>
      </c>
      <c r="C524" s="1" t="n">
        <v>46161</v>
      </c>
      <c r="D524" t="inlineStr">
        <is>
          <t>VÄSTERNORRLANDS LÄN</t>
        </is>
      </c>
      <c r="E524" t="inlineStr">
        <is>
          <t>SOLLEFTEÅ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12758-2022</t>
        </is>
      </c>
      <c r="B525" s="1" t="n">
        <v>44641</v>
      </c>
      <c r="C525" s="1" t="n">
        <v>46161</v>
      </c>
      <c r="D525" t="inlineStr">
        <is>
          <t>VÄSTERNORRLANDS LÄN</t>
        </is>
      </c>
      <c r="E525" t="inlineStr">
        <is>
          <t>SOLLEFTEÅ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25295-2022</t>
        </is>
      </c>
      <c r="B526" s="1" t="n">
        <v>44730.94094907407</v>
      </c>
      <c r="C526" s="1" t="n">
        <v>46161</v>
      </c>
      <c r="D526" t="inlineStr">
        <is>
          <t>VÄSTERNORRLANDS LÄN</t>
        </is>
      </c>
      <c r="E526" t="inlineStr">
        <is>
          <t>SOLLEFTEÅ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11133-2022</t>
        </is>
      </c>
      <c r="B527" s="1" t="n">
        <v>44628</v>
      </c>
      <c r="C527" s="1" t="n">
        <v>46161</v>
      </c>
      <c r="D527" t="inlineStr">
        <is>
          <t>VÄSTERNORRLANDS LÄN</t>
        </is>
      </c>
      <c r="E527" t="inlineStr">
        <is>
          <t>SOLLEFTEÅ</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18570-2022</t>
        </is>
      </c>
      <c r="B528" s="1" t="n">
        <v>44686.94278935185</v>
      </c>
      <c r="C528" s="1" t="n">
        <v>46161</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69916-2021</t>
        </is>
      </c>
      <c r="B529" s="1" t="n">
        <v>44532</v>
      </c>
      <c r="C529" s="1" t="n">
        <v>46161</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69919-2021</t>
        </is>
      </c>
      <c r="B530" s="1" t="n">
        <v>44532.94325231481</v>
      </c>
      <c r="C530" s="1" t="n">
        <v>46161</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54146-2021</t>
        </is>
      </c>
      <c r="B531" s="1" t="n">
        <v>44469</v>
      </c>
      <c r="C531" s="1" t="n">
        <v>46161</v>
      </c>
      <c r="D531" t="inlineStr">
        <is>
          <t>VÄSTERNORRLANDS LÄN</t>
        </is>
      </c>
      <c r="E531" t="inlineStr">
        <is>
          <t>SOLLEFTEÅ</t>
        </is>
      </c>
      <c r="G531" t="n">
        <v>2.1</v>
      </c>
      <c r="H531" t="n">
        <v>0</v>
      </c>
      <c r="I531" t="n">
        <v>0</v>
      </c>
      <c r="J531" t="n">
        <v>0</v>
      </c>
      <c r="K531" t="n">
        <v>0</v>
      </c>
      <c r="L531" t="n">
        <v>0</v>
      </c>
      <c r="M531" t="n">
        <v>0</v>
      </c>
      <c r="N531" t="n">
        <v>0</v>
      </c>
      <c r="O531" t="n">
        <v>0</v>
      </c>
      <c r="P531" t="n">
        <v>0</v>
      </c>
      <c r="Q531" t="n">
        <v>0</v>
      </c>
      <c r="R531" s="2" t="inlineStr"/>
    </row>
    <row r="532" ht="15" customHeight="1">
      <c r="A532" t="inlineStr">
        <is>
          <t>A 37242-2022</t>
        </is>
      </c>
      <c r="B532" s="1" t="n">
        <v>44806.94675925926</v>
      </c>
      <c r="C532" s="1" t="n">
        <v>46161</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31452-2022</t>
        </is>
      </c>
      <c r="B533" s="1" t="n">
        <v>44774.9415162037</v>
      </c>
      <c r="C533" s="1" t="n">
        <v>46161</v>
      </c>
      <c r="D533" t="inlineStr">
        <is>
          <t>VÄSTERNORRLANDS LÄN</t>
        </is>
      </c>
      <c r="E533" t="inlineStr">
        <is>
          <t>SOLLEFTEÅ</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51020-2021</t>
        </is>
      </c>
      <c r="B534" s="1" t="n">
        <v>44460</v>
      </c>
      <c r="C534" s="1" t="n">
        <v>46161</v>
      </c>
      <c r="D534" t="inlineStr">
        <is>
          <t>VÄSTERNORRLANDS LÄN</t>
        </is>
      </c>
      <c r="E534" t="inlineStr">
        <is>
          <t>SOLLEFTEÅ</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30237-2022</t>
        </is>
      </c>
      <c r="B535" s="1" t="n">
        <v>44757.94412037037</v>
      </c>
      <c r="C535" s="1" t="n">
        <v>46161</v>
      </c>
      <c r="D535" t="inlineStr">
        <is>
          <t>VÄSTERNORRLANDS LÄN</t>
        </is>
      </c>
      <c r="E535" t="inlineStr">
        <is>
          <t>SOLLEFTEÅ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51317-2022</t>
        </is>
      </c>
      <c r="B536" s="1" t="n">
        <v>44868</v>
      </c>
      <c r="C536" s="1" t="n">
        <v>46161</v>
      </c>
      <c r="D536" t="inlineStr">
        <is>
          <t>VÄSTERNORRLANDS LÄN</t>
        </is>
      </c>
      <c r="E536" t="inlineStr">
        <is>
          <t>SOLLEFTEÅ</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24008-2022</t>
        </is>
      </c>
      <c r="B537" s="1" t="n">
        <v>44722.94112268519</v>
      </c>
      <c r="C537" s="1" t="n">
        <v>46161</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28700-2022</t>
        </is>
      </c>
      <c r="B538" s="1" t="n">
        <v>44748</v>
      </c>
      <c r="C538" s="1" t="n">
        <v>46161</v>
      </c>
      <c r="D538" t="inlineStr">
        <is>
          <t>VÄSTERNORRLANDS LÄN</t>
        </is>
      </c>
      <c r="E538" t="inlineStr">
        <is>
          <t>SOLLEFTEÅ</t>
        </is>
      </c>
      <c r="G538" t="n">
        <v>2</v>
      </c>
      <c r="H538" t="n">
        <v>0</v>
      </c>
      <c r="I538" t="n">
        <v>0</v>
      </c>
      <c r="J538" t="n">
        <v>0</v>
      </c>
      <c r="K538" t="n">
        <v>0</v>
      </c>
      <c r="L538" t="n">
        <v>0</v>
      </c>
      <c r="M538" t="n">
        <v>0</v>
      </c>
      <c r="N538" t="n">
        <v>0</v>
      </c>
      <c r="O538" t="n">
        <v>0</v>
      </c>
      <c r="P538" t="n">
        <v>0</v>
      </c>
      <c r="Q538" t="n">
        <v>0</v>
      </c>
      <c r="R538" s="2" t="inlineStr"/>
    </row>
    <row r="539" ht="15" customHeight="1">
      <c r="A539" t="inlineStr">
        <is>
          <t>A 39943-2022</t>
        </is>
      </c>
      <c r="B539" s="1" t="n">
        <v>44819.94916666667</v>
      </c>
      <c r="C539" s="1" t="n">
        <v>46161</v>
      </c>
      <c r="D539" t="inlineStr">
        <is>
          <t>VÄSTERNORRLANDS LÄN</t>
        </is>
      </c>
      <c r="E539" t="inlineStr">
        <is>
          <t>SOLLEFTEÅ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30013-2022</t>
        </is>
      </c>
      <c r="B540" s="1" t="n">
        <v>44756</v>
      </c>
      <c r="C540" s="1" t="n">
        <v>46161</v>
      </c>
      <c r="D540" t="inlineStr">
        <is>
          <t>VÄSTERNORRLANDS LÄN</t>
        </is>
      </c>
      <c r="E540" t="inlineStr">
        <is>
          <t>SOLLEFTEÅ</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46161</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15974-2022</t>
        </is>
      </c>
      <c r="B542" s="1" t="n">
        <v>44664.94778935185</v>
      </c>
      <c r="C542" s="1" t="n">
        <v>46161</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38430-2022</t>
        </is>
      </c>
      <c r="B543" s="1" t="n">
        <v>44812</v>
      </c>
      <c r="C543" s="1" t="n">
        <v>46161</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3549-2022</t>
        </is>
      </c>
      <c r="B544" s="1" t="n">
        <v>44585</v>
      </c>
      <c r="C544" s="1" t="n">
        <v>46161</v>
      </c>
      <c r="D544" t="inlineStr">
        <is>
          <t>VÄSTERNORRLANDS LÄN</t>
        </is>
      </c>
      <c r="E544" t="inlineStr">
        <is>
          <t>SOLLEFTEÅ</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26415-2022</t>
        </is>
      </c>
      <c r="B545" s="1" t="n">
        <v>44735</v>
      </c>
      <c r="C545" s="1" t="n">
        <v>46161</v>
      </c>
      <c r="D545" t="inlineStr">
        <is>
          <t>VÄSTERNORRLANDS LÄN</t>
        </is>
      </c>
      <c r="E545" t="inlineStr">
        <is>
          <t>SOLLEFTEÅ</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73886-2021</t>
        </is>
      </c>
      <c r="B546" s="1" t="n">
        <v>44553</v>
      </c>
      <c r="C546" s="1" t="n">
        <v>46161</v>
      </c>
      <c r="D546" t="inlineStr">
        <is>
          <t>VÄSTERNORRLANDS LÄN</t>
        </is>
      </c>
      <c r="E546" t="inlineStr">
        <is>
          <t>SOLLEFTEÅ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41196-2022</t>
        </is>
      </c>
      <c r="B547" s="1" t="n">
        <v>44825.94994212963</v>
      </c>
      <c r="C547" s="1" t="n">
        <v>46161</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42303-2022</t>
        </is>
      </c>
      <c r="B548" s="1" t="n">
        <v>44830.95473379629</v>
      </c>
      <c r="C548" s="1" t="n">
        <v>46161</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3551-2022</t>
        </is>
      </c>
      <c r="B549" s="1" t="n">
        <v>44585.93800925926</v>
      </c>
      <c r="C549" s="1" t="n">
        <v>46161</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38095-2022</t>
        </is>
      </c>
      <c r="B550" s="1" t="n">
        <v>44811</v>
      </c>
      <c r="C550" s="1" t="n">
        <v>46161</v>
      </c>
      <c r="D550" t="inlineStr">
        <is>
          <t>VÄSTERNORRLANDS LÄN</t>
        </is>
      </c>
      <c r="E550" t="inlineStr">
        <is>
          <t>SOLLEFTEÅ</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35574-2021</t>
        </is>
      </c>
      <c r="B551" s="1" t="n">
        <v>44385.93663194445</v>
      </c>
      <c r="C551" s="1" t="n">
        <v>46161</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10141-2022</t>
        </is>
      </c>
      <c r="B552" s="1" t="n">
        <v>44621</v>
      </c>
      <c r="C552" s="1" t="n">
        <v>46161</v>
      </c>
      <c r="D552" t="inlineStr">
        <is>
          <t>VÄSTERNORRLANDS LÄN</t>
        </is>
      </c>
      <c r="E552" t="inlineStr">
        <is>
          <t>SOLLEFTEÅ</t>
        </is>
      </c>
      <c r="F552" t="inlineStr">
        <is>
          <t>SCA</t>
        </is>
      </c>
      <c r="G552" t="n">
        <v>15.5</v>
      </c>
      <c r="H552" t="n">
        <v>0</v>
      </c>
      <c r="I552" t="n">
        <v>0</v>
      </c>
      <c r="J552" t="n">
        <v>0</v>
      </c>
      <c r="K552" t="n">
        <v>0</v>
      </c>
      <c r="L552" t="n">
        <v>0</v>
      </c>
      <c r="M552" t="n">
        <v>0</v>
      </c>
      <c r="N552" t="n">
        <v>0</v>
      </c>
      <c r="O552" t="n">
        <v>0</v>
      </c>
      <c r="P552" t="n">
        <v>0</v>
      </c>
      <c r="Q552" t="n">
        <v>0</v>
      </c>
      <c r="R552" s="2" t="inlineStr"/>
    </row>
    <row r="553" ht="15" customHeight="1">
      <c r="A553" t="inlineStr">
        <is>
          <t>A 10198-2022</t>
        </is>
      </c>
      <c r="B553" s="1" t="n">
        <v>44622.44116898148</v>
      </c>
      <c r="C553" s="1" t="n">
        <v>46161</v>
      </c>
      <c r="D553" t="inlineStr">
        <is>
          <t>VÄSTERNORRLANDS LÄN</t>
        </is>
      </c>
      <c r="E553" t="inlineStr">
        <is>
          <t>SOLLEFTEÅ</t>
        </is>
      </c>
      <c r="G553" t="n">
        <v>5.9</v>
      </c>
      <c r="H553" t="n">
        <v>0</v>
      </c>
      <c r="I553" t="n">
        <v>0</v>
      </c>
      <c r="J553" t="n">
        <v>0</v>
      </c>
      <c r="K553" t="n">
        <v>0</v>
      </c>
      <c r="L553" t="n">
        <v>0</v>
      </c>
      <c r="M553" t="n">
        <v>0</v>
      </c>
      <c r="N553" t="n">
        <v>0</v>
      </c>
      <c r="O553" t="n">
        <v>0</v>
      </c>
      <c r="P553" t="n">
        <v>0</v>
      </c>
      <c r="Q553" t="n">
        <v>0</v>
      </c>
      <c r="R553" s="2" t="inlineStr"/>
    </row>
    <row r="554" ht="15" customHeight="1">
      <c r="A554" t="inlineStr">
        <is>
          <t>A 10309-2022</t>
        </is>
      </c>
      <c r="B554" s="1" t="n">
        <v>44622</v>
      </c>
      <c r="C554" s="1" t="n">
        <v>46161</v>
      </c>
      <c r="D554" t="inlineStr">
        <is>
          <t>VÄSTERNORRLANDS LÄN</t>
        </is>
      </c>
      <c r="E554" t="inlineStr">
        <is>
          <t>SOLLEFTEÅ</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10310-2022</t>
        </is>
      </c>
      <c r="B555" s="1" t="n">
        <v>44622.94043981482</v>
      </c>
      <c r="C555" s="1" t="n">
        <v>46161</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53012-2022</t>
        </is>
      </c>
      <c r="B556" s="1" t="n">
        <v>44875.95450231482</v>
      </c>
      <c r="C556" s="1" t="n">
        <v>46161</v>
      </c>
      <c r="D556" t="inlineStr">
        <is>
          <t>VÄSTERNORRLANDS LÄN</t>
        </is>
      </c>
      <c r="E556" t="inlineStr">
        <is>
          <t>SOLLEFTEÅ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10308-2022</t>
        </is>
      </c>
      <c r="B557" s="1" t="n">
        <v>44622</v>
      </c>
      <c r="C557" s="1" t="n">
        <v>46161</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10311-2022</t>
        </is>
      </c>
      <c r="B558" s="1" t="n">
        <v>44622.94049768519</v>
      </c>
      <c r="C558" s="1" t="n">
        <v>46161</v>
      </c>
      <c r="D558" t="inlineStr">
        <is>
          <t>VÄSTERNORRLANDS LÄN</t>
        </is>
      </c>
      <c r="E558" t="inlineStr">
        <is>
          <t>SOLLEFTEÅ</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24735-2022</t>
        </is>
      </c>
      <c r="B559" s="1" t="n">
        <v>44727.94346064814</v>
      </c>
      <c r="C559" s="1" t="n">
        <v>46161</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14477-2022</t>
        </is>
      </c>
      <c r="B560" s="1" t="n">
        <v>44654.93954861111</v>
      </c>
      <c r="C560" s="1" t="n">
        <v>46161</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59343-2021</t>
        </is>
      </c>
      <c r="B561" s="1" t="n">
        <v>44490</v>
      </c>
      <c r="C561" s="1" t="n">
        <v>46161</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14447-2022</t>
        </is>
      </c>
      <c r="B562" s="1" t="n">
        <v>44652.94510416667</v>
      </c>
      <c r="C562" s="1" t="n">
        <v>46161</v>
      </c>
      <c r="D562" t="inlineStr">
        <is>
          <t>VÄSTERNORRLANDS LÄN</t>
        </is>
      </c>
      <c r="E562" t="inlineStr">
        <is>
          <t>SOLLEFTEÅ</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53289-2021</t>
        </is>
      </c>
      <c r="B563" s="1" t="n">
        <v>44467</v>
      </c>
      <c r="C563" s="1" t="n">
        <v>46161</v>
      </c>
      <c r="D563" t="inlineStr">
        <is>
          <t>VÄSTERNORRLANDS LÄN</t>
        </is>
      </c>
      <c r="E563" t="inlineStr">
        <is>
          <t>SOLLEFTEÅ</t>
        </is>
      </c>
      <c r="G563" t="n">
        <v>6.5</v>
      </c>
      <c r="H563" t="n">
        <v>0</v>
      </c>
      <c r="I563" t="n">
        <v>0</v>
      </c>
      <c r="J563" t="n">
        <v>0</v>
      </c>
      <c r="K563" t="n">
        <v>0</v>
      </c>
      <c r="L563" t="n">
        <v>0</v>
      </c>
      <c r="M563" t="n">
        <v>0</v>
      </c>
      <c r="N563" t="n">
        <v>0</v>
      </c>
      <c r="O563" t="n">
        <v>0</v>
      </c>
      <c r="P563" t="n">
        <v>0</v>
      </c>
      <c r="Q563" t="n">
        <v>0</v>
      </c>
      <c r="R563" s="2" t="inlineStr"/>
    </row>
    <row r="564" ht="15" customHeight="1">
      <c r="A564" t="inlineStr">
        <is>
          <t>A 21635-2022</t>
        </is>
      </c>
      <c r="B564" s="1" t="n">
        <v>44706.92628472222</v>
      </c>
      <c r="C564" s="1" t="n">
        <v>46161</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27283-2022</t>
        </is>
      </c>
      <c r="B565" s="1" t="n">
        <v>44741.94023148148</v>
      </c>
      <c r="C565" s="1" t="n">
        <v>46161</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61496-2021</t>
        </is>
      </c>
      <c r="B566" s="1" t="n">
        <v>44501</v>
      </c>
      <c r="C566" s="1" t="n">
        <v>46161</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73285-2021</t>
        </is>
      </c>
      <c r="B567" s="1" t="n">
        <v>44550.94386574074</v>
      </c>
      <c r="C567" s="1" t="n">
        <v>46161</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27018-2022</t>
        </is>
      </c>
      <c r="B568" s="1" t="n">
        <v>44740</v>
      </c>
      <c r="C568" s="1" t="n">
        <v>46161</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6170-2022</t>
        </is>
      </c>
      <c r="B569" s="1" t="n">
        <v>44599</v>
      </c>
      <c r="C569" s="1" t="n">
        <v>46161</v>
      </c>
      <c r="D569" t="inlineStr">
        <is>
          <t>VÄSTERNORRLANDS LÄN</t>
        </is>
      </c>
      <c r="E569" t="inlineStr">
        <is>
          <t>SOLLEFTEÅ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14065-2022</t>
        </is>
      </c>
      <c r="B570" s="1" t="n">
        <v>44650</v>
      </c>
      <c r="C570" s="1" t="n">
        <v>46161</v>
      </c>
      <c r="D570" t="inlineStr">
        <is>
          <t>VÄSTERNORRLANDS LÄN</t>
        </is>
      </c>
      <c r="E570" t="inlineStr">
        <is>
          <t>SOLLEFTEÅ</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36579-2021</t>
        </is>
      </c>
      <c r="B571" s="1" t="n">
        <v>44391.59509259259</v>
      </c>
      <c r="C571" s="1" t="n">
        <v>46161</v>
      </c>
      <c r="D571" t="inlineStr">
        <is>
          <t>VÄSTERNORRLANDS LÄN</t>
        </is>
      </c>
      <c r="E571" t="inlineStr">
        <is>
          <t>SOLLEFTEÅ</t>
        </is>
      </c>
      <c r="G571" t="n">
        <v>6.9</v>
      </c>
      <c r="H571" t="n">
        <v>0</v>
      </c>
      <c r="I571" t="n">
        <v>0</v>
      </c>
      <c r="J571" t="n">
        <v>0</v>
      </c>
      <c r="K571" t="n">
        <v>0</v>
      </c>
      <c r="L571" t="n">
        <v>0</v>
      </c>
      <c r="M571" t="n">
        <v>0</v>
      </c>
      <c r="N571" t="n">
        <v>0</v>
      </c>
      <c r="O571" t="n">
        <v>0</v>
      </c>
      <c r="P571" t="n">
        <v>0</v>
      </c>
      <c r="Q571" t="n">
        <v>0</v>
      </c>
      <c r="R571" s="2" t="inlineStr"/>
    </row>
    <row r="572" ht="15" customHeight="1">
      <c r="A572" t="inlineStr">
        <is>
          <t>A 47268-2022</t>
        </is>
      </c>
      <c r="B572" s="1" t="n">
        <v>44852.94989583334</v>
      </c>
      <c r="C572" s="1" t="n">
        <v>46161</v>
      </c>
      <c r="D572" t="inlineStr">
        <is>
          <t>VÄSTERNORRLANDS LÄN</t>
        </is>
      </c>
      <c r="E572" t="inlineStr">
        <is>
          <t>SOLLEFTEÅ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58688-2021</t>
        </is>
      </c>
      <c r="B573" s="1" t="n">
        <v>44489</v>
      </c>
      <c r="C573" s="1" t="n">
        <v>46161</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19414-2022</t>
        </is>
      </c>
      <c r="B574" s="1" t="n">
        <v>44693</v>
      </c>
      <c r="C574" s="1" t="n">
        <v>46161</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58573-2021</t>
        </is>
      </c>
      <c r="B575" s="1" t="n">
        <v>44488</v>
      </c>
      <c r="C575" s="1" t="n">
        <v>46161</v>
      </c>
      <c r="D575" t="inlineStr">
        <is>
          <t>VÄSTERNORRLANDS LÄN</t>
        </is>
      </c>
      <c r="E575" t="inlineStr">
        <is>
          <t>SOLLEFTEÅ</t>
        </is>
      </c>
      <c r="G575" t="n">
        <v>0.3</v>
      </c>
      <c r="H575" t="n">
        <v>0</v>
      </c>
      <c r="I575" t="n">
        <v>0</v>
      </c>
      <c r="J575" t="n">
        <v>0</v>
      </c>
      <c r="K575" t="n">
        <v>0</v>
      </c>
      <c r="L575" t="n">
        <v>0</v>
      </c>
      <c r="M575" t="n">
        <v>0</v>
      </c>
      <c r="N575" t="n">
        <v>0</v>
      </c>
      <c r="O575" t="n">
        <v>0</v>
      </c>
      <c r="P575" t="n">
        <v>0</v>
      </c>
      <c r="Q575" t="n">
        <v>0</v>
      </c>
      <c r="R575" s="2" t="inlineStr"/>
    </row>
    <row r="576" ht="15" customHeight="1">
      <c r="A576" t="inlineStr">
        <is>
          <t>A 26498-2021</t>
        </is>
      </c>
      <c r="B576" s="1" t="n">
        <v>44348</v>
      </c>
      <c r="C576" s="1" t="n">
        <v>46161</v>
      </c>
      <c r="D576" t="inlineStr">
        <is>
          <t>VÄSTERNORRLANDS LÄN</t>
        </is>
      </c>
      <c r="E576" t="inlineStr">
        <is>
          <t>SOLLEFTEÅ</t>
        </is>
      </c>
      <c r="G576" t="n">
        <v>7.8</v>
      </c>
      <c r="H576" t="n">
        <v>0</v>
      </c>
      <c r="I576" t="n">
        <v>0</v>
      </c>
      <c r="J576" t="n">
        <v>0</v>
      </c>
      <c r="K576" t="n">
        <v>0</v>
      </c>
      <c r="L576" t="n">
        <v>0</v>
      </c>
      <c r="M576" t="n">
        <v>0</v>
      </c>
      <c r="N576" t="n">
        <v>0</v>
      </c>
      <c r="O576" t="n">
        <v>0</v>
      </c>
      <c r="P576" t="n">
        <v>0</v>
      </c>
      <c r="Q576" t="n">
        <v>0</v>
      </c>
      <c r="R576" s="2" t="inlineStr"/>
    </row>
    <row r="577" ht="15" customHeight="1">
      <c r="A577" t="inlineStr">
        <is>
          <t>A 43766-2022</t>
        </is>
      </c>
      <c r="B577" s="1" t="n">
        <v>44837.92642361111</v>
      </c>
      <c r="C577" s="1" t="n">
        <v>46161</v>
      </c>
      <c r="D577" t="inlineStr">
        <is>
          <t>VÄSTERNORRLANDS LÄN</t>
        </is>
      </c>
      <c r="E577" t="inlineStr">
        <is>
          <t>SOLLEFTEÅ</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21715-2022</t>
        </is>
      </c>
      <c r="B578" s="1" t="n">
        <v>44707.94020833333</v>
      </c>
      <c r="C578" s="1" t="n">
        <v>46161</v>
      </c>
      <c r="D578" t="inlineStr">
        <is>
          <t>VÄSTERNORRLANDS LÄN</t>
        </is>
      </c>
      <c r="E578" t="inlineStr">
        <is>
          <t>SOLLEFTEÅ</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14061-2022</t>
        </is>
      </c>
      <c r="B579" s="1" t="n">
        <v>44650.94005787037</v>
      </c>
      <c r="C579" s="1" t="n">
        <v>46161</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48240-2022</t>
        </is>
      </c>
      <c r="B580" s="1" t="n">
        <v>44858</v>
      </c>
      <c r="C580" s="1" t="n">
        <v>46161</v>
      </c>
      <c r="D580" t="inlineStr">
        <is>
          <t>VÄSTERNORRLANDS LÄN</t>
        </is>
      </c>
      <c r="E580" t="inlineStr">
        <is>
          <t>SOLLEFTEÅ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14302-2022</t>
        </is>
      </c>
      <c r="B581" s="1" t="n">
        <v>44651</v>
      </c>
      <c r="C581" s="1" t="n">
        <v>46161</v>
      </c>
      <c r="D581" t="inlineStr">
        <is>
          <t>VÄSTERNORRLANDS LÄN</t>
        </is>
      </c>
      <c r="E581" t="inlineStr">
        <is>
          <t>SOLLEFTEÅ</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27082-2022</t>
        </is>
      </c>
      <c r="B582" s="1" t="n">
        <v>44741</v>
      </c>
      <c r="C582" s="1" t="n">
        <v>46161</v>
      </c>
      <c r="D582" t="inlineStr">
        <is>
          <t>VÄSTERNORRLANDS LÄN</t>
        </is>
      </c>
      <c r="E582" t="inlineStr">
        <is>
          <t>SOLLEFTEÅ</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30236-2022</t>
        </is>
      </c>
      <c r="B583" s="1" t="n">
        <v>44757</v>
      </c>
      <c r="C583" s="1" t="n">
        <v>46161</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67822-2021</t>
        </is>
      </c>
      <c r="B584" s="1" t="n">
        <v>44525.45137731481</v>
      </c>
      <c r="C584" s="1" t="n">
        <v>46161</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29294-2022</t>
        </is>
      </c>
      <c r="B585" s="1" t="n">
        <v>44750.9431712963</v>
      </c>
      <c r="C585" s="1" t="n">
        <v>46161</v>
      </c>
      <c r="D585" t="inlineStr">
        <is>
          <t>VÄSTERNORRLANDS LÄN</t>
        </is>
      </c>
      <c r="E585" t="inlineStr">
        <is>
          <t>SOLLEFTEÅ</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73566-2021</t>
        </is>
      </c>
      <c r="B586" s="1" t="n">
        <v>44551.94106481481</v>
      </c>
      <c r="C586" s="1" t="n">
        <v>46161</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39944-2022</t>
        </is>
      </c>
      <c r="B587" s="1" t="n">
        <v>44819</v>
      </c>
      <c r="C587" s="1" t="n">
        <v>46161</v>
      </c>
      <c r="D587" t="inlineStr">
        <is>
          <t>VÄSTERNORRLANDS LÄN</t>
        </is>
      </c>
      <c r="E587" t="inlineStr">
        <is>
          <t>SOLLEFTEÅ</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24734-2022</t>
        </is>
      </c>
      <c r="B588" s="1" t="n">
        <v>44727.94329861111</v>
      </c>
      <c r="C588" s="1" t="n">
        <v>46161</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30936-2022</t>
        </is>
      </c>
      <c r="B589" s="1" t="n">
        <v>44767.94028935185</v>
      </c>
      <c r="C589" s="1" t="n">
        <v>46161</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576-2022</t>
        </is>
      </c>
      <c r="B590" s="1" t="n">
        <v>44566.92086805555</v>
      </c>
      <c r="C590" s="1" t="n">
        <v>46161</v>
      </c>
      <c r="D590" t="inlineStr">
        <is>
          <t>VÄSTERNORRLANDS LÄN</t>
        </is>
      </c>
      <c r="E590" t="inlineStr">
        <is>
          <t>SOLLEFTEÅ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16419-2022</t>
        </is>
      </c>
      <c r="B591" s="1" t="n">
        <v>44671</v>
      </c>
      <c r="C591" s="1" t="n">
        <v>46161</v>
      </c>
      <c r="D591" t="inlineStr">
        <is>
          <t>VÄSTERNORRLANDS LÄN</t>
        </is>
      </c>
      <c r="E591" t="inlineStr">
        <is>
          <t>SOLLEFTEÅ</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33990-2022</t>
        </is>
      </c>
      <c r="B592" s="1" t="n">
        <v>44790</v>
      </c>
      <c r="C592" s="1" t="n">
        <v>46161</v>
      </c>
      <c r="D592" t="inlineStr">
        <is>
          <t>VÄSTERNORRLANDS LÄN</t>
        </is>
      </c>
      <c r="E592" t="inlineStr">
        <is>
          <t>SOLLEFTEÅ</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39947-2022</t>
        </is>
      </c>
      <c r="B593" s="1" t="n">
        <v>44819</v>
      </c>
      <c r="C593" s="1" t="n">
        <v>46161</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45117-2022</t>
        </is>
      </c>
      <c r="B594" s="1" t="n">
        <v>44843.94648148148</v>
      </c>
      <c r="C594" s="1" t="n">
        <v>46161</v>
      </c>
      <c r="D594" t="inlineStr">
        <is>
          <t>VÄSTERNORRLANDS LÄN</t>
        </is>
      </c>
      <c r="E594" t="inlineStr">
        <is>
          <t>SOLLEFTEÅ</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40610-2022</t>
        </is>
      </c>
      <c r="B595" s="1" t="n">
        <v>44823.94981481481</v>
      </c>
      <c r="C595" s="1" t="n">
        <v>46161</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11677-2022</t>
        </is>
      </c>
      <c r="B596" s="1" t="n">
        <v>44633</v>
      </c>
      <c r="C596" s="1" t="n">
        <v>46161</v>
      </c>
      <c r="D596" t="inlineStr">
        <is>
          <t>VÄSTERNORRLANDS LÄN</t>
        </is>
      </c>
      <c r="E596" t="inlineStr">
        <is>
          <t>SOLLEFTEÅ</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42634-2022</t>
        </is>
      </c>
      <c r="B597" s="1" t="n">
        <v>44831.94565972222</v>
      </c>
      <c r="C597" s="1" t="n">
        <v>46161</v>
      </c>
      <c r="D597" t="inlineStr">
        <is>
          <t>VÄSTERNORRLANDS LÄN</t>
        </is>
      </c>
      <c r="E597" t="inlineStr">
        <is>
          <t>SOLLEFTEÅ</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9586-2022</t>
        </is>
      </c>
      <c r="B598" s="1" t="n">
        <v>44617</v>
      </c>
      <c r="C598" s="1" t="n">
        <v>46161</v>
      </c>
      <c r="D598" t="inlineStr">
        <is>
          <t>VÄSTERNORRLANDS LÄN</t>
        </is>
      </c>
      <c r="E598" t="inlineStr">
        <is>
          <t>SOLLEFTEÅ</t>
        </is>
      </c>
      <c r="F598" t="inlineStr">
        <is>
          <t>Övriga Aktiebolag</t>
        </is>
      </c>
      <c r="G598" t="n">
        <v>2.9</v>
      </c>
      <c r="H598" t="n">
        <v>0</v>
      </c>
      <c r="I598" t="n">
        <v>0</v>
      </c>
      <c r="J598" t="n">
        <v>0</v>
      </c>
      <c r="K598" t="n">
        <v>0</v>
      </c>
      <c r="L598" t="n">
        <v>0</v>
      </c>
      <c r="M598" t="n">
        <v>0</v>
      </c>
      <c r="N598" t="n">
        <v>0</v>
      </c>
      <c r="O598" t="n">
        <v>0</v>
      </c>
      <c r="P598" t="n">
        <v>0</v>
      </c>
      <c r="Q598" t="n">
        <v>0</v>
      </c>
      <c r="R598" s="2" t="inlineStr"/>
    </row>
    <row r="599" ht="15" customHeight="1">
      <c r="A599" t="inlineStr">
        <is>
          <t>A 40608-2022</t>
        </is>
      </c>
      <c r="B599" s="1" t="n">
        <v>44823.94972222222</v>
      </c>
      <c r="C599" s="1" t="n">
        <v>46161</v>
      </c>
      <c r="D599" t="inlineStr">
        <is>
          <t>VÄSTERNORRLANDS LÄN</t>
        </is>
      </c>
      <c r="E599" t="inlineStr">
        <is>
          <t>SOLLEFTEÅ</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12568-2022</t>
        </is>
      </c>
      <c r="B600" s="1" t="n">
        <v>44638.94277777777</v>
      </c>
      <c r="C600" s="1" t="n">
        <v>46161</v>
      </c>
      <c r="D600" t="inlineStr">
        <is>
          <t>VÄSTERNORRLANDS LÄN</t>
        </is>
      </c>
      <c r="E600" t="inlineStr">
        <is>
          <t>SOLLEFTEÅ</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54573-2022</t>
        </is>
      </c>
      <c r="B601" s="1" t="n">
        <v>44882.95532407407</v>
      </c>
      <c r="C601" s="1" t="n">
        <v>46161</v>
      </c>
      <c r="D601" t="inlineStr">
        <is>
          <t>VÄSTERNORRLANDS LÄN</t>
        </is>
      </c>
      <c r="E601" t="inlineStr">
        <is>
          <t>SOLLEFTEÅ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50656-2022</t>
        </is>
      </c>
      <c r="B602" s="1" t="n">
        <v>44866</v>
      </c>
      <c r="C602" s="1" t="n">
        <v>46161</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16088-2022</t>
        </is>
      </c>
      <c r="B603" s="1" t="n">
        <v>44665</v>
      </c>
      <c r="C603" s="1" t="n">
        <v>46161</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11653-2022</t>
        </is>
      </c>
      <c r="B604" s="1" t="n">
        <v>44631</v>
      </c>
      <c r="C604" s="1" t="n">
        <v>46161</v>
      </c>
      <c r="D604" t="inlineStr">
        <is>
          <t>VÄSTERNORRLANDS LÄN</t>
        </is>
      </c>
      <c r="E604" t="inlineStr">
        <is>
          <t>SOLLEFTEÅ</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44042-2022</t>
        </is>
      </c>
      <c r="B605" s="1" t="n">
        <v>44838.94877314815</v>
      </c>
      <c r="C605" s="1" t="n">
        <v>46161</v>
      </c>
      <c r="D605" t="inlineStr">
        <is>
          <t>VÄSTERNORRLANDS LÄN</t>
        </is>
      </c>
      <c r="E605" t="inlineStr">
        <is>
          <t>SOLLEFTEÅ</t>
        </is>
      </c>
      <c r="F605" t="inlineStr">
        <is>
          <t>SCA</t>
        </is>
      </c>
      <c r="G605" t="n">
        <v>5.6</v>
      </c>
      <c r="H605" t="n">
        <v>0</v>
      </c>
      <c r="I605" t="n">
        <v>0</v>
      </c>
      <c r="J605" t="n">
        <v>0</v>
      </c>
      <c r="K605" t="n">
        <v>0</v>
      </c>
      <c r="L605" t="n">
        <v>0</v>
      </c>
      <c r="M605" t="n">
        <v>0</v>
      </c>
      <c r="N605" t="n">
        <v>0</v>
      </c>
      <c r="O605" t="n">
        <v>0</v>
      </c>
      <c r="P605" t="n">
        <v>0</v>
      </c>
      <c r="Q605" t="n">
        <v>0</v>
      </c>
      <c r="R605" s="2" t="inlineStr"/>
    </row>
    <row r="606" ht="15" customHeight="1">
      <c r="A606" t="inlineStr">
        <is>
          <t>A 54249-2022</t>
        </is>
      </c>
      <c r="B606" s="1" t="n">
        <v>44881.95111111111</v>
      </c>
      <c r="C606" s="1" t="n">
        <v>46161</v>
      </c>
      <c r="D606" t="inlineStr">
        <is>
          <t>VÄSTERNORRLANDS LÄN</t>
        </is>
      </c>
      <c r="E606" t="inlineStr">
        <is>
          <t>SOLLEFTEÅ</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46058-2021</t>
        </is>
      </c>
      <c r="B607" s="1" t="n">
        <v>44441.94364583334</v>
      </c>
      <c r="C607" s="1" t="n">
        <v>46161</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59309-2021</t>
        </is>
      </c>
      <c r="B608" s="1" t="n">
        <v>44490.93883101852</v>
      </c>
      <c r="C608" s="1" t="n">
        <v>46161</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24720-2021</t>
        </is>
      </c>
      <c r="B609" s="1" t="n">
        <v>44340</v>
      </c>
      <c r="C609" s="1" t="n">
        <v>46161</v>
      </c>
      <c r="D609" t="inlineStr">
        <is>
          <t>VÄSTERNORRLANDS LÄN</t>
        </is>
      </c>
      <c r="E609" t="inlineStr">
        <is>
          <t>SOLLEFTEÅ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58726-2021</t>
        </is>
      </c>
      <c r="B610" s="1" t="n">
        <v>44489</v>
      </c>
      <c r="C610" s="1" t="n">
        <v>46161</v>
      </c>
      <c r="D610" t="inlineStr">
        <is>
          <t>VÄSTERNORRLANDS LÄN</t>
        </is>
      </c>
      <c r="E610" t="inlineStr">
        <is>
          <t>SOLLEFTEÅ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20062-2022</t>
        </is>
      </c>
      <c r="B611" s="1" t="n">
        <v>44697</v>
      </c>
      <c r="C611" s="1" t="n">
        <v>46161</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60324-2021</t>
        </is>
      </c>
      <c r="B612" s="1" t="n">
        <v>44495.94048611111</v>
      </c>
      <c r="C612" s="1" t="n">
        <v>46161</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27926-2022</t>
        </is>
      </c>
      <c r="B613" s="1" t="n">
        <v>44743</v>
      </c>
      <c r="C613" s="1" t="n">
        <v>46161</v>
      </c>
      <c r="D613" t="inlineStr">
        <is>
          <t>VÄSTERNORRLANDS LÄN</t>
        </is>
      </c>
      <c r="E613" t="inlineStr">
        <is>
          <t>SOLLEFTEÅ</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29292-2022</t>
        </is>
      </c>
      <c r="B614" s="1" t="n">
        <v>44750</v>
      </c>
      <c r="C614" s="1" t="n">
        <v>46161</v>
      </c>
      <c r="D614" t="inlineStr">
        <is>
          <t>VÄSTERNORRLANDS LÄN</t>
        </is>
      </c>
      <c r="E614" t="inlineStr">
        <is>
          <t>SOLLEFTEÅ</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20950-2022</t>
        </is>
      </c>
      <c r="B615" s="1" t="n">
        <v>44701</v>
      </c>
      <c r="C615" s="1" t="n">
        <v>46161</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23445-2022</t>
        </is>
      </c>
      <c r="B616" s="1" t="n">
        <v>44720.94123842593</v>
      </c>
      <c r="C616" s="1" t="n">
        <v>46161</v>
      </c>
      <c r="D616" t="inlineStr">
        <is>
          <t>VÄSTERNORRLANDS LÄN</t>
        </is>
      </c>
      <c r="E616" t="inlineStr">
        <is>
          <t>SOLLEFTEÅ</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20296-2022</t>
        </is>
      </c>
      <c r="B617" s="1" t="n">
        <v>44698</v>
      </c>
      <c r="C617" s="1" t="n">
        <v>46161</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33083-2022</t>
        </is>
      </c>
      <c r="B618" s="1" t="n">
        <v>44785</v>
      </c>
      <c r="C618" s="1" t="n">
        <v>46161</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22341-2022</t>
        </is>
      </c>
      <c r="B619" s="1" t="n">
        <v>44712.94197916667</v>
      </c>
      <c r="C619" s="1" t="n">
        <v>46161</v>
      </c>
      <c r="D619" t="inlineStr">
        <is>
          <t>VÄSTERNORRLANDS LÄN</t>
        </is>
      </c>
      <c r="E619" t="inlineStr">
        <is>
          <t>SOLLEFTEÅ</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35747-2022</t>
        </is>
      </c>
      <c r="B620" s="1" t="n">
        <v>44799</v>
      </c>
      <c r="C620" s="1" t="n">
        <v>46161</v>
      </c>
      <c r="D620" t="inlineStr">
        <is>
          <t>VÄSTERNORRLANDS LÄN</t>
        </is>
      </c>
      <c r="E620" t="inlineStr">
        <is>
          <t>SOLLEFTEÅ</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72958-2021</t>
        </is>
      </c>
      <c r="B621" s="1" t="n">
        <v>44547</v>
      </c>
      <c r="C621" s="1" t="n">
        <v>46161</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16093-2022</t>
        </is>
      </c>
      <c r="B622" s="1" t="n">
        <v>44665</v>
      </c>
      <c r="C622" s="1" t="n">
        <v>46161</v>
      </c>
      <c r="D622" t="inlineStr">
        <is>
          <t>VÄSTERNORRLANDS LÄN</t>
        </is>
      </c>
      <c r="E622" t="inlineStr">
        <is>
          <t>SOLLEFTEÅ</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53955-2021</t>
        </is>
      </c>
      <c r="B623" s="1" t="n">
        <v>44469</v>
      </c>
      <c r="C623" s="1" t="n">
        <v>46161</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72315-2021</t>
        </is>
      </c>
      <c r="B624" s="1" t="n">
        <v>44545</v>
      </c>
      <c r="C624" s="1" t="n">
        <v>46161</v>
      </c>
      <c r="D624" t="inlineStr">
        <is>
          <t>VÄSTERNORRLANDS LÄN</t>
        </is>
      </c>
      <c r="E624" t="inlineStr">
        <is>
          <t>SOLLEFTEÅ</t>
        </is>
      </c>
      <c r="F624" t="inlineStr">
        <is>
          <t>SCA</t>
        </is>
      </c>
      <c r="G624" t="n">
        <v>6.6</v>
      </c>
      <c r="H624" t="n">
        <v>0</v>
      </c>
      <c r="I624" t="n">
        <v>0</v>
      </c>
      <c r="J624" t="n">
        <v>0</v>
      </c>
      <c r="K624" t="n">
        <v>0</v>
      </c>
      <c r="L624" t="n">
        <v>0</v>
      </c>
      <c r="M624" t="n">
        <v>0</v>
      </c>
      <c r="N624" t="n">
        <v>0</v>
      </c>
      <c r="O624" t="n">
        <v>0</v>
      </c>
      <c r="P624" t="n">
        <v>0</v>
      </c>
      <c r="Q624" t="n">
        <v>0</v>
      </c>
      <c r="R624" s="2" t="inlineStr"/>
    </row>
    <row r="625" ht="15" customHeight="1">
      <c r="A625" t="inlineStr">
        <is>
          <t>A 28893-2022</t>
        </is>
      </c>
      <c r="B625" s="1" t="n">
        <v>44749.53978009259</v>
      </c>
      <c r="C625" s="1" t="n">
        <v>46161</v>
      </c>
      <c r="D625" t="inlineStr">
        <is>
          <t>VÄSTERNORRLANDS LÄN</t>
        </is>
      </c>
      <c r="E625" t="inlineStr">
        <is>
          <t>SOLLEFTEÅ</t>
        </is>
      </c>
      <c r="G625" t="n">
        <v>1.7</v>
      </c>
      <c r="H625" t="n">
        <v>0</v>
      </c>
      <c r="I625" t="n">
        <v>0</v>
      </c>
      <c r="J625" t="n">
        <v>0</v>
      </c>
      <c r="K625" t="n">
        <v>0</v>
      </c>
      <c r="L625" t="n">
        <v>0</v>
      </c>
      <c r="M625" t="n">
        <v>0</v>
      </c>
      <c r="N625" t="n">
        <v>0</v>
      </c>
      <c r="O625" t="n">
        <v>0</v>
      </c>
      <c r="P625" t="n">
        <v>0</v>
      </c>
      <c r="Q625" t="n">
        <v>0</v>
      </c>
      <c r="R625" s="2" t="inlineStr"/>
    </row>
    <row r="626" ht="15" customHeight="1">
      <c r="A626" t="inlineStr">
        <is>
          <t>A 68317-2021</t>
        </is>
      </c>
      <c r="B626" s="1" t="n">
        <v>44526.94339120371</v>
      </c>
      <c r="C626" s="1" t="n">
        <v>46161</v>
      </c>
      <c r="D626" t="inlineStr">
        <is>
          <t>VÄSTERNORRLANDS LÄN</t>
        </is>
      </c>
      <c r="E626" t="inlineStr">
        <is>
          <t>SOLLEFTEÅ</t>
        </is>
      </c>
      <c r="F626" t="inlineStr">
        <is>
          <t>SCA</t>
        </is>
      </c>
      <c r="G626" t="n">
        <v>5.1</v>
      </c>
      <c r="H626" t="n">
        <v>0</v>
      </c>
      <c r="I626" t="n">
        <v>0</v>
      </c>
      <c r="J626" t="n">
        <v>0</v>
      </c>
      <c r="K626" t="n">
        <v>0</v>
      </c>
      <c r="L626" t="n">
        <v>0</v>
      </c>
      <c r="M626" t="n">
        <v>0</v>
      </c>
      <c r="N626" t="n">
        <v>0</v>
      </c>
      <c r="O626" t="n">
        <v>0</v>
      </c>
      <c r="P626" t="n">
        <v>0</v>
      </c>
      <c r="Q626" t="n">
        <v>0</v>
      </c>
      <c r="R626" s="2" t="inlineStr"/>
    </row>
    <row r="627" ht="15" customHeight="1">
      <c r="A627" t="inlineStr">
        <is>
          <t>A 12191-2022</t>
        </is>
      </c>
      <c r="B627" s="1" t="n">
        <v>44636.9250925926</v>
      </c>
      <c r="C627" s="1" t="n">
        <v>46161</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66856-2021</t>
        </is>
      </c>
      <c r="B628" s="1" t="n">
        <v>44522</v>
      </c>
      <c r="C628" s="1" t="n">
        <v>46161</v>
      </c>
      <c r="D628" t="inlineStr">
        <is>
          <t>VÄSTERNORRLANDS LÄN</t>
        </is>
      </c>
      <c r="E628" t="inlineStr">
        <is>
          <t>SOLLEFTEÅ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72949-2021</t>
        </is>
      </c>
      <c r="B629" s="1" t="n">
        <v>44547.92181712963</v>
      </c>
      <c r="C629" s="1" t="n">
        <v>46161</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10139-2022</t>
        </is>
      </c>
      <c r="B630" s="1" t="n">
        <v>44621</v>
      </c>
      <c r="C630" s="1" t="n">
        <v>46161</v>
      </c>
      <c r="D630" t="inlineStr">
        <is>
          <t>VÄSTERNORRLANDS LÄN</t>
        </is>
      </c>
      <c r="E630" t="inlineStr">
        <is>
          <t>SOLLEFTEÅ</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43220-2021</t>
        </is>
      </c>
      <c r="B631" s="1" t="n">
        <v>44431.9378125</v>
      </c>
      <c r="C631" s="1" t="n">
        <v>46161</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15241-2022</t>
        </is>
      </c>
      <c r="B632" s="1" t="n">
        <v>44658.9375</v>
      </c>
      <c r="C632" s="1" t="n">
        <v>46161</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20702-2022</t>
        </is>
      </c>
      <c r="B633" s="1" t="n">
        <v>44700.92697916667</v>
      </c>
      <c r="C633" s="1" t="n">
        <v>46161</v>
      </c>
      <c r="D633" t="inlineStr">
        <is>
          <t>VÄSTERNORRLANDS LÄN</t>
        </is>
      </c>
      <c r="E633" t="inlineStr">
        <is>
          <t>SOLLEFTEÅ</t>
        </is>
      </c>
      <c r="G633" t="n">
        <v>5.1</v>
      </c>
      <c r="H633" t="n">
        <v>0</v>
      </c>
      <c r="I633" t="n">
        <v>0</v>
      </c>
      <c r="J633" t="n">
        <v>0</v>
      </c>
      <c r="K633" t="n">
        <v>0</v>
      </c>
      <c r="L633" t="n">
        <v>0</v>
      </c>
      <c r="M633" t="n">
        <v>0</v>
      </c>
      <c r="N633" t="n">
        <v>0</v>
      </c>
      <c r="O633" t="n">
        <v>0</v>
      </c>
      <c r="P633" t="n">
        <v>0</v>
      </c>
      <c r="Q633" t="n">
        <v>0</v>
      </c>
      <c r="R633" s="2" t="inlineStr"/>
    </row>
    <row r="634" ht="15" customHeight="1">
      <c r="A634" t="inlineStr">
        <is>
          <t>A 31444-2022</t>
        </is>
      </c>
      <c r="B634" s="1" t="n">
        <v>44774</v>
      </c>
      <c r="C634" s="1" t="n">
        <v>46161</v>
      </c>
      <c r="D634" t="inlineStr">
        <is>
          <t>VÄSTERNORRLANDS LÄN</t>
        </is>
      </c>
      <c r="E634" t="inlineStr">
        <is>
          <t>SOLLEFTEÅ</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41334-2021</t>
        </is>
      </c>
      <c r="B635" s="1" t="n">
        <v>44424</v>
      </c>
      <c r="C635" s="1" t="n">
        <v>46161</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37826-2022</t>
        </is>
      </c>
      <c r="B636" s="1" t="n">
        <v>44810.94175925926</v>
      </c>
      <c r="C636" s="1" t="n">
        <v>46161</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22342-2022</t>
        </is>
      </c>
      <c r="B637" s="1" t="n">
        <v>44712.94203703704</v>
      </c>
      <c r="C637" s="1" t="n">
        <v>46161</v>
      </c>
      <c r="D637" t="inlineStr">
        <is>
          <t>VÄSTERNORRLANDS LÄN</t>
        </is>
      </c>
      <c r="E637" t="inlineStr">
        <is>
          <t>SOLLEFTEÅ</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33077-2022</t>
        </is>
      </c>
      <c r="B638" s="1" t="n">
        <v>44785</v>
      </c>
      <c r="C638" s="1" t="n">
        <v>46161</v>
      </c>
      <c r="D638" t="inlineStr">
        <is>
          <t>VÄSTERNORRLANDS LÄN</t>
        </is>
      </c>
      <c r="E638" t="inlineStr">
        <is>
          <t>SOLLEFTEÅ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55898-2022</t>
        </is>
      </c>
      <c r="B639" s="1" t="n">
        <v>44888.95342592592</v>
      </c>
      <c r="C639" s="1" t="n">
        <v>46161</v>
      </c>
      <c r="D639" t="inlineStr">
        <is>
          <t>VÄSTERNORRLANDS LÄN</t>
        </is>
      </c>
      <c r="E639" t="inlineStr">
        <is>
          <t>SOLLEFTEÅ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16083-2022</t>
        </is>
      </c>
      <c r="B640" s="1" t="n">
        <v>44665</v>
      </c>
      <c r="C640" s="1" t="n">
        <v>46161</v>
      </c>
      <c r="D640" t="inlineStr">
        <is>
          <t>VÄSTERNORRLANDS LÄN</t>
        </is>
      </c>
      <c r="E640" t="inlineStr">
        <is>
          <t>SOLLEFTEÅ</t>
        </is>
      </c>
      <c r="F640" t="inlineStr">
        <is>
          <t>Holmen skog AB</t>
        </is>
      </c>
      <c r="G640" t="n">
        <v>6.8</v>
      </c>
      <c r="H640" t="n">
        <v>0</v>
      </c>
      <c r="I640" t="n">
        <v>0</v>
      </c>
      <c r="J640" t="n">
        <v>0</v>
      </c>
      <c r="K640" t="n">
        <v>0</v>
      </c>
      <c r="L640" t="n">
        <v>0</v>
      </c>
      <c r="M640" t="n">
        <v>0</v>
      </c>
      <c r="N640" t="n">
        <v>0</v>
      </c>
      <c r="O640" t="n">
        <v>0</v>
      </c>
      <c r="P640" t="n">
        <v>0</v>
      </c>
      <c r="Q640" t="n">
        <v>0</v>
      </c>
      <c r="R640" s="2" t="inlineStr"/>
    </row>
    <row r="641" ht="15" customHeight="1">
      <c r="A641" t="inlineStr">
        <is>
          <t>A 11241-2022</t>
        </is>
      </c>
      <c r="B641" s="1" t="n">
        <v>44629</v>
      </c>
      <c r="C641" s="1" t="n">
        <v>46161</v>
      </c>
      <c r="D641" t="inlineStr">
        <is>
          <t>VÄSTERNORRLANDS LÄN</t>
        </is>
      </c>
      <c r="E641" t="inlineStr">
        <is>
          <t>SOLLEFTEÅ</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41474-2022</t>
        </is>
      </c>
      <c r="B642" s="1" t="n">
        <v>44826.94859953703</v>
      </c>
      <c r="C642" s="1" t="n">
        <v>46161</v>
      </c>
      <c r="D642" t="inlineStr">
        <is>
          <t>VÄSTERNORRLANDS LÄN</t>
        </is>
      </c>
      <c r="E642" t="inlineStr">
        <is>
          <t>SOLLEFTEÅ</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26435-2022</t>
        </is>
      </c>
      <c r="B643" s="1" t="n">
        <v>44736.93902777778</v>
      </c>
      <c r="C643" s="1" t="n">
        <v>46161</v>
      </c>
      <c r="D643" t="inlineStr">
        <is>
          <t>VÄSTERNORRLANDS LÄN</t>
        </is>
      </c>
      <c r="E643" t="inlineStr">
        <is>
          <t>SOLLEFTEÅ</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41813-2022</t>
        </is>
      </c>
      <c r="B644" s="1" t="n">
        <v>44827.94520833333</v>
      </c>
      <c r="C644" s="1" t="n">
        <v>46161</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5001-2023</t>
        </is>
      </c>
      <c r="B645" s="1" t="n">
        <v>44956</v>
      </c>
      <c r="C645" s="1" t="n">
        <v>46161</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20550-2025</t>
        </is>
      </c>
      <c r="B646" s="1" t="n">
        <v>45775.6360300926</v>
      </c>
      <c r="C646" s="1" t="n">
        <v>46161</v>
      </c>
      <c r="D646" t="inlineStr">
        <is>
          <t>VÄSTERNORRLANDS LÄN</t>
        </is>
      </c>
      <c r="E646" t="inlineStr">
        <is>
          <t>SOLLEFTEÅ</t>
        </is>
      </c>
      <c r="F646" t="inlineStr">
        <is>
          <t>SCA</t>
        </is>
      </c>
      <c r="G646" t="n">
        <v>6.9</v>
      </c>
      <c r="H646" t="n">
        <v>0</v>
      </c>
      <c r="I646" t="n">
        <v>0</v>
      </c>
      <c r="J646" t="n">
        <v>0</v>
      </c>
      <c r="K646" t="n">
        <v>0</v>
      </c>
      <c r="L646" t="n">
        <v>0</v>
      </c>
      <c r="M646" t="n">
        <v>0</v>
      </c>
      <c r="N646" t="n">
        <v>0</v>
      </c>
      <c r="O646" t="n">
        <v>0</v>
      </c>
      <c r="P646" t="n">
        <v>0</v>
      </c>
      <c r="Q646" t="n">
        <v>0</v>
      </c>
      <c r="R646" s="2" t="inlineStr"/>
    </row>
    <row r="647" ht="15" customHeight="1">
      <c r="A647" t="inlineStr">
        <is>
          <t>A 58357-2024</t>
        </is>
      </c>
      <c r="B647" s="1" t="n">
        <v>45632</v>
      </c>
      <c r="C647" s="1" t="n">
        <v>46161</v>
      </c>
      <c r="D647" t="inlineStr">
        <is>
          <t>VÄSTERNORRLANDS LÄN</t>
        </is>
      </c>
      <c r="E647" t="inlineStr">
        <is>
          <t>SOLLEFTEÅ</t>
        </is>
      </c>
      <c r="G647" t="n">
        <v>3.3</v>
      </c>
      <c r="H647" t="n">
        <v>0</v>
      </c>
      <c r="I647" t="n">
        <v>0</v>
      </c>
      <c r="J647" t="n">
        <v>0</v>
      </c>
      <c r="K647" t="n">
        <v>0</v>
      </c>
      <c r="L647" t="n">
        <v>0</v>
      </c>
      <c r="M647" t="n">
        <v>0</v>
      </c>
      <c r="N647" t="n">
        <v>0</v>
      </c>
      <c r="O647" t="n">
        <v>0</v>
      </c>
      <c r="P647" t="n">
        <v>0</v>
      </c>
      <c r="Q647" t="n">
        <v>0</v>
      </c>
      <c r="R647" s="2" t="inlineStr"/>
    </row>
    <row r="648" ht="15" customHeight="1">
      <c r="A648" t="inlineStr">
        <is>
          <t>A 58360-2024</t>
        </is>
      </c>
      <c r="B648" s="1" t="n">
        <v>45632</v>
      </c>
      <c r="C648" s="1" t="n">
        <v>46161</v>
      </c>
      <c r="D648" t="inlineStr">
        <is>
          <t>VÄSTERNORRLANDS LÄN</t>
        </is>
      </c>
      <c r="E648" t="inlineStr">
        <is>
          <t>SOLLEFTEÅ</t>
        </is>
      </c>
      <c r="G648" t="n">
        <v>3.7</v>
      </c>
      <c r="H648" t="n">
        <v>0</v>
      </c>
      <c r="I648" t="n">
        <v>0</v>
      </c>
      <c r="J648" t="n">
        <v>0</v>
      </c>
      <c r="K648" t="n">
        <v>0</v>
      </c>
      <c r="L648" t="n">
        <v>0</v>
      </c>
      <c r="M648" t="n">
        <v>0</v>
      </c>
      <c r="N648" t="n">
        <v>0</v>
      </c>
      <c r="O648" t="n">
        <v>0</v>
      </c>
      <c r="P648" t="n">
        <v>0</v>
      </c>
      <c r="Q648" t="n">
        <v>0</v>
      </c>
      <c r="R648" s="2" t="inlineStr"/>
    </row>
    <row r="649" ht="15" customHeight="1">
      <c r="A649" t="inlineStr">
        <is>
          <t>A 2431-2025</t>
        </is>
      </c>
      <c r="B649" s="1" t="n">
        <v>45674.40692129629</v>
      </c>
      <c r="C649" s="1" t="n">
        <v>46161</v>
      </c>
      <c r="D649" t="inlineStr">
        <is>
          <t>VÄSTERNORRLANDS LÄN</t>
        </is>
      </c>
      <c r="E649" t="inlineStr">
        <is>
          <t>SOLLEFTEÅ</t>
        </is>
      </c>
      <c r="F649" t="inlineStr">
        <is>
          <t>SCA</t>
        </is>
      </c>
      <c r="G649" t="n">
        <v>19.2</v>
      </c>
      <c r="H649" t="n">
        <v>0</v>
      </c>
      <c r="I649" t="n">
        <v>0</v>
      </c>
      <c r="J649" t="n">
        <v>0</v>
      </c>
      <c r="K649" t="n">
        <v>0</v>
      </c>
      <c r="L649" t="n">
        <v>0</v>
      </c>
      <c r="M649" t="n">
        <v>0</v>
      </c>
      <c r="N649" t="n">
        <v>0</v>
      </c>
      <c r="O649" t="n">
        <v>0</v>
      </c>
      <c r="P649" t="n">
        <v>0</v>
      </c>
      <c r="Q649" t="n">
        <v>0</v>
      </c>
      <c r="R649" s="2" t="inlineStr"/>
    </row>
    <row r="650" ht="15" customHeight="1">
      <c r="A650" t="inlineStr">
        <is>
          <t>A 46130-2022</t>
        </is>
      </c>
      <c r="B650" s="1" t="n">
        <v>44844</v>
      </c>
      <c r="C650" s="1" t="n">
        <v>46161</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33241-2024</t>
        </is>
      </c>
      <c r="B651" s="1" t="n">
        <v>45518.60484953703</v>
      </c>
      <c r="C651" s="1" t="n">
        <v>46161</v>
      </c>
      <c r="D651" t="inlineStr">
        <is>
          <t>VÄSTERNORRLANDS LÄN</t>
        </is>
      </c>
      <c r="E651" t="inlineStr">
        <is>
          <t>SOLLEFTEÅ</t>
        </is>
      </c>
      <c r="G651" t="n">
        <v>4.1</v>
      </c>
      <c r="H651" t="n">
        <v>0</v>
      </c>
      <c r="I651" t="n">
        <v>0</v>
      </c>
      <c r="J651" t="n">
        <v>0</v>
      </c>
      <c r="K651" t="n">
        <v>0</v>
      </c>
      <c r="L651" t="n">
        <v>0</v>
      </c>
      <c r="M651" t="n">
        <v>0</v>
      </c>
      <c r="N651" t="n">
        <v>0</v>
      </c>
      <c r="O651" t="n">
        <v>0</v>
      </c>
      <c r="P651" t="n">
        <v>0</v>
      </c>
      <c r="Q651" t="n">
        <v>0</v>
      </c>
      <c r="R651" s="2" t="inlineStr"/>
    </row>
    <row r="652" ht="15" customHeight="1">
      <c r="A652" t="inlineStr">
        <is>
          <t>A 3555-2022</t>
        </is>
      </c>
      <c r="B652" s="1" t="n">
        <v>44585.93820601852</v>
      </c>
      <c r="C652" s="1" t="n">
        <v>46161</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20458-2025</t>
        </is>
      </c>
      <c r="B653" s="1" t="n">
        <v>45775.52623842593</v>
      </c>
      <c r="C653" s="1" t="n">
        <v>46161</v>
      </c>
      <c r="D653" t="inlineStr">
        <is>
          <t>VÄSTERNORRLANDS LÄN</t>
        </is>
      </c>
      <c r="E653" t="inlineStr">
        <is>
          <t>SOLLEFTEÅ</t>
        </is>
      </c>
      <c r="G653" t="n">
        <v>2</v>
      </c>
      <c r="H653" t="n">
        <v>0</v>
      </c>
      <c r="I653" t="n">
        <v>0</v>
      </c>
      <c r="J653" t="n">
        <v>0</v>
      </c>
      <c r="K653" t="n">
        <v>0</v>
      </c>
      <c r="L653" t="n">
        <v>0</v>
      </c>
      <c r="M653" t="n">
        <v>0</v>
      </c>
      <c r="N653" t="n">
        <v>0</v>
      </c>
      <c r="O653" t="n">
        <v>0</v>
      </c>
      <c r="P653" t="n">
        <v>0</v>
      </c>
      <c r="Q653" t="n">
        <v>0</v>
      </c>
      <c r="R653" s="2" t="inlineStr"/>
    </row>
    <row r="654" ht="15" customHeight="1">
      <c r="A654" t="inlineStr">
        <is>
          <t>A 8670-2023</t>
        </is>
      </c>
      <c r="B654" s="1" t="n">
        <v>44977</v>
      </c>
      <c r="C654" s="1" t="n">
        <v>46161</v>
      </c>
      <c r="D654" t="inlineStr">
        <is>
          <t>VÄSTERNORRLANDS LÄN</t>
        </is>
      </c>
      <c r="E654" t="inlineStr">
        <is>
          <t>SOLLEFTEÅ</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29914-2024</t>
        </is>
      </c>
      <c r="B655" s="1" t="n">
        <v>45487.92814814814</v>
      </c>
      <c r="C655" s="1" t="n">
        <v>46161</v>
      </c>
      <c r="D655" t="inlineStr">
        <is>
          <t>VÄSTERNORRLANDS LÄN</t>
        </is>
      </c>
      <c r="E655" t="inlineStr">
        <is>
          <t>SOLLEFTEÅ</t>
        </is>
      </c>
      <c r="G655" t="n">
        <v>6.3</v>
      </c>
      <c r="H655" t="n">
        <v>0</v>
      </c>
      <c r="I655" t="n">
        <v>0</v>
      </c>
      <c r="J655" t="n">
        <v>0</v>
      </c>
      <c r="K655" t="n">
        <v>0</v>
      </c>
      <c r="L655" t="n">
        <v>0</v>
      </c>
      <c r="M655" t="n">
        <v>0</v>
      </c>
      <c r="N655" t="n">
        <v>0</v>
      </c>
      <c r="O655" t="n">
        <v>0</v>
      </c>
      <c r="P655" t="n">
        <v>0</v>
      </c>
      <c r="Q655" t="n">
        <v>0</v>
      </c>
      <c r="R655" s="2" t="inlineStr"/>
    </row>
    <row r="656" ht="15" customHeight="1">
      <c r="A656" t="inlineStr">
        <is>
          <t>A 61345-2022</t>
        </is>
      </c>
      <c r="B656" s="1" t="n">
        <v>44915</v>
      </c>
      <c r="C656" s="1" t="n">
        <v>46161</v>
      </c>
      <c r="D656" t="inlineStr">
        <is>
          <t>VÄSTERNORRLANDS LÄN</t>
        </is>
      </c>
      <c r="E656" t="inlineStr">
        <is>
          <t>SOLLEFTEÅ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61383-2022</t>
        </is>
      </c>
      <c r="B657" s="1" t="n">
        <v>44915</v>
      </c>
      <c r="C657" s="1" t="n">
        <v>46161</v>
      </c>
      <c r="D657" t="inlineStr">
        <is>
          <t>VÄSTERNORRLANDS LÄN</t>
        </is>
      </c>
      <c r="E657" t="inlineStr">
        <is>
          <t>SOLLEFTEÅ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17422-2025</t>
        </is>
      </c>
      <c r="B658" s="1" t="n">
        <v>45757.38570601852</v>
      </c>
      <c r="C658" s="1" t="n">
        <v>46161</v>
      </c>
      <c r="D658" t="inlineStr">
        <is>
          <t>VÄSTERNORRLANDS LÄN</t>
        </is>
      </c>
      <c r="E658" t="inlineStr">
        <is>
          <t>SOLLEFTEÅ</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18149-2023</t>
        </is>
      </c>
      <c r="B659" s="1" t="n">
        <v>45040</v>
      </c>
      <c r="C659" s="1" t="n">
        <v>46161</v>
      </c>
      <c r="D659" t="inlineStr">
        <is>
          <t>VÄSTERNORRLANDS LÄN</t>
        </is>
      </c>
      <c r="E659" t="inlineStr">
        <is>
          <t>SOLLEFTEÅ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62099-2023</t>
        </is>
      </c>
      <c r="B660" s="1" t="n">
        <v>45266</v>
      </c>
      <c r="C660" s="1" t="n">
        <v>46161</v>
      </c>
      <c r="D660" t="inlineStr">
        <is>
          <t>VÄSTERNORRLANDS LÄN</t>
        </is>
      </c>
      <c r="E660" t="inlineStr">
        <is>
          <t>SOLLEFTEÅ</t>
        </is>
      </c>
      <c r="G660" t="n">
        <v>2.6</v>
      </c>
      <c r="H660" t="n">
        <v>0</v>
      </c>
      <c r="I660" t="n">
        <v>0</v>
      </c>
      <c r="J660" t="n">
        <v>0</v>
      </c>
      <c r="K660" t="n">
        <v>0</v>
      </c>
      <c r="L660" t="n">
        <v>0</v>
      </c>
      <c r="M660" t="n">
        <v>0</v>
      </c>
      <c r="N660" t="n">
        <v>0</v>
      </c>
      <c r="O660" t="n">
        <v>0</v>
      </c>
      <c r="P660" t="n">
        <v>0</v>
      </c>
      <c r="Q660" t="n">
        <v>0</v>
      </c>
      <c r="R660" s="2" t="inlineStr"/>
    </row>
    <row r="661" ht="15" customHeight="1">
      <c r="A661" t="inlineStr">
        <is>
          <t>A 9070-2025</t>
        </is>
      </c>
      <c r="B661" s="1" t="n">
        <v>45713.65658564815</v>
      </c>
      <c r="C661" s="1" t="n">
        <v>46161</v>
      </c>
      <c r="D661" t="inlineStr">
        <is>
          <t>VÄSTERNORRLANDS LÄN</t>
        </is>
      </c>
      <c r="E661" t="inlineStr">
        <is>
          <t>SOLLEFTEÅ</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19633-2025</t>
        </is>
      </c>
      <c r="B662" s="1" t="n">
        <v>45770.64655092593</v>
      </c>
      <c r="C662" s="1" t="n">
        <v>46161</v>
      </c>
      <c r="D662" t="inlineStr">
        <is>
          <t>VÄSTERNORRLANDS LÄN</t>
        </is>
      </c>
      <c r="E662" t="inlineStr">
        <is>
          <t>SOLLEFTEÅ</t>
        </is>
      </c>
      <c r="G662" t="n">
        <v>9.9</v>
      </c>
      <c r="H662" t="n">
        <v>0</v>
      </c>
      <c r="I662" t="n">
        <v>0</v>
      </c>
      <c r="J662" t="n">
        <v>0</v>
      </c>
      <c r="K662" t="n">
        <v>0</v>
      </c>
      <c r="L662" t="n">
        <v>0</v>
      </c>
      <c r="M662" t="n">
        <v>0</v>
      </c>
      <c r="N662" t="n">
        <v>0</v>
      </c>
      <c r="O662" t="n">
        <v>0</v>
      </c>
      <c r="P662" t="n">
        <v>0</v>
      </c>
      <c r="Q662" t="n">
        <v>0</v>
      </c>
      <c r="R662" s="2" t="inlineStr"/>
    </row>
    <row r="663" ht="15" customHeight="1">
      <c r="A663" t="inlineStr">
        <is>
          <t>A 34737-2023</t>
        </is>
      </c>
      <c r="B663" s="1" t="n">
        <v>45139</v>
      </c>
      <c r="C663" s="1" t="n">
        <v>46161</v>
      </c>
      <c r="D663" t="inlineStr">
        <is>
          <t>VÄSTERNORRLANDS LÄN</t>
        </is>
      </c>
      <c r="E663" t="inlineStr">
        <is>
          <t>SOLLEFTEÅ</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51249-2022</t>
        </is>
      </c>
      <c r="B664" s="1" t="n">
        <v>44866</v>
      </c>
      <c r="C664" s="1" t="n">
        <v>46161</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31477-2024</t>
        </is>
      </c>
      <c r="B665" s="1" t="n">
        <v>45505</v>
      </c>
      <c r="C665" s="1" t="n">
        <v>46161</v>
      </c>
      <c r="D665" t="inlineStr">
        <is>
          <t>VÄSTERNORRLANDS LÄN</t>
        </is>
      </c>
      <c r="E665" t="inlineStr">
        <is>
          <t>SOLLEFTEÅ</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46161</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33709-2023</t>
        </is>
      </c>
      <c r="B667" s="1" t="n">
        <v>45132.92300925926</v>
      </c>
      <c r="C667" s="1" t="n">
        <v>46161</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35509-2024</t>
        </is>
      </c>
      <c r="B668" s="1" t="n">
        <v>45531</v>
      </c>
      <c r="C668" s="1" t="n">
        <v>46161</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8959-2023</t>
        </is>
      </c>
      <c r="B669" s="1" t="n">
        <v>44974</v>
      </c>
      <c r="C669" s="1" t="n">
        <v>46161</v>
      </c>
      <c r="D669" t="inlineStr">
        <is>
          <t>VÄSTERNORRLANDS LÄN</t>
        </is>
      </c>
      <c r="E669" t="inlineStr">
        <is>
          <t>SOLLEFTEÅ</t>
        </is>
      </c>
      <c r="G669" t="n">
        <v>2.3</v>
      </c>
      <c r="H669" t="n">
        <v>0</v>
      </c>
      <c r="I669" t="n">
        <v>0</v>
      </c>
      <c r="J669" t="n">
        <v>0</v>
      </c>
      <c r="K669" t="n">
        <v>0</v>
      </c>
      <c r="L669" t="n">
        <v>0</v>
      </c>
      <c r="M669" t="n">
        <v>0</v>
      </c>
      <c r="N669" t="n">
        <v>0</v>
      </c>
      <c r="O669" t="n">
        <v>0</v>
      </c>
      <c r="P669" t="n">
        <v>0</v>
      </c>
      <c r="Q669" t="n">
        <v>0</v>
      </c>
      <c r="R669" s="2" t="inlineStr"/>
    </row>
    <row r="670" ht="15" customHeight="1">
      <c r="A670" t="inlineStr">
        <is>
          <t>A 47175-2024</t>
        </is>
      </c>
      <c r="B670" s="1" t="n">
        <v>45586</v>
      </c>
      <c r="C670" s="1" t="n">
        <v>46161</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53120-2024</t>
        </is>
      </c>
      <c r="B671" s="1" t="n">
        <v>45611</v>
      </c>
      <c r="C671" s="1" t="n">
        <v>46161</v>
      </c>
      <c r="D671" t="inlineStr">
        <is>
          <t>VÄSTERNORRLANDS LÄN</t>
        </is>
      </c>
      <c r="E671" t="inlineStr">
        <is>
          <t>SOLLEFTEÅ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154-2025</t>
        </is>
      </c>
      <c r="B672" s="1" t="n">
        <v>45659</v>
      </c>
      <c r="C672" s="1" t="n">
        <v>46161</v>
      </c>
      <c r="D672" t="inlineStr">
        <is>
          <t>VÄSTERNORRLANDS LÄN</t>
        </is>
      </c>
      <c r="E672" t="inlineStr">
        <is>
          <t>SOLLEFTEÅ</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57922-2024</t>
        </is>
      </c>
      <c r="B673" s="1" t="n">
        <v>45631.5107175926</v>
      </c>
      <c r="C673" s="1" t="n">
        <v>46161</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2114-2023</t>
        </is>
      </c>
      <c r="B674" s="1" t="n">
        <v>44939.93809027778</v>
      </c>
      <c r="C674" s="1" t="n">
        <v>46161</v>
      </c>
      <c r="D674" t="inlineStr">
        <is>
          <t>VÄSTERNORRLANDS LÄN</t>
        </is>
      </c>
      <c r="E674" t="inlineStr">
        <is>
          <t>SOLLEFTEÅ</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5862-2025</t>
        </is>
      </c>
      <c r="B675" s="1" t="n">
        <v>45695.35061342592</v>
      </c>
      <c r="C675" s="1" t="n">
        <v>46161</v>
      </c>
      <c r="D675" t="inlineStr">
        <is>
          <t>VÄSTERNORRLANDS LÄN</t>
        </is>
      </c>
      <c r="E675" t="inlineStr">
        <is>
          <t>SOLLEFTEÅ</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24199-2024</t>
        </is>
      </c>
      <c r="B676" s="1" t="n">
        <v>45456.96634259259</v>
      </c>
      <c r="C676" s="1" t="n">
        <v>46161</v>
      </c>
      <c r="D676" t="inlineStr">
        <is>
          <t>VÄSTERNORRLANDS LÄN</t>
        </is>
      </c>
      <c r="E676" t="inlineStr">
        <is>
          <t>SOLLEFTEÅ</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24208-2024</t>
        </is>
      </c>
      <c r="B677" s="1" t="n">
        <v>45456.9678125</v>
      </c>
      <c r="C677" s="1" t="n">
        <v>46161</v>
      </c>
      <c r="D677" t="inlineStr">
        <is>
          <t>VÄSTERNORRLANDS LÄN</t>
        </is>
      </c>
      <c r="E677" t="inlineStr">
        <is>
          <t>SOLLEFTEÅ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24211-2024</t>
        </is>
      </c>
      <c r="B678" s="1" t="n">
        <v>45456.9681712963</v>
      </c>
      <c r="C678" s="1" t="n">
        <v>46161</v>
      </c>
      <c r="D678" t="inlineStr">
        <is>
          <t>VÄSTERNORRLANDS LÄN</t>
        </is>
      </c>
      <c r="E678" t="inlineStr">
        <is>
          <t>SOLLEFTEÅ</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9708-2025</t>
        </is>
      </c>
      <c r="B679" s="1" t="n">
        <v>45716.38607638889</v>
      </c>
      <c r="C679" s="1" t="n">
        <v>46161</v>
      </c>
      <c r="D679" t="inlineStr">
        <is>
          <t>VÄSTERNORRLANDS LÄN</t>
        </is>
      </c>
      <c r="E679" t="inlineStr">
        <is>
          <t>SOLLEFTEÅ</t>
        </is>
      </c>
      <c r="F679" t="inlineStr">
        <is>
          <t>SCA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31672-2022</t>
        </is>
      </c>
      <c r="B680" s="1" t="n">
        <v>44776.36137731482</v>
      </c>
      <c r="C680" s="1" t="n">
        <v>46161</v>
      </c>
      <c r="D680" t="inlineStr">
        <is>
          <t>VÄSTERNORRLANDS LÄN</t>
        </is>
      </c>
      <c r="E680" t="inlineStr">
        <is>
          <t>SOLLEFTEÅ</t>
        </is>
      </c>
      <c r="G680" t="n">
        <v>16.3</v>
      </c>
      <c r="H680" t="n">
        <v>0</v>
      </c>
      <c r="I680" t="n">
        <v>0</v>
      </c>
      <c r="J680" t="n">
        <v>0</v>
      </c>
      <c r="K680" t="n">
        <v>0</v>
      </c>
      <c r="L680" t="n">
        <v>0</v>
      </c>
      <c r="M680" t="n">
        <v>0</v>
      </c>
      <c r="N680" t="n">
        <v>0</v>
      </c>
      <c r="O680" t="n">
        <v>0</v>
      </c>
      <c r="P680" t="n">
        <v>0</v>
      </c>
      <c r="Q680" t="n">
        <v>0</v>
      </c>
      <c r="R680" s="2" t="inlineStr"/>
    </row>
    <row r="681" ht="15" customHeight="1">
      <c r="A681" t="inlineStr">
        <is>
          <t>A 47217-2025</t>
        </is>
      </c>
      <c r="B681" s="1" t="n">
        <v>45930.38625</v>
      </c>
      <c r="C681" s="1" t="n">
        <v>46161</v>
      </c>
      <c r="D681" t="inlineStr">
        <is>
          <t>VÄSTERNORRLANDS LÄN</t>
        </is>
      </c>
      <c r="E681" t="inlineStr">
        <is>
          <t>SOLLEFTEÅ</t>
        </is>
      </c>
      <c r="F681" t="inlineStr">
        <is>
          <t>SCA</t>
        </is>
      </c>
      <c r="G681" t="n">
        <v>9</v>
      </c>
      <c r="H681" t="n">
        <v>0</v>
      </c>
      <c r="I681" t="n">
        <v>0</v>
      </c>
      <c r="J681" t="n">
        <v>0</v>
      </c>
      <c r="K681" t="n">
        <v>0</v>
      </c>
      <c r="L681" t="n">
        <v>0</v>
      </c>
      <c r="M681" t="n">
        <v>0</v>
      </c>
      <c r="N681" t="n">
        <v>0</v>
      </c>
      <c r="O681" t="n">
        <v>0</v>
      </c>
      <c r="P681" t="n">
        <v>0</v>
      </c>
      <c r="Q681" t="n">
        <v>0</v>
      </c>
      <c r="R681" s="2" t="inlineStr"/>
    </row>
    <row r="682" ht="15" customHeight="1">
      <c r="A682" t="inlineStr">
        <is>
          <t>A 62357-2023</t>
        </is>
      </c>
      <c r="B682" s="1" t="n">
        <v>45267.95109953704</v>
      </c>
      <c r="C682" s="1" t="n">
        <v>46161</v>
      </c>
      <c r="D682" t="inlineStr">
        <is>
          <t>VÄSTERNORRLANDS LÄN</t>
        </is>
      </c>
      <c r="E682" t="inlineStr">
        <is>
          <t>SOLLEFTEÅ</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4131-2025</t>
        </is>
      </c>
      <c r="B683" s="1" t="n">
        <v>45685.34508101852</v>
      </c>
      <c r="C683" s="1" t="n">
        <v>46161</v>
      </c>
      <c r="D683" t="inlineStr">
        <is>
          <t>VÄSTERNORRLANDS LÄN</t>
        </is>
      </c>
      <c r="E683" t="inlineStr">
        <is>
          <t>SOLLEFTEÅ</t>
        </is>
      </c>
      <c r="G683" t="n">
        <v>3.4</v>
      </c>
      <c r="H683" t="n">
        <v>0</v>
      </c>
      <c r="I683" t="n">
        <v>0</v>
      </c>
      <c r="J683" t="n">
        <v>0</v>
      </c>
      <c r="K683" t="n">
        <v>0</v>
      </c>
      <c r="L683" t="n">
        <v>0</v>
      </c>
      <c r="M683" t="n">
        <v>0</v>
      </c>
      <c r="N683" t="n">
        <v>0</v>
      </c>
      <c r="O683" t="n">
        <v>0</v>
      </c>
      <c r="P683" t="n">
        <v>0</v>
      </c>
      <c r="Q683" t="n">
        <v>0</v>
      </c>
      <c r="R683" s="2" t="inlineStr"/>
    </row>
    <row r="684" ht="15" customHeight="1">
      <c r="A684" t="inlineStr">
        <is>
          <t>A 47291-2025</t>
        </is>
      </c>
      <c r="B684" s="1" t="n">
        <v>45930.49019675926</v>
      </c>
      <c r="C684" s="1" t="n">
        <v>46161</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47532-2025</t>
        </is>
      </c>
      <c r="B685" s="1" t="n">
        <v>45931.34635416666</v>
      </c>
      <c r="C685" s="1" t="n">
        <v>46161</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31914-2023</t>
        </is>
      </c>
      <c r="B686" s="1" t="n">
        <v>45118</v>
      </c>
      <c r="C686" s="1" t="n">
        <v>46161</v>
      </c>
      <c r="D686" t="inlineStr">
        <is>
          <t>VÄSTERNORRLANDS LÄN</t>
        </is>
      </c>
      <c r="E686" t="inlineStr">
        <is>
          <t>SOLLEFTEÅ</t>
        </is>
      </c>
      <c r="G686" t="n">
        <v>1.4</v>
      </c>
      <c r="H686" t="n">
        <v>0</v>
      </c>
      <c r="I686" t="n">
        <v>0</v>
      </c>
      <c r="J686" t="n">
        <v>0</v>
      </c>
      <c r="K686" t="n">
        <v>0</v>
      </c>
      <c r="L686" t="n">
        <v>0</v>
      </c>
      <c r="M686" t="n">
        <v>0</v>
      </c>
      <c r="N686" t="n">
        <v>0</v>
      </c>
      <c r="O686" t="n">
        <v>0</v>
      </c>
      <c r="P686" t="n">
        <v>0</v>
      </c>
      <c r="Q686" t="n">
        <v>0</v>
      </c>
      <c r="R686" s="2" t="inlineStr"/>
    </row>
    <row r="687" ht="15" customHeight="1">
      <c r="A687" t="inlineStr">
        <is>
          <t>A 47732-2025</t>
        </is>
      </c>
      <c r="B687" s="1" t="n">
        <v>45931.63561342593</v>
      </c>
      <c r="C687" s="1" t="n">
        <v>46161</v>
      </c>
      <c r="D687" t="inlineStr">
        <is>
          <t>VÄSTERNORRLANDS LÄN</t>
        </is>
      </c>
      <c r="E687" t="inlineStr">
        <is>
          <t>SOLLEFTEÅ</t>
        </is>
      </c>
      <c r="F687" t="inlineStr">
        <is>
          <t>Holmen skog AB</t>
        </is>
      </c>
      <c r="G687" t="n">
        <v>4.6</v>
      </c>
      <c r="H687" t="n">
        <v>0</v>
      </c>
      <c r="I687" t="n">
        <v>0</v>
      </c>
      <c r="J687" t="n">
        <v>0</v>
      </c>
      <c r="K687" t="n">
        <v>0</v>
      </c>
      <c r="L687" t="n">
        <v>0</v>
      </c>
      <c r="M687" t="n">
        <v>0</v>
      </c>
      <c r="N687" t="n">
        <v>0</v>
      </c>
      <c r="O687" t="n">
        <v>0</v>
      </c>
      <c r="P687" t="n">
        <v>0</v>
      </c>
      <c r="Q687" t="n">
        <v>0</v>
      </c>
      <c r="R687" s="2" t="inlineStr"/>
    </row>
    <row r="688" ht="15" customHeight="1">
      <c r="A688" t="inlineStr">
        <is>
          <t>A 47962-2025</t>
        </is>
      </c>
      <c r="B688" s="1" t="n">
        <v>45932.59434027778</v>
      </c>
      <c r="C688" s="1" t="n">
        <v>46161</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48311-2025</t>
        </is>
      </c>
      <c r="B689" s="1" t="n">
        <v>45933.61584490741</v>
      </c>
      <c r="C689" s="1" t="n">
        <v>46161</v>
      </c>
      <c r="D689" t="inlineStr">
        <is>
          <t>VÄSTERNORRLANDS LÄN</t>
        </is>
      </c>
      <c r="E689" t="inlineStr">
        <is>
          <t>SOLLEFTEÅ</t>
        </is>
      </c>
      <c r="F689" t="inlineStr">
        <is>
          <t>SCA</t>
        </is>
      </c>
      <c r="G689" t="n">
        <v>61.2</v>
      </c>
      <c r="H689" t="n">
        <v>0</v>
      </c>
      <c r="I689" t="n">
        <v>0</v>
      </c>
      <c r="J689" t="n">
        <v>0</v>
      </c>
      <c r="K689" t="n">
        <v>0</v>
      </c>
      <c r="L689" t="n">
        <v>0</v>
      </c>
      <c r="M689" t="n">
        <v>0</v>
      </c>
      <c r="N689" t="n">
        <v>0</v>
      </c>
      <c r="O689" t="n">
        <v>0</v>
      </c>
      <c r="P689" t="n">
        <v>0</v>
      </c>
      <c r="Q689" t="n">
        <v>0</v>
      </c>
      <c r="R689" s="2" t="inlineStr"/>
    </row>
    <row r="690" ht="15" customHeight="1">
      <c r="A690" t="inlineStr">
        <is>
          <t>A 48351-2025</t>
        </is>
      </c>
      <c r="B690" s="1" t="n">
        <v>45933.65725694445</v>
      </c>
      <c r="C690" s="1" t="n">
        <v>46161</v>
      </c>
      <c r="D690" t="inlineStr">
        <is>
          <t>VÄSTERNORRLANDS LÄN</t>
        </is>
      </c>
      <c r="E690" t="inlineStr">
        <is>
          <t>SOLLEFTEÅ</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48310-2025</t>
        </is>
      </c>
      <c r="B691" s="1" t="n">
        <v>45933.61559027778</v>
      </c>
      <c r="C691" s="1" t="n">
        <v>46161</v>
      </c>
      <c r="D691" t="inlineStr">
        <is>
          <t>VÄSTERNORRLANDS LÄN</t>
        </is>
      </c>
      <c r="E691" t="inlineStr">
        <is>
          <t>SOLLEFTEÅ</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47851-2025</t>
        </is>
      </c>
      <c r="B692" s="1" t="n">
        <v>45932.38645833333</v>
      </c>
      <c r="C692" s="1" t="n">
        <v>46161</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48290-2025</t>
        </is>
      </c>
      <c r="B693" s="1" t="n">
        <v>45933.59497685185</v>
      </c>
      <c r="C693" s="1" t="n">
        <v>46161</v>
      </c>
      <c r="D693" t="inlineStr">
        <is>
          <t>VÄSTERNORRLANDS LÄN</t>
        </is>
      </c>
      <c r="E693" t="inlineStr">
        <is>
          <t>SOLLEFTEÅ</t>
        </is>
      </c>
      <c r="F693" t="inlineStr">
        <is>
          <t>SCA</t>
        </is>
      </c>
      <c r="G693" t="n">
        <v>10.4</v>
      </c>
      <c r="H693" t="n">
        <v>0</v>
      </c>
      <c r="I693" t="n">
        <v>0</v>
      </c>
      <c r="J693" t="n">
        <v>0</v>
      </c>
      <c r="K693" t="n">
        <v>0</v>
      </c>
      <c r="L693" t="n">
        <v>0</v>
      </c>
      <c r="M693" t="n">
        <v>0</v>
      </c>
      <c r="N693" t="n">
        <v>0</v>
      </c>
      <c r="O693" t="n">
        <v>0</v>
      </c>
      <c r="P693" t="n">
        <v>0</v>
      </c>
      <c r="Q693" t="n">
        <v>0</v>
      </c>
      <c r="R693" s="2" t="inlineStr"/>
    </row>
    <row r="694" ht="15" customHeight="1">
      <c r="A694" t="inlineStr">
        <is>
          <t>A 48306-2025</t>
        </is>
      </c>
      <c r="B694" s="1" t="n">
        <v>45933.615</v>
      </c>
      <c r="C694" s="1" t="n">
        <v>46161</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48125-2025</t>
        </is>
      </c>
      <c r="B695" s="1" t="n">
        <v>45933.36511574074</v>
      </c>
      <c r="C695" s="1" t="n">
        <v>46161</v>
      </c>
      <c r="D695" t="inlineStr">
        <is>
          <t>VÄSTERNORRLANDS LÄN</t>
        </is>
      </c>
      <c r="E695" t="inlineStr">
        <is>
          <t>SOLLEFTEÅ</t>
        </is>
      </c>
      <c r="F695" t="inlineStr">
        <is>
          <t>SCA</t>
        </is>
      </c>
      <c r="G695" t="n">
        <v>13.3</v>
      </c>
      <c r="H695" t="n">
        <v>0</v>
      </c>
      <c r="I695" t="n">
        <v>0</v>
      </c>
      <c r="J695" t="n">
        <v>0</v>
      </c>
      <c r="K695" t="n">
        <v>0</v>
      </c>
      <c r="L695" t="n">
        <v>0</v>
      </c>
      <c r="M695" t="n">
        <v>0</v>
      </c>
      <c r="N695" t="n">
        <v>0</v>
      </c>
      <c r="O695" t="n">
        <v>0</v>
      </c>
      <c r="P695" t="n">
        <v>0</v>
      </c>
      <c r="Q695" t="n">
        <v>0</v>
      </c>
      <c r="R695" s="2" t="inlineStr"/>
    </row>
    <row r="696" ht="15" customHeight="1">
      <c r="A696" t="inlineStr">
        <is>
          <t>A 48349-2025</t>
        </is>
      </c>
      <c r="B696" s="1" t="n">
        <v>45933.65673611111</v>
      </c>
      <c r="C696" s="1" t="n">
        <v>46161</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48307-2025</t>
        </is>
      </c>
      <c r="B697" s="1" t="n">
        <v>45933.61519675926</v>
      </c>
      <c r="C697" s="1" t="n">
        <v>46161</v>
      </c>
      <c r="D697" t="inlineStr">
        <is>
          <t>VÄSTERNORRLANDS LÄN</t>
        </is>
      </c>
      <c r="E697" t="inlineStr">
        <is>
          <t>SOLLEFTEÅ</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48308-2025</t>
        </is>
      </c>
      <c r="B698" s="1" t="n">
        <v>45933</v>
      </c>
      <c r="C698" s="1" t="n">
        <v>46161</v>
      </c>
      <c r="D698" t="inlineStr">
        <is>
          <t>VÄSTERNORRLANDS LÄN</t>
        </is>
      </c>
      <c r="E698" t="inlineStr">
        <is>
          <t>SOLLEFTEÅ</t>
        </is>
      </c>
      <c r="F698" t="inlineStr">
        <is>
          <t>SCA</t>
        </is>
      </c>
      <c r="G698" t="n">
        <v>10.2</v>
      </c>
      <c r="H698" t="n">
        <v>0</v>
      </c>
      <c r="I698" t="n">
        <v>0</v>
      </c>
      <c r="J698" t="n">
        <v>0</v>
      </c>
      <c r="K698" t="n">
        <v>0</v>
      </c>
      <c r="L698" t="n">
        <v>0</v>
      </c>
      <c r="M698" t="n">
        <v>0</v>
      </c>
      <c r="N698" t="n">
        <v>0</v>
      </c>
      <c r="O698" t="n">
        <v>0</v>
      </c>
      <c r="P698" t="n">
        <v>0</v>
      </c>
      <c r="Q698" t="n">
        <v>0</v>
      </c>
      <c r="R698" s="2" t="inlineStr"/>
    </row>
    <row r="699" ht="15" customHeight="1">
      <c r="A699" t="inlineStr">
        <is>
          <t>A 48053-2025</t>
        </is>
      </c>
      <c r="B699" s="1" t="n">
        <v>45932.67856481481</v>
      </c>
      <c r="C699" s="1" t="n">
        <v>46161</v>
      </c>
      <c r="D699" t="inlineStr">
        <is>
          <t>VÄSTERNORRLANDS LÄN</t>
        </is>
      </c>
      <c r="E699" t="inlineStr">
        <is>
          <t>SOLLEFTEÅ</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47947-2025</t>
        </is>
      </c>
      <c r="B700" s="1" t="n">
        <v>45932.5740625</v>
      </c>
      <c r="C700" s="1" t="n">
        <v>46161</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3368-2025</t>
        </is>
      </c>
      <c r="B701" s="1" t="n">
        <v>45679</v>
      </c>
      <c r="C701" s="1" t="n">
        <v>46161</v>
      </c>
      <c r="D701" t="inlineStr">
        <is>
          <t>VÄSTERNORRLANDS LÄN</t>
        </is>
      </c>
      <c r="E701" t="inlineStr">
        <is>
          <t>SOLLEFTEÅ</t>
        </is>
      </c>
      <c r="G701" t="n">
        <v>1.8</v>
      </c>
      <c r="H701" t="n">
        <v>0</v>
      </c>
      <c r="I701" t="n">
        <v>0</v>
      </c>
      <c r="J701" t="n">
        <v>0</v>
      </c>
      <c r="K701" t="n">
        <v>0</v>
      </c>
      <c r="L701" t="n">
        <v>0</v>
      </c>
      <c r="M701" t="n">
        <v>0</v>
      </c>
      <c r="N701" t="n">
        <v>0</v>
      </c>
      <c r="O701" t="n">
        <v>0</v>
      </c>
      <c r="P701" t="n">
        <v>0</v>
      </c>
      <c r="Q701" t="n">
        <v>0</v>
      </c>
      <c r="R701" s="2" t="inlineStr"/>
    </row>
    <row r="702" ht="15" customHeight="1">
      <c r="A702" t="inlineStr">
        <is>
          <t>A 45118-2022</t>
        </is>
      </c>
      <c r="B702" s="1" t="n">
        <v>44843</v>
      </c>
      <c r="C702" s="1" t="n">
        <v>46161</v>
      </c>
      <c r="D702" t="inlineStr">
        <is>
          <t>VÄSTERNORRLANDS LÄN</t>
        </is>
      </c>
      <c r="E702" t="inlineStr">
        <is>
          <t>SOLLEFTEÅ</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48126-2025</t>
        </is>
      </c>
      <c r="B703" s="1" t="n">
        <v>45933.36530092593</v>
      </c>
      <c r="C703" s="1" t="n">
        <v>46161</v>
      </c>
      <c r="D703" t="inlineStr">
        <is>
          <t>VÄSTERNORRLANDS LÄN</t>
        </is>
      </c>
      <c r="E703" t="inlineStr">
        <is>
          <t>SOLLEFTEÅ</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20223-2024</t>
        </is>
      </c>
      <c r="B704" s="1" t="n">
        <v>45434</v>
      </c>
      <c r="C704" s="1" t="n">
        <v>46161</v>
      </c>
      <c r="D704" t="inlineStr">
        <is>
          <t>VÄSTERNORRLANDS LÄN</t>
        </is>
      </c>
      <c r="E704" t="inlineStr">
        <is>
          <t>SOLLEFTEÅ</t>
        </is>
      </c>
      <c r="G704" t="n">
        <v>5.5</v>
      </c>
      <c r="H704" t="n">
        <v>0</v>
      </c>
      <c r="I704" t="n">
        <v>0</v>
      </c>
      <c r="J704" t="n">
        <v>0</v>
      </c>
      <c r="K704" t="n">
        <v>0</v>
      </c>
      <c r="L704" t="n">
        <v>0</v>
      </c>
      <c r="M704" t="n">
        <v>0</v>
      </c>
      <c r="N704" t="n">
        <v>0</v>
      </c>
      <c r="O704" t="n">
        <v>0</v>
      </c>
      <c r="P704" t="n">
        <v>0</v>
      </c>
      <c r="Q704" t="n">
        <v>0</v>
      </c>
      <c r="R704" s="2" t="inlineStr"/>
    </row>
    <row r="705" ht="15" customHeight="1">
      <c r="A705" t="inlineStr">
        <is>
          <t>A 19949-2025</t>
        </is>
      </c>
      <c r="B705" s="1" t="n">
        <v>45771.65688657408</v>
      </c>
      <c r="C705" s="1" t="n">
        <v>46161</v>
      </c>
      <c r="D705" t="inlineStr">
        <is>
          <t>VÄSTERNORRLANDS LÄN</t>
        </is>
      </c>
      <c r="E705" t="inlineStr">
        <is>
          <t>SOLLEFTEÅ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48340-2025</t>
        </is>
      </c>
      <c r="B706" s="1" t="n">
        <v>45933.64240740741</v>
      </c>
      <c r="C706" s="1" t="n">
        <v>46161</v>
      </c>
      <c r="D706" t="inlineStr">
        <is>
          <t>VÄSTERNORRLANDS LÄN</t>
        </is>
      </c>
      <c r="E706" t="inlineStr">
        <is>
          <t>SOLLEFTEÅ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48021-2024</t>
        </is>
      </c>
      <c r="B707" s="1" t="n">
        <v>45589.47032407407</v>
      </c>
      <c r="C707" s="1" t="n">
        <v>46161</v>
      </c>
      <c r="D707" t="inlineStr">
        <is>
          <t>VÄSTERNORRLANDS LÄN</t>
        </is>
      </c>
      <c r="E707" t="inlineStr">
        <is>
          <t>SOLLEFTEÅ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3873-2025</t>
        </is>
      </c>
      <c r="B708" s="1" t="n">
        <v>45684</v>
      </c>
      <c r="C708" s="1" t="n">
        <v>46161</v>
      </c>
      <c r="D708" t="inlineStr">
        <is>
          <t>VÄSTERNORRLANDS LÄN</t>
        </is>
      </c>
      <c r="E708" t="inlineStr">
        <is>
          <t>SOLLEFTEÅ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38581-2025</t>
        </is>
      </c>
      <c r="B709" s="1" t="n">
        <v>45884.46965277778</v>
      </c>
      <c r="C709" s="1" t="n">
        <v>46161</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48052-2025</t>
        </is>
      </c>
      <c r="B710" s="1" t="n">
        <v>45932.67831018518</v>
      </c>
      <c r="C710" s="1" t="n">
        <v>46161</v>
      </c>
      <c r="D710" t="inlineStr">
        <is>
          <t>VÄSTERNORRLANDS LÄN</t>
        </is>
      </c>
      <c r="E710" t="inlineStr">
        <is>
          <t>SOLLEFTEÅ</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48070-2025</t>
        </is>
      </c>
      <c r="B711" s="1" t="n">
        <v>45932.69886574074</v>
      </c>
      <c r="C711" s="1" t="n">
        <v>46161</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48035-2025</t>
        </is>
      </c>
      <c r="B712" s="1" t="n">
        <v>45932</v>
      </c>
      <c r="C712" s="1" t="n">
        <v>46161</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48713-2025</t>
        </is>
      </c>
      <c r="B713" s="1" t="n">
        <v>45936.63592592593</v>
      </c>
      <c r="C713" s="1" t="n">
        <v>46161</v>
      </c>
      <c r="D713" t="inlineStr">
        <is>
          <t>VÄSTERNORRLANDS LÄN</t>
        </is>
      </c>
      <c r="E713" t="inlineStr">
        <is>
          <t>SOLLEFTEÅ</t>
        </is>
      </c>
      <c r="F713" t="inlineStr">
        <is>
          <t>SCA</t>
        </is>
      </c>
      <c r="G713" t="n">
        <v>24.2</v>
      </c>
      <c r="H713" t="n">
        <v>0</v>
      </c>
      <c r="I713" t="n">
        <v>0</v>
      </c>
      <c r="J713" t="n">
        <v>0</v>
      </c>
      <c r="K713" t="n">
        <v>0</v>
      </c>
      <c r="L713" t="n">
        <v>0</v>
      </c>
      <c r="M713" t="n">
        <v>0</v>
      </c>
      <c r="N713" t="n">
        <v>0</v>
      </c>
      <c r="O713" t="n">
        <v>0</v>
      </c>
      <c r="P713" t="n">
        <v>0</v>
      </c>
      <c r="Q713" t="n">
        <v>0</v>
      </c>
      <c r="R713" s="2" t="inlineStr"/>
    </row>
    <row r="714" ht="15" customHeight="1">
      <c r="A714" t="inlineStr">
        <is>
          <t>A 48743-2025</t>
        </is>
      </c>
      <c r="B714" s="1" t="n">
        <v>45936.67827546296</v>
      </c>
      <c r="C714" s="1" t="n">
        <v>46161</v>
      </c>
      <c r="D714" t="inlineStr">
        <is>
          <t>VÄSTERNORRLANDS LÄN</t>
        </is>
      </c>
      <c r="E714" t="inlineStr">
        <is>
          <t>SOLLEFTEÅ</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48603-2025</t>
        </is>
      </c>
      <c r="B715" s="1" t="n">
        <v>45936.46928240741</v>
      </c>
      <c r="C715" s="1" t="n">
        <v>46161</v>
      </c>
      <c r="D715" t="inlineStr">
        <is>
          <t>VÄSTERNORRLANDS LÄN</t>
        </is>
      </c>
      <c r="E715" t="inlineStr">
        <is>
          <t>SOLLEFTEÅ</t>
        </is>
      </c>
      <c r="F715" t="inlineStr">
        <is>
          <t>SCA</t>
        </is>
      </c>
      <c r="G715" t="n">
        <v>25.6</v>
      </c>
      <c r="H715" t="n">
        <v>0</v>
      </c>
      <c r="I715" t="n">
        <v>0</v>
      </c>
      <c r="J715" t="n">
        <v>0</v>
      </c>
      <c r="K715" t="n">
        <v>0</v>
      </c>
      <c r="L715" t="n">
        <v>0</v>
      </c>
      <c r="M715" t="n">
        <v>0</v>
      </c>
      <c r="N715" t="n">
        <v>0</v>
      </c>
      <c r="O715" t="n">
        <v>0</v>
      </c>
      <c r="P715" t="n">
        <v>0</v>
      </c>
      <c r="Q715" t="n">
        <v>0</v>
      </c>
      <c r="R715" s="2" t="inlineStr"/>
    </row>
    <row r="716" ht="15" customHeight="1">
      <c r="A716" t="inlineStr">
        <is>
          <t>A 48467-2025</t>
        </is>
      </c>
      <c r="B716" s="1" t="n">
        <v>45936.34452546296</v>
      </c>
      <c r="C716" s="1" t="n">
        <v>46161</v>
      </c>
      <c r="D716" t="inlineStr">
        <is>
          <t>VÄSTERNORRLANDS LÄN</t>
        </is>
      </c>
      <c r="E716" t="inlineStr">
        <is>
          <t>SOLLEFTEÅ</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48425-2025</t>
        </is>
      </c>
      <c r="B717" s="1" t="n">
        <v>45934.6984837963</v>
      </c>
      <c r="C717" s="1" t="n">
        <v>46161</v>
      </c>
      <c r="D717" t="inlineStr">
        <is>
          <t>VÄSTERNORRLANDS LÄN</t>
        </is>
      </c>
      <c r="E717" t="inlineStr">
        <is>
          <t>SOLLEFTEÅ</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20516-2024</t>
        </is>
      </c>
      <c r="B718" s="1" t="n">
        <v>45435</v>
      </c>
      <c r="C718" s="1" t="n">
        <v>46161</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57492-2024</t>
        </is>
      </c>
      <c r="B719" s="1" t="n">
        <v>45630.36827546296</v>
      </c>
      <c r="C719" s="1" t="n">
        <v>46161</v>
      </c>
      <c r="D719" t="inlineStr">
        <is>
          <t>VÄSTERNORRLANDS LÄN</t>
        </is>
      </c>
      <c r="E719" t="inlineStr">
        <is>
          <t>SOLLEFTEÅ</t>
        </is>
      </c>
      <c r="F719" t="inlineStr">
        <is>
          <t>Holmen skog AB</t>
        </is>
      </c>
      <c r="G719" t="n">
        <v>0.2</v>
      </c>
      <c r="H719" t="n">
        <v>0</v>
      </c>
      <c r="I719" t="n">
        <v>0</v>
      </c>
      <c r="J719" t="n">
        <v>0</v>
      </c>
      <c r="K719" t="n">
        <v>0</v>
      </c>
      <c r="L719" t="n">
        <v>0</v>
      </c>
      <c r="M719" t="n">
        <v>0</v>
      </c>
      <c r="N719" t="n">
        <v>0</v>
      </c>
      <c r="O719" t="n">
        <v>0</v>
      </c>
      <c r="P719" t="n">
        <v>0</v>
      </c>
      <c r="Q719" t="n">
        <v>0</v>
      </c>
      <c r="R719" s="2" t="inlineStr"/>
    </row>
    <row r="720" ht="15" customHeight="1">
      <c r="A720" t="inlineStr">
        <is>
          <t>A 8893-2025</t>
        </is>
      </c>
      <c r="B720" s="1" t="n">
        <v>45713.4065162037</v>
      </c>
      <c r="C720" s="1" t="n">
        <v>46161</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8894-2025</t>
        </is>
      </c>
      <c r="B721" s="1" t="n">
        <v>45713.40665509259</v>
      </c>
      <c r="C721" s="1" t="n">
        <v>46161</v>
      </c>
      <c r="D721" t="inlineStr">
        <is>
          <t>VÄSTERNORRLANDS LÄN</t>
        </is>
      </c>
      <c r="E721" t="inlineStr">
        <is>
          <t>SOLLEFTEÅ</t>
        </is>
      </c>
      <c r="G721" t="n">
        <v>8.4</v>
      </c>
      <c r="H721" t="n">
        <v>0</v>
      </c>
      <c r="I721" t="n">
        <v>0</v>
      </c>
      <c r="J721" t="n">
        <v>0</v>
      </c>
      <c r="K721" t="n">
        <v>0</v>
      </c>
      <c r="L721" t="n">
        <v>0</v>
      </c>
      <c r="M721" t="n">
        <v>0</v>
      </c>
      <c r="N721" t="n">
        <v>0</v>
      </c>
      <c r="O721" t="n">
        <v>0</v>
      </c>
      <c r="P721" t="n">
        <v>0</v>
      </c>
      <c r="Q721" t="n">
        <v>0</v>
      </c>
      <c r="R721" s="2" t="inlineStr"/>
    </row>
    <row r="722" ht="15" customHeight="1">
      <c r="A722" t="inlineStr">
        <is>
          <t>A 945-2025</t>
        </is>
      </c>
      <c r="B722" s="1" t="n">
        <v>45666.34412037037</v>
      </c>
      <c r="C722" s="1" t="n">
        <v>46161</v>
      </c>
      <c r="D722" t="inlineStr">
        <is>
          <t>VÄSTERNORRLANDS LÄN</t>
        </is>
      </c>
      <c r="E722" t="inlineStr">
        <is>
          <t>SOLLEFTEÅ</t>
        </is>
      </c>
      <c r="F722" t="inlineStr">
        <is>
          <t>SCA</t>
        </is>
      </c>
      <c r="G722" t="n">
        <v>36.6</v>
      </c>
      <c r="H722" t="n">
        <v>0</v>
      </c>
      <c r="I722" t="n">
        <v>0</v>
      </c>
      <c r="J722" t="n">
        <v>0</v>
      </c>
      <c r="K722" t="n">
        <v>0</v>
      </c>
      <c r="L722" t="n">
        <v>0</v>
      </c>
      <c r="M722" t="n">
        <v>0</v>
      </c>
      <c r="N722" t="n">
        <v>0</v>
      </c>
      <c r="O722" t="n">
        <v>0</v>
      </c>
      <c r="P722" t="n">
        <v>0</v>
      </c>
      <c r="Q722" t="n">
        <v>0</v>
      </c>
      <c r="R722" s="2" t="inlineStr"/>
    </row>
    <row r="723" ht="15" customHeight="1">
      <c r="A723" t="inlineStr">
        <is>
          <t>A 3276-2025</t>
        </is>
      </c>
      <c r="B723" s="1" t="n">
        <v>45679.59986111111</v>
      </c>
      <c r="C723" s="1" t="n">
        <v>46161</v>
      </c>
      <c r="D723" t="inlineStr">
        <is>
          <t>VÄSTERNORRLANDS LÄN</t>
        </is>
      </c>
      <c r="E723" t="inlineStr">
        <is>
          <t>SOLLEFTEÅ</t>
        </is>
      </c>
      <c r="G723" t="n">
        <v>4.2</v>
      </c>
      <c r="H723" t="n">
        <v>0</v>
      </c>
      <c r="I723" t="n">
        <v>0</v>
      </c>
      <c r="J723" t="n">
        <v>0</v>
      </c>
      <c r="K723" t="n">
        <v>0</v>
      </c>
      <c r="L723" t="n">
        <v>0</v>
      </c>
      <c r="M723" t="n">
        <v>0</v>
      </c>
      <c r="N723" t="n">
        <v>0</v>
      </c>
      <c r="O723" t="n">
        <v>0</v>
      </c>
      <c r="P723" t="n">
        <v>0</v>
      </c>
      <c r="Q723" t="n">
        <v>0</v>
      </c>
      <c r="R723" s="2" t="inlineStr"/>
    </row>
    <row r="724" ht="15" customHeight="1">
      <c r="A724" t="inlineStr">
        <is>
          <t>A 18696-2025</t>
        </is>
      </c>
      <c r="B724" s="1" t="n">
        <v>45763.61578703704</v>
      </c>
      <c r="C724" s="1" t="n">
        <v>46161</v>
      </c>
      <c r="D724" t="inlineStr">
        <is>
          <t>VÄSTERNORRLANDS LÄN</t>
        </is>
      </c>
      <c r="E724" t="inlineStr">
        <is>
          <t>SOLLEFTEÅ</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5038-2024</t>
        </is>
      </c>
      <c r="B725" s="1" t="n">
        <v>45329.88456018519</v>
      </c>
      <c r="C725" s="1" t="n">
        <v>46161</v>
      </c>
      <c r="D725" t="inlineStr">
        <is>
          <t>VÄSTERNORRLANDS LÄN</t>
        </is>
      </c>
      <c r="E725" t="inlineStr">
        <is>
          <t>SOLLEFTEÅ</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12135-2023</t>
        </is>
      </c>
      <c r="B726" s="1" t="n">
        <v>44995</v>
      </c>
      <c r="C726" s="1" t="n">
        <v>46161</v>
      </c>
      <c r="D726" t="inlineStr">
        <is>
          <t>VÄSTERNORRLANDS LÄN</t>
        </is>
      </c>
      <c r="E726" t="inlineStr">
        <is>
          <t>SOLLEFTEÅ</t>
        </is>
      </c>
      <c r="G726" t="n">
        <v>5.7</v>
      </c>
      <c r="H726" t="n">
        <v>0</v>
      </c>
      <c r="I726" t="n">
        <v>0</v>
      </c>
      <c r="J726" t="n">
        <v>0</v>
      </c>
      <c r="K726" t="n">
        <v>0</v>
      </c>
      <c r="L726" t="n">
        <v>0</v>
      </c>
      <c r="M726" t="n">
        <v>0</v>
      </c>
      <c r="N726" t="n">
        <v>0</v>
      </c>
      <c r="O726" t="n">
        <v>0</v>
      </c>
      <c r="P726" t="n">
        <v>0</v>
      </c>
      <c r="Q726" t="n">
        <v>0</v>
      </c>
      <c r="R726" s="2" t="inlineStr"/>
    </row>
    <row r="727" ht="15" customHeight="1">
      <c r="A727" t="inlineStr">
        <is>
          <t>A 60495-2024</t>
        </is>
      </c>
      <c r="B727" s="1" t="n">
        <v>45643.65700231482</v>
      </c>
      <c r="C727" s="1" t="n">
        <v>46161</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48422-2025</t>
        </is>
      </c>
      <c r="B728" s="1" t="n">
        <v>45934.67761574074</v>
      </c>
      <c r="C728" s="1" t="n">
        <v>46161</v>
      </c>
      <c r="D728" t="inlineStr">
        <is>
          <t>VÄSTERNORRLANDS LÄN</t>
        </is>
      </c>
      <c r="E728" t="inlineStr">
        <is>
          <t>SOLLEFTEÅ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32969-2022</t>
        </is>
      </c>
      <c r="B729" s="1" t="n">
        <v>44784.9402662037</v>
      </c>
      <c r="C729" s="1" t="n">
        <v>46161</v>
      </c>
      <c r="D729" t="inlineStr">
        <is>
          <t>VÄSTERNORRLANDS LÄN</t>
        </is>
      </c>
      <c r="E729" t="inlineStr">
        <is>
          <t>SOLLEFTEÅ</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21109-2025</t>
        </is>
      </c>
      <c r="B730" s="1" t="n">
        <v>45777.67744212963</v>
      </c>
      <c r="C730" s="1" t="n">
        <v>46161</v>
      </c>
      <c r="D730" t="inlineStr">
        <is>
          <t>VÄSTERNORRLANDS LÄN</t>
        </is>
      </c>
      <c r="E730" t="inlineStr">
        <is>
          <t>SOLLEFTEÅ</t>
        </is>
      </c>
      <c r="F730" t="inlineStr">
        <is>
          <t>SCA</t>
        </is>
      </c>
      <c r="G730" t="n">
        <v>38.2</v>
      </c>
      <c r="H730" t="n">
        <v>0</v>
      </c>
      <c r="I730" t="n">
        <v>0</v>
      </c>
      <c r="J730" t="n">
        <v>0</v>
      </c>
      <c r="K730" t="n">
        <v>0</v>
      </c>
      <c r="L730" t="n">
        <v>0</v>
      </c>
      <c r="M730" t="n">
        <v>0</v>
      </c>
      <c r="N730" t="n">
        <v>0</v>
      </c>
      <c r="O730" t="n">
        <v>0</v>
      </c>
      <c r="P730" t="n">
        <v>0</v>
      </c>
      <c r="Q730" t="n">
        <v>0</v>
      </c>
      <c r="R730" s="2" t="inlineStr"/>
    </row>
    <row r="731" ht="15" customHeight="1">
      <c r="A731" t="inlineStr">
        <is>
          <t>A 20867-2025</t>
        </is>
      </c>
      <c r="B731" s="1" t="n">
        <v>45777.34471064815</v>
      </c>
      <c r="C731" s="1" t="n">
        <v>46161</v>
      </c>
      <c r="D731" t="inlineStr">
        <is>
          <t>VÄSTERNORRLANDS LÄN</t>
        </is>
      </c>
      <c r="E731" t="inlineStr">
        <is>
          <t>SOLLEFTEÅ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61384-2022</t>
        </is>
      </c>
      <c r="B732" s="1" t="n">
        <v>44915</v>
      </c>
      <c r="C732" s="1" t="n">
        <v>46161</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38562-2025</t>
        </is>
      </c>
      <c r="B733" s="1" t="n">
        <v>45884.44865740741</v>
      </c>
      <c r="C733" s="1" t="n">
        <v>46161</v>
      </c>
      <c r="D733" t="inlineStr">
        <is>
          <t>VÄSTERNORRLANDS LÄN</t>
        </is>
      </c>
      <c r="E733" t="inlineStr">
        <is>
          <t>SOLLEFTEÅ</t>
        </is>
      </c>
      <c r="G733" t="n">
        <v>7.1</v>
      </c>
      <c r="H733" t="n">
        <v>0</v>
      </c>
      <c r="I733" t="n">
        <v>0</v>
      </c>
      <c r="J733" t="n">
        <v>0</v>
      </c>
      <c r="K733" t="n">
        <v>0</v>
      </c>
      <c r="L733" t="n">
        <v>0</v>
      </c>
      <c r="M733" t="n">
        <v>0</v>
      </c>
      <c r="N733" t="n">
        <v>0</v>
      </c>
      <c r="O733" t="n">
        <v>0</v>
      </c>
      <c r="P733" t="n">
        <v>0</v>
      </c>
      <c r="Q733" t="n">
        <v>0</v>
      </c>
      <c r="R733" s="2" t="inlineStr"/>
    </row>
    <row r="734" ht="15" customHeight="1">
      <c r="A734" t="inlineStr">
        <is>
          <t>A 48838-2025</t>
        </is>
      </c>
      <c r="B734" s="1" t="n">
        <v>45937.41309027778</v>
      </c>
      <c r="C734" s="1" t="n">
        <v>46161</v>
      </c>
      <c r="D734" t="inlineStr">
        <is>
          <t>VÄSTERNORRLANDS LÄN</t>
        </is>
      </c>
      <c r="E734" t="inlineStr">
        <is>
          <t>SOLLEFTEÅ</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64013-2023</t>
        </is>
      </c>
      <c r="B735" s="1" t="n">
        <v>45278</v>
      </c>
      <c r="C735" s="1" t="n">
        <v>46161</v>
      </c>
      <c r="D735" t="inlineStr">
        <is>
          <t>VÄSTERNORRLANDS LÄN</t>
        </is>
      </c>
      <c r="E735" t="inlineStr">
        <is>
          <t>SOLLEFTEÅ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48848-2025</t>
        </is>
      </c>
      <c r="B736" s="1" t="n">
        <v>45937</v>
      </c>
      <c r="C736" s="1" t="n">
        <v>46161</v>
      </c>
      <c r="D736" t="inlineStr">
        <is>
          <t>VÄSTERNORRLANDS LÄN</t>
        </is>
      </c>
      <c r="E736" t="inlineStr">
        <is>
          <t>SOLLEFTEÅ</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10077-2023</t>
        </is>
      </c>
      <c r="B737" s="1" t="n">
        <v>44985.94408564815</v>
      </c>
      <c r="C737" s="1" t="n">
        <v>46161</v>
      </c>
      <c r="D737" t="inlineStr">
        <is>
          <t>VÄSTERNORRLANDS LÄN</t>
        </is>
      </c>
      <c r="E737" t="inlineStr">
        <is>
          <t>SOLLEFTEÅ</t>
        </is>
      </c>
      <c r="F737" t="inlineStr">
        <is>
          <t>SCA</t>
        </is>
      </c>
      <c r="G737" t="n">
        <v>10.8</v>
      </c>
      <c r="H737" t="n">
        <v>0</v>
      </c>
      <c r="I737" t="n">
        <v>0</v>
      </c>
      <c r="J737" t="n">
        <v>0</v>
      </c>
      <c r="K737" t="n">
        <v>0</v>
      </c>
      <c r="L737" t="n">
        <v>0</v>
      </c>
      <c r="M737" t="n">
        <v>0</v>
      </c>
      <c r="N737" t="n">
        <v>0</v>
      </c>
      <c r="O737" t="n">
        <v>0</v>
      </c>
      <c r="P737" t="n">
        <v>0</v>
      </c>
      <c r="Q737" t="n">
        <v>0</v>
      </c>
      <c r="R737" s="2" t="inlineStr"/>
    </row>
    <row r="738" ht="15" customHeight="1">
      <c r="A738" t="inlineStr">
        <is>
          <t>A 282-2023</t>
        </is>
      </c>
      <c r="B738" s="1" t="n">
        <v>44928</v>
      </c>
      <c r="C738" s="1" t="n">
        <v>46161</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49155-2025</t>
        </is>
      </c>
      <c r="B739" s="1" t="n">
        <v>45938.34578703704</v>
      </c>
      <c r="C739" s="1" t="n">
        <v>46161</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48914-2025</t>
        </is>
      </c>
      <c r="B740" s="1" t="n">
        <v>45937</v>
      </c>
      <c r="C740" s="1" t="n">
        <v>46161</v>
      </c>
      <c r="D740" t="inlineStr">
        <is>
          <t>VÄSTERNORRLANDS LÄN</t>
        </is>
      </c>
      <c r="E740" t="inlineStr">
        <is>
          <t>SOLLEFTEÅ</t>
        </is>
      </c>
      <c r="F740" t="inlineStr">
        <is>
          <t>SCA</t>
        </is>
      </c>
      <c r="G740" t="n">
        <v>24.1</v>
      </c>
      <c r="H740" t="n">
        <v>0</v>
      </c>
      <c r="I740" t="n">
        <v>0</v>
      </c>
      <c r="J740" t="n">
        <v>0</v>
      </c>
      <c r="K740" t="n">
        <v>0</v>
      </c>
      <c r="L740" t="n">
        <v>0</v>
      </c>
      <c r="M740" t="n">
        <v>0</v>
      </c>
      <c r="N740" t="n">
        <v>0</v>
      </c>
      <c r="O740" t="n">
        <v>0</v>
      </c>
      <c r="P740" t="n">
        <v>0</v>
      </c>
      <c r="Q740" t="n">
        <v>0</v>
      </c>
      <c r="R740" s="2" t="inlineStr"/>
    </row>
    <row r="741" ht="15" customHeight="1">
      <c r="A741" t="inlineStr">
        <is>
          <t>A 34311-2023</t>
        </is>
      </c>
      <c r="B741" s="1" t="n">
        <v>45138.92317129629</v>
      </c>
      <c r="C741" s="1" t="n">
        <v>46161</v>
      </c>
      <c r="D741" t="inlineStr">
        <is>
          <t>VÄSTERNORRLANDS LÄN</t>
        </is>
      </c>
      <c r="E741" t="inlineStr">
        <is>
          <t>SOLLEFTEÅ</t>
        </is>
      </c>
      <c r="G741" t="n">
        <v>0.5</v>
      </c>
      <c r="H741" t="n">
        <v>0</v>
      </c>
      <c r="I741" t="n">
        <v>0</v>
      </c>
      <c r="J741" t="n">
        <v>0</v>
      </c>
      <c r="K741" t="n">
        <v>0</v>
      </c>
      <c r="L741" t="n">
        <v>0</v>
      </c>
      <c r="M741" t="n">
        <v>0</v>
      </c>
      <c r="N741" t="n">
        <v>0</v>
      </c>
      <c r="O741" t="n">
        <v>0</v>
      </c>
      <c r="P741" t="n">
        <v>0</v>
      </c>
      <c r="Q741" t="n">
        <v>0</v>
      </c>
      <c r="R741" s="2" t="inlineStr"/>
    </row>
    <row r="742" ht="15" customHeight="1">
      <c r="A742" t="inlineStr">
        <is>
          <t>A 49289-2025</t>
        </is>
      </c>
      <c r="B742" s="1" t="n">
        <v>45938.52868055556</v>
      </c>
      <c r="C742" s="1" t="n">
        <v>46161</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21088-2025</t>
        </is>
      </c>
      <c r="B743" s="1" t="n">
        <v>45777.61498842593</v>
      </c>
      <c r="C743" s="1" t="n">
        <v>46161</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43512-2023</t>
        </is>
      </c>
      <c r="B744" s="1" t="n">
        <v>45181</v>
      </c>
      <c r="C744" s="1" t="n">
        <v>46161</v>
      </c>
      <c r="D744" t="inlineStr">
        <is>
          <t>VÄSTERNORRLANDS LÄN</t>
        </is>
      </c>
      <c r="E744" t="inlineStr">
        <is>
          <t>SOLLEFTEÅ</t>
        </is>
      </c>
      <c r="G744" t="n">
        <v>1.8</v>
      </c>
      <c r="H744" t="n">
        <v>0</v>
      </c>
      <c r="I744" t="n">
        <v>0</v>
      </c>
      <c r="J744" t="n">
        <v>0</v>
      </c>
      <c r="K744" t="n">
        <v>0</v>
      </c>
      <c r="L744" t="n">
        <v>0</v>
      </c>
      <c r="M744" t="n">
        <v>0</v>
      </c>
      <c r="N744" t="n">
        <v>0</v>
      </c>
      <c r="O744" t="n">
        <v>0</v>
      </c>
      <c r="P744" t="n">
        <v>0</v>
      </c>
      <c r="Q744" t="n">
        <v>0</v>
      </c>
      <c r="R744" s="2" t="inlineStr"/>
    </row>
    <row r="745" ht="15" customHeight="1">
      <c r="A745" t="inlineStr">
        <is>
          <t>A 13697-2023</t>
        </is>
      </c>
      <c r="B745" s="1" t="n">
        <v>45006.94445601852</v>
      </c>
      <c r="C745" s="1" t="n">
        <v>46161</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20638-2025</t>
        </is>
      </c>
      <c r="B746" s="1" t="n">
        <v>45776.36480324074</v>
      </c>
      <c r="C746" s="1" t="n">
        <v>46161</v>
      </c>
      <c r="D746" t="inlineStr">
        <is>
          <t>VÄSTERNORRLANDS LÄN</t>
        </is>
      </c>
      <c r="E746" t="inlineStr">
        <is>
          <t>SOLLEFTEÅ</t>
        </is>
      </c>
      <c r="G746" t="n">
        <v>2.5</v>
      </c>
      <c r="H746" t="n">
        <v>0</v>
      </c>
      <c r="I746" t="n">
        <v>0</v>
      </c>
      <c r="J746" t="n">
        <v>0</v>
      </c>
      <c r="K746" t="n">
        <v>0</v>
      </c>
      <c r="L746" t="n">
        <v>0</v>
      </c>
      <c r="M746" t="n">
        <v>0</v>
      </c>
      <c r="N746" t="n">
        <v>0</v>
      </c>
      <c r="O746" t="n">
        <v>0</v>
      </c>
      <c r="P746" t="n">
        <v>0</v>
      </c>
      <c r="Q746" t="n">
        <v>0</v>
      </c>
      <c r="R746" s="2" t="inlineStr"/>
    </row>
    <row r="747" ht="15" customHeight="1">
      <c r="A747" t="inlineStr">
        <is>
          <t>A 20793-2025</t>
        </is>
      </c>
      <c r="B747" s="1" t="n">
        <v>45776</v>
      </c>
      <c r="C747" s="1" t="n">
        <v>46161</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48815-2025</t>
        </is>
      </c>
      <c r="B748" s="1" t="n">
        <v>45937.36503472222</v>
      </c>
      <c r="C748" s="1" t="n">
        <v>46161</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48817-2025</t>
        </is>
      </c>
      <c r="B749" s="1" t="n">
        <v>45937.36546296296</v>
      </c>
      <c r="C749" s="1" t="n">
        <v>46161</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49052-2025</t>
        </is>
      </c>
      <c r="B750" s="1" t="n">
        <v>45937.63813657407</v>
      </c>
      <c r="C750" s="1" t="n">
        <v>46161</v>
      </c>
      <c r="D750" t="inlineStr">
        <is>
          <t>VÄSTERNORRLANDS LÄN</t>
        </is>
      </c>
      <c r="E750" t="inlineStr">
        <is>
          <t>SOLLEFTEÅ</t>
        </is>
      </c>
      <c r="F750" t="inlineStr">
        <is>
          <t>SCA</t>
        </is>
      </c>
      <c r="G750" t="n">
        <v>6.7</v>
      </c>
      <c r="H750" t="n">
        <v>0</v>
      </c>
      <c r="I750" t="n">
        <v>0</v>
      </c>
      <c r="J750" t="n">
        <v>0</v>
      </c>
      <c r="K750" t="n">
        <v>0</v>
      </c>
      <c r="L750" t="n">
        <v>0</v>
      </c>
      <c r="M750" t="n">
        <v>0</v>
      </c>
      <c r="N750" t="n">
        <v>0</v>
      </c>
      <c r="O750" t="n">
        <v>0</v>
      </c>
      <c r="P750" t="n">
        <v>0</v>
      </c>
      <c r="Q750" t="n">
        <v>0</v>
      </c>
      <c r="R750" s="2" t="inlineStr"/>
    </row>
    <row r="751" ht="15" customHeight="1">
      <c r="A751" t="inlineStr">
        <is>
          <t>A 55859-2023</t>
        </is>
      </c>
      <c r="B751" s="1" t="n">
        <v>45239</v>
      </c>
      <c r="C751" s="1" t="n">
        <v>46161</v>
      </c>
      <c r="D751" t="inlineStr">
        <is>
          <t>VÄSTERNORRLANDS LÄN</t>
        </is>
      </c>
      <c r="E751" t="inlineStr">
        <is>
          <t>SOLLEFTEÅ</t>
        </is>
      </c>
      <c r="F751" t="inlineStr">
        <is>
          <t>Kommuner</t>
        </is>
      </c>
      <c r="G751" t="n">
        <v>0.1</v>
      </c>
      <c r="H751" t="n">
        <v>0</v>
      </c>
      <c r="I751" t="n">
        <v>0</v>
      </c>
      <c r="J751" t="n">
        <v>0</v>
      </c>
      <c r="K751" t="n">
        <v>0</v>
      </c>
      <c r="L751" t="n">
        <v>0</v>
      </c>
      <c r="M751" t="n">
        <v>0</v>
      </c>
      <c r="N751" t="n">
        <v>0</v>
      </c>
      <c r="O751" t="n">
        <v>0</v>
      </c>
      <c r="P751" t="n">
        <v>0</v>
      </c>
      <c r="Q751" t="n">
        <v>0</v>
      </c>
      <c r="R751" s="2" t="inlineStr"/>
    </row>
    <row r="752" ht="15" customHeight="1">
      <c r="A752" t="inlineStr">
        <is>
          <t>A 49154-2025</t>
        </is>
      </c>
      <c r="B752" s="1" t="n">
        <v>45938.34567129629</v>
      </c>
      <c r="C752" s="1" t="n">
        <v>46161</v>
      </c>
      <c r="D752" t="inlineStr">
        <is>
          <t>VÄSTERNORRLANDS LÄN</t>
        </is>
      </c>
      <c r="E752" t="inlineStr">
        <is>
          <t>SOLLEFTEÅ</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49115-2025</t>
        </is>
      </c>
      <c r="B753" s="1" t="n">
        <v>45937</v>
      </c>
      <c r="C753" s="1" t="n">
        <v>46161</v>
      </c>
      <c r="D753" t="inlineStr">
        <is>
          <t>VÄSTERNORRLANDS LÄN</t>
        </is>
      </c>
      <c r="E753" t="inlineStr">
        <is>
          <t>SOLLEFTEÅ</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17032-2025</t>
        </is>
      </c>
      <c r="B754" s="1" t="n">
        <v>45755</v>
      </c>
      <c r="C754" s="1" t="n">
        <v>46161</v>
      </c>
      <c r="D754" t="inlineStr">
        <is>
          <t>VÄSTERNORRLANDS LÄN</t>
        </is>
      </c>
      <c r="E754" t="inlineStr">
        <is>
          <t>SOLLEFTEÅ</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20725-2025</t>
        </is>
      </c>
      <c r="B755" s="1" t="n">
        <v>45776.51074074074</v>
      </c>
      <c r="C755" s="1" t="n">
        <v>46161</v>
      </c>
      <c r="D755" t="inlineStr">
        <is>
          <t>VÄSTERNORRLANDS LÄN</t>
        </is>
      </c>
      <c r="E755" t="inlineStr">
        <is>
          <t>SOLLEFTEÅ</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15273-2025</t>
        </is>
      </c>
      <c r="B756" s="1" t="n">
        <v>45744.67740740741</v>
      </c>
      <c r="C756" s="1" t="n">
        <v>46161</v>
      </c>
      <c r="D756" t="inlineStr">
        <is>
          <t>VÄSTERNORRLANDS LÄN</t>
        </is>
      </c>
      <c r="E756" t="inlineStr">
        <is>
          <t>SOLLEFTEÅ</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49468-2025</t>
        </is>
      </c>
      <c r="B757" s="1" t="n">
        <v>45939.33886574074</v>
      </c>
      <c r="C757" s="1" t="n">
        <v>46161</v>
      </c>
      <c r="D757" t="inlineStr">
        <is>
          <t>VÄSTERNORRLANDS LÄN</t>
        </is>
      </c>
      <c r="E757" t="inlineStr">
        <is>
          <t>SOLLEFTEÅ</t>
        </is>
      </c>
      <c r="F757" t="inlineStr">
        <is>
          <t>Holmen skog AB</t>
        </is>
      </c>
      <c r="G757" t="n">
        <v>4.3</v>
      </c>
      <c r="H757" t="n">
        <v>0</v>
      </c>
      <c r="I757" t="n">
        <v>0</v>
      </c>
      <c r="J757" t="n">
        <v>0</v>
      </c>
      <c r="K757" t="n">
        <v>0</v>
      </c>
      <c r="L757" t="n">
        <v>0</v>
      </c>
      <c r="M757" t="n">
        <v>0</v>
      </c>
      <c r="N757" t="n">
        <v>0</v>
      </c>
      <c r="O757" t="n">
        <v>0</v>
      </c>
      <c r="P757" t="n">
        <v>0</v>
      </c>
      <c r="Q757" t="n">
        <v>0</v>
      </c>
      <c r="R757" s="2" t="inlineStr"/>
    </row>
    <row r="758" ht="15" customHeight="1">
      <c r="A758" t="inlineStr">
        <is>
          <t>A 49254-2025</t>
        </is>
      </c>
      <c r="B758" s="1" t="n">
        <v>45938.49143518518</v>
      </c>
      <c r="C758" s="1" t="n">
        <v>46161</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52087-2023</t>
        </is>
      </c>
      <c r="B759" s="1" t="n">
        <v>45223</v>
      </c>
      <c r="C759" s="1" t="n">
        <v>46161</v>
      </c>
      <c r="D759" t="inlineStr">
        <is>
          <t>VÄSTERNORRLANDS LÄN</t>
        </is>
      </c>
      <c r="E759" t="inlineStr">
        <is>
          <t>SOLLEFTEÅ</t>
        </is>
      </c>
      <c r="G759" t="n">
        <v>10.7</v>
      </c>
      <c r="H759" t="n">
        <v>0</v>
      </c>
      <c r="I759" t="n">
        <v>0</v>
      </c>
      <c r="J759" t="n">
        <v>0</v>
      </c>
      <c r="K759" t="n">
        <v>0</v>
      </c>
      <c r="L759" t="n">
        <v>0</v>
      </c>
      <c r="M759" t="n">
        <v>0</v>
      </c>
      <c r="N759" t="n">
        <v>0</v>
      </c>
      <c r="O759" t="n">
        <v>0</v>
      </c>
      <c r="P759" t="n">
        <v>0</v>
      </c>
      <c r="Q759" t="n">
        <v>0</v>
      </c>
      <c r="R759" s="2" t="inlineStr"/>
    </row>
    <row r="760" ht="15" customHeight="1">
      <c r="A760" t="inlineStr">
        <is>
          <t>A 38958-2025</t>
        </is>
      </c>
      <c r="B760" s="1" t="n">
        <v>45887.67751157407</v>
      </c>
      <c r="C760" s="1" t="n">
        <v>46161</v>
      </c>
      <c r="D760" t="inlineStr">
        <is>
          <t>VÄSTERNORRLANDS LÄN</t>
        </is>
      </c>
      <c r="E760" t="inlineStr">
        <is>
          <t>SOLLEFTEÅ</t>
        </is>
      </c>
      <c r="F760" t="inlineStr">
        <is>
          <t>SCA</t>
        </is>
      </c>
      <c r="G760" t="n">
        <v>9.1</v>
      </c>
      <c r="H760" t="n">
        <v>0</v>
      </c>
      <c r="I760" t="n">
        <v>0</v>
      </c>
      <c r="J760" t="n">
        <v>0</v>
      </c>
      <c r="K760" t="n">
        <v>0</v>
      </c>
      <c r="L760" t="n">
        <v>0</v>
      </c>
      <c r="M760" t="n">
        <v>0</v>
      </c>
      <c r="N760" t="n">
        <v>0</v>
      </c>
      <c r="O760" t="n">
        <v>0</v>
      </c>
      <c r="P760" t="n">
        <v>0</v>
      </c>
      <c r="Q760" t="n">
        <v>0</v>
      </c>
      <c r="R760" s="2" t="inlineStr"/>
    </row>
    <row r="761" ht="15" customHeight="1">
      <c r="A761" t="inlineStr">
        <is>
          <t>A 10437-2025</t>
        </is>
      </c>
      <c r="B761" s="1" t="n">
        <v>45720.67740740741</v>
      </c>
      <c r="C761" s="1" t="n">
        <v>46161</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4897-2025</t>
        </is>
      </c>
      <c r="B762" s="1" t="n">
        <v>45688.67913194445</v>
      </c>
      <c r="C762" s="1" t="n">
        <v>46161</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51527-2024</t>
        </is>
      </c>
      <c r="B763" s="1" t="n">
        <v>45604</v>
      </c>
      <c r="C763" s="1" t="n">
        <v>46161</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49627-2025</t>
        </is>
      </c>
      <c r="B764" s="1" t="n">
        <v>45939.59503472222</v>
      </c>
      <c r="C764" s="1" t="n">
        <v>46161</v>
      </c>
      <c r="D764" t="inlineStr">
        <is>
          <t>VÄSTERNORRLANDS LÄN</t>
        </is>
      </c>
      <c r="E764" t="inlineStr">
        <is>
          <t>SOLLEFTEÅ</t>
        </is>
      </c>
      <c r="F764" t="inlineStr">
        <is>
          <t>SCA</t>
        </is>
      </c>
      <c r="G764" t="n">
        <v>29.4</v>
      </c>
      <c r="H764" t="n">
        <v>0</v>
      </c>
      <c r="I764" t="n">
        <v>0</v>
      </c>
      <c r="J764" t="n">
        <v>0</v>
      </c>
      <c r="K764" t="n">
        <v>0</v>
      </c>
      <c r="L764" t="n">
        <v>0</v>
      </c>
      <c r="M764" t="n">
        <v>0</v>
      </c>
      <c r="N764" t="n">
        <v>0</v>
      </c>
      <c r="O764" t="n">
        <v>0</v>
      </c>
      <c r="P764" t="n">
        <v>0</v>
      </c>
      <c r="Q764" t="n">
        <v>0</v>
      </c>
      <c r="R764" s="2" t="inlineStr"/>
    </row>
    <row r="765" ht="15" customHeight="1">
      <c r="A765" t="inlineStr">
        <is>
          <t>A 3990-2024</t>
        </is>
      </c>
      <c r="B765" s="1" t="n">
        <v>45322.94880787037</v>
      </c>
      <c r="C765" s="1" t="n">
        <v>46161</v>
      </c>
      <c r="D765" t="inlineStr">
        <is>
          <t>VÄSTERNORRLANDS LÄN</t>
        </is>
      </c>
      <c r="E765" t="inlineStr">
        <is>
          <t>SOLLEFTEÅ</t>
        </is>
      </c>
      <c r="F765" t="inlineStr">
        <is>
          <t>SCA</t>
        </is>
      </c>
      <c r="G765" t="n">
        <v>6.3</v>
      </c>
      <c r="H765" t="n">
        <v>0</v>
      </c>
      <c r="I765" t="n">
        <v>0</v>
      </c>
      <c r="J765" t="n">
        <v>0</v>
      </c>
      <c r="K765" t="n">
        <v>0</v>
      </c>
      <c r="L765" t="n">
        <v>0</v>
      </c>
      <c r="M765" t="n">
        <v>0</v>
      </c>
      <c r="N765" t="n">
        <v>0</v>
      </c>
      <c r="O765" t="n">
        <v>0</v>
      </c>
      <c r="P765" t="n">
        <v>0</v>
      </c>
      <c r="Q765" t="n">
        <v>0</v>
      </c>
      <c r="R765" s="2" t="inlineStr"/>
    </row>
    <row r="766" ht="15" customHeight="1">
      <c r="A766" t="inlineStr">
        <is>
          <t>A 21269-2025</t>
        </is>
      </c>
      <c r="B766" s="1" t="n">
        <v>45779.62265046296</v>
      </c>
      <c r="C766" s="1" t="n">
        <v>46161</v>
      </c>
      <c r="D766" t="inlineStr">
        <is>
          <t>VÄSTERNORRLANDS LÄN</t>
        </is>
      </c>
      <c r="E766" t="inlineStr">
        <is>
          <t>SOLLEFTEÅ</t>
        </is>
      </c>
      <c r="G766" t="n">
        <v>3.7</v>
      </c>
      <c r="H766" t="n">
        <v>0</v>
      </c>
      <c r="I766" t="n">
        <v>0</v>
      </c>
      <c r="J766" t="n">
        <v>0</v>
      </c>
      <c r="K766" t="n">
        <v>0</v>
      </c>
      <c r="L766" t="n">
        <v>0</v>
      </c>
      <c r="M766" t="n">
        <v>0</v>
      </c>
      <c r="N766" t="n">
        <v>0</v>
      </c>
      <c r="O766" t="n">
        <v>0</v>
      </c>
      <c r="P766" t="n">
        <v>0</v>
      </c>
      <c r="Q766" t="n">
        <v>0</v>
      </c>
      <c r="R766" s="2" t="inlineStr"/>
    </row>
    <row r="767" ht="15" customHeight="1">
      <c r="A767" t="inlineStr">
        <is>
          <t>A 45719-2022</t>
        </is>
      </c>
      <c r="B767" s="1" t="n">
        <v>44845.95533564815</v>
      </c>
      <c r="C767" s="1" t="n">
        <v>46161</v>
      </c>
      <c r="D767" t="inlineStr">
        <is>
          <t>VÄSTERNORRLANDS LÄN</t>
        </is>
      </c>
      <c r="E767" t="inlineStr">
        <is>
          <t>SOLLEFTEÅ</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21491-2025</t>
        </is>
      </c>
      <c r="B768" s="1" t="n">
        <v>45782.59578703704</v>
      </c>
      <c r="C768" s="1" t="n">
        <v>46161</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10438-2025</t>
        </is>
      </c>
      <c r="B769" s="1" t="n">
        <v>45720.67761574074</v>
      </c>
      <c r="C769" s="1" t="n">
        <v>46161</v>
      </c>
      <c r="D769" t="inlineStr">
        <is>
          <t>VÄSTERNORRLANDS LÄN</t>
        </is>
      </c>
      <c r="E769" t="inlineStr">
        <is>
          <t>SOLLEFTEÅ</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8244-2024</t>
        </is>
      </c>
      <c r="B770" s="1" t="n">
        <v>45351</v>
      </c>
      <c r="C770" s="1" t="n">
        <v>46161</v>
      </c>
      <c r="D770" t="inlineStr">
        <is>
          <t>VÄSTERNORRLANDS LÄN</t>
        </is>
      </c>
      <c r="E770" t="inlineStr">
        <is>
          <t>SOLLEFTEÅ</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49491-2025</t>
        </is>
      </c>
      <c r="B771" s="1" t="n">
        <v>45939.36596064815</v>
      </c>
      <c r="C771" s="1" t="n">
        <v>46161</v>
      </c>
      <c r="D771" t="inlineStr">
        <is>
          <t>VÄSTERNORRLANDS LÄN</t>
        </is>
      </c>
      <c r="E771" t="inlineStr">
        <is>
          <t>SOLLEFTEÅ</t>
        </is>
      </c>
      <c r="F771" t="inlineStr">
        <is>
          <t>SCA</t>
        </is>
      </c>
      <c r="G771" t="n">
        <v>10.5</v>
      </c>
      <c r="H771" t="n">
        <v>0</v>
      </c>
      <c r="I771" t="n">
        <v>0</v>
      </c>
      <c r="J771" t="n">
        <v>0</v>
      </c>
      <c r="K771" t="n">
        <v>0</v>
      </c>
      <c r="L771" t="n">
        <v>0</v>
      </c>
      <c r="M771" t="n">
        <v>0</v>
      </c>
      <c r="N771" t="n">
        <v>0</v>
      </c>
      <c r="O771" t="n">
        <v>0</v>
      </c>
      <c r="P771" t="n">
        <v>0</v>
      </c>
      <c r="Q771" t="n">
        <v>0</v>
      </c>
      <c r="R771" s="2" t="inlineStr"/>
    </row>
    <row r="772" ht="15" customHeight="1">
      <c r="A772" t="inlineStr">
        <is>
          <t>A 29956-2023</t>
        </is>
      </c>
      <c r="B772" s="1" t="n">
        <v>45107</v>
      </c>
      <c r="C772" s="1" t="n">
        <v>46161</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48981-2025</t>
        </is>
      </c>
      <c r="B773" s="1" t="n">
        <v>45937.57354166666</v>
      </c>
      <c r="C773" s="1" t="n">
        <v>46161</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17999-2022</t>
        </is>
      </c>
      <c r="B774" s="1" t="n">
        <v>44683</v>
      </c>
      <c r="C774" s="1" t="n">
        <v>46161</v>
      </c>
      <c r="D774" t="inlineStr">
        <is>
          <t>VÄSTERNORRLANDS LÄN</t>
        </is>
      </c>
      <c r="E774" t="inlineStr">
        <is>
          <t>SOLLEFTEÅ</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21687-2025</t>
        </is>
      </c>
      <c r="B775" s="1" t="n">
        <v>45783.49135416667</v>
      </c>
      <c r="C775" s="1" t="n">
        <v>46161</v>
      </c>
      <c r="D775" t="inlineStr">
        <is>
          <t>VÄSTERNORRLANDS LÄN</t>
        </is>
      </c>
      <c r="E775" t="inlineStr">
        <is>
          <t>SOLLEFTEÅ</t>
        </is>
      </c>
      <c r="G775" t="n">
        <v>4.1</v>
      </c>
      <c r="H775" t="n">
        <v>0</v>
      </c>
      <c r="I775" t="n">
        <v>0</v>
      </c>
      <c r="J775" t="n">
        <v>0</v>
      </c>
      <c r="K775" t="n">
        <v>0</v>
      </c>
      <c r="L775" t="n">
        <v>0</v>
      </c>
      <c r="M775" t="n">
        <v>0</v>
      </c>
      <c r="N775" t="n">
        <v>0</v>
      </c>
      <c r="O775" t="n">
        <v>0</v>
      </c>
      <c r="P775" t="n">
        <v>0</v>
      </c>
      <c r="Q775" t="n">
        <v>0</v>
      </c>
      <c r="R775" s="2" t="inlineStr"/>
    </row>
    <row r="776" ht="15" customHeight="1">
      <c r="A776" t="inlineStr">
        <is>
          <t>A 49221-2025</t>
        </is>
      </c>
      <c r="B776" s="1" t="n">
        <v>45938.46335648148</v>
      </c>
      <c r="C776" s="1" t="n">
        <v>46161</v>
      </c>
      <c r="D776" t="inlineStr">
        <is>
          <t>VÄSTERNORRLANDS LÄN</t>
        </is>
      </c>
      <c r="E776" t="inlineStr">
        <is>
          <t>SOLLEFTEÅ</t>
        </is>
      </c>
      <c r="G776" t="n">
        <v>3.2</v>
      </c>
      <c r="H776" t="n">
        <v>0</v>
      </c>
      <c r="I776" t="n">
        <v>0</v>
      </c>
      <c r="J776" t="n">
        <v>0</v>
      </c>
      <c r="K776" t="n">
        <v>0</v>
      </c>
      <c r="L776" t="n">
        <v>0</v>
      </c>
      <c r="M776" t="n">
        <v>0</v>
      </c>
      <c r="N776" t="n">
        <v>0</v>
      </c>
      <c r="O776" t="n">
        <v>0</v>
      </c>
      <c r="P776" t="n">
        <v>0</v>
      </c>
      <c r="Q776" t="n">
        <v>0</v>
      </c>
      <c r="R776" s="2" t="inlineStr"/>
    </row>
    <row r="777" ht="15" customHeight="1">
      <c r="A777" t="inlineStr">
        <is>
          <t>A 21346-2025</t>
        </is>
      </c>
      <c r="B777" s="1" t="n">
        <v>45782.40670138889</v>
      </c>
      <c r="C777" s="1" t="n">
        <v>46161</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49378-2025</t>
        </is>
      </c>
      <c r="B778" s="1" t="n">
        <v>45938.6364699074</v>
      </c>
      <c r="C778" s="1" t="n">
        <v>46161</v>
      </c>
      <c r="D778" t="inlineStr">
        <is>
          <t>VÄSTERNORRLANDS LÄN</t>
        </is>
      </c>
      <c r="E778" t="inlineStr">
        <is>
          <t>SOLLEFTEÅ</t>
        </is>
      </c>
      <c r="F778" t="inlineStr">
        <is>
          <t>SCA</t>
        </is>
      </c>
      <c r="G778" t="n">
        <v>16.8</v>
      </c>
      <c r="H778" t="n">
        <v>0</v>
      </c>
      <c r="I778" t="n">
        <v>0</v>
      </c>
      <c r="J778" t="n">
        <v>0</v>
      </c>
      <c r="K778" t="n">
        <v>0</v>
      </c>
      <c r="L778" t="n">
        <v>0</v>
      </c>
      <c r="M778" t="n">
        <v>0</v>
      </c>
      <c r="N778" t="n">
        <v>0</v>
      </c>
      <c r="O778" t="n">
        <v>0</v>
      </c>
      <c r="P778" t="n">
        <v>0</v>
      </c>
      <c r="Q778" t="n">
        <v>0</v>
      </c>
      <c r="R778" s="2" t="inlineStr"/>
    </row>
    <row r="779" ht="15" customHeight="1">
      <c r="A779" t="inlineStr">
        <is>
          <t>A 49380-2025</t>
        </is>
      </c>
      <c r="B779" s="1" t="n">
        <v>45938.63677083333</v>
      </c>
      <c r="C779" s="1" t="n">
        <v>46161</v>
      </c>
      <c r="D779" t="inlineStr">
        <is>
          <t>VÄSTERNORRLANDS LÄN</t>
        </is>
      </c>
      <c r="E779" t="inlineStr">
        <is>
          <t>SOLLEFTEÅ</t>
        </is>
      </c>
      <c r="F779" t="inlineStr">
        <is>
          <t>SCA</t>
        </is>
      </c>
      <c r="G779" t="n">
        <v>12.4</v>
      </c>
      <c r="H779" t="n">
        <v>0</v>
      </c>
      <c r="I779" t="n">
        <v>0</v>
      </c>
      <c r="J779" t="n">
        <v>0</v>
      </c>
      <c r="K779" t="n">
        <v>0</v>
      </c>
      <c r="L779" t="n">
        <v>0</v>
      </c>
      <c r="M779" t="n">
        <v>0</v>
      </c>
      <c r="N779" t="n">
        <v>0</v>
      </c>
      <c r="O779" t="n">
        <v>0</v>
      </c>
      <c r="P779" t="n">
        <v>0</v>
      </c>
      <c r="Q779" t="n">
        <v>0</v>
      </c>
      <c r="R779" s="2" t="inlineStr"/>
    </row>
    <row r="780" ht="15" customHeight="1">
      <c r="A780" t="inlineStr">
        <is>
          <t>A 2045-2025</t>
        </is>
      </c>
      <c r="B780" s="1" t="n">
        <v>45672.51086805556</v>
      </c>
      <c r="C780" s="1" t="n">
        <v>46161</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38560-2025</t>
        </is>
      </c>
      <c r="B781" s="1" t="n">
        <v>45884.44844907407</v>
      </c>
      <c r="C781" s="1" t="n">
        <v>46161</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38561-2025</t>
        </is>
      </c>
      <c r="B782" s="1" t="n">
        <v>45884.44849537037</v>
      </c>
      <c r="C782" s="1" t="n">
        <v>46161</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21481-2025</t>
        </is>
      </c>
      <c r="B783" s="1" t="n">
        <v>45782.59451388889</v>
      </c>
      <c r="C783" s="1" t="n">
        <v>46161</v>
      </c>
      <c r="D783" t="inlineStr">
        <is>
          <t>VÄSTERNORRLANDS LÄN</t>
        </is>
      </c>
      <c r="E783" t="inlineStr">
        <is>
          <t>SOLLEFTEÅ</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21348-2025</t>
        </is>
      </c>
      <c r="B784" s="1" t="n">
        <v>45782.40679398148</v>
      </c>
      <c r="C784" s="1" t="n">
        <v>46161</v>
      </c>
      <c r="D784" t="inlineStr">
        <is>
          <t>VÄSTERNORRLANDS LÄN</t>
        </is>
      </c>
      <c r="E784" t="inlineStr">
        <is>
          <t>SOLLEFTEÅ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21429-2025</t>
        </is>
      </c>
      <c r="B785" s="1" t="n">
        <v>45782.51084490741</v>
      </c>
      <c r="C785" s="1" t="n">
        <v>46161</v>
      </c>
      <c r="D785" t="inlineStr">
        <is>
          <t>VÄSTERNORRLANDS LÄN</t>
        </is>
      </c>
      <c r="E785" t="inlineStr">
        <is>
          <t>SOLLEFTEÅ</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21455-2025</t>
        </is>
      </c>
      <c r="B786" s="1" t="n">
        <v>45782.55332175926</v>
      </c>
      <c r="C786" s="1" t="n">
        <v>46161</v>
      </c>
      <c r="D786" t="inlineStr">
        <is>
          <t>VÄSTERNORRLANDS LÄN</t>
        </is>
      </c>
      <c r="E786" t="inlineStr">
        <is>
          <t>SOLLEFTEÅ</t>
        </is>
      </c>
      <c r="F786" t="inlineStr">
        <is>
          <t>SCA</t>
        </is>
      </c>
      <c r="G786" t="n">
        <v>10.5</v>
      </c>
      <c r="H786" t="n">
        <v>0</v>
      </c>
      <c r="I786" t="n">
        <v>0</v>
      </c>
      <c r="J786" t="n">
        <v>0</v>
      </c>
      <c r="K786" t="n">
        <v>0</v>
      </c>
      <c r="L786" t="n">
        <v>0</v>
      </c>
      <c r="M786" t="n">
        <v>0</v>
      </c>
      <c r="N786" t="n">
        <v>0</v>
      </c>
      <c r="O786" t="n">
        <v>0</v>
      </c>
      <c r="P786" t="n">
        <v>0</v>
      </c>
      <c r="Q786" t="n">
        <v>0</v>
      </c>
      <c r="R786" s="2" t="inlineStr"/>
    </row>
    <row r="787" ht="15" customHeight="1">
      <c r="A787" t="inlineStr">
        <is>
          <t>A 49698-2025</t>
        </is>
      </c>
      <c r="B787" s="1" t="n">
        <v>45939.67790509259</v>
      </c>
      <c r="C787" s="1" t="n">
        <v>46161</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49701-2025</t>
        </is>
      </c>
      <c r="B788" s="1" t="n">
        <v>45939.67840277778</v>
      </c>
      <c r="C788" s="1" t="n">
        <v>46161</v>
      </c>
      <c r="D788" t="inlineStr">
        <is>
          <t>VÄSTERNORRLANDS LÄN</t>
        </is>
      </c>
      <c r="E788" t="inlineStr">
        <is>
          <t>SOLLEFTEÅ</t>
        </is>
      </c>
      <c r="F788" t="inlineStr">
        <is>
          <t>SCA</t>
        </is>
      </c>
      <c r="G788" t="n">
        <v>10.3</v>
      </c>
      <c r="H788" t="n">
        <v>0</v>
      </c>
      <c r="I788" t="n">
        <v>0</v>
      </c>
      <c r="J788" t="n">
        <v>0</v>
      </c>
      <c r="K788" t="n">
        <v>0</v>
      </c>
      <c r="L788" t="n">
        <v>0</v>
      </c>
      <c r="M788" t="n">
        <v>0</v>
      </c>
      <c r="N788" t="n">
        <v>0</v>
      </c>
      <c r="O788" t="n">
        <v>0</v>
      </c>
      <c r="P788" t="n">
        <v>0</v>
      </c>
      <c r="Q788" t="n">
        <v>0</v>
      </c>
      <c r="R788" s="2" t="inlineStr"/>
    </row>
    <row r="789" ht="15" customHeight="1">
      <c r="A789" t="inlineStr">
        <is>
          <t>A 49702-2025</t>
        </is>
      </c>
      <c r="B789" s="1" t="n">
        <v>45939.67875</v>
      </c>
      <c r="C789" s="1" t="n">
        <v>46161</v>
      </c>
      <c r="D789" t="inlineStr">
        <is>
          <t>VÄSTERNORRLANDS LÄN</t>
        </is>
      </c>
      <c r="E789" t="inlineStr">
        <is>
          <t>SOLLEFTEÅ</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38931-2025</t>
        </is>
      </c>
      <c r="B790" s="1" t="n">
        <v>45887.63664351852</v>
      </c>
      <c r="C790" s="1" t="n">
        <v>46161</v>
      </c>
      <c r="D790" t="inlineStr">
        <is>
          <t>VÄSTERNORRLANDS LÄN</t>
        </is>
      </c>
      <c r="E790" t="inlineStr">
        <is>
          <t>SOLLEFTEÅ</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47741-2023</t>
        </is>
      </c>
      <c r="B791" s="1" t="n">
        <v>45198</v>
      </c>
      <c r="C791" s="1" t="n">
        <v>46161</v>
      </c>
      <c r="D791" t="inlineStr">
        <is>
          <t>VÄSTERNORRLANDS LÄN</t>
        </is>
      </c>
      <c r="E791" t="inlineStr">
        <is>
          <t>SOLLEFTEÅ</t>
        </is>
      </c>
      <c r="G791" t="n">
        <v>5</v>
      </c>
      <c r="H791" t="n">
        <v>0</v>
      </c>
      <c r="I791" t="n">
        <v>0</v>
      </c>
      <c r="J791" t="n">
        <v>0</v>
      </c>
      <c r="K791" t="n">
        <v>0</v>
      </c>
      <c r="L791" t="n">
        <v>0</v>
      </c>
      <c r="M791" t="n">
        <v>0</v>
      </c>
      <c r="N791" t="n">
        <v>0</v>
      </c>
      <c r="O791" t="n">
        <v>0</v>
      </c>
      <c r="P791" t="n">
        <v>0</v>
      </c>
      <c r="Q791" t="n">
        <v>0</v>
      </c>
      <c r="R791" s="2" t="inlineStr"/>
    </row>
    <row r="792" ht="15" customHeight="1">
      <c r="A792" t="inlineStr">
        <is>
          <t>A 21669-2025</t>
        </is>
      </c>
      <c r="B792" s="1" t="n">
        <v>45783.46905092592</v>
      </c>
      <c r="C792" s="1" t="n">
        <v>46161</v>
      </c>
      <c r="D792" t="inlineStr">
        <is>
          <t>VÄSTERNORRLANDS LÄN</t>
        </is>
      </c>
      <c r="E792" t="inlineStr">
        <is>
          <t>SOLLEFTEÅ</t>
        </is>
      </c>
      <c r="F792" t="inlineStr">
        <is>
          <t>SCA</t>
        </is>
      </c>
      <c r="G792" t="n">
        <v>7.8</v>
      </c>
      <c r="H792" t="n">
        <v>0</v>
      </c>
      <c r="I792" t="n">
        <v>0</v>
      </c>
      <c r="J792" t="n">
        <v>0</v>
      </c>
      <c r="K792" t="n">
        <v>0</v>
      </c>
      <c r="L792" t="n">
        <v>0</v>
      </c>
      <c r="M792" t="n">
        <v>0</v>
      </c>
      <c r="N792" t="n">
        <v>0</v>
      </c>
      <c r="O792" t="n">
        <v>0</v>
      </c>
      <c r="P792" t="n">
        <v>0</v>
      </c>
      <c r="Q792" t="n">
        <v>0</v>
      </c>
      <c r="R792" s="2" t="inlineStr"/>
    </row>
    <row r="793" ht="15" customHeight="1">
      <c r="A793" t="inlineStr">
        <is>
          <t>A 18185-2025</t>
        </is>
      </c>
      <c r="B793" s="1" t="n">
        <v>45761.66724537037</v>
      </c>
      <c r="C793" s="1" t="n">
        <v>46161</v>
      </c>
      <c r="D793" t="inlineStr">
        <is>
          <t>VÄSTERNORRLANDS LÄN</t>
        </is>
      </c>
      <c r="E793" t="inlineStr">
        <is>
          <t>SOLLEFTEÅ</t>
        </is>
      </c>
      <c r="G793" t="n">
        <v>2.5</v>
      </c>
      <c r="H793" t="n">
        <v>0</v>
      </c>
      <c r="I793" t="n">
        <v>0</v>
      </c>
      <c r="J793" t="n">
        <v>0</v>
      </c>
      <c r="K793" t="n">
        <v>0</v>
      </c>
      <c r="L793" t="n">
        <v>0</v>
      </c>
      <c r="M793" t="n">
        <v>0</v>
      </c>
      <c r="N793" t="n">
        <v>0</v>
      </c>
      <c r="O793" t="n">
        <v>0</v>
      </c>
      <c r="P793" t="n">
        <v>0</v>
      </c>
      <c r="Q793" t="n">
        <v>0</v>
      </c>
      <c r="R793" s="2" t="inlineStr"/>
    </row>
    <row r="794" ht="15" customHeight="1">
      <c r="A794" t="inlineStr">
        <is>
          <t>A 18263-2025</t>
        </is>
      </c>
      <c r="B794" s="1" t="n">
        <v>45762.36509259259</v>
      </c>
      <c r="C794" s="1" t="n">
        <v>46161</v>
      </c>
      <c r="D794" t="inlineStr">
        <is>
          <t>VÄSTERNORRLANDS LÄN</t>
        </is>
      </c>
      <c r="E794" t="inlineStr">
        <is>
          <t>SOLLEFTEÅ</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21489-2025</t>
        </is>
      </c>
      <c r="B795" s="1" t="n">
        <v>45782.59555555556</v>
      </c>
      <c r="C795" s="1" t="n">
        <v>46161</v>
      </c>
      <c r="D795" t="inlineStr">
        <is>
          <t>VÄSTERNORRLANDS LÄN</t>
        </is>
      </c>
      <c r="E795" t="inlineStr">
        <is>
          <t>SOLLEFTEÅ</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49696-2025</t>
        </is>
      </c>
      <c r="B796" s="1" t="n">
        <v>45939.6775462963</v>
      </c>
      <c r="C796" s="1" t="n">
        <v>46161</v>
      </c>
      <c r="D796" t="inlineStr">
        <is>
          <t>VÄSTERNORRLANDS LÄN</t>
        </is>
      </c>
      <c r="E796" t="inlineStr">
        <is>
          <t>SOLLEFTEÅ</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21553-2025</t>
        </is>
      </c>
      <c r="B797" s="1" t="n">
        <v>45782.67805555555</v>
      </c>
      <c r="C797" s="1" t="n">
        <v>46161</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21555-2025</t>
        </is>
      </c>
      <c r="B798" s="1" t="n">
        <v>45782.67828703704</v>
      </c>
      <c r="C798" s="1" t="n">
        <v>46161</v>
      </c>
      <c r="D798" t="inlineStr">
        <is>
          <t>VÄSTERNORRLANDS LÄN</t>
        </is>
      </c>
      <c r="E798" t="inlineStr">
        <is>
          <t>SOLLEFTEÅ</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21564-2025</t>
        </is>
      </c>
      <c r="B799" s="1" t="n">
        <v>45782.69837962963</v>
      </c>
      <c r="C799" s="1" t="n">
        <v>46161</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59501-2023</t>
        </is>
      </c>
      <c r="B800" s="1" t="n">
        <v>45254</v>
      </c>
      <c r="C800" s="1" t="n">
        <v>46161</v>
      </c>
      <c r="D800" t="inlineStr">
        <is>
          <t>VÄSTERNORRLANDS LÄN</t>
        </is>
      </c>
      <c r="E800" t="inlineStr">
        <is>
          <t>SOLLEFTEÅ</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61784-2023</t>
        </is>
      </c>
      <c r="B801" s="1" t="n">
        <v>45265</v>
      </c>
      <c r="C801" s="1" t="n">
        <v>46161</v>
      </c>
      <c r="D801" t="inlineStr">
        <is>
          <t>VÄSTERNORRLANDS LÄN</t>
        </is>
      </c>
      <c r="E801" t="inlineStr">
        <is>
          <t>SOLLEFTEÅ</t>
        </is>
      </c>
      <c r="F801" t="inlineStr">
        <is>
          <t>SCA</t>
        </is>
      </c>
      <c r="G801" t="n">
        <v>9.1</v>
      </c>
      <c r="H801" t="n">
        <v>0</v>
      </c>
      <c r="I801" t="n">
        <v>0</v>
      </c>
      <c r="J801" t="n">
        <v>0</v>
      </c>
      <c r="K801" t="n">
        <v>0</v>
      </c>
      <c r="L801" t="n">
        <v>0</v>
      </c>
      <c r="M801" t="n">
        <v>0</v>
      </c>
      <c r="N801" t="n">
        <v>0</v>
      </c>
      <c r="O801" t="n">
        <v>0</v>
      </c>
      <c r="P801" t="n">
        <v>0</v>
      </c>
      <c r="Q801" t="n">
        <v>0</v>
      </c>
      <c r="R801" s="2" t="inlineStr"/>
    </row>
    <row r="802" ht="15" customHeight="1">
      <c r="A802" t="inlineStr">
        <is>
          <t>A 6058-2024</t>
        </is>
      </c>
      <c r="B802" s="1" t="n">
        <v>45336.75866898148</v>
      </c>
      <c r="C802" s="1" t="n">
        <v>46161</v>
      </c>
      <c r="D802" t="inlineStr">
        <is>
          <t>VÄSTERNORRLANDS LÄN</t>
        </is>
      </c>
      <c r="E802" t="inlineStr">
        <is>
          <t>SOLLEFTEÅ</t>
        </is>
      </c>
      <c r="F802" t="inlineStr">
        <is>
          <t>Övriga Aktiebolag</t>
        </is>
      </c>
      <c r="G802" t="n">
        <v>5.2</v>
      </c>
      <c r="H802" t="n">
        <v>0</v>
      </c>
      <c r="I802" t="n">
        <v>0</v>
      </c>
      <c r="J802" t="n">
        <v>0</v>
      </c>
      <c r="K802" t="n">
        <v>0</v>
      </c>
      <c r="L802" t="n">
        <v>0</v>
      </c>
      <c r="M802" t="n">
        <v>0</v>
      </c>
      <c r="N802" t="n">
        <v>0</v>
      </c>
      <c r="O802" t="n">
        <v>0</v>
      </c>
      <c r="P802" t="n">
        <v>0</v>
      </c>
      <c r="Q802" t="n">
        <v>0</v>
      </c>
      <c r="R802" s="2" t="inlineStr"/>
    </row>
    <row r="803" ht="15" customHeight="1">
      <c r="A803" t="inlineStr">
        <is>
          <t>A 21565-2025</t>
        </is>
      </c>
      <c r="B803" s="1" t="n">
        <v>45782</v>
      </c>
      <c r="C803" s="1" t="n">
        <v>46161</v>
      </c>
      <c r="D803" t="inlineStr">
        <is>
          <t>VÄSTERNORRLANDS LÄN</t>
        </is>
      </c>
      <c r="E803" t="inlineStr">
        <is>
          <t>SOLLEFTEÅ</t>
        </is>
      </c>
      <c r="F803" t="inlineStr">
        <is>
          <t>SCA</t>
        </is>
      </c>
      <c r="G803" t="n">
        <v>17.4</v>
      </c>
      <c r="H803" t="n">
        <v>0</v>
      </c>
      <c r="I803" t="n">
        <v>0</v>
      </c>
      <c r="J803" t="n">
        <v>0</v>
      </c>
      <c r="K803" t="n">
        <v>0</v>
      </c>
      <c r="L803" t="n">
        <v>0</v>
      </c>
      <c r="M803" t="n">
        <v>0</v>
      </c>
      <c r="N803" t="n">
        <v>0</v>
      </c>
      <c r="O803" t="n">
        <v>0</v>
      </c>
      <c r="P803" t="n">
        <v>0</v>
      </c>
      <c r="Q803" t="n">
        <v>0</v>
      </c>
      <c r="R803" s="2" t="inlineStr"/>
    </row>
    <row r="804" ht="15" customHeight="1">
      <c r="A804" t="inlineStr">
        <is>
          <t>A 38492-2025</t>
        </is>
      </c>
      <c r="B804" s="1" t="n">
        <v>45884.36496527777</v>
      </c>
      <c r="C804" s="1" t="n">
        <v>46161</v>
      </c>
      <c r="D804" t="inlineStr">
        <is>
          <t>VÄSTERNORRLANDS LÄN</t>
        </is>
      </c>
      <c r="E804" t="inlineStr">
        <is>
          <t>SOLLEFTEÅ</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10554-2022</t>
        </is>
      </c>
      <c r="B805" s="1" t="n">
        <v>44623.93775462963</v>
      </c>
      <c r="C805" s="1" t="n">
        <v>46161</v>
      </c>
      <c r="D805" t="inlineStr">
        <is>
          <t>VÄSTERNORRLANDS LÄN</t>
        </is>
      </c>
      <c r="E805" t="inlineStr">
        <is>
          <t>SOLLEFTEÅ</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21863-2025</t>
        </is>
      </c>
      <c r="B806" s="1" t="n">
        <v>45784.36532407408</v>
      </c>
      <c r="C806" s="1" t="n">
        <v>46161</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15978-2023</t>
        </is>
      </c>
      <c r="B807" s="1" t="n">
        <v>45022.94188657407</v>
      </c>
      <c r="C807" s="1" t="n">
        <v>46161</v>
      </c>
      <c r="D807" t="inlineStr">
        <is>
          <t>VÄSTERNORRLANDS LÄN</t>
        </is>
      </c>
      <c r="E807" t="inlineStr">
        <is>
          <t>SOLLEFTEÅ</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54538-2022</t>
        </is>
      </c>
      <c r="B808" s="1" t="n">
        <v>44882.77261574074</v>
      </c>
      <c r="C808" s="1" t="n">
        <v>46161</v>
      </c>
      <c r="D808" t="inlineStr">
        <is>
          <t>VÄSTERNORRLANDS LÄN</t>
        </is>
      </c>
      <c r="E808" t="inlineStr">
        <is>
          <t>SOLLEFTEÅ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22182-2025</t>
        </is>
      </c>
      <c r="B809" s="1" t="n">
        <v>45785.61640046296</v>
      </c>
      <c r="C809" s="1" t="n">
        <v>46161</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58994-2024</t>
        </is>
      </c>
      <c r="B810" s="1" t="n">
        <v>45636.63717592593</v>
      </c>
      <c r="C810" s="1" t="n">
        <v>46161</v>
      </c>
      <c r="D810" t="inlineStr">
        <is>
          <t>VÄSTERNORRLANDS LÄN</t>
        </is>
      </c>
      <c r="E810" t="inlineStr">
        <is>
          <t>SOLLEFTEÅ</t>
        </is>
      </c>
      <c r="G810" t="n">
        <v>2.6</v>
      </c>
      <c r="H810" t="n">
        <v>0</v>
      </c>
      <c r="I810" t="n">
        <v>0</v>
      </c>
      <c r="J810" t="n">
        <v>0</v>
      </c>
      <c r="K810" t="n">
        <v>0</v>
      </c>
      <c r="L810" t="n">
        <v>0</v>
      </c>
      <c r="M810" t="n">
        <v>0</v>
      </c>
      <c r="N810" t="n">
        <v>0</v>
      </c>
      <c r="O810" t="n">
        <v>0</v>
      </c>
      <c r="P810" t="n">
        <v>0</v>
      </c>
      <c r="Q810" t="n">
        <v>0</v>
      </c>
      <c r="R810" s="2" t="inlineStr"/>
    </row>
    <row r="811" ht="15" customHeight="1">
      <c r="A811" t="inlineStr">
        <is>
          <t>A 16086-2024</t>
        </is>
      </c>
      <c r="B811" s="1" t="n">
        <v>45406</v>
      </c>
      <c r="C811" s="1" t="n">
        <v>46161</v>
      </c>
      <c r="D811" t="inlineStr">
        <is>
          <t>VÄSTERNORRLANDS LÄN</t>
        </is>
      </c>
      <c r="E811" t="inlineStr">
        <is>
          <t>SOLLEFTEÅ</t>
        </is>
      </c>
      <c r="G811" t="n">
        <v>15.9</v>
      </c>
      <c r="H811" t="n">
        <v>0</v>
      </c>
      <c r="I811" t="n">
        <v>0</v>
      </c>
      <c r="J811" t="n">
        <v>0</v>
      </c>
      <c r="K811" t="n">
        <v>0</v>
      </c>
      <c r="L811" t="n">
        <v>0</v>
      </c>
      <c r="M811" t="n">
        <v>0</v>
      </c>
      <c r="N811" t="n">
        <v>0</v>
      </c>
      <c r="O811" t="n">
        <v>0</v>
      </c>
      <c r="P811" t="n">
        <v>0</v>
      </c>
      <c r="Q811" t="n">
        <v>0</v>
      </c>
      <c r="R811" s="2" t="inlineStr"/>
    </row>
    <row r="812" ht="15" customHeight="1">
      <c r="A812" t="inlineStr">
        <is>
          <t>A 49699-2025</t>
        </is>
      </c>
      <c r="B812" s="1" t="n">
        <v>45939.67807870371</v>
      </c>
      <c r="C812" s="1" t="n">
        <v>46161</v>
      </c>
      <c r="D812" t="inlineStr">
        <is>
          <t>VÄSTERNORRLANDS LÄN</t>
        </is>
      </c>
      <c r="E812" t="inlineStr">
        <is>
          <t>SOLLEFTEÅ</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49700-2025</t>
        </is>
      </c>
      <c r="B813" s="1" t="n">
        <v>45939.67822916667</v>
      </c>
      <c r="C813" s="1" t="n">
        <v>46161</v>
      </c>
      <c r="D813" t="inlineStr">
        <is>
          <t>VÄSTERNORRLANDS LÄN</t>
        </is>
      </c>
      <c r="E813" t="inlineStr">
        <is>
          <t>SOLLEFTEÅ</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49706-2025</t>
        </is>
      </c>
      <c r="B814" s="1" t="n">
        <v>45939.67949074074</v>
      </c>
      <c r="C814" s="1" t="n">
        <v>46161</v>
      </c>
      <c r="D814" t="inlineStr">
        <is>
          <t>VÄSTERNORRLANDS LÄN</t>
        </is>
      </c>
      <c r="E814" t="inlineStr">
        <is>
          <t>SOLLEFTEÅ</t>
        </is>
      </c>
      <c r="F814" t="inlineStr">
        <is>
          <t>SCA</t>
        </is>
      </c>
      <c r="G814" t="n">
        <v>4.1</v>
      </c>
      <c r="H814" t="n">
        <v>0</v>
      </c>
      <c r="I814" t="n">
        <v>0</v>
      </c>
      <c r="J814" t="n">
        <v>0</v>
      </c>
      <c r="K814" t="n">
        <v>0</v>
      </c>
      <c r="L814" t="n">
        <v>0</v>
      </c>
      <c r="M814" t="n">
        <v>0</v>
      </c>
      <c r="N814" t="n">
        <v>0</v>
      </c>
      <c r="O814" t="n">
        <v>0</v>
      </c>
      <c r="P814" t="n">
        <v>0</v>
      </c>
      <c r="Q814" t="n">
        <v>0</v>
      </c>
      <c r="R814" s="2" t="inlineStr"/>
    </row>
    <row r="815" ht="15" customHeight="1">
      <c r="A815" t="inlineStr">
        <is>
          <t>A 16468-2024</t>
        </is>
      </c>
      <c r="B815" s="1" t="n">
        <v>45408.0508449074</v>
      </c>
      <c r="C815" s="1" t="n">
        <v>46161</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22106-2025</t>
        </is>
      </c>
      <c r="B816" s="1" t="n">
        <v>45785.48988425926</v>
      </c>
      <c r="C816" s="1" t="n">
        <v>46161</v>
      </c>
      <c r="D816" t="inlineStr">
        <is>
          <t>VÄSTERNORRLANDS LÄN</t>
        </is>
      </c>
      <c r="E816" t="inlineStr">
        <is>
          <t>SOLLEFTEÅ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21897-2025</t>
        </is>
      </c>
      <c r="B817" s="1" t="n">
        <v>45784.45376157408</v>
      </c>
      <c r="C817" s="1" t="n">
        <v>46161</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row>
    <row r="818" ht="15" customHeight="1">
      <c r="A818" t="inlineStr">
        <is>
          <t>A 22184-2025</t>
        </is>
      </c>
      <c r="B818" s="1" t="n">
        <v>45785.61679398148</v>
      </c>
      <c r="C818" s="1" t="n">
        <v>46161</v>
      </c>
      <c r="D818" t="inlineStr">
        <is>
          <t>VÄSTERNORRLANDS LÄN</t>
        </is>
      </c>
      <c r="E818" t="inlineStr">
        <is>
          <t>SOLLEFTEÅ</t>
        </is>
      </c>
      <c r="F818" t="inlineStr">
        <is>
          <t>SCA</t>
        </is>
      </c>
      <c r="G818" t="n">
        <v>7.4</v>
      </c>
      <c r="H818" t="n">
        <v>0</v>
      </c>
      <c r="I818" t="n">
        <v>0</v>
      </c>
      <c r="J818" t="n">
        <v>0</v>
      </c>
      <c r="K818" t="n">
        <v>0</v>
      </c>
      <c r="L818" t="n">
        <v>0</v>
      </c>
      <c r="M818" t="n">
        <v>0</v>
      </c>
      <c r="N818" t="n">
        <v>0</v>
      </c>
      <c r="O818" t="n">
        <v>0</v>
      </c>
      <c r="P818" t="n">
        <v>0</v>
      </c>
      <c r="Q818" t="n">
        <v>0</v>
      </c>
      <c r="R818" s="2" t="inlineStr"/>
    </row>
    <row r="819" ht="15" customHeight="1">
      <c r="A819" t="inlineStr">
        <is>
          <t>A 34281-2022</t>
        </is>
      </c>
      <c r="B819" s="1" t="n">
        <v>44791</v>
      </c>
      <c r="C819" s="1" t="n">
        <v>46161</v>
      </c>
      <c r="D819" t="inlineStr">
        <is>
          <t>VÄSTERNORRLANDS LÄN</t>
        </is>
      </c>
      <c r="E819" t="inlineStr">
        <is>
          <t>SOLLEFTEÅ</t>
        </is>
      </c>
      <c r="G819" t="n">
        <v>1.8</v>
      </c>
      <c r="H819" t="n">
        <v>0</v>
      </c>
      <c r="I819" t="n">
        <v>0</v>
      </c>
      <c r="J819" t="n">
        <v>0</v>
      </c>
      <c r="K819" t="n">
        <v>0</v>
      </c>
      <c r="L819" t="n">
        <v>0</v>
      </c>
      <c r="M819" t="n">
        <v>0</v>
      </c>
      <c r="N819" t="n">
        <v>0</v>
      </c>
      <c r="O819" t="n">
        <v>0</v>
      </c>
      <c r="P819" t="n">
        <v>0</v>
      </c>
      <c r="Q819" t="n">
        <v>0</v>
      </c>
      <c r="R819" s="2" t="inlineStr"/>
    </row>
    <row r="820" ht="15" customHeight="1">
      <c r="A820" t="inlineStr">
        <is>
          <t>A 7107-2024</t>
        </is>
      </c>
      <c r="B820" s="1" t="n">
        <v>45343</v>
      </c>
      <c r="C820" s="1" t="n">
        <v>46161</v>
      </c>
      <c r="D820" t="inlineStr">
        <is>
          <t>VÄSTERNORRLANDS LÄN</t>
        </is>
      </c>
      <c r="E820" t="inlineStr">
        <is>
          <t>SOLLEFTEÅ</t>
        </is>
      </c>
      <c r="G820" t="n">
        <v>4.4</v>
      </c>
      <c r="H820" t="n">
        <v>0</v>
      </c>
      <c r="I820" t="n">
        <v>0</v>
      </c>
      <c r="J820" t="n">
        <v>0</v>
      </c>
      <c r="K820" t="n">
        <v>0</v>
      </c>
      <c r="L820" t="n">
        <v>0</v>
      </c>
      <c r="M820" t="n">
        <v>0</v>
      </c>
      <c r="N820" t="n">
        <v>0</v>
      </c>
      <c r="O820" t="n">
        <v>0</v>
      </c>
      <c r="P820" t="n">
        <v>0</v>
      </c>
      <c r="Q820" t="n">
        <v>0</v>
      </c>
      <c r="R820" s="2" t="inlineStr"/>
    </row>
    <row r="821" ht="15" customHeight="1">
      <c r="A821" t="inlineStr">
        <is>
          <t>A 22046-2025</t>
        </is>
      </c>
      <c r="B821" s="1" t="n">
        <v>45785.34412037037</v>
      </c>
      <c r="C821" s="1" t="n">
        <v>46161</v>
      </c>
      <c r="D821" t="inlineStr">
        <is>
          <t>VÄSTERNORRLANDS LÄN</t>
        </is>
      </c>
      <c r="E821" t="inlineStr">
        <is>
          <t>SOLLEFTEÅ</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43843-2024</t>
        </is>
      </c>
      <c r="B822" s="1" t="n">
        <v>45572</v>
      </c>
      <c r="C822" s="1" t="n">
        <v>46161</v>
      </c>
      <c r="D822" t="inlineStr">
        <is>
          <t>VÄSTERNORRLANDS LÄN</t>
        </is>
      </c>
      <c r="E822" t="inlineStr">
        <is>
          <t>SOLLEFTEÅ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50720-2024</t>
        </is>
      </c>
      <c r="B823" s="1" t="n">
        <v>45602.38631944444</v>
      </c>
      <c r="C823" s="1" t="n">
        <v>46161</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22211-2025</t>
        </is>
      </c>
      <c r="B824" s="1" t="n">
        <v>45785.65752314815</v>
      </c>
      <c r="C824" s="1" t="n">
        <v>46161</v>
      </c>
      <c r="D824" t="inlineStr">
        <is>
          <t>VÄSTERNORRLANDS LÄN</t>
        </is>
      </c>
      <c r="E824" t="inlineStr">
        <is>
          <t>SOLLEFTEÅ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21898-2025</t>
        </is>
      </c>
      <c r="B825" s="1" t="n">
        <v>45784.45386574074</v>
      </c>
      <c r="C825" s="1" t="n">
        <v>46161</v>
      </c>
      <c r="D825" t="inlineStr">
        <is>
          <t>VÄSTERNORRLANDS LÄN</t>
        </is>
      </c>
      <c r="E825" t="inlineStr">
        <is>
          <t>SOLLEFTEÅ</t>
        </is>
      </c>
      <c r="G825" t="n">
        <v>6.8</v>
      </c>
      <c r="H825" t="n">
        <v>0</v>
      </c>
      <c r="I825" t="n">
        <v>0</v>
      </c>
      <c r="J825" t="n">
        <v>0</v>
      </c>
      <c r="K825" t="n">
        <v>0</v>
      </c>
      <c r="L825" t="n">
        <v>0</v>
      </c>
      <c r="M825" t="n">
        <v>0</v>
      </c>
      <c r="N825" t="n">
        <v>0</v>
      </c>
      <c r="O825" t="n">
        <v>0</v>
      </c>
      <c r="P825" t="n">
        <v>0</v>
      </c>
      <c r="Q825" t="n">
        <v>0</v>
      </c>
      <c r="R825" s="2" t="inlineStr"/>
    </row>
    <row r="826" ht="15" customHeight="1">
      <c r="A826" t="inlineStr">
        <is>
          <t>A 21896-2025</t>
        </is>
      </c>
      <c r="B826" s="1" t="n">
        <v>45784.45366898148</v>
      </c>
      <c r="C826" s="1" t="n">
        <v>46161</v>
      </c>
      <c r="D826" t="inlineStr">
        <is>
          <t>VÄSTERNORRLANDS LÄN</t>
        </is>
      </c>
      <c r="E826" t="inlineStr">
        <is>
          <t>SOLLEFTEÅ</t>
        </is>
      </c>
      <c r="G826" t="n">
        <v>16.1</v>
      </c>
      <c r="H826" t="n">
        <v>0</v>
      </c>
      <c r="I826" t="n">
        <v>0</v>
      </c>
      <c r="J826" t="n">
        <v>0</v>
      </c>
      <c r="K826" t="n">
        <v>0</v>
      </c>
      <c r="L826" t="n">
        <v>0</v>
      </c>
      <c r="M826" t="n">
        <v>0</v>
      </c>
      <c r="N826" t="n">
        <v>0</v>
      </c>
      <c r="O826" t="n">
        <v>0</v>
      </c>
      <c r="P826" t="n">
        <v>0</v>
      </c>
      <c r="Q826" t="n">
        <v>0</v>
      </c>
      <c r="R826" s="2" t="inlineStr"/>
    </row>
    <row r="827" ht="15" customHeight="1">
      <c r="A827" t="inlineStr">
        <is>
          <t>A 62171-2024</t>
        </is>
      </c>
      <c r="B827" s="1" t="n">
        <v>45657.65657407408</v>
      </c>
      <c r="C827" s="1" t="n">
        <v>46161</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9120-2024</t>
        </is>
      </c>
      <c r="B828" s="1" t="n">
        <v>45358.04091435186</v>
      </c>
      <c r="C828" s="1" t="n">
        <v>46161</v>
      </c>
      <c r="D828" t="inlineStr">
        <is>
          <t>VÄSTERNORRLANDS LÄN</t>
        </is>
      </c>
      <c r="E828" t="inlineStr">
        <is>
          <t>SOLLEFTEÅ</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9122-2024</t>
        </is>
      </c>
      <c r="B829" s="1" t="n">
        <v>45358.04107638889</v>
      </c>
      <c r="C829" s="1" t="n">
        <v>46161</v>
      </c>
      <c r="D829" t="inlineStr">
        <is>
          <t>VÄSTERNORRLANDS LÄN</t>
        </is>
      </c>
      <c r="E829" t="inlineStr">
        <is>
          <t>SOLLEFTEÅ</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16726-2024</t>
        </is>
      </c>
      <c r="B830" s="1" t="n">
        <v>45409.98535879629</v>
      </c>
      <c r="C830" s="1" t="n">
        <v>46161</v>
      </c>
      <c r="D830" t="inlineStr">
        <is>
          <t>VÄSTERNORRLANDS LÄN</t>
        </is>
      </c>
      <c r="E830" t="inlineStr">
        <is>
          <t>SOLLEFTEÅ</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11094-2023</t>
        </is>
      </c>
      <c r="B831" s="1" t="n">
        <v>44986</v>
      </c>
      <c r="C831" s="1" t="n">
        <v>46161</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49703-2025</t>
        </is>
      </c>
      <c r="B832" s="1" t="n">
        <v>45939.67894675926</v>
      </c>
      <c r="C832" s="1" t="n">
        <v>46161</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49565-2025</t>
        </is>
      </c>
      <c r="B833" s="1" t="n">
        <v>45939.46921296296</v>
      </c>
      <c r="C833" s="1" t="n">
        <v>46161</v>
      </c>
      <c r="D833" t="inlineStr">
        <is>
          <t>VÄSTERNORRLANDS LÄN</t>
        </is>
      </c>
      <c r="E833" t="inlineStr">
        <is>
          <t>SOLLEFTEÅ</t>
        </is>
      </c>
      <c r="F833" t="inlineStr">
        <is>
          <t>SCA</t>
        </is>
      </c>
      <c r="G833" t="n">
        <v>5</v>
      </c>
      <c r="H833" t="n">
        <v>0</v>
      </c>
      <c r="I833" t="n">
        <v>0</v>
      </c>
      <c r="J833" t="n">
        <v>0</v>
      </c>
      <c r="K833" t="n">
        <v>0</v>
      </c>
      <c r="L833" t="n">
        <v>0</v>
      </c>
      <c r="M833" t="n">
        <v>0</v>
      </c>
      <c r="N833" t="n">
        <v>0</v>
      </c>
      <c r="O833" t="n">
        <v>0</v>
      </c>
      <c r="P833" t="n">
        <v>0</v>
      </c>
      <c r="Q833" t="n">
        <v>0</v>
      </c>
      <c r="R833" s="2" t="inlineStr"/>
    </row>
    <row r="834" ht="15" customHeight="1">
      <c r="A834" t="inlineStr">
        <is>
          <t>A 60389-2024</t>
        </is>
      </c>
      <c r="B834" s="1" t="n">
        <v>45643.48988425926</v>
      </c>
      <c r="C834" s="1" t="n">
        <v>46161</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22218-2025</t>
        </is>
      </c>
      <c r="B835" s="1" t="n">
        <v>45785.65840277778</v>
      </c>
      <c r="C835" s="1" t="n">
        <v>46161</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60361-2024</t>
        </is>
      </c>
      <c r="B836" s="1" t="n">
        <v>45643.44851851852</v>
      </c>
      <c r="C836" s="1" t="n">
        <v>46161</v>
      </c>
      <c r="D836" t="inlineStr">
        <is>
          <t>VÄSTERNORRLANDS LÄN</t>
        </is>
      </c>
      <c r="E836" t="inlineStr">
        <is>
          <t>SOLLEFTEÅ</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8337-2025</t>
        </is>
      </c>
      <c r="B837" s="1" t="n">
        <v>45708.6597337963</v>
      </c>
      <c r="C837" s="1" t="n">
        <v>46161</v>
      </c>
      <c r="D837" t="inlineStr">
        <is>
          <t>VÄSTERNORRLANDS LÄN</t>
        </is>
      </c>
      <c r="E837" t="inlineStr">
        <is>
          <t>SOLLEFTEÅ</t>
        </is>
      </c>
      <c r="G837" t="n">
        <v>6.2</v>
      </c>
      <c r="H837" t="n">
        <v>0</v>
      </c>
      <c r="I837" t="n">
        <v>0</v>
      </c>
      <c r="J837" t="n">
        <v>0</v>
      </c>
      <c r="K837" t="n">
        <v>0</v>
      </c>
      <c r="L837" t="n">
        <v>0</v>
      </c>
      <c r="M837" t="n">
        <v>0</v>
      </c>
      <c r="N837" t="n">
        <v>0</v>
      </c>
      <c r="O837" t="n">
        <v>0</v>
      </c>
      <c r="P837" t="n">
        <v>0</v>
      </c>
      <c r="Q837" t="n">
        <v>0</v>
      </c>
      <c r="R837" s="2" t="inlineStr"/>
    </row>
    <row r="838" ht="15" customHeight="1">
      <c r="A838" t="inlineStr">
        <is>
          <t>A 27943-2022</t>
        </is>
      </c>
      <c r="B838" s="1" t="n">
        <v>44743</v>
      </c>
      <c r="C838" s="1" t="n">
        <v>46161</v>
      </c>
      <c r="D838" t="inlineStr">
        <is>
          <t>VÄSTERNORRLANDS LÄN</t>
        </is>
      </c>
      <c r="E838" t="inlineStr">
        <is>
          <t>SOLLEFTEÅ</t>
        </is>
      </c>
      <c r="F838" t="inlineStr">
        <is>
          <t>SCA</t>
        </is>
      </c>
      <c r="G838" t="n">
        <v>10</v>
      </c>
      <c r="H838" t="n">
        <v>0</v>
      </c>
      <c r="I838" t="n">
        <v>0</v>
      </c>
      <c r="J838" t="n">
        <v>0</v>
      </c>
      <c r="K838" t="n">
        <v>0</v>
      </c>
      <c r="L838" t="n">
        <v>0</v>
      </c>
      <c r="M838" t="n">
        <v>0</v>
      </c>
      <c r="N838" t="n">
        <v>0</v>
      </c>
      <c r="O838" t="n">
        <v>0</v>
      </c>
      <c r="P838" t="n">
        <v>0</v>
      </c>
      <c r="Q838" t="n">
        <v>0</v>
      </c>
      <c r="R838" s="2" t="inlineStr"/>
    </row>
    <row r="839" ht="15" customHeight="1">
      <c r="A839" t="inlineStr">
        <is>
          <t>A 46207-2023</t>
        </is>
      </c>
      <c r="B839" s="1" t="n">
        <v>45190</v>
      </c>
      <c r="C839" s="1" t="n">
        <v>46161</v>
      </c>
      <c r="D839" t="inlineStr">
        <is>
          <t>VÄSTERNORRLANDS LÄN</t>
        </is>
      </c>
      <c r="E839" t="inlineStr">
        <is>
          <t>SOLLEFTEÅ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49705-2025</t>
        </is>
      </c>
      <c r="B840" s="1" t="n">
        <v>45939.67929398148</v>
      </c>
      <c r="C840" s="1" t="n">
        <v>46161</v>
      </c>
      <c r="D840" t="inlineStr">
        <is>
          <t>VÄSTERNORRLANDS LÄN</t>
        </is>
      </c>
      <c r="E840" t="inlineStr">
        <is>
          <t>SOLLEFTEÅ</t>
        </is>
      </c>
      <c r="F840" t="inlineStr">
        <is>
          <t>SCA</t>
        </is>
      </c>
      <c r="G840" t="n">
        <v>6.3</v>
      </c>
      <c r="H840" t="n">
        <v>0</v>
      </c>
      <c r="I840" t="n">
        <v>0</v>
      </c>
      <c r="J840" t="n">
        <v>0</v>
      </c>
      <c r="K840" t="n">
        <v>0</v>
      </c>
      <c r="L840" t="n">
        <v>0</v>
      </c>
      <c r="M840" t="n">
        <v>0</v>
      </c>
      <c r="N840" t="n">
        <v>0</v>
      </c>
      <c r="O840" t="n">
        <v>0</v>
      </c>
      <c r="P840" t="n">
        <v>0</v>
      </c>
      <c r="Q840" t="n">
        <v>0</v>
      </c>
      <c r="R840" s="2" t="inlineStr"/>
    </row>
    <row r="841" ht="15" customHeight="1">
      <c r="A841" t="inlineStr">
        <is>
          <t>A 21983-2025</t>
        </is>
      </c>
      <c r="B841" s="1" t="n">
        <v>45784.65678240741</v>
      </c>
      <c r="C841" s="1" t="n">
        <v>46161</v>
      </c>
      <c r="D841" t="inlineStr">
        <is>
          <t>VÄSTERNORRLANDS LÄN</t>
        </is>
      </c>
      <c r="E841" t="inlineStr">
        <is>
          <t>SOLLEFTEÅ</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57487-2024</t>
        </is>
      </c>
      <c r="B842" s="1" t="n">
        <v>45630.36166666666</v>
      </c>
      <c r="C842" s="1" t="n">
        <v>46161</v>
      </c>
      <c r="D842" t="inlineStr">
        <is>
          <t>VÄSTERNORRLANDS LÄN</t>
        </is>
      </c>
      <c r="E842" t="inlineStr">
        <is>
          <t>SOLLEFTEÅ</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49474-2025</t>
        </is>
      </c>
      <c r="B843" s="1" t="n">
        <v>45939.34472222222</v>
      </c>
      <c r="C843" s="1" t="n">
        <v>46161</v>
      </c>
      <c r="D843" t="inlineStr">
        <is>
          <t>VÄSTERNORRLANDS LÄN</t>
        </is>
      </c>
      <c r="E843" t="inlineStr">
        <is>
          <t>SOLLEFTEÅ</t>
        </is>
      </c>
      <c r="F843" t="inlineStr">
        <is>
          <t>SCA</t>
        </is>
      </c>
      <c r="G843" t="n">
        <v>6</v>
      </c>
      <c r="H843" t="n">
        <v>0</v>
      </c>
      <c r="I843" t="n">
        <v>0</v>
      </c>
      <c r="J843" t="n">
        <v>0</v>
      </c>
      <c r="K843" t="n">
        <v>0</v>
      </c>
      <c r="L843" t="n">
        <v>0</v>
      </c>
      <c r="M843" t="n">
        <v>0</v>
      </c>
      <c r="N843" t="n">
        <v>0</v>
      </c>
      <c r="O843" t="n">
        <v>0</v>
      </c>
      <c r="P843" t="n">
        <v>0</v>
      </c>
      <c r="Q843" t="n">
        <v>0</v>
      </c>
      <c r="R843" s="2" t="inlineStr"/>
    </row>
    <row r="844" ht="15" customHeight="1">
      <c r="A844" t="inlineStr">
        <is>
          <t>A 49488-2025</t>
        </is>
      </c>
      <c r="B844" s="1" t="n">
        <v>45939.36506944444</v>
      </c>
      <c r="C844" s="1" t="n">
        <v>46161</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49667-2025</t>
        </is>
      </c>
      <c r="B845" s="1" t="n">
        <v>45939.63671296297</v>
      </c>
      <c r="C845" s="1" t="n">
        <v>46161</v>
      </c>
      <c r="D845" t="inlineStr">
        <is>
          <t>VÄSTERNORRLANDS LÄN</t>
        </is>
      </c>
      <c r="E845" t="inlineStr">
        <is>
          <t>SOLLEFTEÅ</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49406-2025</t>
        </is>
      </c>
      <c r="B846" s="1" t="n">
        <v>45938.67761574074</v>
      </c>
      <c r="C846" s="1" t="n">
        <v>46161</v>
      </c>
      <c r="D846" t="inlineStr">
        <is>
          <t>VÄSTERNORRLANDS LÄN</t>
        </is>
      </c>
      <c r="E846" t="inlineStr">
        <is>
          <t>SOLLEFTEÅ</t>
        </is>
      </c>
      <c r="F846" t="inlineStr">
        <is>
          <t>SCA</t>
        </is>
      </c>
      <c r="G846" t="n">
        <v>28.6</v>
      </c>
      <c r="H846" t="n">
        <v>0</v>
      </c>
      <c r="I846" t="n">
        <v>0</v>
      </c>
      <c r="J846" t="n">
        <v>0</v>
      </c>
      <c r="K846" t="n">
        <v>0</v>
      </c>
      <c r="L846" t="n">
        <v>0</v>
      </c>
      <c r="M846" t="n">
        <v>0</v>
      </c>
      <c r="N846" t="n">
        <v>0</v>
      </c>
      <c r="O846" t="n">
        <v>0</v>
      </c>
      <c r="P846" t="n">
        <v>0</v>
      </c>
      <c r="Q846" t="n">
        <v>0</v>
      </c>
      <c r="R846" s="2" t="inlineStr"/>
    </row>
    <row r="847" ht="15" customHeight="1">
      <c r="A847" t="inlineStr">
        <is>
          <t>A 22036-2025</t>
        </is>
      </c>
      <c r="B847" s="1" t="n">
        <v>45785.31820601852</v>
      </c>
      <c r="C847" s="1" t="n">
        <v>46161</v>
      </c>
      <c r="D847" t="inlineStr">
        <is>
          <t>VÄSTERNORRLANDS LÄN</t>
        </is>
      </c>
      <c r="E847" t="inlineStr">
        <is>
          <t>SOLLEFTEÅ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39433-2025</t>
        </is>
      </c>
      <c r="B848" s="1" t="n">
        <v>45889.67799768518</v>
      </c>
      <c r="C848" s="1" t="n">
        <v>46161</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21985-2025</t>
        </is>
      </c>
      <c r="B849" s="1" t="n">
        <v>45784.65689814815</v>
      </c>
      <c r="C849" s="1" t="n">
        <v>46161</v>
      </c>
      <c r="D849" t="inlineStr">
        <is>
          <t>VÄSTERNORRLANDS LÄN</t>
        </is>
      </c>
      <c r="E849" t="inlineStr">
        <is>
          <t>SOLLEFTEÅ</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39195-2025</t>
        </is>
      </c>
      <c r="B850" s="1" t="n">
        <v>45888</v>
      </c>
      <c r="C850" s="1" t="n">
        <v>46161</v>
      </c>
      <c r="D850" t="inlineStr">
        <is>
          <t>VÄSTERNORRLANDS LÄN</t>
        </is>
      </c>
      <c r="E850" t="inlineStr">
        <is>
          <t>SOLLEFTEÅ</t>
        </is>
      </c>
      <c r="G850" t="n">
        <v>4.7</v>
      </c>
      <c r="H850" t="n">
        <v>0</v>
      </c>
      <c r="I850" t="n">
        <v>0</v>
      </c>
      <c r="J850" t="n">
        <v>0</v>
      </c>
      <c r="K850" t="n">
        <v>0</v>
      </c>
      <c r="L850" t="n">
        <v>0</v>
      </c>
      <c r="M850" t="n">
        <v>0</v>
      </c>
      <c r="N850" t="n">
        <v>0</v>
      </c>
      <c r="O850" t="n">
        <v>0</v>
      </c>
      <c r="P850" t="n">
        <v>0</v>
      </c>
      <c r="Q850" t="n">
        <v>0</v>
      </c>
      <c r="R850" s="2" t="inlineStr"/>
    </row>
    <row r="851" ht="15" customHeight="1">
      <c r="A851" t="inlineStr">
        <is>
          <t>A 25243-2025</t>
        </is>
      </c>
      <c r="B851" s="1" t="n">
        <v>45800.49063657408</v>
      </c>
      <c r="C851" s="1" t="n">
        <v>46161</v>
      </c>
      <c r="D851" t="inlineStr">
        <is>
          <t>VÄSTERNORRLANDS LÄN</t>
        </is>
      </c>
      <c r="E851" t="inlineStr">
        <is>
          <t>SOLLEFTEÅ</t>
        </is>
      </c>
      <c r="G851" t="n">
        <v>3.2</v>
      </c>
      <c r="H851" t="n">
        <v>0</v>
      </c>
      <c r="I851" t="n">
        <v>0</v>
      </c>
      <c r="J851" t="n">
        <v>0</v>
      </c>
      <c r="K851" t="n">
        <v>0</v>
      </c>
      <c r="L851" t="n">
        <v>0</v>
      </c>
      <c r="M851" t="n">
        <v>0</v>
      </c>
      <c r="N851" t="n">
        <v>0</v>
      </c>
      <c r="O851" t="n">
        <v>0</v>
      </c>
      <c r="P851" t="n">
        <v>0</v>
      </c>
      <c r="Q851" t="n">
        <v>0</v>
      </c>
      <c r="R851" s="2" t="inlineStr"/>
    </row>
    <row r="852" ht="15" customHeight="1">
      <c r="A852" t="inlineStr">
        <is>
          <t>A 19892-2025</t>
        </is>
      </c>
      <c r="B852" s="1" t="n">
        <v>45771.57461805556</v>
      </c>
      <c r="C852" s="1" t="n">
        <v>46161</v>
      </c>
      <c r="D852" t="inlineStr">
        <is>
          <t>VÄSTERNORRLANDS LÄN</t>
        </is>
      </c>
      <c r="E852" t="inlineStr">
        <is>
          <t>SOLLEFTEÅ</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13521-2023</t>
        </is>
      </c>
      <c r="B853" s="1" t="n">
        <v>45005</v>
      </c>
      <c r="C853" s="1" t="n">
        <v>46161</v>
      </c>
      <c r="D853" t="inlineStr">
        <is>
          <t>VÄSTERNORRLANDS LÄN</t>
        </is>
      </c>
      <c r="E853" t="inlineStr">
        <is>
          <t>SOLLEFTEÅ</t>
        </is>
      </c>
      <c r="G853" t="n">
        <v>2.2</v>
      </c>
      <c r="H853" t="n">
        <v>0</v>
      </c>
      <c r="I853" t="n">
        <v>0</v>
      </c>
      <c r="J853" t="n">
        <v>0</v>
      </c>
      <c r="K853" t="n">
        <v>0</v>
      </c>
      <c r="L853" t="n">
        <v>0</v>
      </c>
      <c r="M853" t="n">
        <v>0</v>
      </c>
      <c r="N853" t="n">
        <v>0</v>
      </c>
      <c r="O853" t="n">
        <v>0</v>
      </c>
      <c r="P853" t="n">
        <v>0</v>
      </c>
      <c r="Q853" t="n">
        <v>0</v>
      </c>
      <c r="R853" s="2" t="inlineStr"/>
    </row>
    <row r="854" ht="15" customHeight="1">
      <c r="A854" t="inlineStr">
        <is>
          <t>A 30692-2021</t>
        </is>
      </c>
      <c r="B854" s="1" t="n">
        <v>44365</v>
      </c>
      <c r="C854" s="1" t="n">
        <v>46161</v>
      </c>
      <c r="D854" t="inlineStr">
        <is>
          <t>VÄSTERNORRLANDS LÄN</t>
        </is>
      </c>
      <c r="E854" t="inlineStr">
        <is>
          <t>SOLLEFTEÅ</t>
        </is>
      </c>
      <c r="G854" t="n">
        <v>2.4</v>
      </c>
      <c r="H854" t="n">
        <v>0</v>
      </c>
      <c r="I854" t="n">
        <v>0</v>
      </c>
      <c r="J854" t="n">
        <v>0</v>
      </c>
      <c r="K854" t="n">
        <v>0</v>
      </c>
      <c r="L854" t="n">
        <v>0</v>
      </c>
      <c r="M854" t="n">
        <v>0</v>
      </c>
      <c r="N854" t="n">
        <v>0</v>
      </c>
      <c r="O854" t="n">
        <v>0</v>
      </c>
      <c r="P854" t="n">
        <v>0</v>
      </c>
      <c r="Q854" t="n">
        <v>0</v>
      </c>
      <c r="R854" s="2" t="inlineStr"/>
    </row>
    <row r="855" ht="15" customHeight="1">
      <c r="A855" t="inlineStr">
        <is>
          <t>A 49932-2025</t>
        </is>
      </c>
      <c r="B855" s="1" t="n">
        <v>45940.65695601852</v>
      </c>
      <c r="C855" s="1" t="n">
        <v>46161</v>
      </c>
      <c r="D855" t="inlineStr">
        <is>
          <t>VÄSTERNORRLANDS LÄN</t>
        </is>
      </c>
      <c r="E855" t="inlineStr">
        <is>
          <t>SOLLEFTEÅ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21099-2024</t>
        </is>
      </c>
      <c r="B856" s="1" t="n">
        <v>45439</v>
      </c>
      <c r="C856" s="1" t="n">
        <v>46161</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40819-2024</t>
        </is>
      </c>
      <c r="B857" s="1" t="n">
        <v>45558.55271990741</v>
      </c>
      <c r="C857" s="1" t="n">
        <v>46161</v>
      </c>
      <c r="D857" t="inlineStr">
        <is>
          <t>VÄSTERNORRLANDS LÄN</t>
        </is>
      </c>
      <c r="E857" t="inlineStr">
        <is>
          <t>SOLLEFTEÅ</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50229-2025</t>
        </is>
      </c>
      <c r="B858" s="1" t="n">
        <v>45943.69855324074</v>
      </c>
      <c r="C858" s="1" t="n">
        <v>46161</v>
      </c>
      <c r="D858" t="inlineStr">
        <is>
          <t>VÄSTERNORRLANDS LÄN</t>
        </is>
      </c>
      <c r="E858" t="inlineStr">
        <is>
          <t>SOLLEFTEÅ</t>
        </is>
      </c>
      <c r="F858" t="inlineStr">
        <is>
          <t>SCA</t>
        </is>
      </c>
      <c r="G858" t="n">
        <v>10.1</v>
      </c>
      <c r="H858" t="n">
        <v>0</v>
      </c>
      <c r="I858" t="n">
        <v>0</v>
      </c>
      <c r="J858" t="n">
        <v>0</v>
      </c>
      <c r="K858" t="n">
        <v>0</v>
      </c>
      <c r="L858" t="n">
        <v>0</v>
      </c>
      <c r="M858" t="n">
        <v>0</v>
      </c>
      <c r="N858" t="n">
        <v>0</v>
      </c>
      <c r="O858" t="n">
        <v>0</v>
      </c>
      <c r="P858" t="n">
        <v>0</v>
      </c>
      <c r="Q858" t="n">
        <v>0</v>
      </c>
      <c r="R858" s="2" t="inlineStr"/>
    </row>
    <row r="859" ht="15" customHeight="1">
      <c r="A859" t="inlineStr">
        <is>
          <t>A 25242-2025</t>
        </is>
      </c>
      <c r="B859" s="1" t="n">
        <v>45800.49059027778</v>
      </c>
      <c r="C859" s="1" t="n">
        <v>46161</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51227-2024</t>
        </is>
      </c>
      <c r="B860" s="1" t="n">
        <v>45603.65729166667</v>
      </c>
      <c r="C860" s="1" t="n">
        <v>46161</v>
      </c>
      <c r="D860" t="inlineStr">
        <is>
          <t>VÄSTERNORRLANDS LÄN</t>
        </is>
      </c>
      <c r="E860" t="inlineStr">
        <is>
          <t>SOLLEFTEÅ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64115-2023</t>
        </is>
      </c>
      <c r="B861" s="1" t="n">
        <v>45279</v>
      </c>
      <c r="C861" s="1" t="n">
        <v>46161</v>
      </c>
      <c r="D861" t="inlineStr">
        <is>
          <t>VÄSTERNORRLANDS LÄN</t>
        </is>
      </c>
      <c r="E861" t="inlineStr">
        <is>
          <t>SOLLEFTEÅ</t>
        </is>
      </c>
      <c r="G861" t="n">
        <v>16.1</v>
      </c>
      <c r="H861" t="n">
        <v>0</v>
      </c>
      <c r="I861" t="n">
        <v>0</v>
      </c>
      <c r="J861" t="n">
        <v>0</v>
      </c>
      <c r="K861" t="n">
        <v>0</v>
      </c>
      <c r="L861" t="n">
        <v>0</v>
      </c>
      <c r="M861" t="n">
        <v>0</v>
      </c>
      <c r="N861" t="n">
        <v>0</v>
      </c>
      <c r="O861" t="n">
        <v>0</v>
      </c>
      <c r="P861" t="n">
        <v>0</v>
      </c>
      <c r="Q861" t="n">
        <v>0</v>
      </c>
      <c r="R861" s="2" t="inlineStr"/>
    </row>
    <row r="862" ht="15" customHeight="1">
      <c r="A862" t="inlineStr">
        <is>
          <t>A 50864-2024</t>
        </is>
      </c>
      <c r="B862" s="1" t="n">
        <v>45602.63653935185</v>
      </c>
      <c r="C862" s="1" t="n">
        <v>46161</v>
      </c>
      <c r="D862" t="inlineStr">
        <is>
          <t>VÄSTERNORRLANDS LÄN</t>
        </is>
      </c>
      <c r="E862" t="inlineStr">
        <is>
          <t>SOLLEFTEÅ</t>
        </is>
      </c>
      <c r="G862" t="n">
        <v>9.5</v>
      </c>
      <c r="H862" t="n">
        <v>0</v>
      </c>
      <c r="I862" t="n">
        <v>0</v>
      </c>
      <c r="J862" t="n">
        <v>0</v>
      </c>
      <c r="K862" t="n">
        <v>0</v>
      </c>
      <c r="L862" t="n">
        <v>0</v>
      </c>
      <c r="M862" t="n">
        <v>0</v>
      </c>
      <c r="N862" t="n">
        <v>0</v>
      </c>
      <c r="O862" t="n">
        <v>0</v>
      </c>
      <c r="P862" t="n">
        <v>0</v>
      </c>
      <c r="Q862" t="n">
        <v>0</v>
      </c>
      <c r="R862" s="2" t="inlineStr"/>
    </row>
    <row r="863" ht="15" customHeight="1">
      <c r="A863" t="inlineStr">
        <is>
          <t>A 967-2025</t>
        </is>
      </c>
      <c r="B863" s="1" t="n">
        <v>45666</v>
      </c>
      <c r="C863" s="1" t="n">
        <v>46161</v>
      </c>
      <c r="D863" t="inlineStr">
        <is>
          <t>VÄSTERNORRLANDS LÄN</t>
        </is>
      </c>
      <c r="E863" t="inlineStr">
        <is>
          <t>SOLLEFTEÅ</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22803-2025</t>
        </is>
      </c>
      <c r="B864" s="1" t="n">
        <v>45789</v>
      </c>
      <c r="C864" s="1" t="n">
        <v>46161</v>
      </c>
      <c r="D864" t="inlineStr">
        <is>
          <t>VÄSTERNORRLANDS LÄN</t>
        </is>
      </c>
      <c r="E864" t="inlineStr">
        <is>
          <t>SOLLEFTEÅ</t>
        </is>
      </c>
      <c r="G864" t="n">
        <v>2.7</v>
      </c>
      <c r="H864" t="n">
        <v>0</v>
      </c>
      <c r="I864" t="n">
        <v>0</v>
      </c>
      <c r="J864" t="n">
        <v>0</v>
      </c>
      <c r="K864" t="n">
        <v>0</v>
      </c>
      <c r="L864" t="n">
        <v>0</v>
      </c>
      <c r="M864" t="n">
        <v>0</v>
      </c>
      <c r="N864" t="n">
        <v>0</v>
      </c>
      <c r="O864" t="n">
        <v>0</v>
      </c>
      <c r="P864" t="n">
        <v>0</v>
      </c>
      <c r="Q864" t="n">
        <v>0</v>
      </c>
      <c r="R864" s="2" t="inlineStr"/>
    </row>
    <row r="865" ht="15" customHeight="1">
      <c r="A865" t="inlineStr">
        <is>
          <t>A 49904-2025</t>
        </is>
      </c>
      <c r="B865" s="1" t="n">
        <v>45940.59594907407</v>
      </c>
      <c r="C865" s="1" t="n">
        <v>46161</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56249-2024</t>
        </is>
      </c>
      <c r="B866" s="1" t="n">
        <v>45624.63584490741</v>
      </c>
      <c r="C866" s="1" t="n">
        <v>46161</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49794-2025</t>
        </is>
      </c>
      <c r="B867" s="1" t="n">
        <v>45940.40777777778</v>
      </c>
      <c r="C867" s="1" t="n">
        <v>46161</v>
      </c>
      <c r="D867" t="inlineStr">
        <is>
          <t>VÄSTERNORRLANDS LÄN</t>
        </is>
      </c>
      <c r="E867" t="inlineStr">
        <is>
          <t>SOLLEFTEÅ</t>
        </is>
      </c>
      <c r="F867" t="inlineStr">
        <is>
          <t>SCA</t>
        </is>
      </c>
      <c r="G867" t="n">
        <v>12.8</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46161</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14055-2022</t>
        </is>
      </c>
      <c r="B869" s="1" t="n">
        <v>44650.93824074074</v>
      </c>
      <c r="C869" s="1" t="n">
        <v>46161</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22615-2025</t>
        </is>
      </c>
      <c r="B870" s="1" t="n">
        <v>45789.42741898148</v>
      </c>
      <c r="C870" s="1" t="n">
        <v>46161</v>
      </c>
      <c r="D870" t="inlineStr">
        <is>
          <t>VÄSTERNORRLANDS LÄN</t>
        </is>
      </c>
      <c r="E870" t="inlineStr">
        <is>
          <t>SOLLEFTEÅ</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64133-2023</t>
        </is>
      </c>
      <c r="B871" s="1" t="n">
        <v>45279</v>
      </c>
      <c r="C871" s="1" t="n">
        <v>46161</v>
      </c>
      <c r="D871" t="inlineStr">
        <is>
          <t>VÄSTERNORRLANDS LÄN</t>
        </is>
      </c>
      <c r="E871" t="inlineStr">
        <is>
          <t>SOLLEFTEÅ</t>
        </is>
      </c>
      <c r="G871" t="n">
        <v>3.7</v>
      </c>
      <c r="H871" t="n">
        <v>0</v>
      </c>
      <c r="I871" t="n">
        <v>0</v>
      </c>
      <c r="J871" t="n">
        <v>0</v>
      </c>
      <c r="K871" t="n">
        <v>0</v>
      </c>
      <c r="L871" t="n">
        <v>0</v>
      </c>
      <c r="M871" t="n">
        <v>0</v>
      </c>
      <c r="N871" t="n">
        <v>0</v>
      </c>
      <c r="O871" t="n">
        <v>0</v>
      </c>
      <c r="P871" t="n">
        <v>0</v>
      </c>
      <c r="Q871" t="n">
        <v>0</v>
      </c>
      <c r="R871" s="2" t="inlineStr"/>
    </row>
    <row r="872" ht="15" customHeight="1">
      <c r="A872" t="inlineStr">
        <is>
          <t>A 22815-2025</t>
        </is>
      </c>
      <c r="B872" s="1" t="n">
        <v>45789.69826388889</v>
      </c>
      <c r="C872" s="1" t="n">
        <v>46161</v>
      </c>
      <c r="D872" t="inlineStr">
        <is>
          <t>VÄSTERNORRLANDS LÄN</t>
        </is>
      </c>
      <c r="E872" t="inlineStr">
        <is>
          <t>SOLLEFTEÅ</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55710-2024</t>
        </is>
      </c>
      <c r="B873" s="1" t="n">
        <v>45622.6985300926</v>
      </c>
      <c r="C873" s="1" t="n">
        <v>46161</v>
      </c>
      <c r="D873" t="inlineStr">
        <is>
          <t>VÄSTERNORRLANDS LÄN</t>
        </is>
      </c>
      <c r="E873" t="inlineStr">
        <is>
          <t>SOLLEFTEÅ</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39287-2025</t>
        </is>
      </c>
      <c r="B874" s="1" t="n">
        <v>45889.40693287037</v>
      </c>
      <c r="C874" s="1" t="n">
        <v>46161</v>
      </c>
      <c r="D874" t="inlineStr">
        <is>
          <t>VÄSTERNORRLANDS LÄN</t>
        </is>
      </c>
      <c r="E874" t="inlineStr">
        <is>
          <t>SOLLEFTEÅ</t>
        </is>
      </c>
      <c r="G874" t="n">
        <v>0.8</v>
      </c>
      <c r="H874" t="n">
        <v>0</v>
      </c>
      <c r="I874" t="n">
        <v>0</v>
      </c>
      <c r="J874" t="n">
        <v>0</v>
      </c>
      <c r="K874" t="n">
        <v>0</v>
      </c>
      <c r="L874" t="n">
        <v>0</v>
      </c>
      <c r="M874" t="n">
        <v>0</v>
      </c>
      <c r="N874" t="n">
        <v>0</v>
      </c>
      <c r="O874" t="n">
        <v>0</v>
      </c>
      <c r="P874" t="n">
        <v>0</v>
      </c>
      <c r="Q874" t="n">
        <v>0</v>
      </c>
      <c r="R874" s="2" t="inlineStr"/>
    </row>
    <row r="875" ht="15" customHeight="1">
      <c r="A875" t="inlineStr">
        <is>
          <t>A 39319-2025</t>
        </is>
      </c>
      <c r="B875" s="1" t="n">
        <v>45889.46916666667</v>
      </c>
      <c r="C875" s="1" t="n">
        <v>46161</v>
      </c>
      <c r="D875" t="inlineStr">
        <is>
          <t>VÄSTERNORRLANDS LÄN</t>
        </is>
      </c>
      <c r="E875" t="inlineStr">
        <is>
          <t>SOLLEFTEÅ</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47965-2024</t>
        </is>
      </c>
      <c r="B876" s="1" t="n">
        <v>45589.38638888889</v>
      </c>
      <c r="C876" s="1" t="n">
        <v>46161</v>
      </c>
      <c r="D876" t="inlineStr">
        <is>
          <t>VÄSTERNORRLANDS LÄN</t>
        </is>
      </c>
      <c r="E876" t="inlineStr">
        <is>
          <t>SOLLEFTEÅ</t>
        </is>
      </c>
      <c r="G876" t="n">
        <v>3.4</v>
      </c>
      <c r="H876" t="n">
        <v>0</v>
      </c>
      <c r="I876" t="n">
        <v>0</v>
      </c>
      <c r="J876" t="n">
        <v>0</v>
      </c>
      <c r="K876" t="n">
        <v>0</v>
      </c>
      <c r="L876" t="n">
        <v>0</v>
      </c>
      <c r="M876" t="n">
        <v>0</v>
      </c>
      <c r="N876" t="n">
        <v>0</v>
      </c>
      <c r="O876" t="n">
        <v>0</v>
      </c>
      <c r="P876" t="n">
        <v>0</v>
      </c>
      <c r="Q876" t="n">
        <v>0</v>
      </c>
      <c r="R876" s="2" t="inlineStr"/>
    </row>
    <row r="877" ht="15" customHeight="1">
      <c r="A877" t="inlineStr">
        <is>
          <t>A 22569-2025</t>
        </is>
      </c>
      <c r="B877" s="1" t="n">
        <v>45789.36363425926</v>
      </c>
      <c r="C877" s="1" t="n">
        <v>46161</v>
      </c>
      <c r="D877" t="inlineStr">
        <is>
          <t>VÄSTERNORRLANDS LÄN</t>
        </is>
      </c>
      <c r="E877" t="inlineStr">
        <is>
          <t>SOLLEFTEÅ</t>
        </is>
      </c>
      <c r="G877" t="n">
        <v>3.7</v>
      </c>
      <c r="H877" t="n">
        <v>0</v>
      </c>
      <c r="I877" t="n">
        <v>0</v>
      </c>
      <c r="J877" t="n">
        <v>0</v>
      </c>
      <c r="K877" t="n">
        <v>0</v>
      </c>
      <c r="L877" t="n">
        <v>0</v>
      </c>
      <c r="M877" t="n">
        <v>0</v>
      </c>
      <c r="N877" t="n">
        <v>0</v>
      </c>
      <c r="O877" t="n">
        <v>0</v>
      </c>
      <c r="P877" t="n">
        <v>0</v>
      </c>
      <c r="Q877" t="n">
        <v>0</v>
      </c>
      <c r="R877" s="2" t="inlineStr"/>
    </row>
    <row r="878" ht="15" customHeight="1">
      <c r="A878" t="inlineStr">
        <is>
          <t>A 54618-2023</t>
        </is>
      </c>
      <c r="B878" s="1" t="n">
        <v>45233</v>
      </c>
      <c r="C878" s="1" t="n">
        <v>46161</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33642-2023</t>
        </is>
      </c>
      <c r="B879" s="1" t="n">
        <v>45119</v>
      </c>
      <c r="C879" s="1" t="n">
        <v>46161</v>
      </c>
      <c r="D879" t="inlineStr">
        <is>
          <t>VÄSTERNORRLANDS LÄN</t>
        </is>
      </c>
      <c r="E879" t="inlineStr">
        <is>
          <t>SOLLEFTEÅ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22767-2025</t>
        </is>
      </c>
      <c r="B880" s="1" t="n">
        <v>45789.63309027778</v>
      </c>
      <c r="C880" s="1" t="n">
        <v>46161</v>
      </c>
      <c r="D880" t="inlineStr">
        <is>
          <t>VÄSTERNORRLANDS LÄN</t>
        </is>
      </c>
      <c r="E880" t="inlineStr">
        <is>
          <t>SOLLEFTEÅ</t>
        </is>
      </c>
      <c r="G880" t="n">
        <v>5.8</v>
      </c>
      <c r="H880" t="n">
        <v>0</v>
      </c>
      <c r="I880" t="n">
        <v>0</v>
      </c>
      <c r="J880" t="n">
        <v>0</v>
      </c>
      <c r="K880" t="n">
        <v>0</v>
      </c>
      <c r="L880" t="n">
        <v>0</v>
      </c>
      <c r="M880" t="n">
        <v>0</v>
      </c>
      <c r="N880" t="n">
        <v>0</v>
      </c>
      <c r="O880" t="n">
        <v>0</v>
      </c>
      <c r="P880" t="n">
        <v>0</v>
      </c>
      <c r="Q880" t="n">
        <v>0</v>
      </c>
      <c r="R880" s="2" t="inlineStr"/>
    </row>
    <row r="881" ht="15" customHeight="1">
      <c r="A881" t="inlineStr">
        <is>
          <t>A 17096-2025</t>
        </is>
      </c>
      <c r="B881" s="1" t="n">
        <v>45755.65662037037</v>
      </c>
      <c r="C881" s="1" t="n">
        <v>46161</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16511-2025</t>
        </is>
      </c>
      <c r="B882" s="1" t="n">
        <v>45751</v>
      </c>
      <c r="C882" s="1" t="n">
        <v>46161</v>
      </c>
      <c r="D882" t="inlineStr">
        <is>
          <t>VÄSTERNORRLANDS LÄN</t>
        </is>
      </c>
      <c r="E882" t="inlineStr">
        <is>
          <t>SOLLEFTEÅ</t>
        </is>
      </c>
      <c r="G882" t="n">
        <v>1</v>
      </c>
      <c r="H882" t="n">
        <v>0</v>
      </c>
      <c r="I882" t="n">
        <v>0</v>
      </c>
      <c r="J882" t="n">
        <v>0</v>
      </c>
      <c r="K882" t="n">
        <v>0</v>
      </c>
      <c r="L882" t="n">
        <v>0</v>
      </c>
      <c r="M882" t="n">
        <v>0</v>
      </c>
      <c r="N882" t="n">
        <v>0</v>
      </c>
      <c r="O882" t="n">
        <v>0</v>
      </c>
      <c r="P882" t="n">
        <v>0</v>
      </c>
      <c r="Q882" t="n">
        <v>0</v>
      </c>
      <c r="R882" s="2" t="inlineStr"/>
    </row>
    <row r="883" ht="15" customHeight="1">
      <c r="A883" t="inlineStr">
        <is>
          <t>A 22287-2025</t>
        </is>
      </c>
      <c r="B883" s="1" t="n">
        <v>45786.34409722222</v>
      </c>
      <c r="C883" s="1" t="n">
        <v>46161</v>
      </c>
      <c r="D883" t="inlineStr">
        <is>
          <t>VÄSTERNORRLANDS LÄN</t>
        </is>
      </c>
      <c r="E883" t="inlineStr">
        <is>
          <t>SOLLEFTEÅ</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39270-2025</t>
        </is>
      </c>
      <c r="B884" s="1" t="n">
        <v>45889.38609953703</v>
      </c>
      <c r="C884" s="1" t="n">
        <v>46161</v>
      </c>
      <c r="D884" t="inlineStr">
        <is>
          <t>VÄSTERNORRLANDS LÄN</t>
        </is>
      </c>
      <c r="E884" t="inlineStr">
        <is>
          <t>SOLLEFTEÅ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39286-2025</t>
        </is>
      </c>
      <c r="B885" s="1" t="n">
        <v>45889.40690972222</v>
      </c>
      <c r="C885" s="1" t="n">
        <v>46161</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4838-2025</t>
        </is>
      </c>
      <c r="B886" s="1" t="n">
        <v>45688.67167824074</v>
      </c>
      <c r="C886" s="1" t="n">
        <v>46161</v>
      </c>
      <c r="D886" t="inlineStr">
        <is>
          <t>VÄSTERNORRLANDS LÄN</t>
        </is>
      </c>
      <c r="E886" t="inlineStr">
        <is>
          <t>SOLLEFTEÅ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27382-2023</t>
        </is>
      </c>
      <c r="B887" s="1" t="n">
        <v>45096.93920138889</v>
      </c>
      <c r="C887" s="1" t="n">
        <v>46161</v>
      </c>
      <c r="D887" t="inlineStr">
        <is>
          <t>VÄSTERNORRLANDS LÄN</t>
        </is>
      </c>
      <c r="E887" t="inlineStr">
        <is>
          <t>SOLLEFTEÅ</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27384-2023</t>
        </is>
      </c>
      <c r="B888" s="1" t="n">
        <v>45096.939375</v>
      </c>
      <c r="C888" s="1" t="n">
        <v>46161</v>
      </c>
      <c r="D888" t="inlineStr">
        <is>
          <t>VÄSTERNORRLANDS LÄN</t>
        </is>
      </c>
      <c r="E888" t="inlineStr">
        <is>
          <t>SOLLEFTEÅ</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39656-2025</t>
        </is>
      </c>
      <c r="B889" s="1" t="n">
        <v>45890</v>
      </c>
      <c r="C889" s="1" t="n">
        <v>46161</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39515-2025</t>
        </is>
      </c>
      <c r="B890" s="1" t="n">
        <v>45890.42078703704</v>
      </c>
      <c r="C890" s="1" t="n">
        <v>46161</v>
      </c>
      <c r="D890" t="inlineStr">
        <is>
          <t>VÄSTERNORRLANDS LÄN</t>
        </is>
      </c>
      <c r="E890" t="inlineStr">
        <is>
          <t>SOLLEFTEÅ</t>
        </is>
      </c>
      <c r="G890" t="n">
        <v>5.3</v>
      </c>
      <c r="H890" t="n">
        <v>0</v>
      </c>
      <c r="I890" t="n">
        <v>0</v>
      </c>
      <c r="J890" t="n">
        <v>0</v>
      </c>
      <c r="K890" t="n">
        <v>0</v>
      </c>
      <c r="L890" t="n">
        <v>0</v>
      </c>
      <c r="M890" t="n">
        <v>0</v>
      </c>
      <c r="N890" t="n">
        <v>0</v>
      </c>
      <c r="O890" t="n">
        <v>0</v>
      </c>
      <c r="P890" t="n">
        <v>0</v>
      </c>
      <c r="Q890" t="n">
        <v>0</v>
      </c>
      <c r="R890" s="2" t="inlineStr"/>
    </row>
    <row r="891" ht="15" customHeight="1">
      <c r="A891" t="inlineStr">
        <is>
          <t>A 2456-2025</t>
        </is>
      </c>
      <c r="B891" s="1" t="n">
        <v>45673</v>
      </c>
      <c r="C891" s="1" t="n">
        <v>46161</v>
      </c>
      <c r="D891" t="inlineStr">
        <is>
          <t>VÄSTERNORRLANDS LÄN</t>
        </is>
      </c>
      <c r="E891" t="inlineStr">
        <is>
          <t>SOLLEFTEÅ</t>
        </is>
      </c>
      <c r="F891" t="inlineStr">
        <is>
          <t>Kommuner</t>
        </is>
      </c>
      <c r="G891" t="n">
        <v>2.7</v>
      </c>
      <c r="H891" t="n">
        <v>0</v>
      </c>
      <c r="I891" t="n">
        <v>0</v>
      </c>
      <c r="J891" t="n">
        <v>0</v>
      </c>
      <c r="K891" t="n">
        <v>0</v>
      </c>
      <c r="L891" t="n">
        <v>0</v>
      </c>
      <c r="M891" t="n">
        <v>0</v>
      </c>
      <c r="N891" t="n">
        <v>0</v>
      </c>
      <c r="O891" t="n">
        <v>0</v>
      </c>
      <c r="P891" t="n">
        <v>0</v>
      </c>
      <c r="Q891" t="n">
        <v>0</v>
      </c>
      <c r="R891" s="2" t="inlineStr"/>
    </row>
    <row r="892" ht="15" customHeight="1">
      <c r="A892" t="inlineStr">
        <is>
          <t>A 39568-2025</t>
        </is>
      </c>
      <c r="B892" s="1" t="n">
        <v>45890.48993055556</v>
      </c>
      <c r="C892" s="1" t="n">
        <v>46161</v>
      </c>
      <c r="D892" t="inlineStr">
        <is>
          <t>VÄSTERNORRLANDS LÄN</t>
        </is>
      </c>
      <c r="E892" t="inlineStr">
        <is>
          <t>SOLLEFTEÅ</t>
        </is>
      </c>
      <c r="F892" t="inlineStr">
        <is>
          <t>SCA</t>
        </is>
      </c>
      <c r="G892" t="n">
        <v>14.4</v>
      </c>
      <c r="H892" t="n">
        <v>0</v>
      </c>
      <c r="I892" t="n">
        <v>0</v>
      </c>
      <c r="J892" t="n">
        <v>0</v>
      </c>
      <c r="K892" t="n">
        <v>0</v>
      </c>
      <c r="L892" t="n">
        <v>0</v>
      </c>
      <c r="M892" t="n">
        <v>0</v>
      </c>
      <c r="N892" t="n">
        <v>0</v>
      </c>
      <c r="O892" t="n">
        <v>0</v>
      </c>
      <c r="P892" t="n">
        <v>0</v>
      </c>
      <c r="Q892" t="n">
        <v>0</v>
      </c>
      <c r="R892" s="2" t="inlineStr"/>
    </row>
    <row r="893" ht="15" customHeight="1">
      <c r="A893" t="inlineStr">
        <is>
          <t>A 39935-2025</t>
        </is>
      </c>
      <c r="B893" s="1" t="n">
        <v>45891</v>
      </c>
      <c r="C893" s="1" t="n">
        <v>46161</v>
      </c>
      <c r="D893" t="inlineStr">
        <is>
          <t>VÄSTERNORRLANDS LÄN</t>
        </is>
      </c>
      <c r="E893" t="inlineStr">
        <is>
          <t>SOLLEFTEÅ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39475-2025</t>
        </is>
      </c>
      <c r="B894" s="1" t="n">
        <v>45890.34447916667</v>
      </c>
      <c r="C894" s="1" t="n">
        <v>46161</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63652-2023</t>
        </is>
      </c>
      <c r="B895" s="1" t="n">
        <v>45275</v>
      </c>
      <c r="C895" s="1" t="n">
        <v>46161</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5059-2024</t>
        </is>
      </c>
      <c r="B896" s="1" t="n">
        <v>45329</v>
      </c>
      <c r="C896" s="1" t="n">
        <v>46161</v>
      </c>
      <c r="D896" t="inlineStr">
        <is>
          <t>VÄSTERNORRLANDS LÄN</t>
        </is>
      </c>
      <c r="E896" t="inlineStr">
        <is>
          <t>SOLLEFTEÅ</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49919-2025</t>
        </is>
      </c>
      <c r="B897" s="1" t="n">
        <v>45940.63591435185</v>
      </c>
      <c r="C897" s="1" t="n">
        <v>46161</v>
      </c>
      <c r="D897" t="inlineStr">
        <is>
          <t>VÄSTERNORRLANDS LÄN</t>
        </is>
      </c>
      <c r="E897" t="inlineStr">
        <is>
          <t>SOLLEFTEÅ</t>
        </is>
      </c>
      <c r="F897" t="inlineStr">
        <is>
          <t>SCA</t>
        </is>
      </c>
      <c r="G897" t="n">
        <v>41.5</v>
      </c>
      <c r="H897" t="n">
        <v>0</v>
      </c>
      <c r="I897" t="n">
        <v>0</v>
      </c>
      <c r="J897" t="n">
        <v>0</v>
      </c>
      <c r="K897" t="n">
        <v>0</v>
      </c>
      <c r="L897" t="n">
        <v>0</v>
      </c>
      <c r="M897" t="n">
        <v>0</v>
      </c>
      <c r="N897" t="n">
        <v>0</v>
      </c>
      <c r="O897" t="n">
        <v>0</v>
      </c>
      <c r="P897" t="n">
        <v>0</v>
      </c>
      <c r="Q897" t="n">
        <v>0</v>
      </c>
      <c r="R897" s="2" t="inlineStr"/>
    </row>
    <row r="898" ht="15" customHeight="1">
      <c r="A898" t="inlineStr">
        <is>
          <t>A 22562-2025</t>
        </is>
      </c>
      <c r="B898" s="1" t="n">
        <v>45789.34736111111</v>
      </c>
      <c r="C898" s="1" t="n">
        <v>46161</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41028-2024</t>
        </is>
      </c>
      <c r="B899" s="1" t="n">
        <v>45559.34466435185</v>
      </c>
      <c r="C899" s="1" t="n">
        <v>46161</v>
      </c>
      <c r="D899" t="inlineStr">
        <is>
          <t>VÄSTERNORRLANDS LÄN</t>
        </is>
      </c>
      <c r="E899" t="inlineStr">
        <is>
          <t>SOLLEFTEÅ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55622-2023</t>
        </is>
      </c>
      <c r="B900" s="1" t="n">
        <v>45238</v>
      </c>
      <c r="C900" s="1" t="n">
        <v>46161</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49748-2025</t>
        </is>
      </c>
      <c r="B901" s="1" t="n">
        <v>45940.34472222222</v>
      </c>
      <c r="C901" s="1" t="n">
        <v>46161</v>
      </c>
      <c r="D901" t="inlineStr">
        <is>
          <t>VÄSTERNORRLANDS LÄN</t>
        </is>
      </c>
      <c r="E901" t="inlineStr">
        <is>
          <t>SOLLEFTEÅ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22737-2025</t>
        </is>
      </c>
      <c r="B902" s="1" t="n">
        <v>45789.59130787037</v>
      </c>
      <c r="C902" s="1" t="n">
        <v>46161</v>
      </c>
      <c r="D902" t="inlineStr">
        <is>
          <t>VÄSTERNORRLANDS LÄN</t>
        </is>
      </c>
      <c r="E902" t="inlineStr">
        <is>
          <t>SOLLEFTEÅ</t>
        </is>
      </c>
      <c r="G902" t="n">
        <v>15.6</v>
      </c>
      <c r="H902" t="n">
        <v>0</v>
      </c>
      <c r="I902" t="n">
        <v>0</v>
      </c>
      <c r="J902" t="n">
        <v>0</v>
      </c>
      <c r="K902" t="n">
        <v>0</v>
      </c>
      <c r="L902" t="n">
        <v>0</v>
      </c>
      <c r="M902" t="n">
        <v>0</v>
      </c>
      <c r="N902" t="n">
        <v>0</v>
      </c>
      <c r="O902" t="n">
        <v>0</v>
      </c>
      <c r="P902" t="n">
        <v>0</v>
      </c>
      <c r="Q902" t="n">
        <v>0</v>
      </c>
      <c r="R902" s="2" t="inlineStr"/>
    </row>
    <row r="903" ht="15" customHeight="1">
      <c r="A903" t="inlineStr">
        <is>
          <t>A 49750-2025</t>
        </is>
      </c>
      <c r="B903" s="1" t="n">
        <v>45940.34497685185</v>
      </c>
      <c r="C903" s="1" t="n">
        <v>46161</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39602-2025</t>
        </is>
      </c>
      <c r="B904" s="1" t="n">
        <v>45890.55296296296</v>
      </c>
      <c r="C904" s="1" t="n">
        <v>46161</v>
      </c>
      <c r="D904" t="inlineStr">
        <is>
          <t>VÄSTERNORRLANDS LÄN</t>
        </is>
      </c>
      <c r="E904" t="inlineStr">
        <is>
          <t>SOLLEFTEÅ</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39619-2025</t>
        </is>
      </c>
      <c r="B905" s="1" t="n">
        <v>45890.57347222222</v>
      </c>
      <c r="C905" s="1" t="n">
        <v>46161</v>
      </c>
      <c r="D905" t="inlineStr">
        <is>
          <t>VÄSTERNORRLANDS LÄN</t>
        </is>
      </c>
      <c r="E905" t="inlineStr">
        <is>
          <t>SOLLEFTEÅ</t>
        </is>
      </c>
      <c r="F905" t="inlineStr">
        <is>
          <t>SCA</t>
        </is>
      </c>
      <c r="G905" t="n">
        <v>6.6</v>
      </c>
      <c r="H905" t="n">
        <v>0</v>
      </c>
      <c r="I905" t="n">
        <v>0</v>
      </c>
      <c r="J905" t="n">
        <v>0</v>
      </c>
      <c r="K905" t="n">
        <v>0</v>
      </c>
      <c r="L905" t="n">
        <v>0</v>
      </c>
      <c r="M905" t="n">
        <v>0</v>
      </c>
      <c r="N905" t="n">
        <v>0</v>
      </c>
      <c r="O905" t="n">
        <v>0</v>
      </c>
      <c r="P905" t="n">
        <v>0</v>
      </c>
      <c r="Q905" t="n">
        <v>0</v>
      </c>
      <c r="R905" s="2" t="inlineStr"/>
    </row>
    <row r="906" ht="15" customHeight="1">
      <c r="A906" t="inlineStr">
        <is>
          <t>A 26172-2024</t>
        </is>
      </c>
      <c r="B906" s="1" t="n">
        <v>45468</v>
      </c>
      <c r="C906" s="1" t="n">
        <v>46161</v>
      </c>
      <c r="D906" t="inlineStr">
        <is>
          <t>VÄSTERNORRLANDS LÄN</t>
        </is>
      </c>
      <c r="E906" t="inlineStr">
        <is>
          <t>SOLLEFTEÅ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49920-2025</t>
        </is>
      </c>
      <c r="B907" s="1" t="n">
        <v>45940.63611111111</v>
      </c>
      <c r="C907" s="1" t="n">
        <v>46161</v>
      </c>
      <c r="D907" t="inlineStr">
        <is>
          <t>VÄSTERNORRLANDS LÄN</t>
        </is>
      </c>
      <c r="E907" t="inlineStr">
        <is>
          <t>SOLLEFTEÅ</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49933-2025</t>
        </is>
      </c>
      <c r="B908" s="1" t="n">
        <v>45940.65717592592</v>
      </c>
      <c r="C908" s="1" t="n">
        <v>46161</v>
      </c>
      <c r="D908" t="inlineStr">
        <is>
          <t>VÄSTERNORRLANDS LÄN</t>
        </is>
      </c>
      <c r="E908" t="inlineStr">
        <is>
          <t>SOLLEFTEÅ</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50627-2025</t>
        </is>
      </c>
      <c r="B909" s="1" t="n">
        <v>45945</v>
      </c>
      <c r="C909" s="1" t="n">
        <v>46161</v>
      </c>
      <c r="D909" t="inlineStr">
        <is>
          <t>VÄSTERNORRLANDS LÄN</t>
        </is>
      </c>
      <c r="E909" t="inlineStr">
        <is>
          <t>SOLLEFTEÅ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50505-2025</t>
        </is>
      </c>
      <c r="B910" s="1" t="n">
        <v>45945.42863425926</v>
      </c>
      <c r="C910" s="1" t="n">
        <v>46161</v>
      </c>
      <c r="D910" t="inlineStr">
        <is>
          <t>VÄSTERNORRLANDS LÄN</t>
        </is>
      </c>
      <c r="E910" t="inlineStr">
        <is>
          <t>SOLLEFTEÅ</t>
        </is>
      </c>
      <c r="F910" t="inlineStr">
        <is>
          <t>SCA</t>
        </is>
      </c>
      <c r="G910" t="n">
        <v>14.6</v>
      </c>
      <c r="H910" t="n">
        <v>0</v>
      </c>
      <c r="I910" t="n">
        <v>0</v>
      </c>
      <c r="J910" t="n">
        <v>0</v>
      </c>
      <c r="K910" t="n">
        <v>0</v>
      </c>
      <c r="L910" t="n">
        <v>0</v>
      </c>
      <c r="M910" t="n">
        <v>0</v>
      </c>
      <c r="N910" t="n">
        <v>0</v>
      </c>
      <c r="O910" t="n">
        <v>0</v>
      </c>
      <c r="P910" t="n">
        <v>0</v>
      </c>
      <c r="Q910" t="n">
        <v>0</v>
      </c>
      <c r="R910" s="2" t="inlineStr"/>
    </row>
    <row r="911" ht="15" customHeight="1">
      <c r="A911" t="inlineStr">
        <is>
          <t>A 50522-2025</t>
        </is>
      </c>
      <c r="B911" s="1" t="n">
        <v>45945</v>
      </c>
      <c r="C911" s="1" t="n">
        <v>46161</v>
      </c>
      <c r="D911" t="inlineStr">
        <is>
          <t>VÄSTERNORRLANDS LÄN</t>
        </is>
      </c>
      <c r="E911" t="inlineStr">
        <is>
          <t>SOLLEFTEÅ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22704-2025</t>
        </is>
      </c>
      <c r="B912" s="1" t="n">
        <v>45789.55251157407</v>
      </c>
      <c r="C912" s="1" t="n">
        <v>46161</v>
      </c>
      <c r="D912" t="inlineStr">
        <is>
          <t>VÄSTERNORRLANDS LÄN</t>
        </is>
      </c>
      <c r="E912" t="inlineStr">
        <is>
          <t>SOLLEFTEÅ</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50402-2025</t>
        </is>
      </c>
      <c r="B913" s="1" t="n">
        <v>45944.63606481482</v>
      </c>
      <c r="C913" s="1" t="n">
        <v>46161</v>
      </c>
      <c r="D913" t="inlineStr">
        <is>
          <t>VÄSTERNORRLANDS LÄN</t>
        </is>
      </c>
      <c r="E913" t="inlineStr">
        <is>
          <t>SOLLEFTEÅ</t>
        </is>
      </c>
      <c r="F913" t="inlineStr">
        <is>
          <t>SCA</t>
        </is>
      </c>
      <c r="G913" t="n">
        <v>6.1</v>
      </c>
      <c r="H913" t="n">
        <v>0</v>
      </c>
      <c r="I913" t="n">
        <v>0</v>
      </c>
      <c r="J913" t="n">
        <v>0</v>
      </c>
      <c r="K913" t="n">
        <v>0</v>
      </c>
      <c r="L913" t="n">
        <v>0</v>
      </c>
      <c r="M913" t="n">
        <v>0</v>
      </c>
      <c r="N913" t="n">
        <v>0</v>
      </c>
      <c r="O913" t="n">
        <v>0</v>
      </c>
      <c r="P913" t="n">
        <v>0</v>
      </c>
      <c r="Q913" t="n">
        <v>0</v>
      </c>
      <c r="R913" s="2" t="inlineStr"/>
    </row>
    <row r="914" ht="15" customHeight="1">
      <c r="A914" t="inlineStr">
        <is>
          <t>A 22866-2025</t>
        </is>
      </c>
      <c r="B914" s="1" t="n">
        <v>45790.36519675926</v>
      </c>
      <c r="C914" s="1" t="n">
        <v>46161</v>
      </c>
      <c r="D914" t="inlineStr">
        <is>
          <t>VÄSTERNORRLANDS LÄN</t>
        </is>
      </c>
      <c r="E914" t="inlineStr">
        <is>
          <t>SOLLEFTEÅ</t>
        </is>
      </c>
      <c r="F914" t="inlineStr">
        <is>
          <t>SCA</t>
        </is>
      </c>
      <c r="G914" t="n">
        <v>16.2</v>
      </c>
      <c r="H914" t="n">
        <v>0</v>
      </c>
      <c r="I914" t="n">
        <v>0</v>
      </c>
      <c r="J914" t="n">
        <v>0</v>
      </c>
      <c r="K914" t="n">
        <v>0</v>
      </c>
      <c r="L914" t="n">
        <v>0</v>
      </c>
      <c r="M914" t="n">
        <v>0</v>
      </c>
      <c r="N914" t="n">
        <v>0</v>
      </c>
      <c r="O914" t="n">
        <v>0</v>
      </c>
      <c r="P914" t="n">
        <v>0</v>
      </c>
      <c r="Q914" t="n">
        <v>0</v>
      </c>
      <c r="R914" s="2" t="inlineStr"/>
    </row>
    <row r="915" ht="15" customHeight="1">
      <c r="A915" t="inlineStr">
        <is>
          <t>A 50283-2025</t>
        </is>
      </c>
      <c r="B915" s="1" t="n">
        <v>45944.38641203703</v>
      </c>
      <c r="C915" s="1" t="n">
        <v>46161</v>
      </c>
      <c r="D915" t="inlineStr">
        <is>
          <t>VÄSTERNORRLANDS LÄN</t>
        </is>
      </c>
      <c r="E915" t="inlineStr">
        <is>
          <t>SOLLEFTEÅ</t>
        </is>
      </c>
      <c r="F915" t="inlineStr">
        <is>
          <t>SCA</t>
        </is>
      </c>
      <c r="G915" t="n">
        <v>7</v>
      </c>
      <c r="H915" t="n">
        <v>0</v>
      </c>
      <c r="I915" t="n">
        <v>0</v>
      </c>
      <c r="J915" t="n">
        <v>0</v>
      </c>
      <c r="K915" t="n">
        <v>0</v>
      </c>
      <c r="L915" t="n">
        <v>0</v>
      </c>
      <c r="M915" t="n">
        <v>0</v>
      </c>
      <c r="N915" t="n">
        <v>0</v>
      </c>
      <c r="O915" t="n">
        <v>0</v>
      </c>
      <c r="P915" t="n">
        <v>0</v>
      </c>
      <c r="Q915" t="n">
        <v>0</v>
      </c>
      <c r="R915" s="2" t="inlineStr"/>
    </row>
    <row r="916" ht="15" customHeight="1">
      <c r="A916" t="inlineStr">
        <is>
          <t>A 918-2023</t>
        </is>
      </c>
      <c r="B916" s="1" t="n">
        <v>44931.95329861111</v>
      </c>
      <c r="C916" s="1" t="n">
        <v>46161</v>
      </c>
      <c r="D916" t="inlineStr">
        <is>
          <t>VÄSTERNORRLANDS LÄN</t>
        </is>
      </c>
      <c r="E916" t="inlineStr">
        <is>
          <t>SOLLEFTEÅ</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39664-2025</t>
        </is>
      </c>
      <c r="B917" s="1" t="n">
        <v>45890.63596064815</v>
      </c>
      <c r="C917" s="1" t="n">
        <v>46161</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39671-2025</t>
        </is>
      </c>
      <c r="B918" s="1" t="n">
        <v>45890</v>
      </c>
      <c r="C918" s="1" t="n">
        <v>46161</v>
      </c>
      <c r="D918" t="inlineStr">
        <is>
          <t>VÄSTERNORRLANDS LÄN</t>
        </is>
      </c>
      <c r="E918" t="inlineStr">
        <is>
          <t>SOLLEFTEÅ</t>
        </is>
      </c>
      <c r="G918" t="n">
        <v>1.5</v>
      </c>
      <c r="H918" t="n">
        <v>0</v>
      </c>
      <c r="I918" t="n">
        <v>0</v>
      </c>
      <c r="J918" t="n">
        <v>0</v>
      </c>
      <c r="K918" t="n">
        <v>0</v>
      </c>
      <c r="L918" t="n">
        <v>0</v>
      </c>
      <c r="M918" t="n">
        <v>0</v>
      </c>
      <c r="N918" t="n">
        <v>0</v>
      </c>
      <c r="O918" t="n">
        <v>0</v>
      </c>
      <c r="P918" t="n">
        <v>0</v>
      </c>
      <c r="Q918" t="n">
        <v>0</v>
      </c>
      <c r="R918" s="2" t="inlineStr"/>
    </row>
    <row r="919" ht="15" customHeight="1">
      <c r="A919" t="inlineStr">
        <is>
          <t>A 13637-2025</t>
        </is>
      </c>
      <c r="B919" s="1" t="n">
        <v>45736.65681712963</v>
      </c>
      <c r="C919" s="1" t="n">
        <v>46161</v>
      </c>
      <c r="D919" t="inlineStr">
        <is>
          <t>VÄSTERNORRLANDS LÄN</t>
        </is>
      </c>
      <c r="E919" t="inlineStr">
        <is>
          <t>SOLLEFTEÅ</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13652-2025</t>
        </is>
      </c>
      <c r="B920" s="1" t="n">
        <v>45736.71909722222</v>
      </c>
      <c r="C920" s="1" t="n">
        <v>46161</v>
      </c>
      <c r="D920" t="inlineStr">
        <is>
          <t>VÄSTERNORRLANDS LÄN</t>
        </is>
      </c>
      <c r="E920" t="inlineStr">
        <is>
          <t>SOLLEFTEÅ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19682-2025</t>
        </is>
      </c>
      <c r="B921" s="1" t="n">
        <v>45770.85163194445</v>
      </c>
      <c r="C921" s="1" t="n">
        <v>46161</v>
      </c>
      <c r="D921" t="inlineStr">
        <is>
          <t>VÄSTERNORRLANDS LÄN</t>
        </is>
      </c>
      <c r="E921" t="inlineStr">
        <is>
          <t>SOLLEFTEÅ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20389-2025</t>
        </is>
      </c>
      <c r="B922" s="1" t="n">
        <v>45775</v>
      </c>
      <c r="C922" s="1" t="n">
        <v>46161</v>
      </c>
      <c r="D922" t="inlineStr">
        <is>
          <t>VÄSTERNORRLANDS LÄN</t>
        </is>
      </c>
      <c r="E922" t="inlineStr">
        <is>
          <t>SOLLEFTEÅ</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61089-2024</t>
        </is>
      </c>
      <c r="B923" s="1" t="n">
        <v>45644</v>
      </c>
      <c r="C923" s="1" t="n">
        <v>46161</v>
      </c>
      <c r="D923" t="inlineStr">
        <is>
          <t>VÄSTERNORRLANDS LÄN</t>
        </is>
      </c>
      <c r="E923" t="inlineStr">
        <is>
          <t>SOLLEFTEÅ</t>
        </is>
      </c>
      <c r="G923" t="n">
        <v>4.5</v>
      </c>
      <c r="H923" t="n">
        <v>0</v>
      </c>
      <c r="I923" t="n">
        <v>0</v>
      </c>
      <c r="J923" t="n">
        <v>0</v>
      </c>
      <c r="K923" t="n">
        <v>0</v>
      </c>
      <c r="L923" t="n">
        <v>0</v>
      </c>
      <c r="M923" t="n">
        <v>0</v>
      </c>
      <c r="N923" t="n">
        <v>0</v>
      </c>
      <c r="O923" t="n">
        <v>0</v>
      </c>
      <c r="P923" t="n">
        <v>0</v>
      </c>
      <c r="Q923" t="n">
        <v>0</v>
      </c>
      <c r="R923" s="2" t="inlineStr"/>
    </row>
    <row r="924" ht="15" customHeight="1">
      <c r="A924" t="inlineStr">
        <is>
          <t>A 50281-2025</t>
        </is>
      </c>
      <c r="B924" s="1" t="n">
        <v>45944.38600694444</v>
      </c>
      <c r="C924" s="1" t="n">
        <v>46161</v>
      </c>
      <c r="D924" t="inlineStr">
        <is>
          <t>VÄSTERNORRLANDS LÄN</t>
        </is>
      </c>
      <c r="E924" t="inlineStr">
        <is>
          <t>SOLLEFTEÅ</t>
        </is>
      </c>
      <c r="F924" t="inlineStr">
        <is>
          <t>SCA</t>
        </is>
      </c>
      <c r="G924" t="n">
        <v>29.2</v>
      </c>
      <c r="H924" t="n">
        <v>0</v>
      </c>
      <c r="I924" t="n">
        <v>0</v>
      </c>
      <c r="J924" t="n">
        <v>0</v>
      </c>
      <c r="K924" t="n">
        <v>0</v>
      </c>
      <c r="L924" t="n">
        <v>0</v>
      </c>
      <c r="M924" t="n">
        <v>0</v>
      </c>
      <c r="N924" t="n">
        <v>0</v>
      </c>
      <c r="O924" t="n">
        <v>0</v>
      </c>
      <c r="P924" t="n">
        <v>0</v>
      </c>
      <c r="Q924" t="n">
        <v>0</v>
      </c>
      <c r="R924" s="2" t="inlineStr"/>
    </row>
    <row r="925" ht="15" customHeight="1">
      <c r="A925" t="inlineStr">
        <is>
          <t>A 25338-2022</t>
        </is>
      </c>
      <c r="B925" s="1" t="n">
        <v>44731</v>
      </c>
      <c r="C925" s="1" t="n">
        <v>46161</v>
      </c>
      <c r="D925" t="inlineStr">
        <is>
          <t>VÄSTERNORRLANDS LÄN</t>
        </is>
      </c>
      <c r="E925" t="inlineStr">
        <is>
          <t>SOLLEFTEÅ</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22514-2025</t>
        </is>
      </c>
      <c r="B926" s="1" t="n">
        <v>45786.67755787037</v>
      </c>
      <c r="C926" s="1" t="n">
        <v>46161</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23090-2025</t>
        </is>
      </c>
      <c r="B927" s="1" t="n">
        <v>45791.34443287037</v>
      </c>
      <c r="C927" s="1" t="n">
        <v>46161</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40174-2025</t>
        </is>
      </c>
      <c r="B928" s="1" t="n">
        <v>45894.63587962963</v>
      </c>
      <c r="C928" s="1" t="n">
        <v>46161</v>
      </c>
      <c r="D928" t="inlineStr">
        <is>
          <t>VÄSTERNORRLANDS LÄN</t>
        </is>
      </c>
      <c r="E928" t="inlineStr">
        <is>
          <t>SOLLEFTEÅ</t>
        </is>
      </c>
      <c r="F928" t="inlineStr">
        <is>
          <t>SCA</t>
        </is>
      </c>
      <c r="G928" t="n">
        <v>9.6</v>
      </c>
      <c r="H928" t="n">
        <v>0</v>
      </c>
      <c r="I928" t="n">
        <v>0</v>
      </c>
      <c r="J928" t="n">
        <v>0</v>
      </c>
      <c r="K928" t="n">
        <v>0</v>
      </c>
      <c r="L928" t="n">
        <v>0</v>
      </c>
      <c r="M928" t="n">
        <v>0</v>
      </c>
      <c r="N928" t="n">
        <v>0</v>
      </c>
      <c r="O928" t="n">
        <v>0</v>
      </c>
      <c r="P928" t="n">
        <v>0</v>
      </c>
      <c r="Q928" t="n">
        <v>0</v>
      </c>
      <c r="R928" s="2" t="inlineStr"/>
    </row>
    <row r="929" ht="15" customHeight="1">
      <c r="A929" t="inlineStr">
        <is>
          <t>A 50245-2025</t>
        </is>
      </c>
      <c r="B929" s="1" t="n">
        <v>45944.30101851852</v>
      </c>
      <c r="C929" s="1" t="n">
        <v>46161</v>
      </c>
      <c r="D929" t="inlineStr">
        <is>
          <t>VÄSTERNORRLANDS LÄN</t>
        </is>
      </c>
      <c r="E929" t="inlineStr">
        <is>
          <t>SOLLEFTEÅ</t>
        </is>
      </c>
      <c r="F929" t="inlineStr">
        <is>
          <t>Holmen skog AB</t>
        </is>
      </c>
      <c r="G929" t="n">
        <v>5.8</v>
      </c>
      <c r="H929" t="n">
        <v>0</v>
      </c>
      <c r="I929" t="n">
        <v>0</v>
      </c>
      <c r="J929" t="n">
        <v>0</v>
      </c>
      <c r="K929" t="n">
        <v>0</v>
      </c>
      <c r="L929" t="n">
        <v>0</v>
      </c>
      <c r="M929" t="n">
        <v>0</v>
      </c>
      <c r="N929" t="n">
        <v>0</v>
      </c>
      <c r="O929" t="n">
        <v>0</v>
      </c>
      <c r="P929" t="n">
        <v>0</v>
      </c>
      <c r="Q929" t="n">
        <v>0</v>
      </c>
      <c r="R929" s="2" t="inlineStr"/>
    </row>
    <row r="930" ht="15" customHeight="1">
      <c r="A930" t="inlineStr">
        <is>
          <t>A 40048-2025</t>
        </is>
      </c>
      <c r="B930" s="1" t="n">
        <v>45894.40679398148</v>
      </c>
      <c r="C930" s="1" t="n">
        <v>46161</v>
      </c>
      <c r="D930" t="inlineStr">
        <is>
          <t>VÄSTERNORRLANDS LÄN</t>
        </is>
      </c>
      <c r="E930" t="inlineStr">
        <is>
          <t>SOLLEFTEÅ</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40050-2025</t>
        </is>
      </c>
      <c r="B931" s="1" t="n">
        <v>45894.40717592592</v>
      </c>
      <c r="C931" s="1" t="n">
        <v>46161</v>
      </c>
      <c r="D931" t="inlineStr">
        <is>
          <t>VÄSTERNORRLANDS LÄN</t>
        </is>
      </c>
      <c r="E931" t="inlineStr">
        <is>
          <t>SOLLEFTEÅ</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50645-2025</t>
        </is>
      </c>
      <c r="B932" s="1" t="n">
        <v>45945.65685185185</v>
      </c>
      <c r="C932" s="1" t="n">
        <v>46161</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50388-2025</t>
        </is>
      </c>
      <c r="B933" s="1" t="n">
        <v>45944.61509259259</v>
      </c>
      <c r="C933" s="1" t="n">
        <v>46161</v>
      </c>
      <c r="D933" t="inlineStr">
        <is>
          <t>VÄSTERNORRLANDS LÄN</t>
        </is>
      </c>
      <c r="E933" t="inlineStr">
        <is>
          <t>SOLLEFTEÅ</t>
        </is>
      </c>
      <c r="F933" t="inlineStr">
        <is>
          <t>SCA</t>
        </is>
      </c>
      <c r="G933" t="n">
        <v>22.8</v>
      </c>
      <c r="H933" t="n">
        <v>0</v>
      </c>
      <c r="I933" t="n">
        <v>0</v>
      </c>
      <c r="J933" t="n">
        <v>0</v>
      </c>
      <c r="K933" t="n">
        <v>0</v>
      </c>
      <c r="L933" t="n">
        <v>0</v>
      </c>
      <c r="M933" t="n">
        <v>0</v>
      </c>
      <c r="N933" t="n">
        <v>0</v>
      </c>
      <c r="O933" t="n">
        <v>0</v>
      </c>
      <c r="P933" t="n">
        <v>0</v>
      </c>
      <c r="Q933" t="n">
        <v>0</v>
      </c>
      <c r="R933" s="2" t="inlineStr"/>
    </row>
    <row r="934" ht="15" customHeight="1">
      <c r="A934" t="inlineStr">
        <is>
          <t>A 50493-2025</t>
        </is>
      </c>
      <c r="B934" s="1" t="n">
        <v>45945.40685185185</v>
      </c>
      <c r="C934" s="1" t="n">
        <v>46161</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50555-2025</t>
        </is>
      </c>
      <c r="B935" s="1" t="n">
        <v>45945.53164351852</v>
      </c>
      <c r="C935" s="1" t="n">
        <v>46161</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50859-2025</t>
        </is>
      </c>
      <c r="B936" s="1" t="n">
        <v>45946.59450231482</v>
      </c>
      <c r="C936" s="1" t="n">
        <v>46161</v>
      </c>
      <c r="D936" t="inlineStr">
        <is>
          <t>VÄSTERNORRLANDS LÄN</t>
        </is>
      </c>
      <c r="E936" t="inlineStr">
        <is>
          <t>SOLLEFTEÅ</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51226-2025</t>
        </is>
      </c>
      <c r="B937" s="1" t="n">
        <v>45947.65663194445</v>
      </c>
      <c r="C937" s="1" t="n">
        <v>46161</v>
      </c>
      <c r="D937" t="inlineStr">
        <is>
          <t>VÄSTERNORRLANDS LÄN</t>
        </is>
      </c>
      <c r="E937" t="inlineStr">
        <is>
          <t>SOLLEFTEÅ</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22854-2025</t>
        </is>
      </c>
      <c r="B938" s="1" t="n">
        <v>45790.34457175926</v>
      </c>
      <c r="C938" s="1" t="n">
        <v>46161</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40008-2025</t>
        </is>
      </c>
      <c r="B939" s="1" t="n">
        <v>45894.34431712963</v>
      </c>
      <c r="C939" s="1" t="n">
        <v>46161</v>
      </c>
      <c r="D939" t="inlineStr">
        <is>
          <t>VÄSTERNORRLANDS LÄN</t>
        </is>
      </c>
      <c r="E939" t="inlineStr">
        <is>
          <t>SOLLEFTEÅ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40302-2025</t>
        </is>
      </c>
      <c r="B940" s="1" t="n">
        <v>45895.40662037037</v>
      </c>
      <c r="C940" s="1" t="n">
        <v>46161</v>
      </c>
      <c r="D940" t="inlineStr">
        <is>
          <t>VÄSTERNORRLANDS LÄN</t>
        </is>
      </c>
      <c r="E940" t="inlineStr">
        <is>
          <t>SOLLEFTEÅ</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46850-2024</t>
        </is>
      </c>
      <c r="B941" s="1" t="n">
        <v>45583.61513888889</v>
      </c>
      <c r="C941" s="1" t="n">
        <v>46161</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51029-2021</t>
        </is>
      </c>
      <c r="B942" s="1" t="n">
        <v>44460.94086805556</v>
      </c>
      <c r="C942" s="1" t="n">
        <v>46161</v>
      </c>
      <c r="D942" t="inlineStr">
        <is>
          <t>VÄSTERNORRLANDS LÄN</t>
        </is>
      </c>
      <c r="E942" t="inlineStr">
        <is>
          <t>SOLLEFTEÅ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3424-2025</t>
        </is>
      </c>
      <c r="B943" s="1" t="n">
        <v>45680</v>
      </c>
      <c r="C943" s="1" t="n">
        <v>46161</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40468-2025</t>
        </is>
      </c>
      <c r="B944" s="1" t="n">
        <v>45895.66416666667</v>
      </c>
      <c r="C944" s="1" t="n">
        <v>46161</v>
      </c>
      <c r="D944" t="inlineStr">
        <is>
          <t>VÄSTERNORRLANDS LÄN</t>
        </is>
      </c>
      <c r="E944" t="inlineStr">
        <is>
          <t>SOLLEFTEÅ</t>
        </is>
      </c>
      <c r="G944" t="n">
        <v>1</v>
      </c>
      <c r="H944" t="n">
        <v>0</v>
      </c>
      <c r="I944" t="n">
        <v>0</v>
      </c>
      <c r="J944" t="n">
        <v>0</v>
      </c>
      <c r="K944" t="n">
        <v>0</v>
      </c>
      <c r="L944" t="n">
        <v>0</v>
      </c>
      <c r="M944" t="n">
        <v>0</v>
      </c>
      <c r="N944" t="n">
        <v>0</v>
      </c>
      <c r="O944" t="n">
        <v>0</v>
      </c>
      <c r="P944" t="n">
        <v>0</v>
      </c>
      <c r="Q944" t="n">
        <v>0</v>
      </c>
      <c r="R944" s="2" t="inlineStr"/>
    </row>
    <row r="945" ht="15" customHeight="1">
      <c r="A945" t="inlineStr">
        <is>
          <t>A 23339-2025</t>
        </is>
      </c>
      <c r="B945" s="1" t="n">
        <v>45791.65577546296</v>
      </c>
      <c r="C945" s="1" t="n">
        <v>46161</v>
      </c>
      <c r="D945" t="inlineStr">
        <is>
          <t>VÄSTERNORRLANDS LÄN</t>
        </is>
      </c>
      <c r="E945" t="inlineStr">
        <is>
          <t>SOLLEFTEÅ</t>
        </is>
      </c>
      <c r="G945" t="n">
        <v>3.9</v>
      </c>
      <c r="H945" t="n">
        <v>0</v>
      </c>
      <c r="I945" t="n">
        <v>0</v>
      </c>
      <c r="J945" t="n">
        <v>0</v>
      </c>
      <c r="K945" t="n">
        <v>0</v>
      </c>
      <c r="L945" t="n">
        <v>0</v>
      </c>
      <c r="M945" t="n">
        <v>0</v>
      </c>
      <c r="N945" t="n">
        <v>0</v>
      </c>
      <c r="O945" t="n">
        <v>0</v>
      </c>
      <c r="P945" t="n">
        <v>0</v>
      </c>
      <c r="Q945" t="n">
        <v>0</v>
      </c>
      <c r="R945" s="2" t="inlineStr"/>
    </row>
    <row r="946" ht="15" customHeight="1">
      <c r="A946" t="inlineStr">
        <is>
          <t>A 13639-2025</t>
        </is>
      </c>
      <c r="B946" s="1" t="n">
        <v>45736.65710648148</v>
      </c>
      <c r="C946" s="1" t="n">
        <v>46161</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22853-2025</t>
        </is>
      </c>
      <c r="B947" s="1" t="n">
        <v>45790.34443287037</v>
      </c>
      <c r="C947" s="1" t="n">
        <v>46161</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42915-2024</t>
        </is>
      </c>
      <c r="B948" s="1" t="n">
        <v>45566</v>
      </c>
      <c r="C948" s="1" t="n">
        <v>46161</v>
      </c>
      <c r="D948" t="inlineStr">
        <is>
          <t>VÄSTERNORRLANDS LÄN</t>
        </is>
      </c>
      <c r="E948" t="inlineStr">
        <is>
          <t>SOLLEFTEÅ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40049-2025</t>
        </is>
      </c>
      <c r="B949" s="1" t="n">
        <v>45894</v>
      </c>
      <c r="C949" s="1" t="n">
        <v>46161</v>
      </c>
      <c r="D949" t="inlineStr">
        <is>
          <t>VÄSTERNORRLANDS LÄN</t>
        </is>
      </c>
      <c r="E949" t="inlineStr">
        <is>
          <t>SOLLEFTEÅ</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40358-2025</t>
        </is>
      </c>
      <c r="B950" s="1" t="n">
        <v>45895.48995370371</v>
      </c>
      <c r="C950" s="1" t="n">
        <v>46161</v>
      </c>
      <c r="D950" t="inlineStr">
        <is>
          <t>VÄSTERNORRLANDS LÄN</t>
        </is>
      </c>
      <c r="E950" t="inlineStr">
        <is>
          <t>SOLLEFTEÅ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45778-2024</t>
        </is>
      </c>
      <c r="B951" s="1" t="n">
        <v>45579.66471064815</v>
      </c>
      <c r="C951" s="1" t="n">
        <v>46161</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38972-2025</t>
        </is>
      </c>
      <c r="B952" s="1" t="n">
        <v>45887</v>
      </c>
      <c r="C952" s="1" t="n">
        <v>46161</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11334-2024</t>
        </is>
      </c>
      <c r="B953" s="1" t="n">
        <v>45372</v>
      </c>
      <c r="C953" s="1" t="n">
        <v>46161</v>
      </c>
      <c r="D953" t="inlineStr">
        <is>
          <t>VÄSTERNORRLANDS LÄN</t>
        </is>
      </c>
      <c r="E953" t="inlineStr">
        <is>
          <t>SOLLEFTEÅ</t>
        </is>
      </c>
      <c r="F953" t="inlineStr">
        <is>
          <t>SCA</t>
        </is>
      </c>
      <c r="G953" t="n">
        <v>11.7</v>
      </c>
      <c r="H953" t="n">
        <v>0</v>
      </c>
      <c r="I953" t="n">
        <v>0</v>
      </c>
      <c r="J953" t="n">
        <v>0</v>
      </c>
      <c r="K953" t="n">
        <v>0</v>
      </c>
      <c r="L953" t="n">
        <v>0</v>
      </c>
      <c r="M953" t="n">
        <v>0</v>
      </c>
      <c r="N953" t="n">
        <v>0</v>
      </c>
      <c r="O953" t="n">
        <v>0</v>
      </c>
      <c r="P953" t="n">
        <v>0</v>
      </c>
      <c r="Q953" t="n">
        <v>0</v>
      </c>
      <c r="R953" s="2" t="inlineStr"/>
    </row>
    <row r="954" ht="15" customHeight="1">
      <c r="A954" t="inlineStr">
        <is>
          <t>A 38973-2025</t>
        </is>
      </c>
      <c r="B954" s="1" t="n">
        <v>45887</v>
      </c>
      <c r="C954" s="1" t="n">
        <v>46161</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40175-2025</t>
        </is>
      </c>
      <c r="B955" s="1" t="n">
        <v>45894.63609953703</v>
      </c>
      <c r="C955" s="1" t="n">
        <v>46161</v>
      </c>
      <c r="D955" t="inlineStr">
        <is>
          <t>VÄSTERNORRLANDS LÄN</t>
        </is>
      </c>
      <c r="E955" t="inlineStr">
        <is>
          <t>SOLLEFTEÅ</t>
        </is>
      </c>
      <c r="F955" t="inlineStr">
        <is>
          <t>SCA</t>
        </is>
      </c>
      <c r="G955" t="n">
        <v>21.2</v>
      </c>
      <c r="H955" t="n">
        <v>0</v>
      </c>
      <c r="I955" t="n">
        <v>0</v>
      </c>
      <c r="J955" t="n">
        <v>0</v>
      </c>
      <c r="K955" t="n">
        <v>0</v>
      </c>
      <c r="L955" t="n">
        <v>0</v>
      </c>
      <c r="M955" t="n">
        <v>0</v>
      </c>
      <c r="N955" t="n">
        <v>0</v>
      </c>
      <c r="O955" t="n">
        <v>0</v>
      </c>
      <c r="P955" t="n">
        <v>0</v>
      </c>
      <c r="Q955" t="n">
        <v>0</v>
      </c>
      <c r="R955" s="2" t="inlineStr"/>
    </row>
    <row r="956" ht="15" customHeight="1">
      <c r="A956" t="inlineStr">
        <is>
          <t>A 23409-2025</t>
        </is>
      </c>
      <c r="B956" s="1" t="n">
        <v>45792.34560185186</v>
      </c>
      <c r="C956" s="1" t="n">
        <v>46161</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51118-2025</t>
        </is>
      </c>
      <c r="B957" s="1" t="n">
        <v>45947.53177083333</v>
      </c>
      <c r="C957" s="1" t="n">
        <v>46161</v>
      </c>
      <c r="D957" t="inlineStr">
        <is>
          <t>VÄSTERNORRLANDS LÄN</t>
        </is>
      </c>
      <c r="E957" t="inlineStr">
        <is>
          <t>SOLLEFTEÅ</t>
        </is>
      </c>
      <c r="G957" t="n">
        <v>1.7</v>
      </c>
      <c r="H957" t="n">
        <v>0</v>
      </c>
      <c r="I957" t="n">
        <v>0</v>
      </c>
      <c r="J957" t="n">
        <v>0</v>
      </c>
      <c r="K957" t="n">
        <v>0</v>
      </c>
      <c r="L957" t="n">
        <v>0</v>
      </c>
      <c r="M957" t="n">
        <v>0</v>
      </c>
      <c r="N957" t="n">
        <v>0</v>
      </c>
      <c r="O957" t="n">
        <v>0</v>
      </c>
      <c r="P957" t="n">
        <v>0</v>
      </c>
      <c r="Q957" t="n">
        <v>0</v>
      </c>
      <c r="R957" s="2" t="inlineStr"/>
    </row>
    <row r="958" ht="15" customHeight="1">
      <c r="A958" t="inlineStr">
        <is>
          <t>A 23735-2025</t>
        </is>
      </c>
      <c r="B958" s="1" t="n">
        <v>45793.42777777778</v>
      </c>
      <c r="C958" s="1" t="n">
        <v>46161</v>
      </c>
      <c r="D958" t="inlineStr">
        <is>
          <t>VÄSTERNORRLANDS LÄN</t>
        </is>
      </c>
      <c r="E958" t="inlineStr">
        <is>
          <t>SOLLEFTEÅ</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50911-2025</t>
        </is>
      </c>
      <c r="B959" s="1" t="n">
        <v>45946.65690972222</v>
      </c>
      <c r="C959" s="1" t="n">
        <v>46161</v>
      </c>
      <c r="D959" t="inlineStr">
        <is>
          <t>VÄSTERNORRLANDS LÄN</t>
        </is>
      </c>
      <c r="E959" t="inlineStr">
        <is>
          <t>SOLLEFTEÅ</t>
        </is>
      </c>
      <c r="F959" t="inlineStr">
        <is>
          <t>SCA</t>
        </is>
      </c>
      <c r="G959" t="n">
        <v>6.4</v>
      </c>
      <c r="H959" t="n">
        <v>0</v>
      </c>
      <c r="I959" t="n">
        <v>0</v>
      </c>
      <c r="J959" t="n">
        <v>0</v>
      </c>
      <c r="K959" t="n">
        <v>0</v>
      </c>
      <c r="L959" t="n">
        <v>0</v>
      </c>
      <c r="M959" t="n">
        <v>0</v>
      </c>
      <c r="N959" t="n">
        <v>0</v>
      </c>
      <c r="O959" t="n">
        <v>0</v>
      </c>
      <c r="P959" t="n">
        <v>0</v>
      </c>
      <c r="Q959" t="n">
        <v>0</v>
      </c>
      <c r="R959" s="2" t="inlineStr"/>
    </row>
    <row r="960" ht="15" customHeight="1">
      <c r="A960" t="inlineStr">
        <is>
          <t>A 51036-2025</t>
        </is>
      </c>
      <c r="B960" s="1" t="n">
        <v>45947.40709490741</v>
      </c>
      <c r="C960" s="1" t="n">
        <v>46161</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36513-2023</t>
        </is>
      </c>
      <c r="B961" s="1" t="n">
        <v>45152.9537037037</v>
      </c>
      <c r="C961" s="1" t="n">
        <v>46161</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50843-2025</t>
        </is>
      </c>
      <c r="B962" s="1" t="n">
        <v>45946.57344907407</v>
      </c>
      <c r="C962" s="1" t="n">
        <v>46161</v>
      </c>
      <c r="D962" t="inlineStr">
        <is>
          <t>VÄSTERNORRLANDS LÄN</t>
        </is>
      </c>
      <c r="E962" t="inlineStr">
        <is>
          <t>SOLLEFTEÅ</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23738-2025</t>
        </is>
      </c>
      <c r="B963" s="1" t="n">
        <v>45793.42819444444</v>
      </c>
      <c r="C963" s="1" t="n">
        <v>46161</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50929-2025</t>
        </is>
      </c>
      <c r="B964" s="1" t="n">
        <v>45946.67913194445</v>
      </c>
      <c r="C964" s="1" t="n">
        <v>46161</v>
      </c>
      <c r="D964" t="inlineStr">
        <is>
          <t>VÄSTERNORRLANDS LÄN</t>
        </is>
      </c>
      <c r="E964" t="inlineStr">
        <is>
          <t>SOLLEFTEÅ</t>
        </is>
      </c>
      <c r="F964" t="inlineStr">
        <is>
          <t>SCA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57019-2022</t>
        </is>
      </c>
      <c r="B965" s="1" t="n">
        <v>44894.95877314815</v>
      </c>
      <c r="C965" s="1" t="n">
        <v>46161</v>
      </c>
      <c r="D965" t="inlineStr">
        <is>
          <t>VÄSTERNORRLANDS LÄN</t>
        </is>
      </c>
      <c r="E965" t="inlineStr">
        <is>
          <t>SOLLEFTEÅ</t>
        </is>
      </c>
      <c r="F965" t="inlineStr">
        <is>
          <t>SCA</t>
        </is>
      </c>
      <c r="G965" t="n">
        <v>4.2</v>
      </c>
      <c r="H965" t="n">
        <v>0</v>
      </c>
      <c r="I965" t="n">
        <v>0</v>
      </c>
      <c r="J965" t="n">
        <v>0</v>
      </c>
      <c r="K965" t="n">
        <v>0</v>
      </c>
      <c r="L965" t="n">
        <v>0</v>
      </c>
      <c r="M965" t="n">
        <v>0</v>
      </c>
      <c r="N965" t="n">
        <v>0</v>
      </c>
      <c r="O965" t="n">
        <v>0</v>
      </c>
      <c r="P965" t="n">
        <v>0</v>
      </c>
      <c r="Q965" t="n">
        <v>0</v>
      </c>
      <c r="R965" s="2" t="inlineStr"/>
    </row>
    <row r="966" ht="15" customHeight="1">
      <c r="A966" t="inlineStr">
        <is>
          <t>A 23515-2025</t>
        </is>
      </c>
      <c r="B966" s="1" t="n">
        <v>45792</v>
      </c>
      <c r="C966" s="1" t="n">
        <v>46161</v>
      </c>
      <c r="D966" t="inlineStr">
        <is>
          <t>VÄSTERNORRLANDS LÄN</t>
        </is>
      </c>
      <c r="E966" t="inlineStr">
        <is>
          <t>SOLLEFTEÅ</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23634-2025</t>
        </is>
      </c>
      <c r="B967" s="1" t="n">
        <v>45792.67803240741</v>
      </c>
      <c r="C967" s="1" t="n">
        <v>46161</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50930-2025</t>
        </is>
      </c>
      <c r="B968" s="1" t="n">
        <v>45946.6796875</v>
      </c>
      <c r="C968" s="1" t="n">
        <v>46161</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23734-2025</t>
        </is>
      </c>
      <c r="B969" s="1" t="n">
        <v>45793.4275462963</v>
      </c>
      <c r="C969" s="1" t="n">
        <v>46161</v>
      </c>
      <c r="D969" t="inlineStr">
        <is>
          <t>VÄSTERNORRLANDS LÄN</t>
        </is>
      </c>
      <c r="E969" t="inlineStr">
        <is>
          <t>SOLLEFTEÅ</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23564-2025</t>
        </is>
      </c>
      <c r="B970" s="1" t="n">
        <v>45792.58840277778</v>
      </c>
      <c r="C970" s="1" t="n">
        <v>46161</v>
      </c>
      <c r="D970" t="inlineStr">
        <is>
          <t>VÄSTERNORRLANDS LÄN</t>
        </is>
      </c>
      <c r="E970" t="inlineStr">
        <is>
          <t>SOLLEFTEÅ</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23542-2025</t>
        </is>
      </c>
      <c r="B971" s="1" t="n">
        <v>45792.56184027778</v>
      </c>
      <c r="C971" s="1" t="n">
        <v>46161</v>
      </c>
      <c r="D971" t="inlineStr">
        <is>
          <t>VÄSTERNORRLANDS LÄN</t>
        </is>
      </c>
      <c r="E971" t="inlineStr">
        <is>
          <t>SOLLEFTEÅ</t>
        </is>
      </c>
      <c r="F971" t="inlineStr">
        <is>
          <t>Holmen skog AB</t>
        </is>
      </c>
      <c r="G971" t="n">
        <v>2.9</v>
      </c>
      <c r="H971" t="n">
        <v>0</v>
      </c>
      <c r="I971" t="n">
        <v>0</v>
      </c>
      <c r="J971" t="n">
        <v>0</v>
      </c>
      <c r="K971" t="n">
        <v>0</v>
      </c>
      <c r="L971" t="n">
        <v>0</v>
      </c>
      <c r="M971" t="n">
        <v>0</v>
      </c>
      <c r="N971" t="n">
        <v>0</v>
      </c>
      <c r="O971" t="n">
        <v>0</v>
      </c>
      <c r="P971" t="n">
        <v>0</v>
      </c>
      <c r="Q971" t="n">
        <v>0</v>
      </c>
      <c r="R971" s="2" t="inlineStr"/>
    </row>
    <row r="972" ht="15" customHeight="1">
      <c r="A972" t="inlineStr">
        <is>
          <t>A 23871-2025</t>
        </is>
      </c>
      <c r="B972" s="1" t="n">
        <v>45793.67741898148</v>
      </c>
      <c r="C972" s="1" t="n">
        <v>46161</v>
      </c>
      <c r="D972" t="inlineStr">
        <is>
          <t>VÄSTERNORRLANDS LÄN</t>
        </is>
      </c>
      <c r="E972" t="inlineStr">
        <is>
          <t>SOLLEFTEÅ</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10240-2025</t>
        </is>
      </c>
      <c r="B973" s="1" t="n">
        <v>45720.34508101852</v>
      </c>
      <c r="C973" s="1" t="n">
        <v>46161</v>
      </c>
      <c r="D973" t="inlineStr">
        <is>
          <t>VÄSTERNORRLANDS LÄN</t>
        </is>
      </c>
      <c r="E973" t="inlineStr">
        <is>
          <t>SOLLEFTEÅ</t>
        </is>
      </c>
      <c r="F973" t="inlineStr">
        <is>
          <t>SCA</t>
        </is>
      </c>
      <c r="G973" t="n">
        <v>18.8</v>
      </c>
      <c r="H973" t="n">
        <v>0</v>
      </c>
      <c r="I973" t="n">
        <v>0</v>
      </c>
      <c r="J973" t="n">
        <v>0</v>
      </c>
      <c r="K973" t="n">
        <v>0</v>
      </c>
      <c r="L973" t="n">
        <v>0</v>
      </c>
      <c r="M973" t="n">
        <v>0</v>
      </c>
      <c r="N973" t="n">
        <v>0</v>
      </c>
      <c r="O973" t="n">
        <v>0</v>
      </c>
      <c r="P973" t="n">
        <v>0</v>
      </c>
      <c r="Q973" t="n">
        <v>0</v>
      </c>
      <c r="R973" s="2" t="inlineStr"/>
    </row>
    <row r="974" ht="15" customHeight="1">
      <c r="A974" t="inlineStr">
        <is>
          <t>A 23478-2025</t>
        </is>
      </c>
      <c r="B974" s="1" t="n">
        <v>45792</v>
      </c>
      <c r="C974" s="1" t="n">
        <v>46161</v>
      </c>
      <c r="D974" t="inlineStr">
        <is>
          <t>VÄSTERNORRLANDS LÄN</t>
        </is>
      </c>
      <c r="E974" t="inlineStr">
        <is>
          <t>SOLLEFTEÅ</t>
        </is>
      </c>
      <c r="F974" t="inlineStr">
        <is>
          <t>Holmen skog AB</t>
        </is>
      </c>
      <c r="G974" t="n">
        <v>6</v>
      </c>
      <c r="H974" t="n">
        <v>0</v>
      </c>
      <c r="I974" t="n">
        <v>0</v>
      </c>
      <c r="J974" t="n">
        <v>0</v>
      </c>
      <c r="K974" t="n">
        <v>0</v>
      </c>
      <c r="L974" t="n">
        <v>0</v>
      </c>
      <c r="M974" t="n">
        <v>0</v>
      </c>
      <c r="N974" t="n">
        <v>0</v>
      </c>
      <c r="O974" t="n">
        <v>0</v>
      </c>
      <c r="P974" t="n">
        <v>0</v>
      </c>
      <c r="Q974" t="n">
        <v>0</v>
      </c>
      <c r="R974" s="2" t="inlineStr"/>
    </row>
    <row r="975" ht="15" customHeight="1">
      <c r="A975" t="inlineStr">
        <is>
          <t>A 50860-2025</t>
        </is>
      </c>
      <c r="B975" s="1" t="n">
        <v>45946.59475694445</v>
      </c>
      <c r="C975" s="1" t="n">
        <v>46161</v>
      </c>
      <c r="D975" t="inlineStr">
        <is>
          <t>VÄSTERNORRLANDS LÄN</t>
        </is>
      </c>
      <c r="E975" t="inlineStr">
        <is>
          <t>SOLLEFTEÅ</t>
        </is>
      </c>
      <c r="F975" t="inlineStr">
        <is>
          <t>SCA</t>
        </is>
      </c>
      <c r="G975" t="n">
        <v>12.5</v>
      </c>
      <c r="H975" t="n">
        <v>0</v>
      </c>
      <c r="I975" t="n">
        <v>0</v>
      </c>
      <c r="J975" t="n">
        <v>0</v>
      </c>
      <c r="K975" t="n">
        <v>0</v>
      </c>
      <c r="L975" t="n">
        <v>0</v>
      </c>
      <c r="M975" t="n">
        <v>0</v>
      </c>
      <c r="N975" t="n">
        <v>0</v>
      </c>
      <c r="O975" t="n">
        <v>0</v>
      </c>
      <c r="P975" t="n">
        <v>0</v>
      </c>
      <c r="Q975" t="n">
        <v>0</v>
      </c>
      <c r="R975" s="2" t="inlineStr"/>
    </row>
    <row r="976" ht="15" customHeight="1">
      <c r="A976" t="inlineStr">
        <is>
          <t>A 23522-2025</t>
        </is>
      </c>
      <c r="B976" s="1" t="n">
        <v>45792.51415509259</v>
      </c>
      <c r="C976" s="1" t="n">
        <v>46161</v>
      </c>
      <c r="D976" t="inlineStr">
        <is>
          <t>VÄSTERNORRLANDS LÄN</t>
        </is>
      </c>
      <c r="E976" t="inlineStr">
        <is>
          <t>SOLLEFTEÅ</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51102-2025</t>
        </is>
      </c>
      <c r="B977" s="1" t="n">
        <v>45947.49001157407</v>
      </c>
      <c r="C977" s="1" t="n">
        <v>46161</v>
      </c>
      <c r="D977" t="inlineStr">
        <is>
          <t>VÄSTERNORRLANDS LÄN</t>
        </is>
      </c>
      <c r="E977" t="inlineStr">
        <is>
          <t>SOLLEFTEÅ</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42664-2022</t>
        </is>
      </c>
      <c r="B978" s="1" t="n">
        <v>44831</v>
      </c>
      <c r="C978" s="1" t="n">
        <v>46161</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23977-2025</t>
        </is>
      </c>
      <c r="B979" s="1" t="n">
        <v>45796.38637731481</v>
      </c>
      <c r="C979" s="1" t="n">
        <v>46161</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3211-2024</t>
        </is>
      </c>
      <c r="B980" s="1" t="n">
        <v>45316</v>
      </c>
      <c r="C980" s="1" t="n">
        <v>46161</v>
      </c>
      <c r="D980" t="inlineStr">
        <is>
          <t>VÄSTERNORRLANDS LÄN</t>
        </is>
      </c>
      <c r="E980" t="inlineStr">
        <is>
          <t>SOLLEFTEÅ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24420-2025</t>
        </is>
      </c>
      <c r="B981" s="1" t="n">
        <v>45797.67771990741</v>
      </c>
      <c r="C981" s="1" t="n">
        <v>46161</v>
      </c>
      <c r="D981" t="inlineStr">
        <is>
          <t>VÄSTERNORRLANDS LÄN</t>
        </is>
      </c>
      <c r="E981" t="inlineStr">
        <is>
          <t>SOLLEFTEÅ</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31886-2024</t>
        </is>
      </c>
      <c r="B982" s="1" t="n">
        <v>45509.95780092593</v>
      </c>
      <c r="C982" s="1" t="n">
        <v>46161</v>
      </c>
      <c r="D982" t="inlineStr">
        <is>
          <t>VÄSTERNORRLANDS LÄN</t>
        </is>
      </c>
      <c r="E982" t="inlineStr">
        <is>
          <t>SOLLEFTEÅ</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16365-2022</t>
        </is>
      </c>
      <c r="B983" s="1" t="n">
        <v>44670.9406712963</v>
      </c>
      <c r="C983" s="1" t="n">
        <v>46161</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45940-2024</t>
        </is>
      </c>
      <c r="B984" s="1" t="n">
        <v>45580.53167824074</v>
      </c>
      <c r="C984" s="1" t="n">
        <v>46161</v>
      </c>
      <c r="D984" t="inlineStr">
        <is>
          <t>VÄSTERNORRLANDS LÄN</t>
        </is>
      </c>
      <c r="E984" t="inlineStr">
        <is>
          <t>SOLLEFTEÅ</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45975-2024</t>
        </is>
      </c>
      <c r="B985" s="1" t="n">
        <v>45580.59425925926</v>
      </c>
      <c r="C985" s="1" t="n">
        <v>46161</v>
      </c>
      <c r="D985" t="inlineStr">
        <is>
          <t>VÄSTERNORRLANDS LÄN</t>
        </is>
      </c>
      <c r="E985" t="inlineStr">
        <is>
          <t>SOLLEFTEÅ</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21100-2024</t>
        </is>
      </c>
      <c r="B986" s="1" t="n">
        <v>45439.95072916667</v>
      </c>
      <c r="C986" s="1" t="n">
        <v>46161</v>
      </c>
      <c r="D986" t="inlineStr">
        <is>
          <t>VÄSTERNORRLANDS LÄN</t>
        </is>
      </c>
      <c r="E986" t="inlineStr">
        <is>
          <t>SOLLEFTEÅ</t>
        </is>
      </c>
      <c r="F986" t="inlineStr">
        <is>
          <t>SCA</t>
        </is>
      </c>
      <c r="G986" t="n">
        <v>8.1</v>
      </c>
      <c r="H986" t="n">
        <v>0</v>
      </c>
      <c r="I986" t="n">
        <v>0</v>
      </c>
      <c r="J986" t="n">
        <v>0</v>
      </c>
      <c r="K986" t="n">
        <v>0</v>
      </c>
      <c r="L986" t="n">
        <v>0</v>
      </c>
      <c r="M986" t="n">
        <v>0</v>
      </c>
      <c r="N986" t="n">
        <v>0</v>
      </c>
      <c r="O986" t="n">
        <v>0</v>
      </c>
      <c r="P986" t="n">
        <v>0</v>
      </c>
      <c r="Q986" t="n">
        <v>0</v>
      </c>
      <c r="R986" s="2" t="inlineStr"/>
    </row>
    <row r="987" ht="15" customHeight="1">
      <c r="A987" t="inlineStr">
        <is>
          <t>A 51223-2025</t>
        </is>
      </c>
      <c r="B987" s="1" t="n">
        <v>45947.65533564815</v>
      </c>
      <c r="C987" s="1" t="n">
        <v>46161</v>
      </c>
      <c r="D987" t="inlineStr">
        <is>
          <t>VÄSTERNORRLANDS LÄN</t>
        </is>
      </c>
      <c r="E987" t="inlineStr">
        <is>
          <t>SOLLEFTEÅ</t>
        </is>
      </c>
      <c r="G987" t="n">
        <v>3.8</v>
      </c>
      <c r="H987" t="n">
        <v>0</v>
      </c>
      <c r="I987" t="n">
        <v>0</v>
      </c>
      <c r="J987" t="n">
        <v>0</v>
      </c>
      <c r="K987" t="n">
        <v>0</v>
      </c>
      <c r="L987" t="n">
        <v>0</v>
      </c>
      <c r="M987" t="n">
        <v>0</v>
      </c>
      <c r="N987" t="n">
        <v>0</v>
      </c>
      <c r="O987" t="n">
        <v>0</v>
      </c>
      <c r="P987" t="n">
        <v>0</v>
      </c>
      <c r="Q987" t="n">
        <v>0</v>
      </c>
      <c r="R987" s="2" t="inlineStr"/>
    </row>
    <row r="988" ht="15" customHeight="1">
      <c r="A988" t="inlineStr">
        <is>
          <t>A 22471-2024</t>
        </is>
      </c>
      <c r="B988" s="1" t="n">
        <v>45446</v>
      </c>
      <c r="C988" s="1" t="n">
        <v>46161</v>
      </c>
      <c r="D988" t="inlineStr">
        <is>
          <t>VÄSTERNORRLANDS LÄN</t>
        </is>
      </c>
      <c r="E988" t="inlineStr">
        <is>
          <t>SOLLEFTEÅ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2699-2025</t>
        </is>
      </c>
      <c r="B989" s="1" t="n">
        <v>45677.40665509259</v>
      </c>
      <c r="C989" s="1" t="n">
        <v>46161</v>
      </c>
      <c r="D989" t="inlineStr">
        <is>
          <t>VÄSTERNORRLANDS LÄN</t>
        </is>
      </c>
      <c r="E989" t="inlineStr">
        <is>
          <t>SOLLEFTEÅ</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40304-2025</t>
        </is>
      </c>
      <c r="B990" s="1" t="n">
        <v>45895.40690972222</v>
      </c>
      <c r="C990" s="1" t="n">
        <v>46161</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40014-2025</t>
        </is>
      </c>
      <c r="B991" s="1" t="n">
        <v>45894</v>
      </c>
      <c r="C991" s="1" t="n">
        <v>46161</v>
      </c>
      <c r="D991" t="inlineStr">
        <is>
          <t>VÄSTERNORRLANDS LÄN</t>
        </is>
      </c>
      <c r="E991" t="inlineStr">
        <is>
          <t>SOLLEFTEÅ</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40136-2025</t>
        </is>
      </c>
      <c r="B992" s="1" t="n">
        <v>45894.5588425926</v>
      </c>
      <c r="C992" s="1" t="n">
        <v>46161</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51087-2025</t>
        </is>
      </c>
      <c r="B993" s="1" t="n">
        <v>45947.46954861111</v>
      </c>
      <c r="C993" s="1" t="n">
        <v>46161</v>
      </c>
      <c r="D993" t="inlineStr">
        <is>
          <t>VÄSTERNORRLANDS LÄN</t>
        </is>
      </c>
      <c r="E993" t="inlineStr">
        <is>
          <t>SOLLEFTEÅ</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51088-2025</t>
        </is>
      </c>
      <c r="B994" s="1" t="n">
        <v>45947.46975694445</v>
      </c>
      <c r="C994" s="1" t="n">
        <v>46161</v>
      </c>
      <c r="D994" t="inlineStr">
        <is>
          <t>VÄSTERNORRLANDS LÄN</t>
        </is>
      </c>
      <c r="E994" t="inlineStr">
        <is>
          <t>SOLLEFTEÅ</t>
        </is>
      </c>
      <c r="F994" t="inlineStr">
        <is>
          <t>SCA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55610-2021</t>
        </is>
      </c>
      <c r="B995" s="1" t="n">
        <v>44475.94237268518</v>
      </c>
      <c r="C995" s="1" t="n">
        <v>46161</v>
      </c>
      <c r="D995" t="inlineStr">
        <is>
          <t>VÄSTERNORRLANDS LÄN</t>
        </is>
      </c>
      <c r="E995" t="inlineStr">
        <is>
          <t>SOLLEFTEÅ</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50733-2025</t>
        </is>
      </c>
      <c r="B996" s="1" t="n">
        <v>45946.36538194444</v>
      </c>
      <c r="C996" s="1" t="n">
        <v>46161</v>
      </c>
      <c r="D996" t="inlineStr">
        <is>
          <t>VÄSTERNORRLANDS LÄN</t>
        </is>
      </c>
      <c r="E996" t="inlineStr">
        <is>
          <t>SOLLEFTEÅ</t>
        </is>
      </c>
      <c r="F996" t="inlineStr">
        <is>
          <t>SCA</t>
        </is>
      </c>
      <c r="G996" t="n">
        <v>15.3</v>
      </c>
      <c r="H996" t="n">
        <v>0</v>
      </c>
      <c r="I996" t="n">
        <v>0</v>
      </c>
      <c r="J996" t="n">
        <v>0</v>
      </c>
      <c r="K996" t="n">
        <v>0</v>
      </c>
      <c r="L996" t="n">
        <v>0</v>
      </c>
      <c r="M996" t="n">
        <v>0</v>
      </c>
      <c r="N996" t="n">
        <v>0</v>
      </c>
      <c r="O996" t="n">
        <v>0</v>
      </c>
      <c r="P996" t="n">
        <v>0</v>
      </c>
      <c r="Q996" t="n">
        <v>0</v>
      </c>
      <c r="R996" s="2" t="inlineStr"/>
    </row>
    <row r="997" ht="15" customHeight="1">
      <c r="A997" t="inlineStr">
        <is>
          <t>A 51261-2025</t>
        </is>
      </c>
      <c r="B997" s="1" t="n">
        <v>45949.46915509259</v>
      </c>
      <c r="C997" s="1" t="n">
        <v>46161</v>
      </c>
      <c r="D997" t="inlineStr">
        <is>
          <t>VÄSTERNORRLANDS LÄN</t>
        </is>
      </c>
      <c r="E997" t="inlineStr">
        <is>
          <t>SOLLEFTEÅ</t>
        </is>
      </c>
      <c r="G997" t="n">
        <v>7.9</v>
      </c>
      <c r="H997" t="n">
        <v>0</v>
      </c>
      <c r="I997" t="n">
        <v>0</v>
      </c>
      <c r="J997" t="n">
        <v>0</v>
      </c>
      <c r="K997" t="n">
        <v>0</v>
      </c>
      <c r="L997" t="n">
        <v>0</v>
      </c>
      <c r="M997" t="n">
        <v>0</v>
      </c>
      <c r="N997" t="n">
        <v>0</v>
      </c>
      <c r="O997" t="n">
        <v>0</v>
      </c>
      <c r="P997" t="n">
        <v>0</v>
      </c>
      <c r="Q997" t="n">
        <v>0</v>
      </c>
      <c r="R997" s="2" t="inlineStr"/>
    </row>
    <row r="998" ht="15" customHeight="1">
      <c r="A998" t="inlineStr">
        <is>
          <t>A 51609-2025</t>
        </is>
      </c>
      <c r="B998" s="1" t="n">
        <v>45951.39130787037</v>
      </c>
      <c r="C998" s="1" t="n">
        <v>46161</v>
      </c>
      <c r="D998" t="inlineStr">
        <is>
          <t>VÄSTERNORRLANDS LÄN</t>
        </is>
      </c>
      <c r="E998" t="inlineStr">
        <is>
          <t>SOLLEFTEÅ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23974-2025</t>
        </is>
      </c>
      <c r="B999" s="1" t="n">
        <v>45796.38594907407</v>
      </c>
      <c r="C999" s="1" t="n">
        <v>46161</v>
      </c>
      <c r="D999" t="inlineStr">
        <is>
          <t>VÄSTERNORRLANDS LÄN</t>
        </is>
      </c>
      <c r="E999" t="inlineStr">
        <is>
          <t>SOLLEFTEÅ</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40009-2025</t>
        </is>
      </c>
      <c r="B1000" s="1" t="n">
        <v>45894.34446759259</v>
      </c>
      <c r="C1000" s="1" t="n">
        <v>46161</v>
      </c>
      <c r="D1000" t="inlineStr">
        <is>
          <t>VÄSTERNORRLANDS LÄN</t>
        </is>
      </c>
      <c r="E1000" t="inlineStr">
        <is>
          <t>SOLLEFTEÅ</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51559-2025</t>
        </is>
      </c>
      <c r="B1001" s="1" t="n">
        <v>45950.93180555556</v>
      </c>
      <c r="C1001" s="1" t="n">
        <v>46161</v>
      </c>
      <c r="D1001" t="inlineStr">
        <is>
          <t>VÄSTERNORRLANDS LÄN</t>
        </is>
      </c>
      <c r="E1001" t="inlineStr">
        <is>
          <t>SOLLEFTEÅ</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62523-2023</t>
        </is>
      </c>
      <c r="B1002" s="1" t="n">
        <v>45267</v>
      </c>
      <c r="C1002" s="1" t="n">
        <v>46161</v>
      </c>
      <c r="D1002" t="inlineStr">
        <is>
          <t>VÄSTERNORRLANDS LÄN</t>
        </is>
      </c>
      <c r="E1002" t="inlineStr">
        <is>
          <t>SOLLEFTEÅ</t>
        </is>
      </c>
      <c r="G1002" t="n">
        <v>33.6</v>
      </c>
      <c r="H1002" t="n">
        <v>0</v>
      </c>
      <c r="I1002" t="n">
        <v>0</v>
      </c>
      <c r="J1002" t="n">
        <v>0</v>
      </c>
      <c r="K1002" t="n">
        <v>0</v>
      </c>
      <c r="L1002" t="n">
        <v>0</v>
      </c>
      <c r="M1002" t="n">
        <v>0</v>
      </c>
      <c r="N1002" t="n">
        <v>0</v>
      </c>
      <c r="O1002" t="n">
        <v>0</v>
      </c>
      <c r="P1002" t="n">
        <v>0</v>
      </c>
      <c r="Q1002" t="n">
        <v>0</v>
      </c>
      <c r="R1002" s="2" t="inlineStr"/>
    </row>
    <row r="1003" ht="15" customHeight="1">
      <c r="A1003" t="inlineStr">
        <is>
          <t>A 51591-2025</t>
        </is>
      </c>
      <c r="B1003" s="1" t="n">
        <v>45951.3653587963</v>
      </c>
      <c r="C1003" s="1" t="n">
        <v>46161</v>
      </c>
      <c r="D1003" t="inlineStr">
        <is>
          <t>VÄSTERNORRLANDS LÄN</t>
        </is>
      </c>
      <c r="E1003" t="inlineStr">
        <is>
          <t>SOLLEFTEÅ</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44384.93591435185</v>
      </c>
      <c r="C1004" s="1" t="n">
        <v>46161</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52602-2024</t>
        </is>
      </c>
      <c r="B1005" s="1" t="n">
        <v>45609</v>
      </c>
      <c r="C1005" s="1" t="n">
        <v>46161</v>
      </c>
      <c r="D1005" t="inlineStr">
        <is>
          <t>VÄSTERNORRLANDS LÄN</t>
        </is>
      </c>
      <c r="E1005" t="inlineStr">
        <is>
          <t>SOLLEFTEÅ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40962-2025</t>
        </is>
      </c>
      <c r="B1006" s="1" t="n">
        <v>45897.6983912037</v>
      </c>
      <c r="C1006" s="1" t="n">
        <v>46161</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1268-2024</t>
        </is>
      </c>
      <c r="B1007" s="1" t="n">
        <v>45302</v>
      </c>
      <c r="C1007" s="1" t="n">
        <v>46161</v>
      </c>
      <c r="D1007" t="inlineStr">
        <is>
          <t>VÄSTERNORRLANDS LÄN</t>
        </is>
      </c>
      <c r="E1007" t="inlineStr">
        <is>
          <t>SOLLEFTEÅ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34983-2023</t>
        </is>
      </c>
      <c r="B1008" s="1" t="n">
        <v>45141</v>
      </c>
      <c r="C1008" s="1" t="n">
        <v>46161</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25799-2024</t>
        </is>
      </c>
      <c r="B1009" s="1" t="n">
        <v>45463</v>
      </c>
      <c r="C1009" s="1" t="n">
        <v>46161</v>
      </c>
      <c r="D1009" t="inlineStr">
        <is>
          <t>VÄSTERNORRLANDS LÄN</t>
        </is>
      </c>
      <c r="E1009" t="inlineStr">
        <is>
          <t>SOLLEFTEÅ</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2422-2025</t>
        </is>
      </c>
      <c r="B1010" s="1" t="n">
        <v>45674.38592592593</v>
      </c>
      <c r="C1010" s="1" t="n">
        <v>46161</v>
      </c>
      <c r="D1010" t="inlineStr">
        <is>
          <t>VÄSTERNORRLANDS LÄN</t>
        </is>
      </c>
      <c r="E1010" t="inlineStr">
        <is>
          <t>SOLLEFTEÅ</t>
        </is>
      </c>
      <c r="F1010" t="inlineStr">
        <is>
          <t>SCA</t>
        </is>
      </c>
      <c r="G1010" t="n">
        <v>27.9</v>
      </c>
      <c r="H1010" t="n">
        <v>0</v>
      </c>
      <c r="I1010" t="n">
        <v>0</v>
      </c>
      <c r="J1010" t="n">
        <v>0</v>
      </c>
      <c r="K1010" t="n">
        <v>0</v>
      </c>
      <c r="L1010" t="n">
        <v>0</v>
      </c>
      <c r="M1010" t="n">
        <v>0</v>
      </c>
      <c r="N1010" t="n">
        <v>0</v>
      </c>
      <c r="O1010" t="n">
        <v>0</v>
      </c>
      <c r="P1010" t="n">
        <v>0</v>
      </c>
      <c r="Q1010" t="n">
        <v>0</v>
      </c>
      <c r="R1010" s="2" t="inlineStr"/>
    </row>
    <row r="1011" ht="15" customHeight="1">
      <c r="A1011" t="inlineStr">
        <is>
          <t>A 37648-2021</t>
        </is>
      </c>
      <c r="B1011" s="1" t="n">
        <v>44400</v>
      </c>
      <c r="C1011" s="1" t="n">
        <v>46161</v>
      </c>
      <c r="D1011" t="inlineStr">
        <is>
          <t>VÄSTERNORRLANDS LÄN</t>
        </is>
      </c>
      <c r="E1011" t="inlineStr">
        <is>
          <t>SOLLEFTEÅ</t>
        </is>
      </c>
      <c r="G1011" t="n">
        <v>33.6</v>
      </c>
      <c r="H1011" t="n">
        <v>0</v>
      </c>
      <c r="I1011" t="n">
        <v>0</v>
      </c>
      <c r="J1011" t="n">
        <v>0</v>
      </c>
      <c r="K1011" t="n">
        <v>0</v>
      </c>
      <c r="L1011" t="n">
        <v>0</v>
      </c>
      <c r="M1011" t="n">
        <v>0</v>
      </c>
      <c r="N1011" t="n">
        <v>0</v>
      </c>
      <c r="O1011" t="n">
        <v>0</v>
      </c>
      <c r="P1011" t="n">
        <v>0</v>
      </c>
      <c r="Q1011" t="n">
        <v>0</v>
      </c>
      <c r="R1011" s="2" t="inlineStr"/>
    </row>
    <row r="1012" ht="15" customHeight="1">
      <c r="A1012" t="inlineStr">
        <is>
          <t>A 23997-2025</t>
        </is>
      </c>
      <c r="B1012" s="1" t="n">
        <v>45796.42061342593</v>
      </c>
      <c r="C1012" s="1" t="n">
        <v>46161</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40492-2025</t>
        </is>
      </c>
      <c r="B1013" s="1" t="n">
        <v>45896</v>
      </c>
      <c r="C1013" s="1" t="n">
        <v>46161</v>
      </c>
      <c r="D1013" t="inlineStr">
        <is>
          <t>VÄSTERNORRLANDS LÄN</t>
        </is>
      </c>
      <c r="E1013" t="inlineStr">
        <is>
          <t>SOLLEFTEÅ</t>
        </is>
      </c>
      <c r="F1013" t="inlineStr">
        <is>
          <t>Holmen skog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33312-2024</t>
        </is>
      </c>
      <c r="B1014" s="1" t="n">
        <v>45518.97113425926</v>
      </c>
      <c r="C1014" s="1" t="n">
        <v>46161</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43008-2024</t>
        </is>
      </c>
      <c r="B1015" s="1" t="n">
        <v>45567.38574074074</v>
      </c>
      <c r="C1015" s="1" t="n">
        <v>46161</v>
      </c>
      <c r="D1015" t="inlineStr">
        <is>
          <t>VÄSTERNORRLANDS LÄN</t>
        </is>
      </c>
      <c r="E1015" t="inlineStr">
        <is>
          <t>SOLLEFTEÅ</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24393-2025</t>
        </is>
      </c>
      <c r="B1016" s="1" t="n">
        <v>45797.63653935185</v>
      </c>
      <c r="C1016" s="1" t="n">
        <v>46161</v>
      </c>
      <c r="D1016" t="inlineStr">
        <is>
          <t>VÄSTERNORRLANDS LÄN</t>
        </is>
      </c>
      <c r="E1016" t="inlineStr">
        <is>
          <t>SOLLEFTEÅ</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28290-2024</t>
        </is>
      </c>
      <c r="B1017" s="1" t="n">
        <v>45477.46743055555</v>
      </c>
      <c r="C1017" s="1" t="n">
        <v>46161</v>
      </c>
      <c r="D1017" t="inlineStr">
        <is>
          <t>VÄSTERNORRLANDS LÄN</t>
        </is>
      </c>
      <c r="E1017" t="inlineStr">
        <is>
          <t>SOLLEFTEÅ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41025-2025</t>
        </is>
      </c>
      <c r="B1018" s="1" t="n">
        <v>45897</v>
      </c>
      <c r="C1018" s="1" t="n">
        <v>46161</v>
      </c>
      <c r="D1018" t="inlineStr">
        <is>
          <t>VÄSTERNORRLANDS LÄN</t>
        </is>
      </c>
      <c r="E1018" t="inlineStr">
        <is>
          <t>SOLLEFTEÅ</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8414-2024</t>
        </is>
      </c>
      <c r="B1019" s="1" t="n">
        <v>45352</v>
      </c>
      <c r="C1019" s="1" t="n">
        <v>46161</v>
      </c>
      <c r="D1019" t="inlineStr">
        <is>
          <t>VÄSTERNORRLANDS LÄN</t>
        </is>
      </c>
      <c r="E1019" t="inlineStr">
        <is>
          <t>SOLLEFTEÅ</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33110-2024</t>
        </is>
      </c>
      <c r="B1020" s="1" t="n">
        <v>45517</v>
      </c>
      <c r="C1020" s="1" t="n">
        <v>46161</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41787-2024</t>
        </is>
      </c>
      <c r="B1021" s="1" t="n">
        <v>45561.34986111111</v>
      </c>
      <c r="C1021" s="1" t="n">
        <v>46161</v>
      </c>
      <c r="D1021" t="inlineStr">
        <is>
          <t>VÄSTERNORRLANDS LÄN</t>
        </is>
      </c>
      <c r="E1021" t="inlineStr">
        <is>
          <t>SOLLEFTEÅ</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40752-2025</t>
        </is>
      </c>
      <c r="B1022" s="1" t="n">
        <v>45897.38592592593</v>
      </c>
      <c r="C1022" s="1" t="n">
        <v>46161</v>
      </c>
      <c r="D1022" t="inlineStr">
        <is>
          <t>VÄSTERNORRLANDS LÄN</t>
        </is>
      </c>
      <c r="E1022" t="inlineStr">
        <is>
          <t>SOLLEFTEÅ</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35277-2023</t>
        </is>
      </c>
      <c r="B1023" s="1" t="n">
        <v>45145</v>
      </c>
      <c r="C1023" s="1" t="n">
        <v>46161</v>
      </c>
      <c r="D1023" t="inlineStr">
        <is>
          <t>VÄSTERNORRLANDS LÄN</t>
        </is>
      </c>
      <c r="E1023" t="inlineStr">
        <is>
          <t>SOLLEFTEÅ</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31005-2022</t>
        </is>
      </c>
      <c r="B1024" s="1" t="n">
        <v>44768</v>
      </c>
      <c r="C1024" s="1" t="n">
        <v>46161</v>
      </c>
      <c r="D1024" t="inlineStr">
        <is>
          <t>VÄSTERNORRLANDS LÄN</t>
        </is>
      </c>
      <c r="E1024" t="inlineStr">
        <is>
          <t>SOLLEFTEÅ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40701-2025</t>
        </is>
      </c>
      <c r="B1025" s="1" t="n">
        <v>45897.32884259259</v>
      </c>
      <c r="C1025" s="1" t="n">
        <v>46161</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51544-2022</t>
        </is>
      </c>
      <c r="B1026" s="1" t="n">
        <v>44869</v>
      </c>
      <c r="C1026" s="1" t="n">
        <v>46161</v>
      </c>
      <c r="D1026" t="inlineStr">
        <is>
          <t>VÄSTERNORRLANDS LÄN</t>
        </is>
      </c>
      <c r="E1026" t="inlineStr">
        <is>
          <t>SOLLEFTEÅ</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23889-2025</t>
        </is>
      </c>
      <c r="B1027" s="1" t="n">
        <v>45793.79209490741</v>
      </c>
      <c r="C1027" s="1" t="n">
        <v>46161</v>
      </c>
      <c r="D1027" t="inlineStr">
        <is>
          <t>VÄSTERNORRLANDS LÄN</t>
        </is>
      </c>
      <c r="E1027" t="inlineStr">
        <is>
          <t>SOLLEFTEÅ</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769-2025</t>
        </is>
      </c>
      <c r="B1028" s="1" t="n">
        <v>45659</v>
      </c>
      <c r="C1028" s="1" t="n">
        <v>46161</v>
      </c>
      <c r="D1028" t="inlineStr">
        <is>
          <t>VÄSTERNORRLANDS LÄN</t>
        </is>
      </c>
      <c r="E1028" t="inlineStr">
        <is>
          <t>SOLLEFTEÅ</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40515-2025</t>
        </is>
      </c>
      <c r="B1029" s="1" t="n">
        <v>45896</v>
      </c>
      <c r="C1029" s="1" t="n">
        <v>46161</v>
      </c>
      <c r="D1029" t="inlineStr">
        <is>
          <t>VÄSTERNORRLANDS LÄN</t>
        </is>
      </c>
      <c r="E1029" t="inlineStr">
        <is>
          <t>SOLLEFTEÅ</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40754-2025</t>
        </is>
      </c>
      <c r="B1030" s="1" t="n">
        <v>45897.38653935185</v>
      </c>
      <c r="C1030" s="1" t="n">
        <v>46161</v>
      </c>
      <c r="D1030" t="inlineStr">
        <is>
          <t>VÄSTERNORRLANDS LÄN</t>
        </is>
      </c>
      <c r="E1030" t="inlineStr">
        <is>
          <t>SOLLEFTEÅ</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15955-2025</t>
        </is>
      </c>
      <c r="B1031" s="1" t="n">
        <v>45749.5113425926</v>
      </c>
      <c r="C1031" s="1" t="n">
        <v>46161</v>
      </c>
      <c r="D1031" t="inlineStr">
        <is>
          <t>VÄSTERNORRLANDS LÄN</t>
        </is>
      </c>
      <c r="E1031" t="inlineStr">
        <is>
          <t>SOLLEFTEÅ</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36211-2023</t>
        </is>
      </c>
      <c r="B1032" s="1" t="n">
        <v>45149.95234953704</v>
      </c>
      <c r="C1032" s="1" t="n">
        <v>46161</v>
      </c>
      <c r="D1032" t="inlineStr">
        <is>
          <t>VÄSTERNORRLANDS LÄN</t>
        </is>
      </c>
      <c r="E1032" t="inlineStr">
        <is>
          <t>SOLLEFTEÅ</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40651-2025</t>
        </is>
      </c>
      <c r="B1033" s="1" t="n">
        <v>45896.63585648148</v>
      </c>
      <c r="C1033" s="1" t="n">
        <v>46161</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20061-2022</t>
        </is>
      </c>
      <c r="B1034" s="1" t="n">
        <v>44697.94140046297</v>
      </c>
      <c r="C1034" s="1" t="n">
        <v>46161</v>
      </c>
      <c r="D1034" t="inlineStr">
        <is>
          <t>VÄSTERNORRLANDS LÄN</t>
        </is>
      </c>
      <c r="E1034" t="inlineStr">
        <is>
          <t>SOLLEFTEÅ</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40662-2025</t>
        </is>
      </c>
      <c r="B1035" s="1" t="n">
        <v>45896.6487037037</v>
      </c>
      <c r="C1035" s="1" t="n">
        <v>46161</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8104-2025</t>
        </is>
      </c>
      <c r="B1036" s="1" t="n">
        <v>45707.69835648148</v>
      </c>
      <c r="C1036" s="1" t="n">
        <v>46161</v>
      </c>
      <c r="D1036" t="inlineStr">
        <is>
          <t>VÄSTERNORRLANDS LÄN</t>
        </is>
      </c>
      <c r="E1036" t="inlineStr">
        <is>
          <t>SOLLEFTEÅ</t>
        </is>
      </c>
      <c r="F1036" t="inlineStr">
        <is>
          <t>SCA</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8124-2025</t>
        </is>
      </c>
      <c r="B1037" s="1" t="n">
        <v>45707</v>
      </c>
      <c r="C1037" s="1" t="n">
        <v>46161</v>
      </c>
      <c r="D1037" t="inlineStr">
        <is>
          <t>VÄSTERNORRLANDS LÄN</t>
        </is>
      </c>
      <c r="E1037" t="inlineStr">
        <is>
          <t>SOLLEFTEÅ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2044-2025</t>
        </is>
      </c>
      <c r="B1038" s="1" t="n">
        <v>45672</v>
      </c>
      <c r="C1038" s="1" t="n">
        <v>46161</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41502-2025</t>
        </is>
      </c>
      <c r="B1039" s="1" t="n">
        <v>45901</v>
      </c>
      <c r="C1039" s="1" t="n">
        <v>46161</v>
      </c>
      <c r="D1039" t="inlineStr">
        <is>
          <t>VÄSTERNORRLANDS LÄN</t>
        </is>
      </c>
      <c r="E1039" t="inlineStr">
        <is>
          <t>SOLLEFTEÅ</t>
        </is>
      </c>
      <c r="F1039" t="inlineStr">
        <is>
          <t>Holmen skog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37354-2024</t>
        </is>
      </c>
      <c r="B1040" s="1" t="n">
        <v>45540.54201388889</v>
      </c>
      <c r="C1040" s="1" t="n">
        <v>46161</v>
      </c>
      <c r="D1040" t="inlineStr">
        <is>
          <t>VÄSTERNORRLANDS LÄN</t>
        </is>
      </c>
      <c r="E1040" t="inlineStr">
        <is>
          <t>SOLLEFTEÅ</t>
        </is>
      </c>
      <c r="F1040" t="inlineStr">
        <is>
          <t>Holmen skog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34395-2021</t>
        </is>
      </c>
      <c r="B1041" s="1" t="n">
        <v>44379</v>
      </c>
      <c r="C1041" s="1" t="n">
        <v>46161</v>
      </c>
      <c r="D1041" t="inlineStr">
        <is>
          <t>VÄSTERNORRLANDS LÄN</t>
        </is>
      </c>
      <c r="E1041" t="inlineStr">
        <is>
          <t>SOLLEFTEÅ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41305-2025</t>
        </is>
      </c>
      <c r="B1042" s="1" t="n">
        <v>45898.69850694444</v>
      </c>
      <c r="C1042" s="1" t="n">
        <v>46161</v>
      </c>
      <c r="D1042" t="inlineStr">
        <is>
          <t>VÄSTERNORRLANDS LÄN</t>
        </is>
      </c>
      <c r="E1042" t="inlineStr">
        <is>
          <t>SOLLEFTEÅ</t>
        </is>
      </c>
      <c r="F1042" t="inlineStr">
        <is>
          <t>SCA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29246-2025</t>
        </is>
      </c>
      <c r="B1043" s="1" t="n">
        <v>45824</v>
      </c>
      <c r="C1043" s="1" t="n">
        <v>46161</v>
      </c>
      <c r="D1043" t="inlineStr">
        <is>
          <t>VÄSTERNORRLANDS LÄN</t>
        </is>
      </c>
      <c r="E1043" t="inlineStr">
        <is>
          <t>SOLLEFTEÅ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24693-2025</t>
        </is>
      </c>
      <c r="B1044" s="1" t="n">
        <v>45798.6775462963</v>
      </c>
      <c r="C1044" s="1" t="n">
        <v>46161</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41513-2025</t>
        </is>
      </c>
      <c r="B1045" s="1" t="n">
        <v>45901.54069444445</v>
      </c>
      <c r="C1045" s="1" t="n">
        <v>46161</v>
      </c>
      <c r="D1045" t="inlineStr">
        <is>
          <t>VÄSTERNORRLANDS LÄN</t>
        </is>
      </c>
      <c r="E1045" t="inlineStr">
        <is>
          <t>SOLLEFTEÅ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41543-2025</t>
        </is>
      </c>
      <c r="B1046" s="1" t="n">
        <v>45901.57386574074</v>
      </c>
      <c r="C1046" s="1" t="n">
        <v>46161</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24531-2025</t>
        </is>
      </c>
      <c r="B1047" s="1" t="n">
        <v>45798.42810185185</v>
      </c>
      <c r="C1047" s="1" t="n">
        <v>46161</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24532-2025</t>
        </is>
      </c>
      <c r="B1048" s="1" t="n">
        <v>45798.42820601852</v>
      </c>
      <c r="C1048" s="1" t="n">
        <v>46161</v>
      </c>
      <c r="D1048" t="inlineStr">
        <is>
          <t>VÄSTERNORRLANDS LÄN</t>
        </is>
      </c>
      <c r="E1048" t="inlineStr">
        <is>
          <t>SOLLEFTEÅ</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24759-2025</t>
        </is>
      </c>
      <c r="B1049" s="1" t="n">
        <v>45799.38284722222</v>
      </c>
      <c r="C1049" s="1" t="n">
        <v>46161</v>
      </c>
      <c r="D1049" t="inlineStr">
        <is>
          <t>VÄSTERNORRLANDS LÄN</t>
        </is>
      </c>
      <c r="E1049" t="inlineStr">
        <is>
          <t>SOLLEFTEÅ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24760-2025</t>
        </is>
      </c>
      <c r="B1050" s="1" t="n">
        <v>45799</v>
      </c>
      <c r="C1050" s="1" t="n">
        <v>46161</v>
      </c>
      <c r="D1050" t="inlineStr">
        <is>
          <t>VÄSTERNORRLANDS LÄN</t>
        </is>
      </c>
      <c r="E1050" t="inlineStr">
        <is>
          <t>SOLLEFTEÅ</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51770-2025</t>
        </is>
      </c>
      <c r="B1051" s="1" t="n">
        <v>45951.64315972223</v>
      </c>
      <c r="C1051" s="1" t="n">
        <v>46161</v>
      </c>
      <c r="D1051" t="inlineStr">
        <is>
          <t>VÄSTERNORRLANDS LÄN</t>
        </is>
      </c>
      <c r="E1051" t="inlineStr">
        <is>
          <t>SOLLEFTEÅ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24730-2025</t>
        </is>
      </c>
      <c r="B1052" s="1" t="n">
        <v>45799.34150462963</v>
      </c>
      <c r="C1052" s="1" t="n">
        <v>46161</v>
      </c>
      <c r="D1052" t="inlineStr">
        <is>
          <t>VÄSTERNORRLANDS LÄN</t>
        </is>
      </c>
      <c r="E1052" t="inlineStr">
        <is>
          <t>SOLLEFTEÅ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12164-2023</t>
        </is>
      </c>
      <c r="B1053" s="1" t="n">
        <v>44995</v>
      </c>
      <c r="C1053" s="1" t="n">
        <v>46161</v>
      </c>
      <c r="D1053" t="inlineStr">
        <is>
          <t>VÄSTERNORRLANDS LÄN</t>
        </is>
      </c>
      <c r="E1053" t="inlineStr">
        <is>
          <t>SOLLEFTEÅ</t>
        </is>
      </c>
      <c r="G1053" t="n">
        <v>18.3</v>
      </c>
      <c r="H1053" t="n">
        <v>0</v>
      </c>
      <c r="I1053" t="n">
        <v>0</v>
      </c>
      <c r="J1053" t="n">
        <v>0</v>
      </c>
      <c r="K1053" t="n">
        <v>0</v>
      </c>
      <c r="L1053" t="n">
        <v>0</v>
      </c>
      <c r="M1053" t="n">
        <v>0</v>
      </c>
      <c r="N1053" t="n">
        <v>0</v>
      </c>
      <c r="O1053" t="n">
        <v>0</v>
      </c>
      <c r="P1053" t="n">
        <v>0</v>
      </c>
      <c r="Q1053" t="n">
        <v>0</v>
      </c>
      <c r="R1053" s="2" t="inlineStr"/>
    </row>
    <row r="1054" ht="15" customHeight="1">
      <c r="A1054" t="inlineStr">
        <is>
          <t>A 41001-2025</t>
        </is>
      </c>
      <c r="B1054" s="1" t="n">
        <v>45898</v>
      </c>
      <c r="C1054" s="1" t="n">
        <v>46161</v>
      </c>
      <c r="D1054" t="inlineStr">
        <is>
          <t>VÄSTERNORRLANDS LÄN</t>
        </is>
      </c>
      <c r="E1054" t="inlineStr">
        <is>
          <t>SOLLEFTEÅ</t>
        </is>
      </c>
      <c r="F1054" t="inlineStr">
        <is>
          <t>SCA</t>
        </is>
      </c>
      <c r="G1054" t="n">
        <v>18.3</v>
      </c>
      <c r="H1054" t="n">
        <v>0</v>
      </c>
      <c r="I1054" t="n">
        <v>0</v>
      </c>
      <c r="J1054" t="n">
        <v>0</v>
      </c>
      <c r="K1054" t="n">
        <v>0</v>
      </c>
      <c r="L1054" t="n">
        <v>0</v>
      </c>
      <c r="M1054" t="n">
        <v>0</v>
      </c>
      <c r="N1054" t="n">
        <v>0</v>
      </c>
      <c r="O1054" t="n">
        <v>0</v>
      </c>
      <c r="P1054" t="n">
        <v>0</v>
      </c>
      <c r="Q1054" t="n">
        <v>0</v>
      </c>
      <c r="R1054" s="2" t="inlineStr"/>
    </row>
    <row r="1055" ht="15" customHeight="1">
      <c r="A1055" t="inlineStr">
        <is>
          <t>A 51603-2025</t>
        </is>
      </c>
      <c r="B1055" s="1" t="n">
        <v>45951.38317129629</v>
      </c>
      <c r="C1055" s="1" t="n">
        <v>46161</v>
      </c>
      <c r="D1055" t="inlineStr">
        <is>
          <t>VÄSTERNORRLANDS LÄN</t>
        </is>
      </c>
      <c r="E1055" t="inlineStr">
        <is>
          <t>SOLLEFTEÅ</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41617-2025</t>
        </is>
      </c>
      <c r="B1056" s="1" t="n">
        <v>45901.69834490741</v>
      </c>
      <c r="C1056" s="1" t="n">
        <v>46161</v>
      </c>
      <c r="D1056" t="inlineStr">
        <is>
          <t>VÄSTERNORRLANDS LÄN</t>
        </is>
      </c>
      <c r="E1056" t="inlineStr">
        <is>
          <t>SOLLEFTEÅ</t>
        </is>
      </c>
      <c r="F1056" t="inlineStr">
        <is>
          <t>SCA</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40997-2025</t>
        </is>
      </c>
      <c r="B1057" s="1" t="n">
        <v>45898.34453703704</v>
      </c>
      <c r="C1057" s="1" t="n">
        <v>46161</v>
      </c>
      <c r="D1057" t="inlineStr">
        <is>
          <t>VÄSTERNORRLANDS LÄN</t>
        </is>
      </c>
      <c r="E1057" t="inlineStr">
        <is>
          <t>SOLLEFTEÅ</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41449-2025</t>
        </is>
      </c>
      <c r="B1058" s="1" t="n">
        <v>45901.42787037037</v>
      </c>
      <c r="C1058" s="1" t="n">
        <v>46161</v>
      </c>
      <c r="D1058" t="inlineStr">
        <is>
          <t>VÄSTERNORRLANDS LÄN</t>
        </is>
      </c>
      <c r="E1058" t="inlineStr">
        <is>
          <t>SOLLEFTEÅ</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41494-2025</t>
        </is>
      </c>
      <c r="B1059" s="1" t="n">
        <v>45901</v>
      </c>
      <c r="C1059" s="1" t="n">
        <v>46161</v>
      </c>
      <c r="D1059" t="inlineStr">
        <is>
          <t>VÄSTERNORRLANDS LÄN</t>
        </is>
      </c>
      <c r="E1059" t="inlineStr">
        <is>
          <t>SOLLEFTEÅ</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44045-2022</t>
        </is>
      </c>
      <c r="B1060" s="1" t="n">
        <v>44838</v>
      </c>
      <c r="C1060" s="1" t="n">
        <v>46161</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1464-2025</t>
        </is>
      </c>
      <c r="B1061" s="1" t="n">
        <v>45670.365</v>
      </c>
      <c r="C1061" s="1" t="n">
        <v>46161</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43531-2023</t>
        </is>
      </c>
      <c r="B1062" s="1" t="n">
        <v>45184.52731481481</v>
      </c>
      <c r="C1062" s="1" t="n">
        <v>46161</v>
      </c>
      <c r="D1062" t="inlineStr">
        <is>
          <t>VÄSTERNORRLANDS LÄN</t>
        </is>
      </c>
      <c r="E1062" t="inlineStr">
        <is>
          <t>SOLLEFTEÅ</t>
        </is>
      </c>
      <c r="F1062" t="inlineStr">
        <is>
          <t>Holmen skog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51303-2025</t>
        </is>
      </c>
      <c r="B1063" s="1" t="n">
        <v>45950.36518518518</v>
      </c>
      <c r="C1063" s="1" t="n">
        <v>46161</v>
      </c>
      <c r="D1063" t="inlineStr">
        <is>
          <t>VÄSTERNORRLANDS LÄN</t>
        </is>
      </c>
      <c r="E1063" t="inlineStr">
        <is>
          <t>SOLLEFTEÅ</t>
        </is>
      </c>
      <c r="F1063" t="inlineStr">
        <is>
          <t>SCA</t>
        </is>
      </c>
      <c r="G1063" t="n">
        <v>29.2</v>
      </c>
      <c r="H1063" t="n">
        <v>0</v>
      </c>
      <c r="I1063" t="n">
        <v>0</v>
      </c>
      <c r="J1063" t="n">
        <v>0</v>
      </c>
      <c r="K1063" t="n">
        <v>0</v>
      </c>
      <c r="L1063" t="n">
        <v>0</v>
      </c>
      <c r="M1063" t="n">
        <v>0</v>
      </c>
      <c r="N1063" t="n">
        <v>0</v>
      </c>
      <c r="O1063" t="n">
        <v>0</v>
      </c>
      <c r="P1063" t="n">
        <v>0</v>
      </c>
      <c r="Q1063" t="n">
        <v>0</v>
      </c>
      <c r="R1063" s="2" t="inlineStr"/>
    </row>
    <row r="1064" ht="15" customHeight="1">
      <c r="A1064" t="inlineStr">
        <is>
          <t>A 24787-2025</t>
        </is>
      </c>
      <c r="B1064" s="1" t="n">
        <v>45799.42791666667</v>
      </c>
      <c r="C1064" s="1" t="n">
        <v>46161</v>
      </c>
      <c r="D1064" t="inlineStr">
        <is>
          <t>VÄSTERNORRLANDS LÄN</t>
        </is>
      </c>
      <c r="E1064" t="inlineStr">
        <is>
          <t>SOLLEFTEÅ</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25313-2025</t>
        </is>
      </c>
      <c r="B1065" s="1" t="n">
        <v>45799</v>
      </c>
      <c r="C1065" s="1" t="n">
        <v>46161</v>
      </c>
      <c r="D1065" t="inlineStr">
        <is>
          <t>VÄSTERNORRLANDS LÄN</t>
        </is>
      </c>
      <c r="E1065" t="inlineStr">
        <is>
          <t>SOLLEFTEÅ</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15809-2022</t>
        </is>
      </c>
      <c r="B1066" s="1" t="n">
        <v>44663</v>
      </c>
      <c r="C1066" s="1" t="n">
        <v>46161</v>
      </c>
      <c r="D1066" t="inlineStr">
        <is>
          <t>VÄSTERNORRLANDS LÄN</t>
        </is>
      </c>
      <c r="E1066" t="inlineStr">
        <is>
          <t>SOLLEFTEÅ</t>
        </is>
      </c>
      <c r="F1066" t="inlineStr">
        <is>
          <t>SCA</t>
        </is>
      </c>
      <c r="G1066" t="n">
        <v>16.3</v>
      </c>
      <c r="H1066" t="n">
        <v>0</v>
      </c>
      <c r="I1066" t="n">
        <v>0</v>
      </c>
      <c r="J1066" t="n">
        <v>0</v>
      </c>
      <c r="K1066" t="n">
        <v>0</v>
      </c>
      <c r="L1066" t="n">
        <v>0</v>
      </c>
      <c r="M1066" t="n">
        <v>0</v>
      </c>
      <c r="N1066" t="n">
        <v>0</v>
      </c>
      <c r="O1066" t="n">
        <v>0</v>
      </c>
      <c r="P1066" t="n">
        <v>0</v>
      </c>
      <c r="Q1066" t="n">
        <v>0</v>
      </c>
      <c r="R1066" s="2" t="inlineStr"/>
    </row>
    <row r="1067" ht="15" customHeight="1">
      <c r="A1067" t="inlineStr">
        <is>
          <t>A 48490-2024</t>
        </is>
      </c>
      <c r="B1067" s="1" t="n">
        <v>45592</v>
      </c>
      <c r="C1067" s="1" t="n">
        <v>46161</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48491-2024</t>
        </is>
      </c>
      <c r="B1068" s="1" t="n">
        <v>45592</v>
      </c>
      <c r="C1068" s="1" t="n">
        <v>46161</v>
      </c>
      <c r="D1068" t="inlineStr">
        <is>
          <t>VÄSTERNORRLANDS LÄN</t>
        </is>
      </c>
      <c r="E1068" t="inlineStr">
        <is>
          <t>SOLLEFTEÅ</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16562-2023</t>
        </is>
      </c>
      <c r="B1069" s="1" t="n">
        <v>45029</v>
      </c>
      <c r="C1069" s="1" t="n">
        <v>46161</v>
      </c>
      <c r="D1069" t="inlineStr">
        <is>
          <t>VÄSTERNORRLANDS LÄN</t>
        </is>
      </c>
      <c r="E1069" t="inlineStr">
        <is>
          <t>SOLLEFTEÅ</t>
        </is>
      </c>
      <c r="F1069" t="inlineStr">
        <is>
          <t>SCA</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10549-2023</t>
        </is>
      </c>
      <c r="B1070" s="1" t="n">
        <v>44987</v>
      </c>
      <c r="C1070" s="1" t="n">
        <v>46161</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51792-2025</t>
        </is>
      </c>
      <c r="B1071" s="1" t="n">
        <v>45951.6984837963</v>
      </c>
      <c r="C1071" s="1" t="n">
        <v>46161</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24488-2025</t>
        </is>
      </c>
      <c r="B1072" s="1" t="n">
        <v>45798.38576388889</v>
      </c>
      <c r="C1072" s="1" t="n">
        <v>46161</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50844-2023</t>
        </is>
      </c>
      <c r="B1073" s="1" t="n">
        <v>45217</v>
      </c>
      <c r="C1073" s="1" t="n">
        <v>46161</v>
      </c>
      <c r="D1073" t="inlineStr">
        <is>
          <t>VÄSTERNORRLANDS LÄN</t>
        </is>
      </c>
      <c r="E1073" t="inlineStr">
        <is>
          <t>SOLLEFTEÅ</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51451-2025</t>
        </is>
      </c>
      <c r="B1074" s="1" t="n">
        <v>45950.59311342592</v>
      </c>
      <c r="C1074" s="1" t="n">
        <v>46161</v>
      </c>
      <c r="D1074" t="inlineStr">
        <is>
          <t>VÄSTERNORRLANDS LÄN</t>
        </is>
      </c>
      <c r="E1074" t="inlineStr">
        <is>
          <t>SOLLEFTEÅ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8099-2025</t>
        </is>
      </c>
      <c r="B1075" s="1" t="n">
        <v>45707.69086805556</v>
      </c>
      <c r="C1075" s="1" t="n">
        <v>46161</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62098-2023</t>
        </is>
      </c>
      <c r="B1076" s="1" t="n">
        <v>45266</v>
      </c>
      <c r="C1076" s="1" t="n">
        <v>46161</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42631-2024</t>
        </is>
      </c>
      <c r="B1077" s="1" t="n">
        <v>45565</v>
      </c>
      <c r="C1077" s="1" t="n">
        <v>46161</v>
      </c>
      <c r="D1077" t="inlineStr">
        <is>
          <t>VÄSTERNORRLANDS LÄN</t>
        </is>
      </c>
      <c r="E1077" t="inlineStr">
        <is>
          <t>SOLLEFTEÅ</t>
        </is>
      </c>
      <c r="F1077" t="inlineStr">
        <is>
          <t>Holmen skog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60420-2022</t>
        </is>
      </c>
      <c r="B1078" s="1" t="n">
        <v>44910</v>
      </c>
      <c r="C1078" s="1" t="n">
        <v>46161</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24552-2025</t>
        </is>
      </c>
      <c r="B1079" s="1" t="n">
        <v>45798.44865740741</v>
      </c>
      <c r="C1079" s="1" t="n">
        <v>46161</v>
      </c>
      <c r="D1079" t="inlineStr">
        <is>
          <t>VÄSTERNORRLANDS LÄN</t>
        </is>
      </c>
      <c r="E1079" t="inlineStr">
        <is>
          <t>SOLLEFTEÅ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51321-2025</t>
        </is>
      </c>
      <c r="B1080" s="1" t="n">
        <v>45950.38615740741</v>
      </c>
      <c r="C1080" s="1" t="n">
        <v>46161</v>
      </c>
      <c r="D1080" t="inlineStr">
        <is>
          <t>VÄSTERNORRLANDS LÄN</t>
        </is>
      </c>
      <c r="E1080" t="inlineStr">
        <is>
          <t>SOLLEFTEÅ</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14712-2025</t>
        </is>
      </c>
      <c r="B1081" s="1" t="n">
        <v>45742.61008101852</v>
      </c>
      <c r="C1081" s="1" t="n">
        <v>46161</v>
      </c>
      <c r="D1081" t="inlineStr">
        <is>
          <t>VÄSTERNORRLANDS LÄN</t>
        </is>
      </c>
      <c r="E1081" t="inlineStr">
        <is>
          <t>SOLLEFTEÅ</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24530-2025</t>
        </is>
      </c>
      <c r="B1082" s="1" t="n">
        <v>45798.42799768518</v>
      </c>
      <c r="C1082" s="1" t="n">
        <v>46161</v>
      </c>
      <c r="D1082" t="inlineStr">
        <is>
          <t>VÄSTERNORRLANDS LÄN</t>
        </is>
      </c>
      <c r="E1082" t="inlineStr">
        <is>
          <t>SOLLEFTEÅ</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51527-2025</t>
        </is>
      </c>
      <c r="B1083" s="1" t="n">
        <v>45950.67748842593</v>
      </c>
      <c r="C1083" s="1" t="n">
        <v>46161</v>
      </c>
      <c r="D1083" t="inlineStr">
        <is>
          <t>VÄSTERNORRLANDS LÄN</t>
        </is>
      </c>
      <c r="E1083" t="inlineStr">
        <is>
          <t>SOLLEFTEÅ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51529-2025</t>
        </is>
      </c>
      <c r="B1084" s="1" t="n">
        <v>45950.67769675926</v>
      </c>
      <c r="C1084" s="1" t="n">
        <v>46161</v>
      </c>
      <c r="D1084" t="inlineStr">
        <is>
          <t>VÄSTERNORRLANDS LÄN</t>
        </is>
      </c>
      <c r="E1084" t="inlineStr">
        <is>
          <t>SOLLEFTEÅ</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41540-2025</t>
        </is>
      </c>
      <c r="B1085" s="1" t="n">
        <v>45901.56833333334</v>
      </c>
      <c r="C1085" s="1" t="n">
        <v>46161</v>
      </c>
      <c r="D1085" t="inlineStr">
        <is>
          <t>VÄSTERNORRLANDS LÄN</t>
        </is>
      </c>
      <c r="E1085" t="inlineStr">
        <is>
          <t>SOLLEFTEÅ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51617-2025</t>
        </is>
      </c>
      <c r="B1086" s="1" t="n">
        <v>45951.40674768519</v>
      </c>
      <c r="C1086" s="1" t="n">
        <v>46161</v>
      </c>
      <c r="D1086" t="inlineStr">
        <is>
          <t>VÄSTERNORRLANDS LÄN</t>
        </is>
      </c>
      <c r="E1086" t="inlineStr">
        <is>
          <t>SOLLEFTEÅ</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41473-2025</t>
        </is>
      </c>
      <c r="B1087" s="1" t="n">
        <v>45901.46952546296</v>
      </c>
      <c r="C1087" s="1" t="n">
        <v>46161</v>
      </c>
      <c r="D1087" t="inlineStr">
        <is>
          <t>VÄSTERNORRLANDS LÄN</t>
        </is>
      </c>
      <c r="E1087" t="inlineStr">
        <is>
          <t>SOLLEFTEÅ</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51735-2024</t>
        </is>
      </c>
      <c r="B1088" s="1" t="n">
        <v>45607.40127314815</v>
      </c>
      <c r="C1088" s="1" t="n">
        <v>46161</v>
      </c>
      <c r="D1088" t="inlineStr">
        <is>
          <t>VÄSTERNORRLANDS LÄN</t>
        </is>
      </c>
      <c r="E1088" t="inlineStr">
        <is>
          <t>SOLLEFTEÅ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7003-2025</t>
        </is>
      </c>
      <c r="B1089" s="1" t="n">
        <v>45701</v>
      </c>
      <c r="C1089" s="1" t="n">
        <v>46161</v>
      </c>
      <c r="D1089" t="inlineStr">
        <is>
          <t>VÄSTERNORRLANDS LÄN</t>
        </is>
      </c>
      <c r="E1089" t="inlineStr">
        <is>
          <t>SOLLEFTEÅ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51755-2025</t>
        </is>
      </c>
      <c r="B1090" s="1" t="n">
        <v>45950</v>
      </c>
      <c r="C1090" s="1" t="n">
        <v>46161</v>
      </c>
      <c r="D1090" t="inlineStr">
        <is>
          <t>VÄSTERNORRLANDS LÄN</t>
        </is>
      </c>
      <c r="E1090" t="inlineStr">
        <is>
          <t>SOLLEFTEÅ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279-2023</t>
        </is>
      </c>
      <c r="B1091" s="1" t="n">
        <v>44928</v>
      </c>
      <c r="C1091" s="1" t="n">
        <v>46161</v>
      </c>
      <c r="D1091" t="inlineStr">
        <is>
          <t>VÄSTERNORRLANDS LÄN</t>
        </is>
      </c>
      <c r="E1091" t="inlineStr">
        <is>
          <t>SOLLEFTEÅ</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59371-2022</t>
        </is>
      </c>
      <c r="B1092" s="1" t="n">
        <v>44904</v>
      </c>
      <c r="C1092" s="1" t="n">
        <v>46161</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40354-2024</t>
        </is>
      </c>
      <c r="B1093" s="1" t="n">
        <v>45555.36525462963</v>
      </c>
      <c r="C1093" s="1" t="n">
        <v>46161</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24596-2023</t>
        </is>
      </c>
      <c r="B1094" s="1" t="n">
        <v>45083.94011574074</v>
      </c>
      <c r="C1094" s="1" t="n">
        <v>46161</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51259-2025</t>
        </is>
      </c>
      <c r="B1095" s="1" t="n">
        <v>45949.44818287037</v>
      </c>
      <c r="C1095" s="1" t="n">
        <v>46161</v>
      </c>
      <c r="D1095" t="inlineStr">
        <is>
          <t>VÄSTERNORRLANDS LÄN</t>
        </is>
      </c>
      <c r="E1095" t="inlineStr">
        <is>
          <t>SOLLEFTEÅ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42064-2025</t>
        </is>
      </c>
      <c r="B1096" s="1" t="n">
        <v>45903.6527199074</v>
      </c>
      <c r="C1096" s="1" t="n">
        <v>46161</v>
      </c>
      <c r="D1096" t="inlineStr">
        <is>
          <t>VÄSTERNORRLANDS LÄN</t>
        </is>
      </c>
      <c r="E1096" t="inlineStr">
        <is>
          <t>SOLLEFTEÅ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41925-2025</t>
        </is>
      </c>
      <c r="B1097" s="1" t="n">
        <v>45903.4275</v>
      </c>
      <c r="C1097" s="1" t="n">
        <v>46161</v>
      </c>
      <c r="D1097" t="inlineStr">
        <is>
          <t>VÄSTERNORRLANDS LÄN</t>
        </is>
      </c>
      <c r="E1097" t="inlineStr">
        <is>
          <t>SOLLEFTEÅ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44392-2023</t>
        </is>
      </c>
      <c r="B1098" s="1" t="n">
        <v>45188.94527777778</v>
      </c>
      <c r="C1098" s="1" t="n">
        <v>46161</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58179-2021</t>
        </is>
      </c>
      <c r="B1099" s="1" t="n">
        <v>44487</v>
      </c>
      <c r="C1099" s="1" t="n">
        <v>46161</v>
      </c>
      <c r="D1099" t="inlineStr">
        <is>
          <t>VÄSTERNORRLANDS LÄN</t>
        </is>
      </c>
      <c r="E1099" t="inlineStr">
        <is>
          <t>SOLLEFTEÅ</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42081-2025</t>
        </is>
      </c>
      <c r="B1100" s="1" t="n">
        <v>45902</v>
      </c>
      <c r="C1100" s="1" t="n">
        <v>46161</v>
      </c>
      <c r="D1100" t="inlineStr">
        <is>
          <t>VÄSTERNORRLANDS LÄN</t>
        </is>
      </c>
      <c r="E1100" t="inlineStr">
        <is>
          <t>SOLLEFTEÅ</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25238-2025</t>
        </is>
      </c>
      <c r="B1101" s="1" t="n">
        <v>45800.49016203704</v>
      </c>
      <c r="C1101" s="1" t="n">
        <v>46161</v>
      </c>
      <c r="D1101" t="inlineStr">
        <is>
          <t>VÄSTERNORRLANDS LÄN</t>
        </is>
      </c>
      <c r="E1101" t="inlineStr">
        <is>
          <t>SOLLEFTEÅ</t>
        </is>
      </c>
      <c r="F1101" t="inlineStr">
        <is>
          <t>SCA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41948-2025</t>
        </is>
      </c>
      <c r="B1102" s="1" t="n">
        <v>45903.45092592593</v>
      </c>
      <c r="C1102" s="1" t="n">
        <v>46161</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20507-2024</t>
        </is>
      </c>
      <c r="B1103" s="1" t="n">
        <v>45435</v>
      </c>
      <c r="C1103" s="1" t="n">
        <v>46161</v>
      </c>
      <c r="D1103" t="inlineStr">
        <is>
          <t>VÄSTERNORRLANDS LÄN</t>
        </is>
      </c>
      <c r="E1103" t="inlineStr">
        <is>
          <t>SOLLEFTEÅ</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41829-2025</t>
        </is>
      </c>
      <c r="B1104" s="1" t="n">
        <v>45902</v>
      </c>
      <c r="C1104" s="1" t="n">
        <v>46161</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25517-2025</t>
        </is>
      </c>
      <c r="B1105" s="1" t="n">
        <v>45803.37570601852</v>
      </c>
      <c r="C1105" s="1" t="n">
        <v>46161</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25145-2025</t>
        </is>
      </c>
      <c r="B1106" s="1" t="n">
        <v>45800</v>
      </c>
      <c r="C1106" s="1" t="n">
        <v>46161</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4935-2025</t>
        </is>
      </c>
      <c r="B1107" s="1" t="n">
        <v>45688.68496527777</v>
      </c>
      <c r="C1107" s="1" t="n">
        <v>46161</v>
      </c>
      <c r="D1107" t="inlineStr">
        <is>
          <t>VÄSTERNORRLANDS LÄN</t>
        </is>
      </c>
      <c r="E1107" t="inlineStr">
        <is>
          <t>SOLLEFTEÅ</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25297-2025</t>
        </is>
      </c>
      <c r="B1108" s="1" t="n">
        <v>45800.5684837963</v>
      </c>
      <c r="C1108" s="1" t="n">
        <v>46161</v>
      </c>
      <c r="D1108" t="inlineStr">
        <is>
          <t>VÄSTERNORRLANDS LÄN</t>
        </is>
      </c>
      <c r="E1108" t="inlineStr">
        <is>
          <t>SOLLEFTEÅ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42041-2025</t>
        </is>
      </c>
      <c r="B1109" s="1" t="n">
        <v>45903.61568287037</v>
      </c>
      <c r="C1109" s="1" t="n">
        <v>46161</v>
      </c>
      <c r="D1109" t="inlineStr">
        <is>
          <t>VÄSTERNORRLANDS LÄN</t>
        </is>
      </c>
      <c r="E1109" t="inlineStr">
        <is>
          <t>SOLLEFTEÅ</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51521-2025</t>
        </is>
      </c>
      <c r="B1110" s="1" t="n">
        <v>45950.65715277778</v>
      </c>
      <c r="C1110" s="1" t="n">
        <v>46161</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25132-2025</t>
        </is>
      </c>
      <c r="B1111" s="1" t="n">
        <v>45800</v>
      </c>
      <c r="C1111" s="1" t="n">
        <v>46161</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25833-2025</t>
        </is>
      </c>
      <c r="B1112" s="1" t="n">
        <v>45804.44827546296</v>
      </c>
      <c r="C1112" s="1" t="n">
        <v>46161</v>
      </c>
      <c r="D1112" t="inlineStr">
        <is>
          <t>VÄSTERNORRLANDS LÄN</t>
        </is>
      </c>
      <c r="E1112" t="inlineStr">
        <is>
          <t>SOLLEFTEÅ</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54307-2023</t>
        </is>
      </c>
      <c r="B1113" s="1" t="n">
        <v>45225</v>
      </c>
      <c r="C1113" s="1" t="n">
        <v>46161</v>
      </c>
      <c r="D1113" t="inlineStr">
        <is>
          <t>VÄSTERNORRLANDS LÄN</t>
        </is>
      </c>
      <c r="E1113" t="inlineStr">
        <is>
          <t>SOLLEFTEÅ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25856-2025</t>
        </is>
      </c>
      <c r="B1114" s="1" t="n">
        <v>45804.46944444445</v>
      </c>
      <c r="C1114" s="1" t="n">
        <v>46161</v>
      </c>
      <c r="D1114" t="inlineStr">
        <is>
          <t>VÄSTERNORRLANDS LÄN</t>
        </is>
      </c>
      <c r="E1114" t="inlineStr">
        <is>
          <t>SOLLEFTEÅ</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5255-2024</t>
        </is>
      </c>
      <c r="B1115" s="1" t="n">
        <v>45330</v>
      </c>
      <c r="C1115" s="1" t="n">
        <v>46161</v>
      </c>
      <c r="D1115" t="inlineStr">
        <is>
          <t>VÄSTERNORRLANDS LÄN</t>
        </is>
      </c>
      <c r="E1115" t="inlineStr">
        <is>
          <t>SOLLEFTEÅ</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73367-2021</t>
        </is>
      </c>
      <c r="B1116" s="1" t="n">
        <v>44550</v>
      </c>
      <c r="C1116" s="1" t="n">
        <v>46161</v>
      </c>
      <c r="D1116" t="inlineStr">
        <is>
          <t>VÄSTERNORRLANDS LÄN</t>
        </is>
      </c>
      <c r="E1116" t="inlineStr">
        <is>
          <t>SOLLEFTEÅ</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42199-2025</t>
        </is>
      </c>
      <c r="B1117" s="1" t="n">
        <v>45904.48640046296</v>
      </c>
      <c r="C1117" s="1" t="n">
        <v>46161</v>
      </c>
      <c r="D1117" t="inlineStr">
        <is>
          <t>VÄSTERNORRLANDS LÄN</t>
        </is>
      </c>
      <c r="E1117" t="inlineStr">
        <is>
          <t>SOLLEFTEÅ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31428-2025</t>
        </is>
      </c>
      <c r="B1118" s="1" t="n">
        <v>45833.4930787037</v>
      </c>
      <c r="C1118" s="1" t="n">
        <v>46161</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25963-2025</t>
        </is>
      </c>
      <c r="B1119" s="1" t="n">
        <v>45804.61568287037</v>
      </c>
      <c r="C1119" s="1" t="n">
        <v>46161</v>
      </c>
      <c r="D1119" t="inlineStr">
        <is>
          <t>VÄSTERNORRLANDS LÄN</t>
        </is>
      </c>
      <c r="E1119" t="inlineStr">
        <is>
          <t>SOLLEFTEÅ</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47177-2023</t>
        </is>
      </c>
      <c r="B1120" s="1" t="n">
        <v>45201</v>
      </c>
      <c r="C1120" s="1" t="n">
        <v>46161</v>
      </c>
      <c r="D1120" t="inlineStr">
        <is>
          <t>VÄSTERNORRLANDS LÄN</t>
        </is>
      </c>
      <c r="E1120" t="inlineStr">
        <is>
          <t>SOLLEFTEÅ</t>
        </is>
      </c>
      <c r="F1120" t="inlineStr">
        <is>
          <t>SCA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42396-2025</t>
        </is>
      </c>
      <c r="B1121" s="1" t="n">
        <v>45905.36559027778</v>
      </c>
      <c r="C1121" s="1" t="n">
        <v>46161</v>
      </c>
      <c r="D1121" t="inlineStr">
        <is>
          <t>VÄSTERNORRLANDS LÄN</t>
        </is>
      </c>
      <c r="E1121" t="inlineStr">
        <is>
          <t>SOLLEFTEÅ</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56260-2023</t>
        </is>
      </c>
      <c r="B1122" s="1" t="n">
        <v>45240</v>
      </c>
      <c r="C1122" s="1" t="n">
        <v>46161</v>
      </c>
      <c r="D1122" t="inlineStr">
        <is>
          <t>VÄSTERNORRLANDS LÄN</t>
        </is>
      </c>
      <c r="E1122" t="inlineStr">
        <is>
          <t>SOLLEFTEÅ</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42127-2025</t>
        </is>
      </c>
      <c r="B1123" s="1" t="n">
        <v>45904.34502314815</v>
      </c>
      <c r="C1123" s="1" t="n">
        <v>46161</v>
      </c>
      <c r="D1123" t="inlineStr">
        <is>
          <t>VÄSTERNORRLANDS LÄN</t>
        </is>
      </c>
      <c r="E1123" t="inlineStr">
        <is>
          <t>SOLLEFTEÅ</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25939-2025</t>
        </is>
      </c>
      <c r="B1124" s="1" t="n">
        <v>45804.5943287037</v>
      </c>
      <c r="C1124" s="1" t="n">
        <v>46161</v>
      </c>
      <c r="D1124" t="inlineStr">
        <is>
          <t>VÄSTERNORRLANDS LÄN</t>
        </is>
      </c>
      <c r="E1124" t="inlineStr">
        <is>
          <t>SOLLEFTEÅ</t>
        </is>
      </c>
      <c r="F1124" t="inlineStr">
        <is>
          <t>SCA</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26088-2025</t>
        </is>
      </c>
      <c r="B1125" s="1" t="n">
        <v>45805.34497685185</v>
      </c>
      <c r="C1125" s="1" t="n">
        <v>46161</v>
      </c>
      <c r="D1125" t="inlineStr">
        <is>
          <t>VÄSTERNORRLANDS LÄN</t>
        </is>
      </c>
      <c r="E1125" t="inlineStr">
        <is>
          <t>SOLLEFTEÅ</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42192-2025</t>
        </is>
      </c>
      <c r="B1126" s="1" t="n">
        <v>45904.47975694444</v>
      </c>
      <c r="C1126" s="1" t="n">
        <v>46161</v>
      </c>
      <c r="D1126" t="inlineStr">
        <is>
          <t>VÄSTERNORRLANDS LÄN</t>
        </is>
      </c>
      <c r="E1126" t="inlineStr">
        <is>
          <t>SOLLEFTEÅ</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42191-2025</t>
        </is>
      </c>
      <c r="B1127" s="1" t="n">
        <v>45904.47394675926</v>
      </c>
      <c r="C1127" s="1" t="n">
        <v>46161</v>
      </c>
      <c r="D1127" t="inlineStr">
        <is>
          <t>VÄSTERNORRLANDS LÄN</t>
        </is>
      </c>
      <c r="E1127" t="inlineStr">
        <is>
          <t>SOLLEFTEÅ</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10428-2023</t>
        </is>
      </c>
      <c r="B1128" s="1" t="n">
        <v>44981</v>
      </c>
      <c r="C1128" s="1" t="n">
        <v>46161</v>
      </c>
      <c r="D1128" t="inlineStr">
        <is>
          <t>VÄSTERNORRLANDS LÄN</t>
        </is>
      </c>
      <c r="E1128" t="inlineStr">
        <is>
          <t>SOLLEFTEÅ</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25854-2025</t>
        </is>
      </c>
      <c r="B1129" s="1" t="n">
        <v>45804.46920138889</v>
      </c>
      <c r="C1129" s="1" t="n">
        <v>46161</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42201-2025</t>
        </is>
      </c>
      <c r="B1130" s="1" t="n">
        <v>45904.48965277777</v>
      </c>
      <c r="C1130" s="1" t="n">
        <v>46161</v>
      </c>
      <c r="D1130" t="inlineStr">
        <is>
          <t>VÄSTERNORRLANDS LÄN</t>
        </is>
      </c>
      <c r="E1130" t="inlineStr">
        <is>
          <t>SOLLEFTEÅ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326-2025</t>
        </is>
      </c>
      <c r="B1131" s="1" t="n">
        <v>45660.65653935185</v>
      </c>
      <c r="C1131" s="1" t="n">
        <v>46161</v>
      </c>
      <c r="D1131" t="inlineStr">
        <is>
          <t>VÄSTERNORRLANDS LÄN</t>
        </is>
      </c>
      <c r="E1131" t="inlineStr">
        <is>
          <t>SOLLEFTEÅ</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12107-2023</t>
        </is>
      </c>
      <c r="B1132" s="1" t="n">
        <v>44995</v>
      </c>
      <c r="C1132" s="1" t="n">
        <v>46161</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42733-2025</t>
        </is>
      </c>
      <c r="B1133" s="1" t="n">
        <v>45908.4071875</v>
      </c>
      <c r="C1133" s="1" t="n">
        <v>46161</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25855-2025</t>
        </is>
      </c>
      <c r="B1134" s="1" t="n">
        <v>45804.46934027778</v>
      </c>
      <c r="C1134" s="1" t="n">
        <v>46161</v>
      </c>
      <c r="D1134" t="inlineStr">
        <is>
          <t>VÄSTERNORRLANDS LÄN</t>
        </is>
      </c>
      <c r="E1134" t="inlineStr">
        <is>
          <t>SOLLEFTEÅ</t>
        </is>
      </c>
      <c r="F1134" t="inlineStr">
        <is>
          <t>SCA</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51899-2025</t>
        </is>
      </c>
      <c r="B1135" s="1" t="n">
        <v>45952.44201388889</v>
      </c>
      <c r="C1135" s="1" t="n">
        <v>46161</v>
      </c>
      <c r="D1135" t="inlineStr">
        <is>
          <t>VÄSTERNORRLANDS LÄN</t>
        </is>
      </c>
      <c r="E1135" t="inlineStr">
        <is>
          <t>SOLLEFTEÅ</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25857-2025</t>
        </is>
      </c>
      <c r="B1136" s="1" t="n">
        <v>45804.46956018519</v>
      </c>
      <c r="C1136" s="1" t="n">
        <v>46161</v>
      </c>
      <c r="D1136" t="inlineStr">
        <is>
          <t>VÄSTERNORRLANDS LÄN</t>
        </is>
      </c>
      <c r="E1136" t="inlineStr">
        <is>
          <t>SOLLEFTEÅ</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42901-2025</t>
        </is>
      </c>
      <c r="B1137" s="1" t="n">
        <v>45908.67736111111</v>
      </c>
      <c r="C1137" s="1" t="n">
        <v>46161</v>
      </c>
      <c r="D1137" t="inlineStr">
        <is>
          <t>VÄSTERNORRLANDS LÄN</t>
        </is>
      </c>
      <c r="E1137" t="inlineStr">
        <is>
          <t>SOLLEFTEÅ</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26477-2025</t>
        </is>
      </c>
      <c r="B1138" s="1" t="n">
        <v>45807.47011574074</v>
      </c>
      <c r="C1138" s="1" t="n">
        <v>46161</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55439-2024</t>
        </is>
      </c>
      <c r="B1139" s="1" t="n">
        <v>45622.40663194445</v>
      </c>
      <c r="C1139" s="1" t="n">
        <v>46161</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26409-2025</t>
        </is>
      </c>
      <c r="B1140" s="1" t="n">
        <v>45807.344375</v>
      </c>
      <c r="C1140" s="1" t="n">
        <v>46161</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26426-2025</t>
        </is>
      </c>
      <c r="B1141" s="1" t="n">
        <v>45807.38574074074</v>
      </c>
      <c r="C1141" s="1" t="n">
        <v>46161</v>
      </c>
      <c r="D1141" t="inlineStr">
        <is>
          <t>VÄSTERNORRLANDS LÄN</t>
        </is>
      </c>
      <c r="E1141" t="inlineStr">
        <is>
          <t>SOLLEFTEÅ</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42808-2025</t>
        </is>
      </c>
      <c r="B1142" s="1" t="n">
        <v>45908.55265046296</v>
      </c>
      <c r="C1142" s="1" t="n">
        <v>46161</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295-2025</t>
        </is>
      </c>
      <c r="B1143" s="1" t="n">
        <v>45660.53206018519</v>
      </c>
      <c r="C1143" s="1" t="n">
        <v>46161</v>
      </c>
      <c r="D1143" t="inlineStr">
        <is>
          <t>VÄSTERNORRLANDS LÄN</t>
        </is>
      </c>
      <c r="E1143" t="inlineStr">
        <is>
          <t>SOLLEFTEÅ</t>
        </is>
      </c>
      <c r="F1143" t="inlineStr">
        <is>
          <t>SCA</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22166-2025</t>
        </is>
      </c>
      <c r="B1144" s="1" t="n">
        <v>45785.59480324074</v>
      </c>
      <c r="C1144" s="1" t="n">
        <v>46161</v>
      </c>
      <c r="D1144" t="inlineStr">
        <is>
          <t>VÄSTERNORRLANDS LÄN</t>
        </is>
      </c>
      <c r="E1144" t="inlineStr">
        <is>
          <t>SOLLEFTEÅ</t>
        </is>
      </c>
      <c r="F1144" t="inlineStr">
        <is>
          <t>SCA</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42778-2025</t>
        </is>
      </c>
      <c r="B1145" s="1" t="n">
        <v>45908</v>
      </c>
      <c r="C1145" s="1" t="n">
        <v>46161</v>
      </c>
      <c r="D1145" t="inlineStr">
        <is>
          <t>VÄSTERNORRLANDS LÄN</t>
        </is>
      </c>
      <c r="E1145" t="inlineStr">
        <is>
          <t>SOLLEFTEÅ</t>
        </is>
      </c>
      <c r="F1145" t="inlineStr">
        <is>
          <t>Holmen skog AB</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48088-2023</t>
        </is>
      </c>
      <c r="B1146" s="1" t="n">
        <v>45204.94657407407</v>
      </c>
      <c r="C1146" s="1" t="n">
        <v>46161</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26570-2025</t>
        </is>
      </c>
      <c r="B1147" s="1" t="n">
        <v>45807.67743055556</v>
      </c>
      <c r="C1147" s="1" t="n">
        <v>46161</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48555-2021</t>
        </is>
      </c>
      <c r="B1148" s="1" t="n">
        <v>44452</v>
      </c>
      <c r="C1148" s="1" t="n">
        <v>46161</v>
      </c>
      <c r="D1148" t="inlineStr">
        <is>
          <t>VÄSTERNORRLANDS LÄN</t>
        </is>
      </c>
      <c r="E1148" t="inlineStr">
        <is>
          <t>SOLLEFTEÅ</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42806-2025</t>
        </is>
      </c>
      <c r="B1149" s="1" t="n">
        <v>45908</v>
      </c>
      <c r="C1149" s="1" t="n">
        <v>46161</v>
      </c>
      <c r="D1149" t="inlineStr">
        <is>
          <t>VÄSTERNORRLANDS LÄN</t>
        </is>
      </c>
      <c r="E1149" t="inlineStr">
        <is>
          <t>SOLLEFTEÅ</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46161</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62038-2024</t>
        </is>
      </c>
      <c r="B1151" s="1" t="n">
        <v>45656.34410879629</v>
      </c>
      <c r="C1151" s="1" t="n">
        <v>46161</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59407-2024</t>
        </is>
      </c>
      <c r="B1152" s="1" t="n">
        <v>45638.38917824074</v>
      </c>
      <c r="C1152" s="1" t="n">
        <v>46161</v>
      </c>
      <c r="D1152" t="inlineStr">
        <is>
          <t>VÄSTERNORRLANDS LÄN</t>
        </is>
      </c>
      <c r="E1152" t="inlineStr">
        <is>
          <t>SOLLEFTEÅ</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9163-2025</t>
        </is>
      </c>
      <c r="B1153" s="1" t="n">
        <v>45714.36503472222</v>
      </c>
      <c r="C1153" s="1" t="n">
        <v>46161</v>
      </c>
      <c r="D1153" t="inlineStr">
        <is>
          <t>VÄSTERNORRLANDS LÄN</t>
        </is>
      </c>
      <c r="E1153" t="inlineStr">
        <is>
          <t>SOLLEFTEÅ</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4895-2025</t>
        </is>
      </c>
      <c r="B1154" s="1" t="n">
        <v>45688.67891203704</v>
      </c>
      <c r="C1154" s="1" t="n">
        <v>46161</v>
      </c>
      <c r="D1154" t="inlineStr">
        <is>
          <t>VÄSTERNORRLANDS LÄN</t>
        </is>
      </c>
      <c r="E1154" t="inlineStr">
        <is>
          <t>SOLLEFTEÅ</t>
        </is>
      </c>
      <c r="F1154" t="inlineStr">
        <is>
          <t>SCA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13492-2022</t>
        </is>
      </c>
      <c r="B1155" s="1" t="n">
        <v>44646.92120370371</v>
      </c>
      <c r="C1155" s="1" t="n">
        <v>46161</v>
      </c>
      <c r="D1155" t="inlineStr">
        <is>
          <t>VÄSTERNORRLANDS LÄN</t>
        </is>
      </c>
      <c r="E1155" t="inlineStr">
        <is>
          <t>SOLLEFTEÅ</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4909-2025</t>
        </is>
      </c>
      <c r="B1156" s="1" t="n">
        <v>45688</v>
      </c>
      <c r="C1156" s="1" t="n">
        <v>46161</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26916-2025</t>
        </is>
      </c>
      <c r="B1157" s="1" t="n">
        <v>45811.37184027778</v>
      </c>
      <c r="C1157" s="1" t="n">
        <v>46161</v>
      </c>
      <c r="D1157" t="inlineStr">
        <is>
          <t>VÄSTERNORRLANDS LÄN</t>
        </is>
      </c>
      <c r="E1157" t="inlineStr">
        <is>
          <t>SOLLEFTEÅ</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14718-2023</t>
        </is>
      </c>
      <c r="B1158" s="1" t="n">
        <v>45012</v>
      </c>
      <c r="C1158" s="1" t="n">
        <v>46161</v>
      </c>
      <c r="D1158" t="inlineStr">
        <is>
          <t>VÄSTERNORRLANDS LÄN</t>
        </is>
      </c>
      <c r="E1158" t="inlineStr">
        <is>
          <t>SOLLEFTEÅ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52092-2025</t>
        </is>
      </c>
      <c r="B1159" s="1" t="n">
        <v>45952.67827546296</v>
      </c>
      <c r="C1159" s="1" t="n">
        <v>46161</v>
      </c>
      <c r="D1159" t="inlineStr">
        <is>
          <t>VÄSTERNORRLANDS LÄN</t>
        </is>
      </c>
      <c r="E1159" t="inlineStr">
        <is>
          <t>SOLLEFTEÅ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10725-2025</t>
        </is>
      </c>
      <c r="B1160" s="1" t="n">
        <v>45722</v>
      </c>
      <c r="C1160" s="1" t="n">
        <v>46161</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61790-2024</t>
        </is>
      </c>
      <c r="B1161" s="1" t="n">
        <v>45649</v>
      </c>
      <c r="C1161" s="1" t="n">
        <v>46161</v>
      </c>
      <c r="D1161" t="inlineStr">
        <is>
          <t>VÄSTERNORRLANDS LÄN</t>
        </is>
      </c>
      <c r="E1161" t="inlineStr">
        <is>
          <t>SOLLEFTEÅ</t>
        </is>
      </c>
      <c r="F1161" t="inlineStr">
        <is>
          <t>Övriga statliga verk och myndigheter</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31562-2024</t>
        </is>
      </c>
      <c r="B1162" s="1" t="n">
        <v>45505</v>
      </c>
      <c r="C1162" s="1" t="n">
        <v>46161</v>
      </c>
      <c r="D1162" t="inlineStr">
        <is>
          <t>VÄSTERNORRLANDS LÄN</t>
        </is>
      </c>
      <c r="E1162" t="inlineStr">
        <is>
          <t>SOLLEFTEÅ</t>
        </is>
      </c>
      <c r="F1162" t="inlineStr">
        <is>
          <t>SCA</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48019-2024</t>
        </is>
      </c>
      <c r="B1163" s="1" t="n">
        <v>45589.47023148148</v>
      </c>
      <c r="C1163" s="1" t="n">
        <v>46161</v>
      </c>
      <c r="D1163" t="inlineStr">
        <is>
          <t>VÄSTERNORRLANDS LÄN</t>
        </is>
      </c>
      <c r="E1163" t="inlineStr">
        <is>
          <t>SOLLEFTEÅ</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26642-2025</t>
        </is>
      </c>
      <c r="B1164" s="1" t="n">
        <v>45810.36521990741</v>
      </c>
      <c r="C1164" s="1" t="n">
        <v>46161</v>
      </c>
      <c r="D1164" t="inlineStr">
        <is>
          <t>VÄSTERNORRLANDS LÄN</t>
        </is>
      </c>
      <c r="E1164" t="inlineStr">
        <is>
          <t>SOLLEFTEÅ</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51880-2025</t>
        </is>
      </c>
      <c r="B1165" s="1" t="n">
        <v>45952.40435185185</v>
      </c>
      <c r="C1165" s="1" t="n">
        <v>46161</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52236-2025</t>
        </is>
      </c>
      <c r="B1166" s="1" t="n">
        <v>45953.45596064815</v>
      </c>
      <c r="C1166" s="1" t="n">
        <v>46161</v>
      </c>
      <c r="D1166" t="inlineStr">
        <is>
          <t>VÄSTERNORRLANDS LÄN</t>
        </is>
      </c>
      <c r="E1166" t="inlineStr">
        <is>
          <t>SOLLEFTEÅ</t>
        </is>
      </c>
      <c r="F1166" t="inlineStr">
        <is>
          <t>Holmen skog AB</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27593-2022</t>
        </is>
      </c>
      <c r="B1167" s="1" t="n">
        <v>44742</v>
      </c>
      <c r="C1167" s="1" t="n">
        <v>46161</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26641-2025</t>
        </is>
      </c>
      <c r="B1168" s="1" t="n">
        <v>45810.36509259259</v>
      </c>
      <c r="C1168" s="1" t="n">
        <v>46161</v>
      </c>
      <c r="D1168" t="inlineStr">
        <is>
          <t>VÄSTERNORRLANDS LÄN</t>
        </is>
      </c>
      <c r="E1168" t="inlineStr">
        <is>
          <t>SOLLEFTEÅ</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26921-2025</t>
        </is>
      </c>
      <c r="B1169" s="1" t="n">
        <v>45811.38575231482</v>
      </c>
      <c r="C1169" s="1" t="n">
        <v>46161</v>
      </c>
      <c r="D1169" t="inlineStr">
        <is>
          <t>VÄSTERNORRLANDS LÄN</t>
        </is>
      </c>
      <c r="E1169" t="inlineStr">
        <is>
          <t>SOLLEFTEÅ</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26953-2025</t>
        </is>
      </c>
      <c r="B1170" s="1" t="n">
        <v>45811.44856481482</v>
      </c>
      <c r="C1170" s="1" t="n">
        <v>46161</v>
      </c>
      <c r="D1170" t="inlineStr">
        <is>
          <t>VÄSTERNORRLANDS LÄN</t>
        </is>
      </c>
      <c r="E1170" t="inlineStr">
        <is>
          <t>SOLLEFTEÅ</t>
        </is>
      </c>
      <c r="F1170" t="inlineStr">
        <is>
          <t>SCA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52438-2024</t>
        </is>
      </c>
      <c r="B1171" s="1" t="n">
        <v>45609.48300925926</v>
      </c>
      <c r="C1171" s="1" t="n">
        <v>46161</v>
      </c>
      <c r="D1171" t="inlineStr">
        <is>
          <t>VÄSTERNORRLANDS LÄN</t>
        </is>
      </c>
      <c r="E1171" t="inlineStr">
        <is>
          <t>SOLLEFTEÅ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52305-2025</t>
        </is>
      </c>
      <c r="B1172" s="1" t="n">
        <v>45953.63582175926</v>
      </c>
      <c r="C1172" s="1" t="n">
        <v>46161</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26733-2025</t>
        </is>
      </c>
      <c r="B1173" s="1" t="n">
        <v>45810.51078703703</v>
      </c>
      <c r="C1173" s="1" t="n">
        <v>46161</v>
      </c>
      <c r="D1173" t="inlineStr">
        <is>
          <t>VÄSTERNORRLANDS LÄN</t>
        </is>
      </c>
      <c r="E1173" t="inlineStr">
        <is>
          <t>SOLLEFTEÅ</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40115-2023</t>
        </is>
      </c>
      <c r="B1174" s="1" t="n">
        <v>45168.93859953704</v>
      </c>
      <c r="C1174" s="1" t="n">
        <v>46161</v>
      </c>
      <c r="D1174" t="inlineStr">
        <is>
          <t>VÄSTERNORRLANDS LÄN</t>
        </is>
      </c>
      <c r="E1174" t="inlineStr">
        <is>
          <t>SOLLEFTEÅ</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12730-2023</t>
        </is>
      </c>
      <c r="B1175" s="1" t="n">
        <v>45000.92381944445</v>
      </c>
      <c r="C1175" s="1" t="n">
        <v>46161</v>
      </c>
      <c r="D1175" t="inlineStr">
        <is>
          <t>VÄSTERNORRLANDS LÄN</t>
        </is>
      </c>
      <c r="E1175" t="inlineStr">
        <is>
          <t>SOLLEFTEÅ</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12733-2023</t>
        </is>
      </c>
      <c r="B1176" s="1" t="n">
        <v>45000</v>
      </c>
      <c r="C1176" s="1" t="n">
        <v>46161</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25079-2023</t>
        </is>
      </c>
      <c r="B1177" s="1" t="n">
        <v>45086</v>
      </c>
      <c r="C1177" s="1" t="n">
        <v>46161</v>
      </c>
      <c r="D1177" t="inlineStr">
        <is>
          <t>VÄSTERNORRLANDS LÄN</t>
        </is>
      </c>
      <c r="E1177" t="inlineStr">
        <is>
          <t>SOLLEFTEÅ</t>
        </is>
      </c>
      <c r="F1177" t="inlineStr">
        <is>
          <t>Kommuner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37381-2023</t>
        </is>
      </c>
      <c r="B1178" s="1" t="n">
        <v>45155</v>
      </c>
      <c r="C1178" s="1" t="n">
        <v>46161</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34316-2024</t>
        </is>
      </c>
      <c r="B1179" s="1" t="n">
        <v>45524</v>
      </c>
      <c r="C1179" s="1" t="n">
        <v>46161</v>
      </c>
      <c r="D1179" t="inlineStr">
        <is>
          <t>VÄSTERNORRLANDS LÄN</t>
        </is>
      </c>
      <c r="E1179" t="inlineStr">
        <is>
          <t>SOLLEFTEÅ</t>
        </is>
      </c>
      <c r="F1179" t="inlineStr">
        <is>
          <t>Övriga statliga verk och myndigheter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49417-2023</t>
        </is>
      </c>
      <c r="B1180" s="1" t="n">
        <v>45205</v>
      </c>
      <c r="C1180" s="1" t="n">
        <v>46161</v>
      </c>
      <c r="D1180" t="inlineStr">
        <is>
          <t>VÄSTERNORRLANDS LÄN</t>
        </is>
      </c>
      <c r="E1180" t="inlineStr">
        <is>
          <t>SOLLEFTEÅ</t>
        </is>
      </c>
      <c r="F1180" t="inlineStr">
        <is>
          <t>SCA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42697-2025</t>
        </is>
      </c>
      <c r="B1181" s="1" t="n">
        <v>45908.36498842593</v>
      </c>
      <c r="C1181" s="1" t="n">
        <v>46161</v>
      </c>
      <c r="D1181" t="inlineStr">
        <is>
          <t>VÄSTERNORRLANDS LÄN</t>
        </is>
      </c>
      <c r="E1181" t="inlineStr">
        <is>
          <t>SOLLEFTEÅ</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42789-2025</t>
        </is>
      </c>
      <c r="B1182" s="1" t="n">
        <v>45908</v>
      </c>
      <c r="C1182" s="1" t="n">
        <v>46161</v>
      </c>
      <c r="D1182" t="inlineStr">
        <is>
          <t>VÄSTERNORRLANDS LÄN</t>
        </is>
      </c>
      <c r="E1182" t="inlineStr">
        <is>
          <t>SOLLEFTEÅ</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7258-2024</t>
        </is>
      </c>
      <c r="B1183" s="1" t="n">
        <v>45344.74564814815</v>
      </c>
      <c r="C1183" s="1" t="n">
        <v>46161</v>
      </c>
      <c r="D1183" t="inlineStr">
        <is>
          <t>VÄSTERNORRLANDS LÄN</t>
        </is>
      </c>
      <c r="E1183" t="inlineStr">
        <is>
          <t>SOLLEFTEÅ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47471-2024</t>
        </is>
      </c>
      <c r="B1184" s="1" t="n">
        <v>45587.57324074074</v>
      </c>
      <c r="C1184" s="1" t="n">
        <v>46161</v>
      </c>
      <c r="D1184" t="inlineStr">
        <is>
          <t>VÄSTERNORRLANDS LÄN</t>
        </is>
      </c>
      <c r="E1184" t="inlineStr">
        <is>
          <t>SOLLEFTEÅ</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52078-2025</t>
        </is>
      </c>
      <c r="B1185" s="1" t="n">
        <v>45952.65828703704</v>
      </c>
      <c r="C1185" s="1" t="n">
        <v>46161</v>
      </c>
      <c r="D1185" t="inlineStr">
        <is>
          <t>VÄSTERNORRLANDS LÄN</t>
        </is>
      </c>
      <c r="E1185" t="inlineStr">
        <is>
          <t>SOLLEFTEÅ</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43503-2025</t>
        </is>
      </c>
      <c r="B1186" s="1" t="n">
        <v>45911.55266203704</v>
      </c>
      <c r="C1186" s="1" t="n">
        <v>46161</v>
      </c>
      <c r="D1186" t="inlineStr">
        <is>
          <t>VÄSTERNORRLANDS LÄN</t>
        </is>
      </c>
      <c r="E1186" t="inlineStr">
        <is>
          <t>SOLLEFTEÅ</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43462-2025</t>
        </is>
      </c>
      <c r="B1187" s="1" t="n">
        <v>45911.46943287037</v>
      </c>
      <c r="C1187" s="1" t="n">
        <v>46161</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66178-2021</t>
        </is>
      </c>
      <c r="B1188" s="1" t="n">
        <v>44517</v>
      </c>
      <c r="C1188" s="1" t="n">
        <v>46161</v>
      </c>
      <c r="D1188" t="inlineStr">
        <is>
          <t>VÄSTERNORRLANDS LÄN</t>
        </is>
      </c>
      <c r="E1188" t="inlineStr">
        <is>
          <t>SOLLEFTEÅ</t>
        </is>
      </c>
      <c r="F1188" t="inlineStr">
        <is>
          <t>SCA</t>
        </is>
      </c>
      <c r="G1188" t="n">
        <v>31.7</v>
      </c>
      <c r="H1188" t="n">
        <v>0</v>
      </c>
      <c r="I1188" t="n">
        <v>0</v>
      </c>
      <c r="J1188" t="n">
        <v>0</v>
      </c>
      <c r="K1188" t="n">
        <v>0</v>
      </c>
      <c r="L1188" t="n">
        <v>0</v>
      </c>
      <c r="M1188" t="n">
        <v>0</v>
      </c>
      <c r="N1188" t="n">
        <v>0</v>
      </c>
      <c r="O1188" t="n">
        <v>0</v>
      </c>
      <c r="P1188" t="n">
        <v>0</v>
      </c>
      <c r="Q1188" t="n">
        <v>0</v>
      </c>
      <c r="R1188" s="2" t="inlineStr"/>
    </row>
    <row r="1189" ht="15" customHeight="1">
      <c r="A1189" t="inlineStr">
        <is>
          <t>A 43620-2025</t>
        </is>
      </c>
      <c r="B1189" s="1" t="n">
        <v>45911</v>
      </c>
      <c r="C1189" s="1" t="n">
        <v>46161</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22473-2024</t>
        </is>
      </c>
      <c r="B1190" s="1" t="n">
        <v>45446</v>
      </c>
      <c r="C1190" s="1" t="n">
        <v>46161</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26935-2025</t>
        </is>
      </c>
      <c r="B1191" s="1" t="n">
        <v>45811.40413194444</v>
      </c>
      <c r="C1191" s="1" t="n">
        <v>46161</v>
      </c>
      <c r="D1191" t="inlineStr">
        <is>
          <t>VÄSTERNORRLANDS LÄN</t>
        </is>
      </c>
      <c r="E1191" t="inlineStr">
        <is>
          <t>SOLLEFTEÅ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26952-2025</t>
        </is>
      </c>
      <c r="B1192" s="1" t="n">
        <v>45811.4484375</v>
      </c>
      <c r="C1192" s="1" t="n">
        <v>46161</v>
      </c>
      <c r="D1192" t="inlineStr">
        <is>
          <t>VÄSTERNORRLANDS LÄN</t>
        </is>
      </c>
      <c r="E1192" t="inlineStr">
        <is>
          <t>SOLLEFTEÅ</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12022-2022</t>
        </is>
      </c>
      <c r="B1193" s="1" t="n">
        <v>44635.94396990741</v>
      </c>
      <c r="C1193" s="1" t="n">
        <v>46161</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51870-2025</t>
        </is>
      </c>
      <c r="B1194" s="1" t="n">
        <v>45952.38590277778</v>
      </c>
      <c r="C1194" s="1" t="n">
        <v>46161</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31662-2024</t>
        </is>
      </c>
      <c r="B1195" s="1" t="n">
        <v>45506.92857638889</v>
      </c>
      <c r="C1195" s="1" t="n">
        <v>46161</v>
      </c>
      <c r="D1195" t="inlineStr">
        <is>
          <t>VÄSTERNORRLANDS LÄN</t>
        </is>
      </c>
      <c r="E1195" t="inlineStr">
        <is>
          <t>SOLLEFTEÅ</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31453-2022</t>
        </is>
      </c>
      <c r="B1196" s="1" t="n">
        <v>44774.94159722222</v>
      </c>
      <c r="C1196" s="1" t="n">
        <v>46161</v>
      </c>
      <c r="D1196" t="inlineStr">
        <is>
          <t>VÄSTERNORRLANDS LÄN</t>
        </is>
      </c>
      <c r="E1196" t="inlineStr">
        <is>
          <t>SOLLEFTEÅ</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43603-2025</t>
        </is>
      </c>
      <c r="B1197" s="1" t="n">
        <v>45911</v>
      </c>
      <c r="C1197" s="1" t="n">
        <v>46161</v>
      </c>
      <c r="D1197" t="inlineStr">
        <is>
          <t>VÄSTERNORRLANDS LÄN</t>
        </is>
      </c>
      <c r="E1197" t="inlineStr">
        <is>
          <t>SOLLEFTEÅ</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26896-2025</t>
        </is>
      </c>
      <c r="B1198" s="1" t="n">
        <v>45811.33834490741</v>
      </c>
      <c r="C1198" s="1" t="n">
        <v>46161</v>
      </c>
      <c r="D1198" t="inlineStr">
        <is>
          <t>VÄSTERNORRLANDS LÄN</t>
        </is>
      </c>
      <c r="E1198" t="inlineStr">
        <is>
          <t>SOLLEFTEÅ</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56261-2023</t>
        </is>
      </c>
      <c r="B1199" s="1" t="n">
        <v>45240</v>
      </c>
      <c r="C1199" s="1" t="n">
        <v>46161</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32733-2023</t>
        </is>
      </c>
      <c r="B1200" s="1" t="n">
        <v>45121</v>
      </c>
      <c r="C1200" s="1" t="n">
        <v>46161</v>
      </c>
      <c r="D1200" t="inlineStr">
        <is>
          <t>VÄSTERNORRLANDS LÄN</t>
        </is>
      </c>
      <c r="E1200" t="inlineStr">
        <is>
          <t>SOLLEFTEÅ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30464-2024</t>
        </is>
      </c>
      <c r="B1201" s="1" t="n">
        <v>45491.94599537037</v>
      </c>
      <c r="C1201" s="1" t="n">
        <v>46161</v>
      </c>
      <c r="D1201" t="inlineStr">
        <is>
          <t>VÄSTERNORRLANDS LÄN</t>
        </is>
      </c>
      <c r="E1201" t="inlineStr">
        <is>
          <t>SOLLEFTEÅ</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30466-2024</t>
        </is>
      </c>
      <c r="B1202" s="1" t="n">
        <v>45491.94641203704</v>
      </c>
      <c r="C1202" s="1" t="n">
        <v>46161</v>
      </c>
      <c r="D1202" t="inlineStr">
        <is>
          <t>VÄSTERNORRLANDS LÄN</t>
        </is>
      </c>
      <c r="E1202" t="inlineStr">
        <is>
          <t>SOLLEFTEÅ</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7332-2023</t>
        </is>
      </c>
      <c r="B1203" s="1" t="n">
        <v>44970</v>
      </c>
      <c r="C1203" s="1" t="n">
        <v>46161</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52023-2025</t>
        </is>
      </c>
      <c r="B1204" s="1" t="n">
        <v>45952.60252314815</v>
      </c>
      <c r="C1204" s="1" t="n">
        <v>46161</v>
      </c>
      <c r="D1204" t="inlineStr">
        <is>
          <t>VÄSTERNORRLANDS LÄN</t>
        </is>
      </c>
      <c r="E1204" t="inlineStr">
        <is>
          <t>SOLLEFTEÅ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53379-2023</t>
        </is>
      </c>
      <c r="B1205" s="1" t="n">
        <v>45222</v>
      </c>
      <c r="C1205" s="1" t="n">
        <v>46161</v>
      </c>
      <c r="D1205" t="inlineStr">
        <is>
          <t>VÄSTERNORRLANDS LÄN</t>
        </is>
      </c>
      <c r="E1205" t="inlineStr">
        <is>
          <t>SOLLEFTEÅ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51918-2025</t>
        </is>
      </c>
      <c r="B1206" s="1" t="n">
        <v>45952.48068287037</v>
      </c>
      <c r="C1206" s="1" t="n">
        <v>46161</v>
      </c>
      <c r="D1206" t="inlineStr">
        <is>
          <t>VÄSTERNORRLANDS LÄN</t>
        </is>
      </c>
      <c r="E1206" t="inlineStr">
        <is>
          <t>SOLLEFTEÅ</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48489-2024</t>
        </is>
      </c>
      <c r="B1207" s="1" t="n">
        <v>45592</v>
      </c>
      <c r="C1207" s="1" t="n">
        <v>46161</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52116-2025</t>
        </is>
      </c>
      <c r="B1208" s="1" t="n">
        <v>45952</v>
      </c>
      <c r="C1208" s="1" t="n">
        <v>46161</v>
      </c>
      <c r="D1208" t="inlineStr">
        <is>
          <t>VÄSTERNORRLANDS LÄN</t>
        </is>
      </c>
      <c r="E1208" t="inlineStr">
        <is>
          <t>SOLLEFTEÅ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59579-2023</t>
        </is>
      </c>
      <c r="B1209" s="1" t="n">
        <v>45253</v>
      </c>
      <c r="C1209" s="1" t="n">
        <v>46161</v>
      </c>
      <c r="D1209" t="inlineStr">
        <is>
          <t>VÄSTERNORRLANDS LÄN</t>
        </is>
      </c>
      <c r="E1209" t="inlineStr">
        <is>
          <t>SOLLEFTEÅ</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9950-2025</t>
        </is>
      </c>
      <c r="B1210" s="1" t="n">
        <v>45719.34416666667</v>
      </c>
      <c r="C1210" s="1" t="n">
        <v>46161</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60328-2023</t>
        </is>
      </c>
      <c r="B1211" s="1" t="n">
        <v>45258</v>
      </c>
      <c r="C1211" s="1" t="n">
        <v>46161</v>
      </c>
      <c r="D1211" t="inlineStr">
        <is>
          <t>VÄSTERNORRLANDS LÄN</t>
        </is>
      </c>
      <c r="E1211" t="inlineStr">
        <is>
          <t>SOLLEFTEÅ</t>
        </is>
      </c>
      <c r="F1211" t="inlineStr">
        <is>
          <t>SCA</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32735-2023</t>
        </is>
      </c>
      <c r="B1212" s="1" t="n">
        <v>45121</v>
      </c>
      <c r="C1212" s="1" t="n">
        <v>46161</v>
      </c>
      <c r="D1212" t="inlineStr">
        <is>
          <t>VÄSTERNORRLANDS LÄN</t>
        </is>
      </c>
      <c r="E1212" t="inlineStr">
        <is>
          <t>SOLLEFTEÅ</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27288-2025</t>
        </is>
      </c>
      <c r="B1213" s="1" t="n">
        <v>45812.55234953704</v>
      </c>
      <c r="C1213" s="1" t="n">
        <v>46161</v>
      </c>
      <c r="D1213" t="inlineStr">
        <is>
          <t>VÄSTERNORRLANDS LÄN</t>
        </is>
      </c>
      <c r="E1213" t="inlineStr">
        <is>
          <t>SOLLEFTEÅ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57107-2024</t>
        </is>
      </c>
      <c r="B1214" s="1" t="n">
        <v>45629</v>
      </c>
      <c r="C1214" s="1" t="n">
        <v>46161</v>
      </c>
      <c r="D1214" t="inlineStr">
        <is>
          <t>VÄSTERNORRLANDS LÄN</t>
        </is>
      </c>
      <c r="E1214" t="inlineStr">
        <is>
          <t>SOLLEFTEÅ</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43510-2025</t>
        </is>
      </c>
      <c r="B1215" s="1" t="n">
        <v>45911</v>
      </c>
      <c r="C1215" s="1" t="n">
        <v>46161</v>
      </c>
      <c r="D1215" t="inlineStr">
        <is>
          <t>VÄSTERNORRLANDS LÄN</t>
        </is>
      </c>
      <c r="E1215" t="inlineStr">
        <is>
          <t>SOLLEFTEÅ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43490-2025</t>
        </is>
      </c>
      <c r="B1216" s="1" t="n">
        <v>45911</v>
      </c>
      <c r="C1216" s="1" t="n">
        <v>46161</v>
      </c>
      <c r="D1216" t="inlineStr">
        <is>
          <t>VÄSTERNORRLANDS LÄN</t>
        </is>
      </c>
      <c r="E1216" t="inlineStr">
        <is>
          <t>SOLLEFTEÅ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7157-2025</t>
        </is>
      </c>
      <c r="B1217" s="1" t="n">
        <v>45702.38637731481</v>
      </c>
      <c r="C1217" s="1" t="n">
        <v>46161</v>
      </c>
      <c r="D1217" t="inlineStr">
        <is>
          <t>VÄSTERNORRLANDS LÄN</t>
        </is>
      </c>
      <c r="E1217" t="inlineStr">
        <is>
          <t>SOLLEFTEÅ</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15154-2024</t>
        </is>
      </c>
      <c r="B1218" s="1" t="n">
        <v>45399.94466435185</v>
      </c>
      <c r="C1218" s="1" t="n">
        <v>46161</v>
      </c>
      <c r="D1218" t="inlineStr">
        <is>
          <t>VÄSTERNORRLANDS LÄN</t>
        </is>
      </c>
      <c r="E1218" t="inlineStr">
        <is>
          <t>SOLLEFTEÅ</t>
        </is>
      </c>
      <c r="F1218" t="inlineStr">
        <is>
          <t>SCA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27142-2025</t>
        </is>
      </c>
      <c r="B1219" s="1" t="n">
        <v>45812.28087962963</v>
      </c>
      <c r="C1219" s="1" t="n">
        <v>46161</v>
      </c>
      <c r="D1219" t="inlineStr">
        <is>
          <t>VÄSTERNORRLANDS LÄN</t>
        </is>
      </c>
      <c r="E1219" t="inlineStr">
        <is>
          <t>SOLLEFTEÅ</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22444-2025</t>
        </is>
      </c>
      <c r="B1220" s="1" t="n">
        <v>45786</v>
      </c>
      <c r="C1220" s="1" t="n">
        <v>46161</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43863-2025</t>
        </is>
      </c>
      <c r="B1221" s="1" t="n">
        <v>45912.65672453704</v>
      </c>
      <c r="C1221" s="1" t="n">
        <v>46161</v>
      </c>
      <c r="D1221" t="inlineStr">
        <is>
          <t>VÄSTERNORRLANDS LÄN</t>
        </is>
      </c>
      <c r="E1221" t="inlineStr">
        <is>
          <t>SOLLEFTEÅ</t>
        </is>
      </c>
      <c r="F1221" t="inlineStr">
        <is>
          <t>SCA</t>
        </is>
      </c>
      <c r="G1221" t="n">
        <v>16.8</v>
      </c>
      <c r="H1221" t="n">
        <v>0</v>
      </c>
      <c r="I1221" t="n">
        <v>0</v>
      </c>
      <c r="J1221" t="n">
        <v>0</v>
      </c>
      <c r="K1221" t="n">
        <v>0</v>
      </c>
      <c r="L1221" t="n">
        <v>0</v>
      </c>
      <c r="M1221" t="n">
        <v>0</v>
      </c>
      <c r="N1221" t="n">
        <v>0</v>
      </c>
      <c r="O1221" t="n">
        <v>0</v>
      </c>
      <c r="P1221" t="n">
        <v>0</v>
      </c>
      <c r="Q1221" t="n">
        <v>0</v>
      </c>
      <c r="R1221" s="2" t="inlineStr"/>
    </row>
    <row r="1222" ht="15" customHeight="1">
      <c r="A1222" t="inlineStr">
        <is>
          <t>A 10256-2023</t>
        </is>
      </c>
      <c r="B1222" s="1" t="n">
        <v>44980</v>
      </c>
      <c r="C1222" s="1" t="n">
        <v>46161</v>
      </c>
      <c r="D1222" t="inlineStr">
        <is>
          <t>VÄSTERNORRLANDS LÄN</t>
        </is>
      </c>
      <c r="E1222" t="inlineStr">
        <is>
          <t>SOLLEFTEÅ</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27427-2025</t>
        </is>
      </c>
      <c r="B1223" s="1" t="n">
        <v>45813.28706018518</v>
      </c>
      <c r="C1223" s="1" t="n">
        <v>46161</v>
      </c>
      <c r="D1223" t="inlineStr">
        <is>
          <t>VÄSTERNORRLANDS LÄN</t>
        </is>
      </c>
      <c r="E1223" t="inlineStr">
        <is>
          <t>SOLLEFTEÅ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43980-2025</t>
        </is>
      </c>
      <c r="B1224" s="1" t="n">
        <v>45915.4221412037</v>
      </c>
      <c r="C1224" s="1" t="n">
        <v>46161</v>
      </c>
      <c r="D1224" t="inlineStr">
        <is>
          <t>VÄSTERNORRLANDS LÄN</t>
        </is>
      </c>
      <c r="E1224" t="inlineStr">
        <is>
          <t>SOLLEFTEÅ</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27167-2025</t>
        </is>
      </c>
      <c r="B1225" s="1" t="n">
        <v>45812.34465277778</v>
      </c>
      <c r="C1225" s="1" t="n">
        <v>46161</v>
      </c>
      <c r="D1225" t="inlineStr">
        <is>
          <t>VÄSTERNORRLANDS LÄN</t>
        </is>
      </c>
      <c r="E1225" t="inlineStr">
        <is>
          <t>SOLLEFTEÅ</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27519-2025</t>
        </is>
      </c>
      <c r="B1226" s="1" t="n">
        <v>45813.44186342593</v>
      </c>
      <c r="C1226" s="1" t="n">
        <v>46161</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35795-2024</t>
        </is>
      </c>
      <c r="B1227" s="1" t="n">
        <v>45532</v>
      </c>
      <c r="C1227" s="1" t="n">
        <v>46161</v>
      </c>
      <c r="D1227" t="inlineStr">
        <is>
          <t>VÄSTERNORRLANDS LÄN</t>
        </is>
      </c>
      <c r="E1227" t="inlineStr">
        <is>
          <t>SOLLEFTEÅ</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35803-2024</t>
        </is>
      </c>
      <c r="B1228" s="1" t="n">
        <v>45532.64506944444</v>
      </c>
      <c r="C1228" s="1" t="n">
        <v>46161</v>
      </c>
      <c r="D1228" t="inlineStr">
        <is>
          <t>VÄSTERNORRLANDS LÄN</t>
        </is>
      </c>
      <c r="E1228" t="inlineStr">
        <is>
          <t>SOLLEFTEÅ</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27407-2025</t>
        </is>
      </c>
      <c r="B1229" s="1" t="n">
        <v>45812.74519675926</v>
      </c>
      <c r="C1229" s="1" t="n">
        <v>46161</v>
      </c>
      <c r="D1229" t="inlineStr">
        <is>
          <t>VÄSTERNORRLANDS LÄN</t>
        </is>
      </c>
      <c r="E1229" t="inlineStr">
        <is>
          <t>SOLLEFTEÅ</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27592-2025</t>
        </is>
      </c>
      <c r="B1230" s="1" t="n">
        <v>45813.5191550926</v>
      </c>
      <c r="C1230" s="1" t="n">
        <v>46161</v>
      </c>
      <c r="D1230" t="inlineStr">
        <is>
          <t>VÄSTERNORRLANDS LÄN</t>
        </is>
      </c>
      <c r="E1230" t="inlineStr">
        <is>
          <t>SOLLEFTEÅ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27660-2025</t>
        </is>
      </c>
      <c r="B1231" s="1" t="n">
        <v>45813.61490740741</v>
      </c>
      <c r="C1231" s="1" t="n">
        <v>46161</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11039-2023</t>
        </is>
      </c>
      <c r="B1232" s="1" t="n">
        <v>44991.94622685185</v>
      </c>
      <c r="C1232" s="1" t="n">
        <v>46161</v>
      </c>
      <c r="D1232" t="inlineStr">
        <is>
          <t>VÄSTERNORRLANDS LÄN</t>
        </is>
      </c>
      <c r="E1232" t="inlineStr">
        <is>
          <t>SOLLEFTEÅ</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42987-2024</t>
        </is>
      </c>
      <c r="B1233" s="1" t="n">
        <v>45567</v>
      </c>
      <c r="C1233" s="1" t="n">
        <v>46161</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43879-2025</t>
        </is>
      </c>
      <c r="B1234" s="1" t="n">
        <v>45912.67804398148</v>
      </c>
      <c r="C1234" s="1" t="n">
        <v>46161</v>
      </c>
      <c r="D1234" t="inlineStr">
        <is>
          <t>VÄSTERNORRLANDS LÄN</t>
        </is>
      </c>
      <c r="E1234" t="inlineStr">
        <is>
          <t>SOLLEFTEÅ</t>
        </is>
      </c>
      <c r="F1234" t="inlineStr">
        <is>
          <t>SCA</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52709-2024</t>
        </is>
      </c>
      <c r="B1235" s="1" t="n">
        <v>45610.42753472222</v>
      </c>
      <c r="C1235" s="1" t="n">
        <v>46161</v>
      </c>
      <c r="D1235" t="inlineStr">
        <is>
          <t>VÄSTERNORRLANDS LÄN</t>
        </is>
      </c>
      <c r="E1235" t="inlineStr">
        <is>
          <t>SOLLEFTEÅ</t>
        </is>
      </c>
      <c r="F1235" t="inlineStr">
        <is>
          <t>SCA</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44533-2023</t>
        </is>
      </c>
      <c r="B1236" s="1" t="n">
        <v>45183</v>
      </c>
      <c r="C1236" s="1" t="n">
        <v>46161</v>
      </c>
      <c r="D1236" t="inlineStr">
        <is>
          <t>VÄSTERNORRLANDS LÄN</t>
        </is>
      </c>
      <c r="E1236" t="inlineStr">
        <is>
          <t>SOLLEFTEÅ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56416-2023</t>
        </is>
      </c>
      <c r="B1237" s="1" t="n">
        <v>45237</v>
      </c>
      <c r="C1237" s="1" t="n">
        <v>46161</v>
      </c>
      <c r="D1237" t="inlineStr">
        <is>
          <t>VÄSTERNORRLANDS LÄN</t>
        </is>
      </c>
      <c r="E1237" t="inlineStr">
        <is>
          <t>SOLLEFTEÅ</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25847-2024</t>
        </is>
      </c>
      <c r="B1238" s="1" t="n">
        <v>45467</v>
      </c>
      <c r="C1238" s="1" t="n">
        <v>46161</v>
      </c>
      <c r="D1238" t="inlineStr">
        <is>
          <t>VÄSTERNORRLANDS LÄN</t>
        </is>
      </c>
      <c r="E1238" t="inlineStr">
        <is>
          <t>SOLLEFTEÅ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25851-2024</t>
        </is>
      </c>
      <c r="B1239" s="1" t="n">
        <v>45467.44688657407</v>
      </c>
      <c r="C1239" s="1" t="n">
        <v>46161</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6284-2025</t>
        </is>
      </c>
      <c r="B1240" s="1" t="n">
        <v>45698.63611111111</v>
      </c>
      <c r="C1240" s="1" t="n">
        <v>46161</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8033-2024</t>
        </is>
      </c>
      <c r="B1241" s="1" t="n">
        <v>45350.95284722222</v>
      </c>
      <c r="C1241" s="1" t="n">
        <v>46161</v>
      </c>
      <c r="D1241" t="inlineStr">
        <is>
          <t>VÄSTERNORRLANDS LÄN</t>
        </is>
      </c>
      <c r="E1241" t="inlineStr">
        <is>
          <t>SOLLEFTEÅ</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9966-2025</t>
        </is>
      </c>
      <c r="B1242" s="1" t="n">
        <v>45719</v>
      </c>
      <c r="C1242" s="1" t="n">
        <v>46161</v>
      </c>
      <c r="D1242" t="inlineStr">
        <is>
          <t>VÄSTERNORRLANDS LÄN</t>
        </is>
      </c>
      <c r="E1242" t="inlineStr">
        <is>
          <t>SOLLEFTEÅ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20204-2025</t>
        </is>
      </c>
      <c r="B1243" s="1" t="n">
        <v>45772.61537037037</v>
      </c>
      <c r="C1243" s="1" t="n">
        <v>46161</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44241-2025</t>
        </is>
      </c>
      <c r="B1244" s="1" t="n">
        <v>45915.67747685185</v>
      </c>
      <c r="C1244" s="1" t="n">
        <v>46161</v>
      </c>
      <c r="D1244" t="inlineStr">
        <is>
          <t>VÄSTERNORRLANDS LÄN</t>
        </is>
      </c>
      <c r="E1244" t="inlineStr">
        <is>
          <t>SOLLEFTEÅ</t>
        </is>
      </c>
      <c r="F1244" t="inlineStr">
        <is>
          <t>SCA</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44243-2025</t>
        </is>
      </c>
      <c r="B1245" s="1" t="n">
        <v>45915</v>
      </c>
      <c r="C1245" s="1" t="n">
        <v>46161</v>
      </c>
      <c r="D1245" t="inlineStr">
        <is>
          <t>VÄSTERNORRLANDS LÄN</t>
        </is>
      </c>
      <c r="E1245" t="inlineStr">
        <is>
          <t>SOLLEFTEÅ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15429-2025</t>
        </is>
      </c>
      <c r="B1246" s="1" t="n">
        <v>45747.47</v>
      </c>
      <c r="C1246" s="1" t="n">
        <v>46161</v>
      </c>
      <c r="D1246" t="inlineStr">
        <is>
          <t>VÄSTERNORRLANDS LÄN</t>
        </is>
      </c>
      <c r="E1246" t="inlineStr">
        <is>
          <t>SOLLEFTEÅ</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12617-2025</t>
        </is>
      </c>
      <c r="B1247" s="1" t="n">
        <v>45733.34895833334</v>
      </c>
      <c r="C1247" s="1" t="n">
        <v>46161</v>
      </c>
      <c r="D1247" t="inlineStr">
        <is>
          <t>VÄSTERNORRLANDS LÄN</t>
        </is>
      </c>
      <c r="E1247" t="inlineStr">
        <is>
          <t>SOLLEFTEÅ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23025-2024</t>
        </is>
      </c>
      <c r="B1248" s="1" t="n">
        <v>45450.36578703704</v>
      </c>
      <c r="C1248" s="1" t="n">
        <v>46161</v>
      </c>
      <c r="D1248" t="inlineStr">
        <is>
          <t>VÄSTERNORRLANDS LÄN</t>
        </is>
      </c>
      <c r="E1248" t="inlineStr">
        <is>
          <t>SOLLEFTEÅ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2677-2025</t>
        </is>
      </c>
      <c r="B1249" s="1" t="n">
        <v>45677</v>
      </c>
      <c r="C1249" s="1" t="n">
        <v>46161</v>
      </c>
      <c r="D1249" t="inlineStr">
        <is>
          <t>VÄSTERNORRLANDS LÄN</t>
        </is>
      </c>
      <c r="E1249" t="inlineStr">
        <is>
          <t>SOLLEFTEÅ</t>
        </is>
      </c>
      <c r="F1249" t="inlineStr">
        <is>
          <t>SCA</t>
        </is>
      </c>
      <c r="G1249" t="n">
        <v>11.9</v>
      </c>
      <c r="H1249" t="n">
        <v>0</v>
      </c>
      <c r="I1249" t="n">
        <v>0</v>
      </c>
      <c r="J1249" t="n">
        <v>0</v>
      </c>
      <c r="K1249" t="n">
        <v>0</v>
      </c>
      <c r="L1249" t="n">
        <v>0</v>
      </c>
      <c r="M1249" t="n">
        <v>0</v>
      </c>
      <c r="N1249" t="n">
        <v>0</v>
      </c>
      <c r="O1249" t="n">
        <v>0</v>
      </c>
      <c r="P1249" t="n">
        <v>0</v>
      </c>
      <c r="Q1249" t="n">
        <v>0</v>
      </c>
      <c r="R1249" s="2" t="inlineStr"/>
    </row>
    <row r="1250" ht="15" customHeight="1">
      <c r="A1250" t="inlineStr">
        <is>
          <t>A 24461-2024</t>
        </is>
      </c>
      <c r="B1250" s="1" t="n">
        <v>45457.96806712963</v>
      </c>
      <c r="C1250" s="1" t="n">
        <v>46161</v>
      </c>
      <c r="D1250" t="inlineStr">
        <is>
          <t>VÄSTERNORRLANDS LÄN</t>
        </is>
      </c>
      <c r="E1250" t="inlineStr">
        <is>
          <t>SOLLEFTEÅ</t>
        </is>
      </c>
      <c r="F1250" t="inlineStr">
        <is>
          <t>SCA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36004-2024</t>
        </is>
      </c>
      <c r="B1251" s="1" t="n">
        <v>45533.54848379629</v>
      </c>
      <c r="C1251" s="1" t="n">
        <v>46161</v>
      </c>
      <c r="D1251" t="inlineStr">
        <is>
          <t>VÄSTERNORRLANDS LÄN</t>
        </is>
      </c>
      <c r="E1251" t="inlineStr">
        <is>
          <t>SOLLEFTEÅ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27748-2025</t>
        </is>
      </c>
      <c r="B1252" s="1" t="n">
        <v>45815.67740740741</v>
      </c>
      <c r="C1252" s="1" t="n">
        <v>46161</v>
      </c>
      <c r="D1252" t="inlineStr">
        <is>
          <t>VÄSTERNORRLANDS LÄN</t>
        </is>
      </c>
      <c r="E1252" t="inlineStr">
        <is>
          <t>SOLLEFTEÅ</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27956-2025</t>
        </is>
      </c>
      <c r="B1253" s="1" t="n">
        <v>45817.5344675926</v>
      </c>
      <c r="C1253" s="1" t="n">
        <v>46161</v>
      </c>
      <c r="D1253" t="inlineStr">
        <is>
          <t>VÄSTERNORRLANDS LÄN</t>
        </is>
      </c>
      <c r="E1253" t="inlineStr">
        <is>
          <t>SOLLEFTEÅ</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27822-2025</t>
        </is>
      </c>
      <c r="B1254" s="1" t="n">
        <v>45817.34410879629</v>
      </c>
      <c r="C1254" s="1" t="n">
        <v>46161</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7184-2025</t>
        </is>
      </c>
      <c r="B1255" s="1" t="n">
        <v>45702</v>
      </c>
      <c r="C1255" s="1" t="n">
        <v>46161</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6172-2022</t>
        </is>
      </c>
      <c r="B1256" s="1" t="n">
        <v>44599.93700231481</v>
      </c>
      <c r="C1256" s="1" t="n">
        <v>46161</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22750-2023</t>
        </is>
      </c>
      <c r="B1257" s="1" t="n">
        <v>45071.94090277778</v>
      </c>
      <c r="C1257" s="1" t="n">
        <v>46161</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51505-2024</t>
        </is>
      </c>
      <c r="B1258" s="1" t="n">
        <v>45604</v>
      </c>
      <c r="C1258" s="1" t="n">
        <v>46161</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44387-2025</t>
        </is>
      </c>
      <c r="B1259" s="1" t="n">
        <v>45916.48994212963</v>
      </c>
      <c r="C1259" s="1" t="n">
        <v>46161</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39449-2024</t>
        </is>
      </c>
      <c r="B1260" s="1" t="n">
        <v>45551.61609953704</v>
      </c>
      <c r="C1260" s="1" t="n">
        <v>46161</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28579-2025</t>
        </is>
      </c>
      <c r="B1261" s="1" t="n">
        <v>45819.57334490741</v>
      </c>
      <c r="C1261" s="1" t="n">
        <v>46161</v>
      </c>
      <c r="D1261" t="inlineStr">
        <is>
          <t>VÄSTERNORRLANDS LÄN</t>
        </is>
      </c>
      <c r="E1261" t="inlineStr">
        <is>
          <t>SOLLEFTEÅ</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27789-2024</t>
        </is>
      </c>
      <c r="B1262" s="1" t="n">
        <v>45475</v>
      </c>
      <c r="C1262" s="1" t="n">
        <v>46161</v>
      </c>
      <c r="D1262" t="inlineStr">
        <is>
          <t>VÄSTERNORRLANDS LÄN</t>
        </is>
      </c>
      <c r="E1262" t="inlineStr">
        <is>
          <t>SOLLEFTEÅ</t>
        </is>
      </c>
      <c r="F1262" t="inlineStr">
        <is>
          <t>SCA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44746-2025</t>
        </is>
      </c>
      <c r="B1263" s="1" t="n">
        <v>45917.67760416667</v>
      </c>
      <c r="C1263" s="1" t="n">
        <v>46161</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44747-2025</t>
        </is>
      </c>
      <c r="B1264" s="1" t="n">
        <v>45917.67769675926</v>
      </c>
      <c r="C1264" s="1" t="n">
        <v>46161</v>
      </c>
      <c r="D1264" t="inlineStr">
        <is>
          <t>VÄSTERNORRLANDS LÄN</t>
        </is>
      </c>
      <c r="E1264" t="inlineStr">
        <is>
          <t>SOLLEFTEÅ</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44335-2025</t>
        </is>
      </c>
      <c r="B1265" s="1" t="n">
        <v>45916.423125</v>
      </c>
      <c r="C1265" s="1" t="n">
        <v>46161</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52011-2025</t>
        </is>
      </c>
      <c r="B1266" s="1" t="n">
        <v>45952.59517361111</v>
      </c>
      <c r="C1266" s="1" t="n">
        <v>46161</v>
      </c>
      <c r="D1266" t="inlineStr">
        <is>
          <t>VÄSTERNORRLANDS LÄN</t>
        </is>
      </c>
      <c r="E1266" t="inlineStr">
        <is>
          <t>SOLLEFTEÅ</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44736-2025</t>
        </is>
      </c>
      <c r="B1267" s="1" t="n">
        <v>45917.656875</v>
      </c>
      <c r="C1267" s="1" t="n">
        <v>46161</v>
      </c>
      <c r="D1267" t="inlineStr">
        <is>
          <t>VÄSTERNORRLANDS LÄN</t>
        </is>
      </c>
      <c r="E1267" t="inlineStr">
        <is>
          <t>SOLLEFTEÅ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44295-2025</t>
        </is>
      </c>
      <c r="B1268" s="1" t="n">
        <v>45916.36495370371</v>
      </c>
      <c r="C1268" s="1" t="n">
        <v>46161</v>
      </c>
      <c r="D1268" t="inlineStr">
        <is>
          <t>VÄSTERNORRLANDS LÄN</t>
        </is>
      </c>
      <c r="E1268" t="inlineStr">
        <is>
          <t>SOLLEFTEÅ</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41413-2024</t>
        </is>
      </c>
      <c r="B1269" s="1" t="n">
        <v>45560.345</v>
      </c>
      <c r="C1269" s="1" t="n">
        <v>46161</v>
      </c>
      <c r="D1269" t="inlineStr">
        <is>
          <t>VÄSTERNORRLANDS LÄN</t>
        </is>
      </c>
      <c r="E1269" t="inlineStr">
        <is>
          <t>SOLLEFTEÅ</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54575-2024</t>
        </is>
      </c>
      <c r="B1270" s="1" t="n">
        <v>45617.65232638889</v>
      </c>
      <c r="C1270" s="1" t="n">
        <v>46161</v>
      </c>
      <c r="D1270" t="inlineStr">
        <is>
          <t>VÄSTERNORRLANDS LÄN</t>
        </is>
      </c>
      <c r="E1270" t="inlineStr">
        <is>
          <t>SOLLEFTEÅ</t>
        </is>
      </c>
      <c r="F1270" t="inlineStr">
        <is>
          <t>Holmen skog AB</t>
        </is>
      </c>
      <c r="G1270" t="n">
        <v>1.7</v>
      </c>
      <c r="H1270" t="n">
        <v>0</v>
      </c>
      <c r="I1270" t="n">
        <v>0</v>
      </c>
      <c r="J1270" t="n">
        <v>0</v>
      </c>
      <c r="K1270" t="n">
        <v>0</v>
      </c>
      <c r="L1270" t="n">
        <v>0</v>
      </c>
      <c r="M1270" t="n">
        <v>0</v>
      </c>
      <c r="N1270" t="n">
        <v>0</v>
      </c>
      <c r="O1270" t="n">
        <v>0</v>
      </c>
      <c r="P1270" t="n">
        <v>0</v>
      </c>
      <c r="Q1270" t="n">
        <v>0</v>
      </c>
      <c r="R1270" s="2" t="inlineStr"/>
      <c r="U1270">
        <f>HYPERLINK("https://klasma.github.io/Logging_2283/knärot/A 54575-2024 karta knärot.png", "A 54575-2024")</f>
        <v/>
      </c>
      <c r="V1270">
        <f>HYPERLINK("https://klasma.github.io/Logging_2283/klagomål/A 54575-2024 FSC-klagomål.docx", "A 54575-2024")</f>
        <v/>
      </c>
      <c r="W1270">
        <f>HYPERLINK("https://klasma.github.io/Logging_2283/klagomålsmail/A 54575-2024 FSC-klagomål mail.docx", "A 54575-2024")</f>
        <v/>
      </c>
      <c r="X1270">
        <f>HYPERLINK("https://klasma.github.io/Logging_2283/tillsyn/A 54575-2024 tillsynsbegäran.docx", "A 54575-2024")</f>
        <v/>
      </c>
      <c r="Y1270">
        <f>HYPERLINK("https://klasma.github.io/Logging_2283/tillsynsmail/A 54575-2024 tillsynsbegäran mail.docx", "A 54575-2024")</f>
        <v/>
      </c>
    </row>
    <row r="1271" ht="15" customHeight="1">
      <c r="A1271" t="inlineStr">
        <is>
          <t>A 28686-2025</t>
        </is>
      </c>
      <c r="B1271" s="1" t="n">
        <v>45819</v>
      </c>
      <c r="C1271" s="1" t="n">
        <v>46161</v>
      </c>
      <c r="D1271" t="inlineStr">
        <is>
          <t>VÄSTERNORRLANDS LÄN</t>
        </is>
      </c>
      <c r="E1271" t="inlineStr">
        <is>
          <t>SOLLEFTEÅ</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44327-2025</t>
        </is>
      </c>
      <c r="B1272" s="1" t="n">
        <v>45916.40755787037</v>
      </c>
      <c r="C1272" s="1" t="n">
        <v>46161</v>
      </c>
      <c r="D1272" t="inlineStr">
        <is>
          <t>VÄSTERNORRLANDS LÄN</t>
        </is>
      </c>
      <c r="E1272" t="inlineStr">
        <is>
          <t>SOLLEFTEÅ</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28672-2025</t>
        </is>
      </c>
      <c r="B1273" s="1" t="n">
        <v>45819.6754050926</v>
      </c>
      <c r="C1273" s="1" t="n">
        <v>46161</v>
      </c>
      <c r="D1273" t="inlineStr">
        <is>
          <t>VÄSTERNORRLANDS LÄN</t>
        </is>
      </c>
      <c r="E1273" t="inlineStr">
        <is>
          <t>SOLLEFTEÅ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7014-2025</t>
        </is>
      </c>
      <c r="B1274" s="1" t="n">
        <v>45701.61085648148</v>
      </c>
      <c r="C1274" s="1" t="n">
        <v>46161</v>
      </c>
      <c r="D1274" t="inlineStr">
        <is>
          <t>VÄSTERNORRLANDS LÄN</t>
        </is>
      </c>
      <c r="E1274" t="inlineStr">
        <is>
          <t>SOLLEFTEÅ</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28142-2025</t>
        </is>
      </c>
      <c r="B1275" s="1" t="n">
        <v>45818.34538194445</v>
      </c>
      <c r="C1275" s="1" t="n">
        <v>46161</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28195-2025</t>
        </is>
      </c>
      <c r="B1276" s="1" t="n">
        <v>45818</v>
      </c>
      <c r="C1276" s="1" t="n">
        <v>46161</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44839-2025</t>
        </is>
      </c>
      <c r="B1277" s="1" t="n">
        <v>45918.42751157407</v>
      </c>
      <c r="C1277" s="1" t="n">
        <v>46161</v>
      </c>
      <c r="D1277" t="inlineStr">
        <is>
          <t>VÄSTERNORRLANDS LÄN</t>
        </is>
      </c>
      <c r="E1277" t="inlineStr">
        <is>
          <t>SOLLEFTEÅ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44907-2025</t>
        </is>
      </c>
      <c r="B1278" s="1" t="n">
        <v>45918.531875</v>
      </c>
      <c r="C1278" s="1" t="n">
        <v>46161</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29142-2025</t>
        </is>
      </c>
      <c r="B1279" s="1" t="n">
        <v>45821.61518518518</v>
      </c>
      <c r="C1279" s="1" t="n">
        <v>46161</v>
      </c>
      <c r="D1279" t="inlineStr">
        <is>
          <t>VÄSTERNORRLANDS LÄN</t>
        </is>
      </c>
      <c r="E1279" t="inlineStr">
        <is>
          <t>SOLLEFTEÅ</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61201-2024</t>
        </is>
      </c>
      <c r="B1280" s="1" t="n">
        <v>45645.6360300926</v>
      </c>
      <c r="C1280" s="1" t="n">
        <v>46161</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29103-2025</t>
        </is>
      </c>
      <c r="B1281" s="1" t="n">
        <v>45821.57219907407</v>
      </c>
      <c r="C1281" s="1" t="n">
        <v>46161</v>
      </c>
      <c r="D1281" t="inlineStr">
        <is>
          <t>VÄSTERNORRLANDS LÄN</t>
        </is>
      </c>
      <c r="E1281" t="inlineStr">
        <is>
          <t>SOLLEFTEÅ</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47955-2024</t>
        </is>
      </c>
      <c r="B1282" s="1" t="n">
        <v>45589.3703125</v>
      </c>
      <c r="C1282" s="1" t="n">
        <v>46161</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44871-2025</t>
        </is>
      </c>
      <c r="B1283" s="1" t="n">
        <v>45918.46938657408</v>
      </c>
      <c r="C1283" s="1" t="n">
        <v>46161</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657-2025</t>
        </is>
      </c>
      <c r="B1284" s="1" t="n">
        <v>45664.67766203704</v>
      </c>
      <c r="C1284" s="1" t="n">
        <v>46161</v>
      </c>
      <c r="D1284" t="inlineStr">
        <is>
          <t>VÄSTERNORRLANDS LÄN</t>
        </is>
      </c>
      <c r="E1284" t="inlineStr">
        <is>
          <t>SOLLEFTEÅ</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28715-2025</t>
        </is>
      </c>
      <c r="B1285" s="1" t="n">
        <v>45820</v>
      </c>
      <c r="C1285" s="1" t="n">
        <v>46161</v>
      </c>
      <c r="D1285" t="inlineStr">
        <is>
          <t>VÄSTERNORRLANDS LÄN</t>
        </is>
      </c>
      <c r="E1285" t="inlineStr">
        <is>
          <t>SOLLEFTEÅ</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28719-2025</t>
        </is>
      </c>
      <c r="B1286" s="1" t="n">
        <v>45820</v>
      </c>
      <c r="C1286" s="1" t="n">
        <v>46161</v>
      </c>
      <c r="D1286" t="inlineStr">
        <is>
          <t>VÄSTERNORRLANDS LÄN</t>
        </is>
      </c>
      <c r="E1286" t="inlineStr">
        <is>
          <t>SOLLEFTEÅ</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28993-2025</t>
        </is>
      </c>
      <c r="B1287" s="1" t="n">
        <v>45821.38574074074</v>
      </c>
      <c r="C1287" s="1" t="n">
        <v>46161</v>
      </c>
      <c r="D1287" t="inlineStr">
        <is>
          <t>VÄSTERNORRLANDS LÄN</t>
        </is>
      </c>
      <c r="E1287" t="inlineStr">
        <is>
          <t>SOLLEFTEÅ</t>
        </is>
      </c>
      <c r="F1287" t="inlineStr">
        <is>
          <t>SCA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28994-2025</t>
        </is>
      </c>
      <c r="B1288" s="1" t="n">
        <v>45821.38587962963</v>
      </c>
      <c r="C1288" s="1" t="n">
        <v>46161</v>
      </c>
      <c r="D1288" t="inlineStr">
        <is>
          <t>VÄSTERNORRLANDS LÄN</t>
        </is>
      </c>
      <c r="E1288" t="inlineStr">
        <is>
          <t>SOLLEFTEÅ</t>
        </is>
      </c>
      <c r="F1288" t="inlineStr">
        <is>
          <t>SCA</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45252-2025</t>
        </is>
      </c>
      <c r="B1289" s="1" t="n">
        <v>45919.61493055556</v>
      </c>
      <c r="C1289" s="1" t="n">
        <v>46161</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14656-2025</t>
        </is>
      </c>
      <c r="B1290" s="1" t="n">
        <v>45742.51074074074</v>
      </c>
      <c r="C1290" s="1" t="n">
        <v>46161</v>
      </c>
      <c r="D1290" t="inlineStr">
        <is>
          <t>VÄSTERNORRLANDS LÄN</t>
        </is>
      </c>
      <c r="E1290" t="inlineStr">
        <is>
          <t>SOLLEFTEÅ</t>
        </is>
      </c>
      <c r="F1290" t="inlineStr">
        <is>
          <t>SCA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52765-2025</t>
        </is>
      </c>
      <c r="B1291" s="1" t="n">
        <v>45957</v>
      </c>
      <c r="C1291" s="1" t="n">
        <v>46161</v>
      </c>
      <c r="D1291" t="inlineStr">
        <is>
          <t>VÄSTERNORRLANDS LÄN</t>
        </is>
      </c>
      <c r="E1291" t="inlineStr">
        <is>
          <t>SOLLEFTEÅ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52767-2025</t>
        </is>
      </c>
      <c r="B1292" s="1" t="n">
        <v>45957.40163194444</v>
      </c>
      <c r="C1292" s="1" t="n">
        <v>46161</v>
      </c>
      <c r="D1292" t="inlineStr">
        <is>
          <t>VÄSTERNORRLANDS LÄN</t>
        </is>
      </c>
      <c r="E1292" t="inlineStr">
        <is>
          <t>SOLLEFTEÅ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6896-2025</t>
        </is>
      </c>
      <c r="B1293" s="1" t="n">
        <v>45701.38577546296</v>
      </c>
      <c r="C1293" s="1" t="n">
        <v>46161</v>
      </c>
      <c r="D1293" t="inlineStr">
        <is>
          <t>VÄSTERNORRLANDS LÄN</t>
        </is>
      </c>
      <c r="E1293" t="inlineStr">
        <is>
          <t>SOLLEFTEÅ</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3001-2022</t>
        </is>
      </c>
      <c r="B1294" s="1" t="n">
        <v>44581</v>
      </c>
      <c r="C1294" s="1" t="n">
        <v>46161</v>
      </c>
      <c r="D1294" t="inlineStr">
        <is>
          <t>VÄSTERNORRLANDS LÄN</t>
        </is>
      </c>
      <c r="E1294" t="inlineStr">
        <is>
          <t>SOLLEFTEÅ</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28995-2025</t>
        </is>
      </c>
      <c r="B1295" s="1" t="n">
        <v>45821.38596064815</v>
      </c>
      <c r="C1295" s="1" t="n">
        <v>46161</v>
      </c>
      <c r="D1295" t="inlineStr">
        <is>
          <t>VÄSTERNORRLANDS LÄN</t>
        </is>
      </c>
      <c r="E1295" t="inlineStr">
        <is>
          <t>SOLLEFTEÅ</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28743-2025</t>
        </is>
      </c>
      <c r="B1296" s="1" t="n">
        <v>45820.38586805556</v>
      </c>
      <c r="C1296" s="1" t="n">
        <v>46161</v>
      </c>
      <c r="D1296" t="inlineStr">
        <is>
          <t>VÄSTERNORRLANDS LÄN</t>
        </is>
      </c>
      <c r="E1296" t="inlineStr">
        <is>
          <t>SOLLEFTEÅ</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29039-2025</t>
        </is>
      </c>
      <c r="B1297" s="1" t="n">
        <v>45821.44844907407</v>
      </c>
      <c r="C1297" s="1" t="n">
        <v>46161</v>
      </c>
      <c r="D1297" t="inlineStr">
        <is>
          <t>VÄSTERNORRLANDS LÄN</t>
        </is>
      </c>
      <c r="E1297" t="inlineStr">
        <is>
          <t>SOLLEFTEÅ</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600-2025</t>
        </is>
      </c>
      <c r="B1298" s="1" t="n">
        <v>45664.59428240741</v>
      </c>
      <c r="C1298" s="1" t="n">
        <v>46161</v>
      </c>
      <c r="D1298" t="inlineStr">
        <is>
          <t>VÄSTERNORRLANDS LÄN</t>
        </is>
      </c>
      <c r="E1298" t="inlineStr">
        <is>
          <t>SOLLEFTEÅ</t>
        </is>
      </c>
      <c r="F1298" t="inlineStr">
        <is>
          <t>SCA</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29273-2025</t>
        </is>
      </c>
      <c r="B1299" s="1" t="n">
        <v>45824.41125</v>
      </c>
      <c r="C1299" s="1" t="n">
        <v>46161</v>
      </c>
      <c r="D1299" t="inlineStr">
        <is>
          <t>VÄSTERNORRLANDS LÄN</t>
        </is>
      </c>
      <c r="E1299" t="inlineStr">
        <is>
          <t>SOLLEFTEÅ</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43842-2025</t>
        </is>
      </c>
      <c r="B1300" s="1" t="n">
        <v>45912.63587962963</v>
      </c>
      <c r="C1300" s="1" t="n">
        <v>46161</v>
      </c>
      <c r="D1300" t="inlineStr">
        <is>
          <t>VÄSTERNORRLANDS LÄN</t>
        </is>
      </c>
      <c r="E1300" t="inlineStr">
        <is>
          <t>SOLLEFTEÅ</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21092-2024</t>
        </is>
      </c>
      <c r="B1301" s="1" t="n">
        <v>45439.95009259259</v>
      </c>
      <c r="C1301" s="1" t="n">
        <v>46161</v>
      </c>
      <c r="D1301" t="inlineStr">
        <is>
          <t>VÄSTERNORRLANDS LÄN</t>
        </is>
      </c>
      <c r="E1301" t="inlineStr">
        <is>
          <t>SOLLEFTEÅ</t>
        </is>
      </c>
      <c r="F1301" t="inlineStr">
        <is>
          <t>SCA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45028-2025</t>
        </is>
      </c>
      <c r="B1302" s="1" t="n">
        <v>45918.69828703703</v>
      </c>
      <c r="C1302" s="1" t="n">
        <v>46161</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44661-2024</t>
        </is>
      </c>
      <c r="B1303" s="1" t="n">
        <v>45574.53180555555</v>
      </c>
      <c r="C1303" s="1" t="n">
        <v>46161</v>
      </c>
      <c r="D1303" t="inlineStr">
        <is>
          <t>VÄSTERNORRLANDS LÄN</t>
        </is>
      </c>
      <c r="E1303" t="inlineStr">
        <is>
          <t>SOLLEFTEÅ</t>
        </is>
      </c>
      <c r="F1303" t="inlineStr">
        <is>
          <t>SCA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29793-2025</t>
        </is>
      </c>
      <c r="B1304" s="1" t="n">
        <v>45825</v>
      </c>
      <c r="C1304" s="1" t="n">
        <v>46161</v>
      </c>
      <c r="D1304" t="inlineStr">
        <is>
          <t>VÄSTERNORRLANDS LÄN</t>
        </is>
      </c>
      <c r="E1304" t="inlineStr">
        <is>
          <t>SOLLEFTEÅ</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52974-2025</t>
        </is>
      </c>
      <c r="B1305" s="1" t="n">
        <v>45957.67858796296</v>
      </c>
      <c r="C1305" s="1" t="n">
        <v>46161</v>
      </c>
      <c r="D1305" t="inlineStr">
        <is>
          <t>VÄSTERNORRLANDS LÄN</t>
        </is>
      </c>
      <c r="E1305" t="inlineStr">
        <is>
          <t>SOLLEFTEÅ</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44906-2025</t>
        </is>
      </c>
      <c r="B1306" s="1" t="n">
        <v>45918.53174768519</v>
      </c>
      <c r="C1306" s="1" t="n">
        <v>46161</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42478-2025</t>
        </is>
      </c>
      <c r="B1307" s="1" t="n">
        <v>45905</v>
      </c>
      <c r="C1307" s="1" t="n">
        <v>46161</v>
      </c>
      <c r="D1307" t="inlineStr">
        <is>
          <t>VÄSTERNORRLANDS LÄN</t>
        </is>
      </c>
      <c r="E1307" t="inlineStr">
        <is>
          <t>SOLLEFTEÅ</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29309-2025</t>
        </is>
      </c>
      <c r="B1308" s="1" t="n">
        <v>45824.46333333333</v>
      </c>
      <c r="C1308" s="1" t="n">
        <v>46161</v>
      </c>
      <c r="D1308" t="inlineStr">
        <is>
          <t>VÄSTERNORRLANDS LÄN</t>
        </is>
      </c>
      <c r="E1308" t="inlineStr">
        <is>
          <t>SOLLEFTEÅ</t>
        </is>
      </c>
      <c r="F1308" t="inlineStr">
        <is>
          <t>Holmen skog AB</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44873-2025</t>
        </is>
      </c>
      <c r="B1309" s="1" t="n">
        <v>45918.46966435185</v>
      </c>
      <c r="C1309" s="1" t="n">
        <v>46161</v>
      </c>
      <c r="D1309" t="inlineStr">
        <is>
          <t>VÄSTERNORRLANDS LÄN</t>
        </is>
      </c>
      <c r="E1309" t="inlineStr">
        <is>
          <t>SOLLEFTEÅ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42879-2025</t>
        </is>
      </c>
      <c r="B1310" s="1" t="n">
        <v>45908</v>
      </c>
      <c r="C1310" s="1" t="n">
        <v>46161</v>
      </c>
      <c r="D1310" t="inlineStr">
        <is>
          <t>VÄSTERNORRLANDS LÄN</t>
        </is>
      </c>
      <c r="E1310" t="inlineStr">
        <is>
          <t>SOLLEFTEÅ</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1466-2025</t>
        </is>
      </c>
      <c r="B1311" s="1" t="n">
        <v>45670</v>
      </c>
      <c r="C1311" s="1" t="n">
        <v>46161</v>
      </c>
      <c r="D1311" t="inlineStr">
        <is>
          <t>VÄSTERNORRLANDS LÄN</t>
        </is>
      </c>
      <c r="E1311" t="inlineStr">
        <is>
          <t>SOLLEFTEÅ</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29435-2025</t>
        </is>
      </c>
      <c r="B1312" s="1" t="n">
        <v>45824.65762731482</v>
      </c>
      <c r="C1312" s="1" t="n">
        <v>46161</v>
      </c>
      <c r="D1312" t="inlineStr">
        <is>
          <t>VÄSTERNORRLANDS LÄN</t>
        </is>
      </c>
      <c r="E1312" t="inlineStr">
        <is>
          <t>SOLLEFTEÅ</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52393-2025</t>
        </is>
      </c>
      <c r="B1313" s="1" t="n">
        <v>45954.34443287037</v>
      </c>
      <c r="C1313" s="1" t="n">
        <v>46161</v>
      </c>
      <c r="D1313" t="inlineStr">
        <is>
          <t>VÄSTERNORRLANDS LÄN</t>
        </is>
      </c>
      <c r="E1313" t="inlineStr">
        <is>
          <t>SOLLEFTEÅ</t>
        </is>
      </c>
      <c r="F1313" t="inlineStr">
        <is>
          <t>SCA</t>
        </is>
      </c>
      <c r="G1313" t="n">
        <v>29.1</v>
      </c>
      <c r="H1313" t="n">
        <v>0</v>
      </c>
      <c r="I1313" t="n">
        <v>0</v>
      </c>
      <c r="J1313" t="n">
        <v>0</v>
      </c>
      <c r="K1313" t="n">
        <v>0</v>
      </c>
      <c r="L1313" t="n">
        <v>0</v>
      </c>
      <c r="M1313" t="n">
        <v>0</v>
      </c>
      <c r="N1313" t="n">
        <v>0</v>
      </c>
      <c r="O1313" t="n">
        <v>0</v>
      </c>
      <c r="P1313" t="n">
        <v>0</v>
      </c>
      <c r="Q1313" t="n">
        <v>0</v>
      </c>
      <c r="R1313" s="2" t="inlineStr"/>
    </row>
    <row r="1314" ht="15" customHeight="1">
      <c r="A1314" t="inlineStr">
        <is>
          <t>A 45236-2025</t>
        </is>
      </c>
      <c r="B1314" s="1" t="n">
        <v>45919.59450231482</v>
      </c>
      <c r="C1314" s="1" t="n">
        <v>46161</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35261-2025</t>
        </is>
      </c>
      <c r="B1315" s="1" t="n">
        <v>45853</v>
      </c>
      <c r="C1315" s="1" t="n">
        <v>46161</v>
      </c>
      <c r="D1315" t="inlineStr">
        <is>
          <t>VÄSTERNORRLANDS LÄN</t>
        </is>
      </c>
      <c r="E1315" t="inlineStr">
        <is>
          <t>SOLLEFTEÅ</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52780-2025</t>
        </is>
      </c>
      <c r="B1316" s="1" t="n">
        <v>45957.42261574074</v>
      </c>
      <c r="C1316" s="1" t="n">
        <v>46161</v>
      </c>
      <c r="D1316" t="inlineStr">
        <is>
          <t>VÄSTERNORRLANDS LÄN</t>
        </is>
      </c>
      <c r="E1316" t="inlineStr">
        <is>
          <t>SOLLEFTEÅ</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19556-2024</t>
        </is>
      </c>
      <c r="B1317" s="1" t="n">
        <v>45429</v>
      </c>
      <c r="C1317" s="1" t="n">
        <v>46161</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41478-2022</t>
        </is>
      </c>
      <c r="B1318" s="1" t="n">
        <v>44826.94892361111</v>
      </c>
      <c r="C1318" s="1" t="n">
        <v>46161</v>
      </c>
      <c r="D1318" t="inlineStr">
        <is>
          <t>VÄSTERNORRLANDS LÄN</t>
        </is>
      </c>
      <c r="E1318" t="inlineStr">
        <is>
          <t>SOLLEFTEÅ</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54330-2023</t>
        </is>
      </c>
      <c r="B1319" s="1" t="n">
        <v>45232.95814814815</v>
      </c>
      <c r="C1319" s="1" t="n">
        <v>46161</v>
      </c>
      <c r="D1319" t="inlineStr">
        <is>
          <t>VÄSTERNORRLANDS LÄN</t>
        </is>
      </c>
      <c r="E1319" t="inlineStr">
        <is>
          <t>SOLLEFTEÅ</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29759-2025</t>
        </is>
      </c>
      <c r="B1320" s="1" t="n">
        <v>45825</v>
      </c>
      <c r="C1320" s="1" t="n">
        <v>46161</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45843-2025</t>
        </is>
      </c>
      <c r="B1321" s="1" t="n">
        <v>45923.61541666667</v>
      </c>
      <c r="C1321" s="1" t="n">
        <v>46161</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26014-2025</t>
        </is>
      </c>
      <c r="B1322" s="1" t="n">
        <v>45804.67773148148</v>
      </c>
      <c r="C1322" s="1" t="n">
        <v>46161</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29011-2025</t>
        </is>
      </c>
      <c r="B1323" s="1" t="n">
        <v>45821.40659722222</v>
      </c>
      <c r="C1323" s="1" t="n">
        <v>46161</v>
      </c>
      <c r="D1323" t="inlineStr">
        <is>
          <t>VÄSTERNORRLANDS LÄN</t>
        </is>
      </c>
      <c r="E1323" t="inlineStr">
        <is>
          <t>SOLLEFTEÅ</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63529-2023</t>
        </is>
      </c>
      <c r="B1324" s="1" t="n">
        <v>45274.94859953703</v>
      </c>
      <c r="C1324" s="1" t="n">
        <v>46161</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29535-2025</t>
        </is>
      </c>
      <c r="B1325" s="1" t="n">
        <v>45825.34486111111</v>
      </c>
      <c r="C1325" s="1" t="n">
        <v>46161</v>
      </c>
      <c r="D1325" t="inlineStr">
        <is>
          <t>VÄSTERNORRLANDS LÄN</t>
        </is>
      </c>
      <c r="E1325" t="inlineStr">
        <is>
          <t>SOLLEFTEÅ</t>
        </is>
      </c>
      <c r="F1325" t="inlineStr">
        <is>
          <t>SCA</t>
        </is>
      </c>
      <c r="G1325" t="n">
        <v>20.6</v>
      </c>
      <c r="H1325" t="n">
        <v>0</v>
      </c>
      <c r="I1325" t="n">
        <v>0</v>
      </c>
      <c r="J1325" t="n">
        <v>0</v>
      </c>
      <c r="K1325" t="n">
        <v>0</v>
      </c>
      <c r="L1325" t="n">
        <v>0</v>
      </c>
      <c r="M1325" t="n">
        <v>0</v>
      </c>
      <c r="N1325" t="n">
        <v>0</v>
      </c>
      <c r="O1325" t="n">
        <v>0</v>
      </c>
      <c r="P1325" t="n">
        <v>0</v>
      </c>
      <c r="Q1325" t="n">
        <v>0</v>
      </c>
      <c r="R1325" s="2" t="inlineStr"/>
    </row>
    <row r="1326" ht="15" customHeight="1">
      <c r="A1326" t="inlineStr">
        <is>
          <t>A 52665-2025</t>
        </is>
      </c>
      <c r="B1326" s="1" t="n">
        <v>45955.65716435185</v>
      </c>
      <c r="C1326" s="1" t="n">
        <v>46161</v>
      </c>
      <c r="D1326" t="inlineStr">
        <is>
          <t>VÄSTERNORRLANDS LÄN</t>
        </is>
      </c>
      <c r="E1326" t="inlineStr">
        <is>
          <t>SOLLEFTEÅ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29760-2025</t>
        </is>
      </c>
      <c r="B1327" s="1" t="n">
        <v>45825.61805555555</v>
      </c>
      <c r="C1327" s="1" t="n">
        <v>46161</v>
      </c>
      <c r="D1327" t="inlineStr">
        <is>
          <t>VÄSTERNORRLANDS LÄN</t>
        </is>
      </c>
      <c r="E1327" t="inlineStr">
        <is>
          <t>SOLLEFTEÅ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29769-2025</t>
        </is>
      </c>
      <c r="B1328" s="1" t="n">
        <v>45825.62796296296</v>
      </c>
      <c r="C1328" s="1" t="n">
        <v>46161</v>
      </c>
      <c r="D1328" t="inlineStr">
        <is>
          <t>VÄSTERNORRLANDS LÄN</t>
        </is>
      </c>
      <c r="E1328" t="inlineStr">
        <is>
          <t>SOLLEFTEÅ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29436-2025</t>
        </is>
      </c>
      <c r="B1329" s="1" t="n">
        <v>45824.65766203704</v>
      </c>
      <c r="C1329" s="1" t="n">
        <v>46161</v>
      </c>
      <c r="D1329" t="inlineStr">
        <is>
          <t>VÄSTERNORRLANDS LÄN</t>
        </is>
      </c>
      <c r="E1329" t="inlineStr">
        <is>
          <t>SOLLEFTEÅ</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23488-2023</t>
        </is>
      </c>
      <c r="B1330" s="1" t="n">
        <v>45072</v>
      </c>
      <c r="C1330" s="1" t="n">
        <v>46161</v>
      </c>
      <c r="D1330" t="inlineStr">
        <is>
          <t>VÄSTERNORRLANDS LÄN</t>
        </is>
      </c>
      <c r="E1330" t="inlineStr">
        <is>
          <t>SOLLEFTEÅ</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29445-2025</t>
        </is>
      </c>
      <c r="B1331" s="1" t="n">
        <v>45824.66322916667</v>
      </c>
      <c r="C1331" s="1" t="n">
        <v>46161</v>
      </c>
      <c r="D1331" t="inlineStr">
        <is>
          <t>VÄSTERNORRLANDS LÄN</t>
        </is>
      </c>
      <c r="E1331" t="inlineStr">
        <is>
          <t>SOLLEFTEÅ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29762-2025</t>
        </is>
      </c>
      <c r="B1332" s="1" t="n">
        <v>45825.61826388889</v>
      </c>
      <c r="C1332" s="1" t="n">
        <v>46161</v>
      </c>
      <c r="D1332" t="inlineStr">
        <is>
          <t>VÄSTERNORRLANDS LÄN</t>
        </is>
      </c>
      <c r="E1332" t="inlineStr">
        <is>
          <t>SOLLEFTEÅ</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49629-2024</t>
        </is>
      </c>
      <c r="B1333" s="1" t="n">
        <v>45596</v>
      </c>
      <c r="C1333" s="1" t="n">
        <v>46161</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28998-2025</t>
        </is>
      </c>
      <c r="B1334" s="1" t="n">
        <v>45821.38626157407</v>
      </c>
      <c r="C1334" s="1" t="n">
        <v>46161</v>
      </c>
      <c r="D1334" t="inlineStr">
        <is>
          <t>VÄSTERNORRLANDS LÄN</t>
        </is>
      </c>
      <c r="E1334" t="inlineStr">
        <is>
          <t>SOLLEFTEÅ</t>
        </is>
      </c>
      <c r="F1334" t="inlineStr">
        <is>
          <t>SCA</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45593-2025</t>
        </is>
      </c>
      <c r="B1335" s="1" t="n">
        <v>45922.67783564814</v>
      </c>
      <c r="C1335" s="1" t="n">
        <v>46161</v>
      </c>
      <c r="D1335" t="inlineStr">
        <is>
          <t>VÄSTERNORRLANDS LÄN</t>
        </is>
      </c>
      <c r="E1335" t="inlineStr">
        <is>
          <t>SOLLEFTEÅ</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45569-2025</t>
        </is>
      </c>
      <c r="B1336" s="1" t="n">
        <v>45922.65694444445</v>
      </c>
      <c r="C1336" s="1" t="n">
        <v>46161</v>
      </c>
      <c r="D1336" t="inlineStr">
        <is>
          <t>VÄSTERNORRLANDS LÄN</t>
        </is>
      </c>
      <c r="E1336" t="inlineStr">
        <is>
          <t>SOLLEFTEÅ</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29562-2025</t>
        </is>
      </c>
      <c r="B1337" s="1" t="n">
        <v>45825</v>
      </c>
      <c r="C1337" s="1" t="n">
        <v>46161</v>
      </c>
      <c r="D1337" t="inlineStr">
        <is>
          <t>VÄSTERNORRLANDS LÄN</t>
        </is>
      </c>
      <c r="E1337" t="inlineStr">
        <is>
          <t>SOLLEFTEÅ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50757-2023</t>
        </is>
      </c>
      <c r="B1338" s="1" t="n">
        <v>45217</v>
      </c>
      <c r="C1338" s="1" t="n">
        <v>46161</v>
      </c>
      <c r="D1338" t="inlineStr">
        <is>
          <t>VÄSTERNORRLANDS LÄN</t>
        </is>
      </c>
      <c r="E1338" t="inlineStr">
        <is>
          <t>SOLLEFTEÅ</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20101-2025</t>
        </is>
      </c>
      <c r="B1339" s="1" t="n">
        <v>45772</v>
      </c>
      <c r="C1339" s="1" t="n">
        <v>46161</v>
      </c>
      <c r="D1339" t="inlineStr">
        <is>
          <t>VÄSTERNORRLANDS LÄN</t>
        </is>
      </c>
      <c r="E1339" t="inlineStr">
        <is>
          <t>SOLLEFTEÅ</t>
        </is>
      </c>
      <c r="F1339" t="inlineStr">
        <is>
          <t>SCA</t>
        </is>
      </c>
      <c r="G1339" t="n">
        <v>13.5</v>
      </c>
      <c r="H1339" t="n">
        <v>0</v>
      </c>
      <c r="I1339" t="n">
        <v>0</v>
      </c>
      <c r="J1339" t="n">
        <v>0</v>
      </c>
      <c r="K1339" t="n">
        <v>0</v>
      </c>
      <c r="L1339" t="n">
        <v>0</v>
      </c>
      <c r="M1339" t="n">
        <v>0</v>
      </c>
      <c r="N1339" t="n">
        <v>0</v>
      </c>
      <c r="O1339" t="n">
        <v>0</v>
      </c>
      <c r="P1339" t="n">
        <v>0</v>
      </c>
      <c r="Q1339" t="n">
        <v>0</v>
      </c>
      <c r="R1339" s="2" t="inlineStr"/>
    </row>
    <row r="1340" ht="15" customHeight="1">
      <c r="A1340" t="inlineStr">
        <is>
          <t>A 45340-2025</t>
        </is>
      </c>
      <c r="B1340" s="1" t="n">
        <v>45922.34421296296</v>
      </c>
      <c r="C1340" s="1" t="n">
        <v>46161</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30369-2025</t>
        </is>
      </c>
      <c r="B1341" s="1" t="n">
        <v>45827.55729166666</v>
      </c>
      <c r="C1341" s="1" t="n">
        <v>46161</v>
      </c>
      <c r="D1341" t="inlineStr">
        <is>
          <t>VÄSTERNORRLANDS LÄN</t>
        </is>
      </c>
      <c r="E1341" t="inlineStr">
        <is>
          <t>SOLLEFTEÅ</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30389-2025</t>
        </is>
      </c>
      <c r="B1342" s="1" t="n">
        <v>45827.57356481482</v>
      </c>
      <c r="C1342" s="1" t="n">
        <v>46161</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9328-2024</t>
        </is>
      </c>
      <c r="B1343" s="1" t="n">
        <v>45358.99144675926</v>
      </c>
      <c r="C1343" s="1" t="n">
        <v>46161</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16709-2024</t>
        </is>
      </c>
      <c r="B1344" s="1" t="n">
        <v>45409.07737268518</v>
      </c>
      <c r="C1344" s="1" t="n">
        <v>46161</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29884-2025</t>
        </is>
      </c>
      <c r="B1345" s="1" t="n">
        <v>45826.36582175926</v>
      </c>
      <c r="C1345" s="1" t="n">
        <v>46161</v>
      </c>
      <c r="D1345" t="inlineStr">
        <is>
          <t>VÄSTERNORRLANDS LÄN</t>
        </is>
      </c>
      <c r="E1345" t="inlineStr">
        <is>
          <t>SOLLEFTEÅ</t>
        </is>
      </c>
      <c r="F1345" t="inlineStr">
        <is>
          <t>SCA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30279-2025</t>
        </is>
      </c>
      <c r="B1346" s="1" t="n">
        <v>45827</v>
      </c>
      <c r="C1346" s="1" t="n">
        <v>46161</v>
      </c>
      <c r="D1346" t="inlineStr">
        <is>
          <t>VÄSTERNORRLANDS LÄN</t>
        </is>
      </c>
      <c r="E1346" t="inlineStr">
        <is>
          <t>SOLLEFTEÅ</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27293-2024</t>
        </is>
      </c>
      <c r="B1347" s="1" t="n">
        <v>45471.94259259259</v>
      </c>
      <c r="C1347" s="1" t="n">
        <v>46161</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53855-2024</t>
        </is>
      </c>
      <c r="B1348" s="1" t="n">
        <v>45615.63724537037</v>
      </c>
      <c r="C1348" s="1" t="n">
        <v>46161</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30311-2025</t>
        </is>
      </c>
      <c r="B1349" s="1" t="n">
        <v>45827.49015046296</v>
      </c>
      <c r="C1349" s="1" t="n">
        <v>46161</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54045-2023</t>
        </is>
      </c>
      <c r="B1350" s="1" t="n">
        <v>45231.96743055555</v>
      </c>
      <c r="C1350" s="1" t="n">
        <v>46161</v>
      </c>
      <c r="D1350" t="inlineStr">
        <is>
          <t>VÄSTERNORRLANDS LÄN</t>
        </is>
      </c>
      <c r="E1350" t="inlineStr">
        <is>
          <t>SOLLEFTEÅ</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45794-2025</t>
        </is>
      </c>
      <c r="B1351" s="1" t="n">
        <v>45923.57380787037</v>
      </c>
      <c r="C1351" s="1" t="n">
        <v>46161</v>
      </c>
      <c r="D1351" t="inlineStr">
        <is>
          <t>VÄSTERNORRLANDS LÄN</t>
        </is>
      </c>
      <c r="E1351" t="inlineStr">
        <is>
          <t>SOLLEFTEÅ</t>
        </is>
      </c>
      <c r="F1351" t="inlineStr">
        <is>
          <t>SCA</t>
        </is>
      </c>
      <c r="G1351" t="n">
        <v>34.9</v>
      </c>
      <c r="H1351" t="n">
        <v>0</v>
      </c>
      <c r="I1351" t="n">
        <v>0</v>
      </c>
      <c r="J1351" t="n">
        <v>0</v>
      </c>
      <c r="K1351" t="n">
        <v>0</v>
      </c>
      <c r="L1351" t="n">
        <v>0</v>
      </c>
      <c r="M1351" t="n">
        <v>0</v>
      </c>
      <c r="N1351" t="n">
        <v>0</v>
      </c>
      <c r="O1351" t="n">
        <v>0</v>
      </c>
      <c r="P1351" t="n">
        <v>0</v>
      </c>
      <c r="Q1351" t="n">
        <v>0</v>
      </c>
      <c r="R1351" s="2" t="inlineStr"/>
    </row>
    <row r="1352" ht="15" customHeight="1">
      <c r="A1352" t="inlineStr">
        <is>
          <t>A 16632-2025</t>
        </is>
      </c>
      <c r="B1352" s="1" t="n">
        <v>45754.36490740741</v>
      </c>
      <c r="C1352" s="1" t="n">
        <v>46161</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30018-2025</t>
        </is>
      </c>
      <c r="B1353" s="1" t="n">
        <v>45826.55332175926</v>
      </c>
      <c r="C1353" s="1" t="n">
        <v>46161</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30020-2025</t>
        </is>
      </c>
      <c r="B1354" s="1" t="n">
        <v>45826.55337962963</v>
      </c>
      <c r="C1354" s="1" t="n">
        <v>46161</v>
      </c>
      <c r="D1354" t="inlineStr">
        <is>
          <t>VÄSTERNORRLANDS LÄN</t>
        </is>
      </c>
      <c r="E1354" t="inlineStr">
        <is>
          <t>SOLLEFTEÅ</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45978-2025</t>
        </is>
      </c>
      <c r="B1355" s="1" t="n">
        <v>45924.37491898148</v>
      </c>
      <c r="C1355" s="1" t="n">
        <v>46161</v>
      </c>
      <c r="D1355" t="inlineStr">
        <is>
          <t>VÄSTERNORRLANDS LÄN</t>
        </is>
      </c>
      <c r="E1355" t="inlineStr">
        <is>
          <t>SOLLEFTEÅ</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46003-2025</t>
        </is>
      </c>
      <c r="B1356" s="1" t="n">
        <v>45924.40726851852</v>
      </c>
      <c r="C1356" s="1" t="n">
        <v>46161</v>
      </c>
      <c r="D1356" t="inlineStr">
        <is>
          <t>VÄSTERNORRLANDS LÄN</t>
        </is>
      </c>
      <c r="E1356" t="inlineStr">
        <is>
          <t>SOLLEFTEÅ</t>
        </is>
      </c>
      <c r="F1356" t="inlineStr">
        <is>
          <t>SCA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45952-2025</t>
        </is>
      </c>
      <c r="B1357" s="1" t="n">
        <v>45924.34430555555</v>
      </c>
      <c r="C1357" s="1" t="n">
        <v>46161</v>
      </c>
      <c r="D1357" t="inlineStr">
        <is>
          <t>VÄSTERNORRLANDS LÄN</t>
        </is>
      </c>
      <c r="E1357" t="inlineStr">
        <is>
          <t>SOLLEFTEÅ</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11009-2024</t>
        </is>
      </c>
      <c r="B1358" s="1" t="n">
        <v>45370</v>
      </c>
      <c r="C1358" s="1" t="n">
        <v>46161</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29883-2025</t>
        </is>
      </c>
      <c r="B1359" s="1" t="n">
        <v>45826.36568287037</v>
      </c>
      <c r="C1359" s="1" t="n">
        <v>46161</v>
      </c>
      <c r="D1359" t="inlineStr">
        <is>
          <t>VÄSTERNORRLANDS LÄN</t>
        </is>
      </c>
      <c r="E1359" t="inlineStr">
        <is>
          <t>SOLLEFTEÅ</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30401-2025</t>
        </is>
      </c>
      <c r="B1360" s="1" t="n">
        <v>45827.59135416667</v>
      </c>
      <c r="C1360" s="1" t="n">
        <v>46161</v>
      </c>
      <c r="D1360" t="inlineStr">
        <is>
          <t>VÄSTERNORRLANDS LÄN</t>
        </is>
      </c>
      <c r="E1360" t="inlineStr">
        <is>
          <t>SOLLEFTEÅ</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30073-2025</t>
        </is>
      </c>
      <c r="B1361" s="1" t="n">
        <v>45826.63643518519</v>
      </c>
      <c r="C1361" s="1" t="n">
        <v>46161</v>
      </c>
      <c r="D1361" t="inlineStr">
        <is>
          <t>VÄSTERNORRLANDS LÄN</t>
        </is>
      </c>
      <c r="E1361" t="inlineStr">
        <is>
          <t>SOLLEFTEÅ</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46174-2025</t>
        </is>
      </c>
      <c r="B1362" s="1" t="n">
        <v>45924.64704861111</v>
      </c>
      <c r="C1362" s="1" t="n">
        <v>46161</v>
      </c>
      <c r="D1362" t="inlineStr">
        <is>
          <t>VÄSTERNORRLANDS LÄN</t>
        </is>
      </c>
      <c r="E1362" t="inlineStr">
        <is>
          <t>SOLLEFTEÅ</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8880-2023</t>
        </is>
      </c>
      <c r="B1363" s="1" t="n">
        <v>44978.94346064814</v>
      </c>
      <c r="C1363" s="1" t="n">
        <v>46161</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51942-2024</t>
        </is>
      </c>
      <c r="B1364" s="1" t="n">
        <v>45607.63592592593</v>
      </c>
      <c r="C1364" s="1" t="n">
        <v>46161</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22690-2024</t>
        </is>
      </c>
      <c r="B1365" s="1" t="n">
        <v>45448.31293981482</v>
      </c>
      <c r="C1365" s="1" t="n">
        <v>46161</v>
      </c>
      <c r="D1365" t="inlineStr">
        <is>
          <t>VÄSTERNORRLANDS LÄN</t>
        </is>
      </c>
      <c r="E1365" t="inlineStr">
        <is>
          <t>SOLLEFTEÅ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50963-2024</t>
        </is>
      </c>
      <c r="B1366" s="1" t="n">
        <v>45603.32388888889</v>
      </c>
      <c r="C1366" s="1" t="n">
        <v>46161</v>
      </c>
      <c r="D1366" t="inlineStr">
        <is>
          <t>VÄSTERNORRLANDS LÄN</t>
        </is>
      </c>
      <c r="E1366" t="inlineStr">
        <is>
          <t>SOLLEFTEÅ</t>
        </is>
      </c>
      <c r="F1366" t="inlineStr">
        <is>
          <t>Holmen skog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46037-2025</t>
        </is>
      </c>
      <c r="B1367" s="1" t="n">
        <v>45924.44836805556</v>
      </c>
      <c r="C1367" s="1" t="n">
        <v>46161</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30478-2025</t>
        </is>
      </c>
      <c r="B1368" s="1" t="n">
        <v>45828.45866898148</v>
      </c>
      <c r="C1368" s="1" t="n">
        <v>46161</v>
      </c>
      <c r="D1368" t="inlineStr">
        <is>
          <t>VÄSTERNORRLANDS LÄN</t>
        </is>
      </c>
      <c r="E1368" t="inlineStr">
        <is>
          <t>SOLLEFTEÅ</t>
        </is>
      </c>
      <c r="G1368" t="n">
        <v>1.5</v>
      </c>
      <c r="H1368" t="n">
        <v>0</v>
      </c>
      <c r="I1368" t="n">
        <v>0</v>
      </c>
      <c r="J1368" t="n">
        <v>0</v>
      </c>
      <c r="K1368" t="n">
        <v>0</v>
      </c>
      <c r="L1368" t="n">
        <v>0</v>
      </c>
      <c r="M1368" t="n">
        <v>0</v>
      </c>
      <c r="N1368" t="n">
        <v>0</v>
      </c>
      <c r="O1368" t="n">
        <v>0</v>
      </c>
      <c r="P1368" t="n">
        <v>0</v>
      </c>
      <c r="Q1368" t="n">
        <v>0</v>
      </c>
      <c r="R1368" s="2" t="inlineStr"/>
      <c r="U1368">
        <f>HYPERLINK("https://klasma.github.io/Logging_2283/knärot/A 30478-2025 karta knärot.png", "A 30478-2025")</f>
        <v/>
      </c>
      <c r="V1368">
        <f>HYPERLINK("https://klasma.github.io/Logging_2283/klagomål/A 30478-2025 FSC-klagomål.docx", "A 30478-2025")</f>
        <v/>
      </c>
      <c r="W1368">
        <f>HYPERLINK("https://klasma.github.io/Logging_2283/klagomålsmail/A 30478-2025 FSC-klagomål mail.docx", "A 30478-2025")</f>
        <v/>
      </c>
      <c r="X1368">
        <f>HYPERLINK("https://klasma.github.io/Logging_2283/tillsyn/A 30478-2025 tillsynsbegäran.docx", "A 30478-2025")</f>
        <v/>
      </c>
      <c r="Y1368">
        <f>HYPERLINK("https://klasma.github.io/Logging_2283/tillsynsmail/A 30478-2025 tillsynsbegäran mail.docx", "A 30478-2025")</f>
        <v/>
      </c>
    </row>
    <row r="1369" ht="15" customHeight="1">
      <c r="A1369" t="inlineStr">
        <is>
          <t>A 30750-2025</t>
        </is>
      </c>
      <c r="B1369" s="1" t="n">
        <v>45831.58900462963</v>
      </c>
      <c r="C1369" s="1" t="n">
        <v>46161</v>
      </c>
      <c r="D1369" t="inlineStr">
        <is>
          <t>VÄSTERNORRLANDS LÄN</t>
        </is>
      </c>
      <c r="E1369" t="inlineStr">
        <is>
          <t>SOLLEFTEÅ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30754-2025</t>
        </is>
      </c>
      <c r="B1370" s="1" t="n">
        <v>45831.59417824074</v>
      </c>
      <c r="C1370" s="1" t="n">
        <v>46161</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52483-2025</t>
        </is>
      </c>
      <c r="B1371" s="1" t="n">
        <v>45954.47412037037</v>
      </c>
      <c r="C1371" s="1" t="n">
        <v>46161</v>
      </c>
      <c r="D1371" t="inlineStr">
        <is>
          <t>VÄSTERNORRLANDS LÄN</t>
        </is>
      </c>
      <c r="E1371" t="inlineStr">
        <is>
          <t>SOLLEFTEÅ</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40280-2025</t>
        </is>
      </c>
      <c r="B1372" s="1" t="n">
        <v>45895</v>
      </c>
      <c r="C1372" s="1" t="n">
        <v>46161</v>
      </c>
      <c r="D1372" t="inlineStr">
        <is>
          <t>VÄSTERNORRLANDS LÄN</t>
        </is>
      </c>
      <c r="E1372" t="inlineStr">
        <is>
          <t>SOLLEFTEÅ</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45801-2024</t>
        </is>
      </c>
      <c r="B1373" s="1" t="n">
        <v>45579.67798611111</v>
      </c>
      <c r="C1373" s="1" t="n">
        <v>46161</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45802-2024</t>
        </is>
      </c>
      <c r="B1374" s="1" t="n">
        <v>45579.67818287037</v>
      </c>
      <c r="C1374" s="1" t="n">
        <v>46161</v>
      </c>
      <c r="D1374" t="inlineStr">
        <is>
          <t>VÄSTERNORRLANDS LÄN</t>
        </is>
      </c>
      <c r="E1374" t="inlineStr">
        <is>
          <t>SOLLEFTEÅ</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46101-2024</t>
        </is>
      </c>
      <c r="B1375" s="1" t="n">
        <v>45581</v>
      </c>
      <c r="C1375" s="1" t="n">
        <v>46161</v>
      </c>
      <c r="D1375" t="inlineStr">
        <is>
          <t>VÄSTERNORRLANDS LÄN</t>
        </is>
      </c>
      <c r="E1375" t="inlineStr">
        <is>
          <t>SOLLEFTEÅ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30774-2025</t>
        </is>
      </c>
      <c r="B1376" s="1" t="n">
        <v>45831.61501157407</v>
      </c>
      <c r="C1376" s="1" t="n">
        <v>46161</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45977-2025</t>
        </is>
      </c>
      <c r="B1377" s="1" t="n">
        <v>45924.37170138889</v>
      </c>
      <c r="C1377" s="1" t="n">
        <v>46161</v>
      </c>
      <c r="D1377" t="inlineStr">
        <is>
          <t>VÄSTERNORRLANDS LÄN</t>
        </is>
      </c>
      <c r="E1377" t="inlineStr">
        <is>
          <t>SOLLEFTEÅ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30834-2025</t>
        </is>
      </c>
      <c r="B1378" s="1" t="n">
        <v>45831.6984837963</v>
      </c>
      <c r="C1378" s="1" t="n">
        <v>46161</v>
      </c>
      <c r="D1378" t="inlineStr">
        <is>
          <t>VÄSTERNORRLANDS LÄN</t>
        </is>
      </c>
      <c r="E1378" t="inlineStr">
        <is>
          <t>SOLLEFTEÅ</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21089-2025</t>
        </is>
      </c>
      <c r="B1379" s="1" t="n">
        <v>45777</v>
      </c>
      <c r="C1379" s="1" t="n">
        <v>46161</v>
      </c>
      <c r="D1379" t="inlineStr">
        <is>
          <t>VÄSTERNORRLANDS LÄN</t>
        </is>
      </c>
      <c r="E1379" t="inlineStr">
        <is>
          <t>SOLLEFTEÅ</t>
        </is>
      </c>
      <c r="F1379" t="inlineStr">
        <is>
          <t>SCA</t>
        </is>
      </c>
      <c r="G1379" t="n">
        <v>19.9</v>
      </c>
      <c r="H1379" t="n">
        <v>0</v>
      </c>
      <c r="I1379" t="n">
        <v>0</v>
      </c>
      <c r="J1379" t="n">
        <v>0</v>
      </c>
      <c r="K1379" t="n">
        <v>0</v>
      </c>
      <c r="L1379" t="n">
        <v>0</v>
      </c>
      <c r="M1379" t="n">
        <v>0</v>
      </c>
      <c r="N1379" t="n">
        <v>0</v>
      </c>
      <c r="O1379" t="n">
        <v>0</v>
      </c>
      <c r="P1379" t="n">
        <v>0</v>
      </c>
      <c r="Q1379" t="n">
        <v>0</v>
      </c>
      <c r="R1379" s="2" t="inlineStr"/>
    </row>
    <row r="1380" ht="15" customHeight="1">
      <c r="A1380" t="inlineStr">
        <is>
          <t>A 30733-2025</t>
        </is>
      </c>
      <c r="B1380" s="1" t="n">
        <v>45831.57340277778</v>
      </c>
      <c r="C1380" s="1" t="n">
        <v>46161</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30734-2025</t>
        </is>
      </c>
      <c r="B1381" s="1" t="n">
        <v>45831.5734375</v>
      </c>
      <c r="C1381" s="1" t="n">
        <v>46161</v>
      </c>
      <c r="D1381" t="inlineStr">
        <is>
          <t>VÄSTERNORRLANDS LÄN</t>
        </is>
      </c>
      <c r="E1381" t="inlineStr">
        <is>
          <t>SOLLEFTEÅ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14365-2024</t>
        </is>
      </c>
      <c r="B1382" s="1" t="n">
        <v>45393.94332175926</v>
      </c>
      <c r="C1382" s="1" t="n">
        <v>46161</v>
      </c>
      <c r="D1382" t="inlineStr">
        <is>
          <t>VÄSTERNORRLANDS LÄN</t>
        </is>
      </c>
      <c r="E1382" t="inlineStr">
        <is>
          <t>SOLLEFTEÅ</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29946-2023</t>
        </is>
      </c>
      <c r="B1383" s="1" t="n">
        <v>45107.93818287037</v>
      </c>
      <c r="C1383" s="1" t="n">
        <v>46161</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30889-2025</t>
        </is>
      </c>
      <c r="B1384" s="1" t="n">
        <v>45832.34618055556</v>
      </c>
      <c r="C1384" s="1" t="n">
        <v>46161</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38102-2022</t>
        </is>
      </c>
      <c r="B1385" s="1" t="n">
        <v>44811</v>
      </c>
      <c r="C1385" s="1" t="n">
        <v>46161</v>
      </c>
      <c r="D1385" t="inlineStr">
        <is>
          <t>VÄSTERNORRLANDS LÄN</t>
        </is>
      </c>
      <c r="E1385" t="inlineStr">
        <is>
          <t>SOLLEFTEÅ</t>
        </is>
      </c>
      <c r="F1385" t="inlineStr">
        <is>
          <t>SCA</t>
        </is>
      </c>
      <c r="G1385" t="n">
        <v>4.9</v>
      </c>
      <c r="H1385" t="n">
        <v>0</v>
      </c>
      <c r="I1385" t="n">
        <v>0</v>
      </c>
      <c r="J1385" t="n">
        <v>0</v>
      </c>
      <c r="K1385" t="n">
        <v>0</v>
      </c>
      <c r="L1385" t="n">
        <v>0</v>
      </c>
      <c r="M1385" t="n">
        <v>0</v>
      </c>
      <c r="N1385" t="n">
        <v>0</v>
      </c>
      <c r="O1385" t="n">
        <v>0</v>
      </c>
      <c r="P1385" t="n">
        <v>0</v>
      </c>
      <c r="Q1385" t="n">
        <v>0</v>
      </c>
      <c r="R1385" s="2" t="inlineStr"/>
      <c r="U1385">
        <f>HYPERLINK("https://klasma.github.io/Logging_2283/knärot/A 38102-2022 karta knärot.png", "A 38102-2022")</f>
        <v/>
      </c>
      <c r="V1385">
        <f>HYPERLINK("https://klasma.github.io/Logging_2283/klagomål/A 38102-2022 FSC-klagomål.docx", "A 38102-2022")</f>
        <v/>
      </c>
      <c r="W1385">
        <f>HYPERLINK("https://klasma.github.io/Logging_2283/klagomålsmail/A 38102-2022 FSC-klagomål mail.docx", "A 38102-2022")</f>
        <v/>
      </c>
      <c r="X1385">
        <f>HYPERLINK("https://klasma.github.io/Logging_2283/tillsyn/A 38102-2022 tillsynsbegäran.docx", "A 38102-2022")</f>
        <v/>
      </c>
      <c r="Y1385">
        <f>HYPERLINK("https://klasma.github.io/Logging_2283/tillsynsmail/A 38102-2022 tillsynsbegäran mail.docx", "A 38102-2022")</f>
        <v/>
      </c>
    </row>
    <row r="1386" ht="15" customHeight="1">
      <c r="A1386" t="inlineStr">
        <is>
          <t>A 31183-2025</t>
        </is>
      </c>
      <c r="B1386" s="1" t="n">
        <v>45832.67774305555</v>
      </c>
      <c r="C1386" s="1" t="n">
        <v>46161</v>
      </c>
      <c r="D1386" t="inlineStr">
        <is>
          <t>VÄSTERNORRLANDS LÄN</t>
        </is>
      </c>
      <c r="E1386" t="inlineStr">
        <is>
          <t>SOLLEFTEÅ</t>
        </is>
      </c>
      <c r="F1386" t="inlineStr">
        <is>
          <t>SCA</t>
        </is>
      </c>
      <c r="G1386" t="n">
        <v>11.2</v>
      </c>
      <c r="H1386" t="n">
        <v>0</v>
      </c>
      <c r="I1386" t="n">
        <v>0</v>
      </c>
      <c r="J1386" t="n">
        <v>0</v>
      </c>
      <c r="K1386" t="n">
        <v>0</v>
      </c>
      <c r="L1386" t="n">
        <v>0</v>
      </c>
      <c r="M1386" t="n">
        <v>0</v>
      </c>
      <c r="N1386" t="n">
        <v>0</v>
      </c>
      <c r="O1386" t="n">
        <v>0</v>
      </c>
      <c r="P1386" t="n">
        <v>0</v>
      </c>
      <c r="Q1386" t="n">
        <v>0</v>
      </c>
      <c r="R1386" s="2" t="inlineStr"/>
    </row>
    <row r="1387" ht="15" customHeight="1">
      <c r="A1387" t="inlineStr">
        <is>
          <t>A 31345-2025</t>
        </is>
      </c>
      <c r="B1387" s="1" t="n">
        <v>45833.42854166667</v>
      </c>
      <c r="C1387" s="1" t="n">
        <v>46161</v>
      </c>
      <c r="D1387" t="inlineStr">
        <is>
          <t>VÄSTERNORRLANDS LÄN</t>
        </is>
      </c>
      <c r="E1387" t="inlineStr">
        <is>
          <t>SOLLEFTEÅ</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31347-2025</t>
        </is>
      </c>
      <c r="B1388" s="1" t="n">
        <v>45833</v>
      </c>
      <c r="C1388" s="1" t="n">
        <v>46161</v>
      </c>
      <c r="D1388" t="inlineStr">
        <is>
          <t>VÄSTERNORRLANDS LÄN</t>
        </is>
      </c>
      <c r="E1388" t="inlineStr">
        <is>
          <t>SOLLEFTEÅ</t>
        </is>
      </c>
      <c r="F1388" t="inlineStr">
        <is>
          <t>SCA</t>
        </is>
      </c>
      <c r="G1388" t="n">
        <v>19.5</v>
      </c>
      <c r="H1388" t="n">
        <v>0</v>
      </c>
      <c r="I1388" t="n">
        <v>0</v>
      </c>
      <c r="J1388" t="n">
        <v>0</v>
      </c>
      <c r="K1388" t="n">
        <v>0</v>
      </c>
      <c r="L1388" t="n">
        <v>0</v>
      </c>
      <c r="M1388" t="n">
        <v>0</v>
      </c>
      <c r="N1388" t="n">
        <v>0</v>
      </c>
      <c r="O1388" t="n">
        <v>0</v>
      </c>
      <c r="P1388" t="n">
        <v>0</v>
      </c>
      <c r="Q1388" t="n">
        <v>0</v>
      </c>
      <c r="R1388" s="2" t="inlineStr"/>
    </row>
    <row r="1389" ht="15" customHeight="1">
      <c r="A1389" t="inlineStr">
        <is>
          <t>A 31435-2025</t>
        </is>
      </c>
      <c r="B1389" s="1" t="n">
        <v>45833.49708333334</v>
      </c>
      <c r="C1389" s="1" t="n">
        <v>46161</v>
      </c>
      <c r="D1389" t="inlineStr">
        <is>
          <t>VÄSTERNORRLANDS LÄN</t>
        </is>
      </c>
      <c r="E1389" t="inlineStr">
        <is>
          <t>SOLLEFTEÅ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31396-2025</t>
        </is>
      </c>
      <c r="B1390" s="1" t="n">
        <v>45833.4658912037</v>
      </c>
      <c r="C1390" s="1" t="n">
        <v>46161</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46873-2025</t>
        </is>
      </c>
      <c r="B1391" s="1" t="n">
        <v>45929.34421296296</v>
      </c>
      <c r="C1391" s="1" t="n">
        <v>46161</v>
      </c>
      <c r="D1391" t="inlineStr">
        <is>
          <t>VÄSTERNORRLANDS LÄN</t>
        </is>
      </c>
      <c r="E1391" t="inlineStr">
        <is>
          <t>SOLLEFTEÅ</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52499-2025</t>
        </is>
      </c>
      <c r="B1392" s="1" t="n">
        <v>45954.49407407407</v>
      </c>
      <c r="C1392" s="1" t="n">
        <v>46161</v>
      </c>
      <c r="D1392" t="inlineStr">
        <is>
          <t>VÄSTERNORRLANDS LÄN</t>
        </is>
      </c>
      <c r="E1392" t="inlineStr">
        <is>
          <t>SOLLEFTEÅ</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52739-2025</t>
        </is>
      </c>
      <c r="B1393" s="1" t="n">
        <v>45957.37555555555</v>
      </c>
      <c r="C1393" s="1" t="n">
        <v>46161</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28580-2024</t>
        </is>
      </c>
      <c r="B1394" s="1" t="n">
        <v>45478</v>
      </c>
      <c r="C1394" s="1" t="n">
        <v>46161</v>
      </c>
      <c r="D1394" t="inlineStr">
        <is>
          <t>VÄSTERNORRLANDS LÄN</t>
        </is>
      </c>
      <c r="E1394" t="inlineStr">
        <is>
          <t>SOLLEFTEÅ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6474-2023</t>
        </is>
      </c>
      <c r="B1395" s="1" t="n">
        <v>44965.94128472222</v>
      </c>
      <c r="C1395" s="1" t="n">
        <v>46161</v>
      </c>
      <c r="D1395" t="inlineStr">
        <is>
          <t>VÄSTERNORRLANDS LÄN</t>
        </is>
      </c>
      <c r="E1395" t="inlineStr">
        <is>
          <t>SOLLEFTEÅ</t>
        </is>
      </c>
      <c r="F1395" t="inlineStr">
        <is>
          <t>SCA</t>
        </is>
      </c>
      <c r="G1395" t="n">
        <v>47.3</v>
      </c>
      <c r="H1395" t="n">
        <v>0</v>
      </c>
      <c r="I1395" t="n">
        <v>0</v>
      </c>
      <c r="J1395" t="n">
        <v>0</v>
      </c>
      <c r="K1395" t="n">
        <v>0</v>
      </c>
      <c r="L1395" t="n">
        <v>0</v>
      </c>
      <c r="M1395" t="n">
        <v>0</v>
      </c>
      <c r="N1395" t="n">
        <v>0</v>
      </c>
      <c r="O1395" t="n">
        <v>0</v>
      </c>
      <c r="P1395" t="n">
        <v>0</v>
      </c>
      <c r="Q1395" t="n">
        <v>0</v>
      </c>
      <c r="R1395" s="2" t="inlineStr"/>
    </row>
    <row r="1396" ht="15" customHeight="1">
      <c r="A1396" t="inlineStr">
        <is>
          <t>A 31423-2025</t>
        </is>
      </c>
      <c r="B1396" s="1" t="n">
        <v>45833.48957175926</v>
      </c>
      <c r="C1396" s="1" t="n">
        <v>46161</v>
      </c>
      <c r="D1396" t="inlineStr">
        <is>
          <t>VÄSTERNORRLANDS LÄN</t>
        </is>
      </c>
      <c r="E1396" t="inlineStr">
        <is>
          <t>SOLLEFTEÅ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31306-2025</t>
        </is>
      </c>
      <c r="B1397" s="1" t="n">
        <v>45833</v>
      </c>
      <c r="C1397" s="1" t="n">
        <v>46161</v>
      </c>
      <c r="D1397" t="inlineStr">
        <is>
          <t>VÄSTERNORRLANDS LÄN</t>
        </is>
      </c>
      <c r="E1397" t="inlineStr">
        <is>
          <t>SOLLEFTEÅ</t>
        </is>
      </c>
      <c r="F1397" t="inlineStr">
        <is>
          <t>SCA</t>
        </is>
      </c>
      <c r="G1397" t="n">
        <v>19.3</v>
      </c>
      <c r="H1397" t="n">
        <v>0</v>
      </c>
      <c r="I1397" t="n">
        <v>0</v>
      </c>
      <c r="J1397" t="n">
        <v>0</v>
      </c>
      <c r="K1397" t="n">
        <v>0</v>
      </c>
      <c r="L1397" t="n">
        <v>0</v>
      </c>
      <c r="M1397" t="n">
        <v>0</v>
      </c>
      <c r="N1397" t="n">
        <v>0</v>
      </c>
      <c r="O1397" t="n">
        <v>0</v>
      </c>
      <c r="P1397" t="n">
        <v>0</v>
      </c>
      <c r="Q1397" t="n">
        <v>0</v>
      </c>
      <c r="R1397" s="2" t="inlineStr"/>
    </row>
    <row r="1398" ht="15" customHeight="1">
      <c r="A1398" t="inlineStr">
        <is>
          <t>A 52035-2022</t>
        </is>
      </c>
      <c r="B1398" s="1" t="n">
        <v>44872</v>
      </c>
      <c r="C1398" s="1" t="n">
        <v>46161</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31337-2025</t>
        </is>
      </c>
      <c r="B1399" s="1" t="n">
        <v>45833.42751157407</v>
      </c>
      <c r="C1399" s="1" t="n">
        <v>46161</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53030-2025</t>
        </is>
      </c>
      <c r="B1400" s="1" t="n">
        <v>45958.34442129629</v>
      </c>
      <c r="C1400" s="1" t="n">
        <v>46161</v>
      </c>
      <c r="D1400" t="inlineStr">
        <is>
          <t>VÄSTERNORRLANDS LÄN</t>
        </is>
      </c>
      <c r="E1400" t="inlineStr">
        <is>
          <t>SOLLEFTEÅ</t>
        </is>
      </c>
      <c r="F1400" t="inlineStr">
        <is>
          <t>SCA</t>
        </is>
      </c>
      <c r="G1400" t="n">
        <v>11.7</v>
      </c>
      <c r="H1400" t="n">
        <v>0</v>
      </c>
      <c r="I1400" t="n">
        <v>0</v>
      </c>
      <c r="J1400" t="n">
        <v>0</v>
      </c>
      <c r="K1400" t="n">
        <v>0</v>
      </c>
      <c r="L1400" t="n">
        <v>0</v>
      </c>
      <c r="M1400" t="n">
        <v>0</v>
      </c>
      <c r="N1400" t="n">
        <v>0</v>
      </c>
      <c r="O1400" t="n">
        <v>0</v>
      </c>
      <c r="P1400" t="n">
        <v>0</v>
      </c>
      <c r="Q1400" t="n">
        <v>0</v>
      </c>
      <c r="R1400" s="2" t="inlineStr"/>
    </row>
    <row r="1401" ht="15" customHeight="1">
      <c r="A1401" t="inlineStr">
        <is>
          <t>A 59346-2023</t>
        </is>
      </c>
      <c r="B1401" s="1" t="n">
        <v>45253</v>
      </c>
      <c r="C1401" s="1" t="n">
        <v>46161</v>
      </c>
      <c r="D1401" t="inlineStr">
        <is>
          <t>VÄSTERNORRLANDS LÄN</t>
        </is>
      </c>
      <c r="E1401" t="inlineStr">
        <is>
          <t>SOLLEFTEÅ</t>
        </is>
      </c>
      <c r="F1401" t="inlineStr">
        <is>
          <t>Holmen skog AB</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50549-2024</t>
        </is>
      </c>
      <c r="B1402" s="1" t="n">
        <v>45601</v>
      </c>
      <c r="C1402" s="1" t="n">
        <v>46161</v>
      </c>
      <c r="D1402" t="inlineStr">
        <is>
          <t>VÄSTERNORRLANDS LÄN</t>
        </is>
      </c>
      <c r="E1402" t="inlineStr">
        <is>
          <t>SOLLEFTEÅ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38769-2024</t>
        </is>
      </c>
      <c r="B1403" s="1" t="n">
        <v>45547.44914351852</v>
      </c>
      <c r="C1403" s="1" t="n">
        <v>46161</v>
      </c>
      <c r="D1403" t="inlineStr">
        <is>
          <t>VÄSTERNORRLANDS LÄN</t>
        </is>
      </c>
      <c r="E1403" t="inlineStr">
        <is>
          <t>SOLLEFTEÅ</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50624-2024</t>
        </is>
      </c>
      <c r="B1404" s="1" t="n">
        <v>45601.65728009259</v>
      </c>
      <c r="C1404" s="1" t="n">
        <v>46161</v>
      </c>
      <c r="D1404" t="inlineStr">
        <is>
          <t>VÄSTERNORRLANDS LÄN</t>
        </is>
      </c>
      <c r="E1404" t="inlineStr">
        <is>
          <t>SOLLEFTEÅ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53468-2025</t>
        </is>
      </c>
      <c r="B1405" s="1" t="n">
        <v>45959.69859953703</v>
      </c>
      <c r="C1405" s="1" t="n">
        <v>46161</v>
      </c>
      <c r="D1405" t="inlineStr">
        <is>
          <t>VÄSTERNORRLANDS LÄN</t>
        </is>
      </c>
      <c r="E1405" t="inlineStr">
        <is>
          <t>SOLLEFTEÅ</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46905-2025</t>
        </is>
      </c>
      <c r="B1406" s="1" t="n">
        <v>45929.40055555556</v>
      </c>
      <c r="C1406" s="1" t="n">
        <v>46161</v>
      </c>
      <c r="D1406" t="inlineStr">
        <is>
          <t>VÄSTERNORRLANDS LÄN</t>
        </is>
      </c>
      <c r="E1406" t="inlineStr">
        <is>
          <t>SOLLEFTEÅ</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30068-2024</t>
        </is>
      </c>
      <c r="B1407" s="1" t="n">
        <v>45488.94886574074</v>
      </c>
      <c r="C1407" s="1" t="n">
        <v>46161</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46968-2025</t>
        </is>
      </c>
      <c r="B1408" s="1" t="n">
        <v>45929.50158564815</v>
      </c>
      <c r="C1408" s="1" t="n">
        <v>46161</v>
      </c>
      <c r="D1408" t="inlineStr">
        <is>
          <t>VÄSTERNORRLANDS LÄN</t>
        </is>
      </c>
      <c r="E1408" t="inlineStr">
        <is>
          <t>SOLLEFTEÅ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46784-2025</t>
        </is>
      </c>
      <c r="B1409" s="1" t="n">
        <v>45926</v>
      </c>
      <c r="C1409" s="1" t="n">
        <v>46161</v>
      </c>
      <c r="D1409" t="inlineStr">
        <is>
          <t>VÄSTERNORRLANDS LÄN</t>
        </is>
      </c>
      <c r="E1409" t="inlineStr">
        <is>
          <t>SOLLEFTEÅ</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31545-2025</t>
        </is>
      </c>
      <c r="B1410" s="1" t="n">
        <v>45833.63615740741</v>
      </c>
      <c r="C1410" s="1" t="n">
        <v>46161</v>
      </c>
      <c r="D1410" t="inlineStr">
        <is>
          <t>VÄSTERNORRLANDS LÄN</t>
        </is>
      </c>
      <c r="E1410" t="inlineStr">
        <is>
          <t>SOLLEFTEÅ</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35470-2023</t>
        </is>
      </c>
      <c r="B1411" s="1" t="n">
        <v>45146</v>
      </c>
      <c r="C1411" s="1" t="n">
        <v>46161</v>
      </c>
      <c r="D1411" t="inlineStr">
        <is>
          <t>VÄSTERNORRLANDS LÄN</t>
        </is>
      </c>
      <c r="E1411" t="inlineStr">
        <is>
          <t>SOLLEFTEÅ</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31432-2025</t>
        </is>
      </c>
      <c r="B1412" s="1" t="n">
        <v>45833.49442129629</v>
      </c>
      <c r="C1412" s="1" t="n">
        <v>46161</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53428-2025</t>
        </is>
      </c>
      <c r="B1413" s="1" t="n">
        <v>45959.61526620371</v>
      </c>
      <c r="C1413" s="1" t="n">
        <v>46161</v>
      </c>
      <c r="D1413" t="inlineStr">
        <is>
          <t>VÄSTERNORRLANDS LÄN</t>
        </is>
      </c>
      <c r="E1413" t="inlineStr">
        <is>
          <t>SOLLEFTEÅ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53240-2025</t>
        </is>
      </c>
      <c r="B1414" s="1" t="n">
        <v>45958.63600694444</v>
      </c>
      <c r="C1414" s="1" t="n">
        <v>46161</v>
      </c>
      <c r="D1414" t="inlineStr">
        <is>
          <t>VÄSTERNORRLANDS LÄN</t>
        </is>
      </c>
      <c r="E1414" t="inlineStr">
        <is>
          <t>SOLLEFTEÅ</t>
        </is>
      </c>
      <c r="F1414" t="inlineStr">
        <is>
          <t>SCA</t>
        </is>
      </c>
      <c r="G1414" t="n">
        <v>36.2</v>
      </c>
      <c r="H1414" t="n">
        <v>0</v>
      </c>
      <c r="I1414" t="n">
        <v>0</v>
      </c>
      <c r="J1414" t="n">
        <v>0</v>
      </c>
      <c r="K1414" t="n">
        <v>0</v>
      </c>
      <c r="L1414" t="n">
        <v>0</v>
      </c>
      <c r="M1414" t="n">
        <v>0</v>
      </c>
      <c r="N1414" t="n">
        <v>0</v>
      </c>
      <c r="O1414" t="n">
        <v>0</v>
      </c>
      <c r="P1414" t="n">
        <v>0</v>
      </c>
      <c r="Q1414" t="n">
        <v>0</v>
      </c>
      <c r="R1414" s="2" t="inlineStr"/>
    </row>
    <row r="1415" ht="15" customHeight="1">
      <c r="A1415" t="inlineStr">
        <is>
          <t>A 53097-2025</t>
        </is>
      </c>
      <c r="B1415" s="1" t="n">
        <v>45958.42767361111</v>
      </c>
      <c r="C1415" s="1" t="n">
        <v>46161</v>
      </c>
      <c r="D1415" t="inlineStr">
        <is>
          <t>VÄSTERNORRLANDS LÄN</t>
        </is>
      </c>
      <c r="E1415" t="inlineStr">
        <is>
          <t>SOLLEFTEÅ</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53098-2025</t>
        </is>
      </c>
      <c r="B1416" s="1" t="n">
        <v>45958.42774305555</v>
      </c>
      <c r="C1416" s="1" t="n">
        <v>46161</v>
      </c>
      <c r="D1416" t="inlineStr">
        <is>
          <t>VÄSTERNORRLANDS LÄN</t>
        </is>
      </c>
      <c r="E1416" t="inlineStr">
        <is>
          <t>SOLLEFTEÅ</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47069-2025</t>
        </is>
      </c>
      <c r="B1417" s="1" t="n">
        <v>45929.63596064815</v>
      </c>
      <c r="C1417" s="1" t="n">
        <v>46161</v>
      </c>
      <c r="D1417" t="inlineStr">
        <is>
          <t>VÄSTERNORRLANDS LÄN</t>
        </is>
      </c>
      <c r="E1417" t="inlineStr">
        <is>
          <t>SOLLEFTEÅ</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53269-2025</t>
        </is>
      </c>
      <c r="B1418" s="1" t="n">
        <v>45958.6985300926</v>
      </c>
      <c r="C1418" s="1" t="n">
        <v>46161</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53055-2025</t>
        </is>
      </c>
      <c r="B1419" s="1" t="n">
        <v>45958.36517361111</v>
      </c>
      <c r="C1419" s="1" t="n">
        <v>46161</v>
      </c>
      <c r="D1419" t="inlineStr">
        <is>
          <t>VÄSTERNORRLANDS LÄN</t>
        </is>
      </c>
      <c r="E1419" t="inlineStr">
        <is>
          <t>SOLLEFTEÅ</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56685-2023</t>
        </is>
      </c>
      <c r="B1420" s="1" t="n">
        <v>45243.96600694444</v>
      </c>
      <c r="C1420" s="1" t="n">
        <v>46161</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49789-2025</t>
        </is>
      </c>
      <c r="B1421" s="1" t="n">
        <v>45940</v>
      </c>
      <c r="C1421" s="1" t="n">
        <v>46161</v>
      </c>
      <c r="D1421" t="inlineStr">
        <is>
          <t>VÄSTERNORRLANDS LÄN</t>
        </is>
      </c>
      <c r="E1421" t="inlineStr">
        <is>
          <t>SOLLEFTEÅ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53974-2025</t>
        </is>
      </c>
      <c r="B1422" s="1" t="n">
        <v>45961.55261574074</v>
      </c>
      <c r="C1422" s="1" t="n">
        <v>46161</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31304-2025</t>
        </is>
      </c>
      <c r="B1423" s="1" t="n">
        <v>45833.38600694444</v>
      </c>
      <c r="C1423" s="1" t="n">
        <v>46161</v>
      </c>
      <c r="D1423" t="inlineStr">
        <is>
          <t>VÄSTERNORRLANDS LÄN</t>
        </is>
      </c>
      <c r="E1423" t="inlineStr">
        <is>
          <t>SOLLEFTEÅ</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31338-2025</t>
        </is>
      </c>
      <c r="B1424" s="1" t="n">
        <v>45833.42768518518</v>
      </c>
      <c r="C1424" s="1" t="n">
        <v>46161</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31437-2025</t>
        </is>
      </c>
      <c r="B1425" s="1" t="n">
        <v>45833.49855324074</v>
      </c>
      <c r="C1425" s="1" t="n">
        <v>46161</v>
      </c>
      <c r="D1425" t="inlineStr">
        <is>
          <t>VÄSTERNORRLANDS LÄN</t>
        </is>
      </c>
      <c r="E1425" t="inlineStr">
        <is>
          <t>SOLLEFTEÅ</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49249-2025</t>
        </is>
      </c>
      <c r="B1426" s="1" t="n">
        <v>45938</v>
      </c>
      <c r="C1426" s="1" t="n">
        <v>46161</v>
      </c>
      <c r="D1426" t="inlineStr">
        <is>
          <t>VÄSTERNORRLANDS LÄN</t>
        </is>
      </c>
      <c r="E1426" t="inlineStr">
        <is>
          <t>SOLLEFTEÅ</t>
        </is>
      </c>
      <c r="F1426" t="inlineStr">
        <is>
          <t>SCA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53639-2025</t>
        </is>
      </c>
      <c r="B1427" s="1" t="n">
        <v>45960</v>
      </c>
      <c r="C1427" s="1" t="n">
        <v>46161</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12311-2023</t>
        </is>
      </c>
      <c r="B1428" s="1" t="n">
        <v>44995</v>
      </c>
      <c r="C1428" s="1" t="n">
        <v>46161</v>
      </c>
      <c r="D1428" t="inlineStr">
        <is>
          <t>VÄSTERNORRLANDS LÄN</t>
        </is>
      </c>
      <c r="E1428" t="inlineStr">
        <is>
          <t>SOLLEFTEÅ</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31479-2025</t>
        </is>
      </c>
      <c r="B1429" s="1" t="n">
        <v>45833.57333333333</v>
      </c>
      <c r="C1429" s="1" t="n">
        <v>46161</v>
      </c>
      <c r="D1429" t="inlineStr">
        <is>
          <t>VÄSTERNORRLANDS LÄN</t>
        </is>
      </c>
      <c r="E1429" t="inlineStr">
        <is>
          <t>SOLLEFTEÅ</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46750-2025</t>
        </is>
      </c>
      <c r="B1430" s="1" t="n">
        <v>45926.61511574074</v>
      </c>
      <c r="C1430" s="1" t="n">
        <v>46161</v>
      </c>
      <c r="D1430" t="inlineStr">
        <is>
          <t>VÄSTERNORRLANDS LÄN</t>
        </is>
      </c>
      <c r="E1430" t="inlineStr">
        <is>
          <t>SOLLEFTEÅ</t>
        </is>
      </c>
      <c r="F1430" t="inlineStr">
        <is>
          <t>SCA</t>
        </is>
      </c>
      <c r="G1430" t="n">
        <v>59.9</v>
      </c>
      <c r="H1430" t="n">
        <v>0</v>
      </c>
      <c r="I1430" t="n">
        <v>0</v>
      </c>
      <c r="J1430" t="n">
        <v>0</v>
      </c>
      <c r="K1430" t="n">
        <v>0</v>
      </c>
      <c r="L1430" t="n">
        <v>0</v>
      </c>
      <c r="M1430" t="n">
        <v>0</v>
      </c>
      <c r="N1430" t="n">
        <v>0</v>
      </c>
      <c r="O1430" t="n">
        <v>0</v>
      </c>
      <c r="P1430" t="n">
        <v>0</v>
      </c>
      <c r="Q1430" t="n">
        <v>0</v>
      </c>
      <c r="R1430" s="2" t="inlineStr"/>
    </row>
    <row r="1431" ht="15" customHeight="1">
      <c r="A1431" t="inlineStr">
        <is>
          <t>A 16710-2024</t>
        </is>
      </c>
      <c r="B1431" s="1" t="n">
        <v>45409.07748842592</v>
      </c>
      <c r="C1431" s="1" t="n">
        <v>46161</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46973-2025</t>
        </is>
      </c>
      <c r="B1432" s="1" t="n">
        <v>45929.51083333333</v>
      </c>
      <c r="C1432" s="1" t="n">
        <v>46161</v>
      </c>
      <c r="D1432" t="inlineStr">
        <is>
          <t>VÄSTERNORRLANDS LÄN</t>
        </is>
      </c>
      <c r="E1432" t="inlineStr">
        <is>
          <t>SOLLEFTEÅ</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32271-2025</t>
        </is>
      </c>
      <c r="B1433" s="1" t="n">
        <v>45835.65662037037</v>
      </c>
      <c r="C1433" s="1" t="n">
        <v>46161</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32291-2025</t>
        </is>
      </c>
      <c r="B1434" s="1" t="n">
        <v>45835.69961805556</v>
      </c>
      <c r="C1434" s="1" t="n">
        <v>46161</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46920-2025</t>
        </is>
      </c>
      <c r="B1435" s="1" t="n">
        <v>45929.43368055556</v>
      </c>
      <c r="C1435" s="1" t="n">
        <v>46161</v>
      </c>
      <c r="D1435" t="inlineStr">
        <is>
          <t>VÄSTERNORRLANDS LÄN</t>
        </is>
      </c>
      <c r="E1435" t="inlineStr">
        <is>
          <t>SOLLEFTEÅ</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32280-2025</t>
        </is>
      </c>
      <c r="B1436" s="1" t="n">
        <v>45835.67638888889</v>
      </c>
      <c r="C1436" s="1" t="n">
        <v>46161</v>
      </c>
      <c r="D1436" t="inlineStr">
        <is>
          <t>VÄSTERNORRLANDS LÄN</t>
        </is>
      </c>
      <c r="E1436" t="inlineStr">
        <is>
          <t>SOLLEFTEÅ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32069-2025</t>
        </is>
      </c>
      <c r="B1437" s="1" t="n">
        <v>45835.4487037037</v>
      </c>
      <c r="C1437" s="1" t="n">
        <v>46161</v>
      </c>
      <c r="D1437" t="inlineStr">
        <is>
          <t>VÄSTERNORRLANDS LÄN</t>
        </is>
      </c>
      <c r="E1437" t="inlineStr">
        <is>
          <t>SOLLEFTEÅ</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16308-2025</t>
        </is>
      </c>
      <c r="B1438" s="1" t="n">
        <v>45751.34700231482</v>
      </c>
      <c r="C1438" s="1" t="n">
        <v>46161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32139-2025</t>
        </is>
      </c>
      <c r="B1439" s="1" t="n">
        <v>45835</v>
      </c>
      <c r="C1439" s="1" t="n">
        <v>46161</v>
      </c>
      <c r="D1439" t="inlineStr">
        <is>
          <t>VÄSTERNORRLANDS LÄN</t>
        </is>
      </c>
      <c r="E1439" t="inlineStr">
        <is>
          <t>SOLLEFTEÅ</t>
        </is>
      </c>
      <c r="G1439" t="n">
        <v>17.8</v>
      </c>
      <c r="H1439" t="n">
        <v>0</v>
      </c>
      <c r="I1439" t="n">
        <v>0</v>
      </c>
      <c r="J1439" t="n">
        <v>0</v>
      </c>
      <c r="K1439" t="n">
        <v>0</v>
      </c>
      <c r="L1439" t="n">
        <v>0</v>
      </c>
      <c r="M1439" t="n">
        <v>0</v>
      </c>
      <c r="N1439" t="n">
        <v>0</v>
      </c>
      <c r="O1439" t="n">
        <v>0</v>
      </c>
      <c r="P1439" t="n">
        <v>0</v>
      </c>
      <c r="Q1439" t="n">
        <v>0</v>
      </c>
      <c r="R1439" s="2" t="inlineStr"/>
    </row>
    <row r="1440" ht="15" customHeight="1">
      <c r="A1440" t="inlineStr">
        <is>
          <t>A 5111-2022</t>
        </is>
      </c>
      <c r="B1440" s="1" t="n">
        <v>44593.92144675926</v>
      </c>
      <c r="C1440" s="1" t="n">
        <v>46161</v>
      </c>
      <c r="D1440" t="inlineStr">
        <is>
          <t>VÄSTERNORRLANDS LÄN</t>
        </is>
      </c>
      <c r="E1440" t="inlineStr">
        <is>
          <t>SOLLEFTEÅ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32073-2025</t>
        </is>
      </c>
      <c r="B1441" s="1" t="n">
        <v>45835.44931712963</v>
      </c>
      <c r="C1441" s="1" t="n">
        <v>46161</v>
      </c>
      <c r="D1441" t="inlineStr">
        <is>
          <t>VÄSTERNORRLANDS LÄN</t>
        </is>
      </c>
      <c r="E1441" t="inlineStr">
        <is>
          <t>SOLLEFTEÅ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28658-2025</t>
        </is>
      </c>
      <c r="B1442" s="1" t="n">
        <v>45819</v>
      </c>
      <c r="C1442" s="1" t="n">
        <v>46161</v>
      </c>
      <c r="D1442" t="inlineStr">
        <is>
          <t>VÄSTERNORRLANDS LÄN</t>
        </is>
      </c>
      <c r="E1442" t="inlineStr">
        <is>
          <t>SOLLEFTEÅ</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53530-2025</t>
        </is>
      </c>
      <c r="B1443" s="1" t="n">
        <v>45960.36521990741</v>
      </c>
      <c r="C1443" s="1" t="n">
        <v>46161</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53550-2025</t>
        </is>
      </c>
      <c r="B1444" s="1" t="n">
        <v>45960.38583333333</v>
      </c>
      <c r="C1444" s="1" t="n">
        <v>46161</v>
      </c>
      <c r="D1444" t="inlineStr">
        <is>
          <t>VÄSTERNORRLANDS LÄN</t>
        </is>
      </c>
      <c r="E1444" t="inlineStr">
        <is>
          <t>SOLLEFTEÅ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42160-2023</t>
        </is>
      </c>
      <c r="B1445" s="1" t="n">
        <v>45177</v>
      </c>
      <c r="C1445" s="1" t="n">
        <v>46161</v>
      </c>
      <c r="D1445" t="inlineStr">
        <is>
          <t>VÄSTERNORRLANDS LÄN</t>
        </is>
      </c>
      <c r="E1445" t="inlineStr">
        <is>
          <t>SOLLEFTEÅ</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18795-2025</t>
        </is>
      </c>
      <c r="B1446" s="1" t="n">
        <v>45764.34564814815</v>
      </c>
      <c r="C1446" s="1" t="n">
        <v>46161</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47376-2025</t>
        </is>
      </c>
      <c r="B1447" s="1" t="n">
        <v>45930.59454861111</v>
      </c>
      <c r="C1447" s="1" t="n">
        <v>46161</v>
      </c>
      <c r="D1447" t="inlineStr">
        <is>
          <t>VÄSTERNORRLANDS LÄN</t>
        </is>
      </c>
      <c r="E1447" t="inlineStr">
        <is>
          <t>SOLLEFTEÅ</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41456-2022</t>
        </is>
      </c>
      <c r="B1448" s="1" t="n">
        <v>44826</v>
      </c>
      <c r="C1448" s="1" t="n">
        <v>46161</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32029-2025</t>
        </is>
      </c>
      <c r="B1449" s="1" t="n">
        <v>45835.40788194445</v>
      </c>
      <c r="C1449" s="1" t="n">
        <v>46161</v>
      </c>
      <c r="D1449" t="inlineStr">
        <is>
          <t>VÄSTERNORRLANDS LÄN</t>
        </is>
      </c>
      <c r="E1449" t="inlineStr">
        <is>
          <t>SOLLEFTEÅ</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47489-2025</t>
        </is>
      </c>
      <c r="B1450" s="1" t="n">
        <v>45930.69912037037</v>
      </c>
      <c r="C1450" s="1" t="n">
        <v>46161</v>
      </c>
      <c r="D1450" t="inlineStr">
        <is>
          <t>VÄSTERNORRLANDS LÄN</t>
        </is>
      </c>
      <c r="E1450" t="inlineStr">
        <is>
          <t>SOLLEFTEÅ</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47490-2025</t>
        </is>
      </c>
      <c r="B1451" s="1" t="n">
        <v>45930.69918981481</v>
      </c>
      <c r="C1451" s="1" t="n">
        <v>46161</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43845-2024</t>
        </is>
      </c>
      <c r="B1452" s="1" t="n">
        <v>45572.34483796296</v>
      </c>
      <c r="C1452" s="1" t="n">
        <v>46161</v>
      </c>
      <c r="D1452" t="inlineStr">
        <is>
          <t>VÄSTERNORRLANDS LÄN</t>
        </is>
      </c>
      <c r="E1452" t="inlineStr">
        <is>
          <t>SOLLEFTEÅ</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20599-2023</t>
        </is>
      </c>
      <c r="B1453" s="1" t="n">
        <v>45057.94172453704</v>
      </c>
      <c r="C1453" s="1" t="n">
        <v>46161</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32112-2025</t>
        </is>
      </c>
      <c r="B1454" s="1" t="n">
        <v>45835.48392361111</v>
      </c>
      <c r="C1454" s="1" t="n">
        <v>46161</v>
      </c>
      <c r="D1454" t="inlineStr">
        <is>
          <t>VÄSTERNORRLANDS LÄN</t>
        </is>
      </c>
      <c r="E1454" t="inlineStr">
        <is>
          <t>SOLLEFTEÅ</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16670-2022</t>
        </is>
      </c>
      <c r="B1455" s="1" t="n">
        <v>44672.93802083333</v>
      </c>
      <c r="C1455" s="1" t="n">
        <v>46161</v>
      </c>
      <c r="D1455" t="inlineStr">
        <is>
          <t>VÄSTERNORRLANDS LÄN</t>
        </is>
      </c>
      <c r="E1455" t="inlineStr">
        <is>
          <t>SOLLEFTEÅ</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47675-2025</t>
        </is>
      </c>
      <c r="B1456" s="1" t="n">
        <v>45931.5742824074</v>
      </c>
      <c r="C1456" s="1" t="n">
        <v>46161</v>
      </c>
      <c r="D1456" t="inlineStr">
        <is>
          <t>VÄSTERNORRLANDS LÄN</t>
        </is>
      </c>
      <c r="E1456" t="inlineStr">
        <is>
          <t>SOLLEFTEÅ</t>
        </is>
      </c>
      <c r="F1456" t="inlineStr">
        <is>
          <t>SCA</t>
        </is>
      </c>
      <c r="G1456" t="n">
        <v>27.8</v>
      </c>
      <c r="H1456" t="n">
        <v>0</v>
      </c>
      <c r="I1456" t="n">
        <v>0</v>
      </c>
      <c r="J1456" t="n">
        <v>0</v>
      </c>
      <c r="K1456" t="n">
        <v>0</v>
      </c>
      <c r="L1456" t="n">
        <v>0</v>
      </c>
      <c r="M1456" t="n">
        <v>0</v>
      </c>
      <c r="N1456" t="n">
        <v>0</v>
      </c>
      <c r="O1456" t="n">
        <v>0</v>
      </c>
      <c r="P1456" t="n">
        <v>0</v>
      </c>
      <c r="Q1456" t="n">
        <v>0</v>
      </c>
      <c r="R1456" s="2" t="inlineStr"/>
    </row>
    <row r="1457" ht="15" customHeight="1">
      <c r="A1457" t="inlineStr">
        <is>
          <t>A 47292-2025</t>
        </is>
      </c>
      <c r="B1457" s="1" t="n">
        <v>45930.4903125</v>
      </c>
      <c r="C1457" s="1" t="n">
        <v>46161</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47293-2025</t>
        </is>
      </c>
      <c r="B1458" s="1" t="n">
        <v>45930.49034722222</v>
      </c>
      <c r="C1458" s="1" t="n">
        <v>46161</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47234-2025</t>
        </is>
      </c>
      <c r="B1459" s="1" t="n">
        <v>45930.40663194445</v>
      </c>
      <c r="C1459" s="1" t="n">
        <v>46161</v>
      </c>
      <c r="D1459" t="inlineStr">
        <is>
          <t>VÄSTERNORRLANDS LÄN</t>
        </is>
      </c>
      <c r="E1459" t="inlineStr">
        <is>
          <t>SOLLEFTEÅ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47647-2025</t>
        </is>
      </c>
      <c r="B1460" s="1" t="n">
        <v>45931.51834490741</v>
      </c>
      <c r="C1460" s="1" t="n">
        <v>46161</v>
      </c>
      <c r="D1460" t="inlineStr">
        <is>
          <t>VÄSTERNORRLANDS LÄN</t>
        </is>
      </c>
      <c r="E1460" t="inlineStr">
        <is>
          <t>SOLLEFTEÅ</t>
        </is>
      </c>
      <c r="F1460" t="inlineStr">
        <is>
          <t>Holmen skog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47641-2025</t>
        </is>
      </c>
      <c r="B1461" s="1" t="n">
        <v>45931.51086805556</v>
      </c>
      <c r="C1461" s="1" t="n">
        <v>46161</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47642-2025</t>
        </is>
      </c>
      <c r="B1462" s="1" t="n">
        <v>45931.51105324074</v>
      </c>
      <c r="C1462" s="1" t="n">
        <v>46161</v>
      </c>
      <c r="D1462" t="inlineStr">
        <is>
          <t>VÄSTERNORRLANDS LÄN</t>
        </is>
      </c>
      <c r="E1462" t="inlineStr">
        <is>
          <t>SOLLEFTEÅ</t>
        </is>
      </c>
      <c r="F1462" t="inlineStr">
        <is>
          <t>SCA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47448-2025</t>
        </is>
      </c>
      <c r="B1463" s="1" t="n">
        <v>45930.64592592593</v>
      </c>
      <c r="C1463" s="1" t="n">
        <v>46161</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53325-2024</t>
        </is>
      </c>
      <c r="B1464" s="1" t="n">
        <v>45614.41177083334</v>
      </c>
      <c r="C1464" s="1" t="n">
        <v>46161</v>
      </c>
      <c r="D1464" t="inlineStr">
        <is>
          <t>VÄSTERNORRLANDS LÄN</t>
        </is>
      </c>
      <c r="E1464" t="inlineStr">
        <is>
          <t>SOLLEFTEÅ</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35420-2024</t>
        </is>
      </c>
      <c r="B1465" s="1" t="n">
        <v>45531</v>
      </c>
      <c r="C1465" s="1" t="n">
        <v>46161</v>
      </c>
      <c r="D1465" t="inlineStr">
        <is>
          <t>VÄSTERNORRLANDS LÄN</t>
        </is>
      </c>
      <c r="E1465" t="inlineStr">
        <is>
          <t>SOLLEFTEÅ</t>
        </is>
      </c>
      <c r="F1465" t="inlineStr">
        <is>
          <t>SCA</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35147-2023</t>
        </is>
      </c>
      <c r="B1466" s="1" t="n">
        <v>45142</v>
      </c>
      <c r="C1466" s="1" t="n">
        <v>46161</v>
      </c>
      <c r="D1466" t="inlineStr">
        <is>
          <t>VÄSTERNORRLANDS LÄN</t>
        </is>
      </c>
      <c r="E1466" t="inlineStr">
        <is>
          <t>SOLLEFTEÅ</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47771-2025</t>
        </is>
      </c>
      <c r="B1467" s="1" t="n">
        <v>45931.719375</v>
      </c>
      <c r="C1467" s="1" t="n">
        <v>46161</v>
      </c>
      <c r="D1467" t="inlineStr">
        <is>
          <t>VÄSTERNORRLANDS LÄN</t>
        </is>
      </c>
      <c r="E1467" t="inlineStr">
        <is>
          <t>SOLLEFTEÅ</t>
        </is>
      </c>
      <c r="F1467" t="inlineStr">
        <is>
          <t>SCA</t>
        </is>
      </c>
      <c r="G1467" t="n">
        <v>23.8</v>
      </c>
      <c r="H1467" t="n">
        <v>0</v>
      </c>
      <c r="I1467" t="n">
        <v>0</v>
      </c>
      <c r="J1467" t="n">
        <v>0</v>
      </c>
      <c r="K1467" t="n">
        <v>0</v>
      </c>
      <c r="L1467" t="n">
        <v>0</v>
      </c>
      <c r="M1467" t="n">
        <v>0</v>
      </c>
      <c r="N1467" t="n">
        <v>0</v>
      </c>
      <c r="O1467" t="n">
        <v>0</v>
      </c>
      <c r="P1467" t="n">
        <v>0</v>
      </c>
      <c r="Q1467" t="n">
        <v>0</v>
      </c>
      <c r="R1467" s="2" t="inlineStr"/>
    </row>
    <row r="1468" ht="15" customHeight="1">
      <c r="A1468" t="inlineStr">
        <is>
          <t>A 31801-2025</t>
        </is>
      </c>
      <c r="B1468" s="1" t="n">
        <v>45834.55290509259</v>
      </c>
      <c r="C1468" s="1" t="n">
        <v>46161</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25795-2023</t>
        </is>
      </c>
      <c r="B1469" s="1" t="n">
        <v>45085</v>
      </c>
      <c r="C1469" s="1" t="n">
        <v>46161</v>
      </c>
      <c r="D1469" t="inlineStr">
        <is>
          <t>VÄSTERNORRLANDS LÄN</t>
        </is>
      </c>
      <c r="E1469" t="inlineStr">
        <is>
          <t>SOLLEFTEÅ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31665-2025</t>
        </is>
      </c>
      <c r="B1470" s="1" t="n">
        <v>45834.36497685185</v>
      </c>
      <c r="C1470" s="1" t="n">
        <v>46161</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4623-2023</t>
        </is>
      </c>
      <c r="B1471" s="1" t="n">
        <v>44956.94013888889</v>
      </c>
      <c r="C1471" s="1" t="n">
        <v>46161</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47218-2025</t>
        </is>
      </c>
      <c r="B1472" s="1" t="n">
        <v>45930.38640046296</v>
      </c>
      <c r="C1472" s="1" t="n">
        <v>46161</v>
      </c>
      <c r="D1472" t="inlineStr">
        <is>
          <t>VÄSTERNORRLANDS LÄN</t>
        </is>
      </c>
      <c r="E1472" t="inlineStr">
        <is>
          <t>SOLLEFTEÅ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47219-2025</t>
        </is>
      </c>
      <c r="B1473" s="1" t="n">
        <v>45930.38649305556</v>
      </c>
      <c r="C1473" s="1" t="n">
        <v>46161</v>
      </c>
      <c r="D1473" t="inlineStr">
        <is>
          <t>VÄSTERNORRLANDS LÄN</t>
        </is>
      </c>
      <c r="E1473" t="inlineStr">
        <is>
          <t>SOLLEFTEÅ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47702-2025</t>
        </is>
      </c>
      <c r="B1474" s="1" t="n">
        <v>45931.60685185185</v>
      </c>
      <c r="C1474" s="1" t="n">
        <v>46161</v>
      </c>
      <c r="D1474" t="inlineStr">
        <is>
          <t>VÄSTERNORRLANDS LÄN</t>
        </is>
      </c>
      <c r="E1474" t="inlineStr">
        <is>
          <t>SOLLEFTEÅ</t>
        </is>
      </c>
      <c r="F1474" t="inlineStr">
        <is>
          <t>Holmen skog AB</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32749-2025</t>
        </is>
      </c>
      <c r="B1475" s="1" t="n">
        <v>45839.42834490741</v>
      </c>
      <c r="C1475" s="1" t="n">
        <v>46161</v>
      </c>
      <c r="D1475" t="inlineStr">
        <is>
          <t>VÄSTERNORRLANDS LÄN</t>
        </is>
      </c>
      <c r="E1475" t="inlineStr">
        <is>
          <t>SOLLEFTEÅ</t>
        </is>
      </c>
      <c r="F1475" t="inlineStr">
        <is>
          <t>SCA</t>
        </is>
      </c>
      <c r="G1475" t="n">
        <v>15.3</v>
      </c>
      <c r="H1475" t="n">
        <v>0</v>
      </c>
      <c r="I1475" t="n">
        <v>0</v>
      </c>
      <c r="J1475" t="n">
        <v>0</v>
      </c>
      <c r="K1475" t="n">
        <v>0</v>
      </c>
      <c r="L1475" t="n">
        <v>0</v>
      </c>
      <c r="M1475" t="n">
        <v>0</v>
      </c>
      <c r="N1475" t="n">
        <v>0</v>
      </c>
      <c r="O1475" t="n">
        <v>0</v>
      </c>
      <c r="P1475" t="n">
        <v>0</v>
      </c>
      <c r="Q1475" t="n">
        <v>0</v>
      </c>
      <c r="R1475" s="2" t="inlineStr"/>
    </row>
    <row r="1476" ht="15" customHeight="1">
      <c r="A1476" t="inlineStr">
        <is>
          <t>A 17682-2025</t>
        </is>
      </c>
      <c r="B1476" s="1" t="n">
        <v>45758</v>
      </c>
      <c r="C1476" s="1" t="n">
        <v>46161</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47636-2025</t>
        </is>
      </c>
      <c r="B1477" s="1" t="n">
        <v>45931.49577546296</v>
      </c>
      <c r="C1477" s="1" t="n">
        <v>46161</v>
      </c>
      <c r="D1477" t="inlineStr">
        <is>
          <t>VÄSTERNORRLANDS LÄN</t>
        </is>
      </c>
      <c r="E1477" t="inlineStr">
        <is>
          <t>SOLLEFTEÅ</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53833-2025</t>
        </is>
      </c>
      <c r="B1478" s="1" t="n">
        <v>45961.34518518519</v>
      </c>
      <c r="C1478" s="1" t="n">
        <v>46161</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3080-2025</t>
        </is>
      </c>
      <c r="B1479" s="1" t="n">
        <v>45678</v>
      </c>
      <c r="C1479" s="1" t="n">
        <v>46161</v>
      </c>
      <c r="D1479" t="inlineStr">
        <is>
          <t>VÄSTERNORRLANDS LÄN</t>
        </is>
      </c>
      <c r="E1479" t="inlineStr">
        <is>
          <t>SOLLEFTEÅ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32745-2025</t>
        </is>
      </c>
      <c r="B1480" s="1" t="n">
        <v>45839.42753472222</v>
      </c>
      <c r="C1480" s="1" t="n">
        <v>46161</v>
      </c>
      <c r="D1480" t="inlineStr">
        <is>
          <t>VÄSTERNORRLANDS LÄN</t>
        </is>
      </c>
      <c r="E1480" t="inlineStr">
        <is>
          <t>SOLLEFTEÅ</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47536-2025</t>
        </is>
      </c>
      <c r="B1481" s="1" t="n">
        <v>45931.34695601852</v>
      </c>
      <c r="C1481" s="1" t="n">
        <v>46161</v>
      </c>
      <c r="D1481" t="inlineStr">
        <is>
          <t>VÄSTERNORRLANDS LÄN</t>
        </is>
      </c>
      <c r="E1481" t="inlineStr">
        <is>
          <t>SOLLEFTEÅ</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56256-2023</t>
        </is>
      </c>
      <c r="B1482" s="1" t="n">
        <v>45240</v>
      </c>
      <c r="C1482" s="1" t="n">
        <v>46161</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53896-2025</t>
        </is>
      </c>
      <c r="B1483" s="1" t="n">
        <v>45961.42748842593</v>
      </c>
      <c r="C1483" s="1" t="n">
        <v>46161</v>
      </c>
      <c r="D1483" t="inlineStr">
        <is>
          <t>VÄSTERNORRLANDS LÄN</t>
        </is>
      </c>
      <c r="E1483" t="inlineStr">
        <is>
          <t>SOLLEFTEÅ</t>
        </is>
      </c>
      <c r="F1483" t="inlineStr">
        <is>
          <t>SCA</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32346-2025</t>
        </is>
      </c>
      <c r="B1484" s="1" t="n">
        <v>45837.44827546296</v>
      </c>
      <c r="C1484" s="1" t="n">
        <v>46161</v>
      </c>
      <c r="D1484" t="inlineStr">
        <is>
          <t>VÄSTERNORRLANDS LÄN</t>
        </is>
      </c>
      <c r="E1484" t="inlineStr">
        <is>
          <t>SOLLEFTEÅ</t>
        </is>
      </c>
      <c r="F1484" t="inlineStr">
        <is>
          <t>SCA</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12355-2025</t>
        </is>
      </c>
      <c r="B1485" s="1" t="n">
        <v>45730.36490740741</v>
      </c>
      <c r="C1485" s="1" t="n">
        <v>46161</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32338-2025</t>
        </is>
      </c>
      <c r="B1486" s="1" t="n">
        <v>45836.67751157407</v>
      </c>
      <c r="C1486" s="1" t="n">
        <v>46161</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49791-2025</t>
        </is>
      </c>
      <c r="B1487" s="1" t="n">
        <v>45940</v>
      </c>
      <c r="C1487" s="1" t="n">
        <v>46161</v>
      </c>
      <c r="D1487" t="inlineStr">
        <is>
          <t>VÄSTERNORRLANDS LÄN</t>
        </is>
      </c>
      <c r="E1487" t="inlineStr">
        <is>
          <t>SOLLEFTEÅ</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44407-2023</t>
        </is>
      </c>
      <c r="B1488" s="1" t="n">
        <v>45188.9465625</v>
      </c>
      <c r="C1488" s="1" t="n">
        <v>46161</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44408-2023</t>
        </is>
      </c>
      <c r="B1489" s="1" t="n">
        <v>45188.94663194445</v>
      </c>
      <c r="C1489" s="1" t="n">
        <v>46161</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53867-2025</t>
        </is>
      </c>
      <c r="B1490" s="1" t="n">
        <v>45961.38581018519</v>
      </c>
      <c r="C1490" s="1" t="n">
        <v>46161</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36139-2024</t>
        </is>
      </c>
      <c r="B1491" s="1" t="n">
        <v>45534.35474537037</v>
      </c>
      <c r="C1491" s="1" t="n">
        <v>46161</v>
      </c>
      <c r="D1491" t="inlineStr">
        <is>
          <t>VÄSTERNORRLANDS LÄN</t>
        </is>
      </c>
      <c r="E1491" t="inlineStr">
        <is>
          <t>SOLLEFTEÅ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32537-2025</t>
        </is>
      </c>
      <c r="B1492" s="1" t="n">
        <v>45838.49689814815</v>
      </c>
      <c r="C1492" s="1" t="n">
        <v>46161</v>
      </c>
      <c r="D1492" t="inlineStr">
        <is>
          <t>VÄSTERNORRLANDS LÄN</t>
        </is>
      </c>
      <c r="E1492" t="inlineStr">
        <is>
          <t>SOLLEFTEÅ</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54193-2025</t>
        </is>
      </c>
      <c r="B1493" s="1" t="n">
        <v>45964.57373842593</v>
      </c>
      <c r="C1493" s="1" t="n">
        <v>46161</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54194-2025</t>
        </is>
      </c>
      <c r="B1494" s="1" t="n">
        <v>45964.57395833333</v>
      </c>
      <c r="C1494" s="1" t="n">
        <v>46161</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23282-2022</t>
        </is>
      </c>
      <c r="B1495" s="1" t="n">
        <v>44720</v>
      </c>
      <c r="C1495" s="1" t="n">
        <v>46161</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33502-2025</t>
        </is>
      </c>
      <c r="B1496" s="1" t="n">
        <v>45841.51101851852</v>
      </c>
      <c r="C1496" s="1" t="n">
        <v>46161</v>
      </c>
      <c r="D1496" t="inlineStr">
        <is>
          <t>VÄSTERNORRLANDS LÄN</t>
        </is>
      </c>
      <c r="E1496" t="inlineStr">
        <is>
          <t>SOLLEFTEÅ</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54271-2025</t>
        </is>
      </c>
      <c r="B1497" s="1" t="n">
        <v>45964.67839120371</v>
      </c>
      <c r="C1497" s="1" t="n">
        <v>46161</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6066-2024</t>
        </is>
      </c>
      <c r="B1498" s="1" t="n">
        <v>45336.88386574074</v>
      </c>
      <c r="C1498" s="1" t="n">
        <v>46161</v>
      </c>
      <c r="D1498" t="inlineStr">
        <is>
          <t>VÄSTERNORRLANDS LÄN</t>
        </is>
      </c>
      <c r="E1498" t="inlineStr">
        <is>
          <t>SOLLEFTEÅ</t>
        </is>
      </c>
      <c r="F1498" t="inlineStr">
        <is>
          <t>Övriga Aktiebolag</t>
        </is>
      </c>
      <c r="G1498" t="n">
        <v>14.8</v>
      </c>
      <c r="H1498" t="n">
        <v>0</v>
      </c>
      <c r="I1498" t="n">
        <v>0</v>
      </c>
      <c r="J1498" t="n">
        <v>0</v>
      </c>
      <c r="K1498" t="n">
        <v>0</v>
      </c>
      <c r="L1498" t="n">
        <v>0</v>
      </c>
      <c r="M1498" t="n">
        <v>0</v>
      </c>
      <c r="N1498" t="n">
        <v>0</v>
      </c>
      <c r="O1498" t="n">
        <v>0</v>
      </c>
      <c r="P1498" t="n">
        <v>0</v>
      </c>
      <c r="Q1498" t="n">
        <v>0</v>
      </c>
      <c r="R1498" s="2" t="inlineStr"/>
    </row>
    <row r="1499" ht="15" customHeight="1">
      <c r="A1499" t="inlineStr">
        <is>
          <t>A 54471-2025</t>
        </is>
      </c>
      <c r="B1499" s="1" t="n">
        <v>45965.57357638889</v>
      </c>
      <c r="C1499" s="1" t="n">
        <v>46161</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33430-2025</t>
        </is>
      </c>
      <c r="B1500" s="1" t="n">
        <v>45841.44829861111</v>
      </c>
      <c r="C1500" s="1" t="n">
        <v>46161</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33436-2025</t>
        </is>
      </c>
      <c r="B1501" s="1" t="n">
        <v>45841.44898148148</v>
      </c>
      <c r="C1501" s="1" t="n">
        <v>46161</v>
      </c>
      <c r="D1501" t="inlineStr">
        <is>
          <t>VÄSTERNORRLANDS LÄN</t>
        </is>
      </c>
      <c r="E1501" t="inlineStr">
        <is>
          <t>SOLLEFTEÅ</t>
        </is>
      </c>
      <c r="F1501" t="inlineStr">
        <is>
          <t>SCA</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33437-2025</t>
        </is>
      </c>
      <c r="B1502" s="1" t="n">
        <v>45841.4502199074</v>
      </c>
      <c r="C1502" s="1" t="n">
        <v>46161</v>
      </c>
      <c r="D1502" t="inlineStr">
        <is>
          <t>VÄSTERNORRLANDS LÄN</t>
        </is>
      </c>
      <c r="E1502" t="inlineStr">
        <is>
          <t>SOLLEFTEÅ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54397-2025</t>
        </is>
      </c>
      <c r="B1503" s="1" t="n">
        <v>45965.44869212963</v>
      </c>
      <c r="C1503" s="1" t="n">
        <v>46161</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33013-2025</t>
        </is>
      </c>
      <c r="B1504" s="1" t="n">
        <v>45840.36518518518</v>
      </c>
      <c r="C1504" s="1" t="n">
        <v>46161</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53466-2025</t>
        </is>
      </c>
      <c r="B1505" s="1" t="n">
        <v>45959</v>
      </c>
      <c r="C1505" s="1" t="n">
        <v>46161</v>
      </c>
      <c r="D1505" t="inlineStr">
        <is>
          <t>VÄSTERNORRLANDS LÄN</t>
        </is>
      </c>
      <c r="E1505" t="inlineStr">
        <is>
          <t>SOLLEFTEÅ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54165-2025</t>
        </is>
      </c>
      <c r="B1506" s="1" t="n">
        <v>45964</v>
      </c>
      <c r="C1506" s="1" t="n">
        <v>46161</v>
      </c>
      <c r="D1506" t="inlineStr">
        <is>
          <t>VÄSTERNORRLANDS LÄN</t>
        </is>
      </c>
      <c r="E1506" t="inlineStr">
        <is>
          <t>SOLLEFTEÅ</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46765-2024</t>
        </is>
      </c>
      <c r="B1507" s="1" t="n">
        <v>45583.49491898148</v>
      </c>
      <c r="C1507" s="1" t="n">
        <v>46161</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33607-2025</t>
        </is>
      </c>
      <c r="B1508" s="1" t="n">
        <v>45841.61521990741</v>
      </c>
      <c r="C1508" s="1" t="n">
        <v>46161</v>
      </c>
      <c r="D1508" t="inlineStr">
        <is>
          <t>VÄSTERNORRLANDS LÄN</t>
        </is>
      </c>
      <c r="E1508" t="inlineStr">
        <is>
          <t>SOLLEFTEÅ</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33673-2025</t>
        </is>
      </c>
      <c r="B1509" s="1" t="n">
        <v>45841.67761574074</v>
      </c>
      <c r="C1509" s="1" t="n">
        <v>46161</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54486-2025</t>
        </is>
      </c>
      <c r="B1510" s="1" t="n">
        <v>45965.59438657408</v>
      </c>
      <c r="C1510" s="1" t="n">
        <v>46161</v>
      </c>
      <c r="D1510" t="inlineStr">
        <is>
          <t>VÄSTERNORRLANDS LÄN</t>
        </is>
      </c>
      <c r="E1510" t="inlineStr">
        <is>
          <t>SOLLEFTEÅ</t>
        </is>
      </c>
      <c r="F1510" t="inlineStr">
        <is>
          <t>SCA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54487-2025</t>
        </is>
      </c>
      <c r="B1511" s="1" t="n">
        <v>45965.59460648148</v>
      </c>
      <c r="C1511" s="1" t="n">
        <v>46161</v>
      </c>
      <c r="D1511" t="inlineStr">
        <is>
          <t>VÄSTERNORRLANDS LÄN</t>
        </is>
      </c>
      <c r="E1511" t="inlineStr">
        <is>
          <t>SOLLEFTEÅ</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54256-2025</t>
        </is>
      </c>
      <c r="B1512" s="1" t="n">
        <v>45964.65710648148</v>
      </c>
      <c r="C1512" s="1" t="n">
        <v>46161</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33012-2025</t>
        </is>
      </c>
      <c r="B1513" s="1" t="n">
        <v>45840.36498842593</v>
      </c>
      <c r="C1513" s="1" t="n">
        <v>46161</v>
      </c>
      <c r="D1513" t="inlineStr">
        <is>
          <t>VÄSTERNORRLANDS LÄN</t>
        </is>
      </c>
      <c r="E1513" t="inlineStr">
        <is>
          <t>SOLLEFTEÅ</t>
        </is>
      </c>
      <c r="F1513" t="inlineStr">
        <is>
          <t>SCA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21349-2023</t>
        </is>
      </c>
      <c r="B1514" s="1" t="n">
        <v>45062.9390625</v>
      </c>
      <c r="C1514" s="1" t="n">
        <v>46161</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33675-2025</t>
        </is>
      </c>
      <c r="B1515" s="1" t="n">
        <v>45841.67796296296</v>
      </c>
      <c r="C1515" s="1" t="n">
        <v>46161</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25259-2023</t>
        </is>
      </c>
      <c r="B1516" s="1" t="n">
        <v>45079</v>
      </c>
      <c r="C1516" s="1" t="n">
        <v>46161</v>
      </c>
      <c r="D1516" t="inlineStr">
        <is>
          <t>VÄSTERNORRLANDS LÄN</t>
        </is>
      </c>
      <c r="E1516" t="inlineStr">
        <is>
          <t>SOLLEFTEÅ</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33442-2025</t>
        </is>
      </c>
      <c r="B1517" s="1" t="n">
        <v>45841.46092592592</v>
      </c>
      <c r="C1517" s="1" t="n">
        <v>46161</v>
      </c>
      <c r="D1517" t="inlineStr">
        <is>
          <t>VÄSTERNORRLANDS LÄN</t>
        </is>
      </c>
      <c r="E1517" t="inlineStr">
        <is>
          <t>SOLLEFTEÅ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32071-2024</t>
        </is>
      </c>
      <c r="B1518" s="1" t="n">
        <v>45510.97246527778</v>
      </c>
      <c r="C1518" s="1" t="n">
        <v>46161</v>
      </c>
      <c r="D1518" t="inlineStr">
        <is>
          <t>VÄSTERNORRLANDS LÄN</t>
        </is>
      </c>
      <c r="E1518" t="inlineStr">
        <is>
          <t>SOLLEFTEÅ</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58694-2024</t>
        </is>
      </c>
      <c r="B1519" s="1" t="n">
        <v>45635.63575231482</v>
      </c>
      <c r="C1519" s="1" t="n">
        <v>46161</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53382-2025</t>
        </is>
      </c>
      <c r="B1520" s="1" t="n">
        <v>45959</v>
      </c>
      <c r="C1520" s="1" t="n">
        <v>46161</v>
      </c>
      <c r="D1520" t="inlineStr">
        <is>
          <t>VÄSTERNORRLANDS LÄN</t>
        </is>
      </c>
      <c r="E1520" t="inlineStr">
        <is>
          <t>SOLLEFTEÅ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54255-2025</t>
        </is>
      </c>
      <c r="B1521" s="1" t="n">
        <v>45964.65692129629</v>
      </c>
      <c r="C1521" s="1" t="n">
        <v>46161</v>
      </c>
      <c r="D1521" t="inlineStr">
        <is>
          <t>VÄSTERNORRLANDS LÄN</t>
        </is>
      </c>
      <c r="E1521" t="inlineStr">
        <is>
          <t>SOLLEFTEÅ</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54272-2025</t>
        </is>
      </c>
      <c r="B1522" s="1" t="n">
        <v>45964.67846064815</v>
      </c>
      <c r="C1522" s="1" t="n">
        <v>46161</v>
      </c>
      <c r="D1522" t="inlineStr">
        <is>
          <t>VÄSTERNORRLANDS LÄN</t>
        </is>
      </c>
      <c r="E1522" t="inlineStr">
        <is>
          <t>SOLLEFTEÅ</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33452-2025</t>
        </is>
      </c>
      <c r="B1523" s="1" t="n">
        <v>45841.46940972222</v>
      </c>
      <c r="C1523" s="1" t="n">
        <v>46161</v>
      </c>
      <c r="D1523" t="inlineStr">
        <is>
          <t>VÄSTERNORRLANDS LÄN</t>
        </is>
      </c>
      <c r="E1523" t="inlineStr">
        <is>
          <t>SOLLEFTEÅ</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33825-2025</t>
        </is>
      </c>
      <c r="B1524" s="1" t="n">
        <v>45842.46930555555</v>
      </c>
      <c r="C1524" s="1" t="n">
        <v>46161</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33855-2025</t>
        </is>
      </c>
      <c r="B1525" s="1" t="n">
        <v>45842.51125</v>
      </c>
      <c r="C1525" s="1" t="n">
        <v>46161</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13257-2025</t>
        </is>
      </c>
      <c r="B1526" s="1" t="n">
        <v>45735.51075231482</v>
      </c>
      <c r="C1526" s="1" t="n">
        <v>46161</v>
      </c>
      <c r="D1526" t="inlineStr">
        <is>
          <t>VÄSTERNORRLANDS LÄN</t>
        </is>
      </c>
      <c r="E1526" t="inlineStr">
        <is>
          <t>SOLLEFTEÅ</t>
        </is>
      </c>
      <c r="F1526" t="inlineStr">
        <is>
          <t>SCA</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54472-2025</t>
        </is>
      </c>
      <c r="B1527" s="1" t="n">
        <v>45965.57381944444</v>
      </c>
      <c r="C1527" s="1" t="n">
        <v>46161</v>
      </c>
      <c r="D1527" t="inlineStr">
        <is>
          <t>VÄSTERNORRLANDS LÄN</t>
        </is>
      </c>
      <c r="E1527" t="inlineStr">
        <is>
          <t>SOLLEFTEÅ</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33936-2025</t>
        </is>
      </c>
      <c r="B1528" s="1" t="n">
        <v>45842.63630787037</v>
      </c>
      <c r="C1528" s="1" t="n">
        <v>46161</v>
      </c>
      <c r="D1528" t="inlineStr">
        <is>
          <t>VÄSTERNORRLANDS LÄN</t>
        </is>
      </c>
      <c r="E1528" t="inlineStr">
        <is>
          <t>SOLLEFTEÅ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38283-2021</t>
        </is>
      </c>
      <c r="B1529" s="1" t="n">
        <v>44405</v>
      </c>
      <c r="C1529" s="1" t="n">
        <v>46161</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32924-2024</t>
        </is>
      </c>
      <c r="B1530" s="1" t="n">
        <v>45516.95292824074</v>
      </c>
      <c r="C1530" s="1" t="n">
        <v>46161</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33917-2025</t>
        </is>
      </c>
      <c r="B1531" s="1" t="n">
        <v>45842.61491898148</v>
      </c>
      <c r="C1531" s="1" t="n">
        <v>46161</v>
      </c>
      <c r="D1531" t="inlineStr">
        <is>
          <t>VÄSTERNORRLANDS LÄN</t>
        </is>
      </c>
      <c r="E1531" t="inlineStr">
        <is>
          <t>SOLLEFTEÅ</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55053-2025</t>
        </is>
      </c>
      <c r="B1532" s="1" t="n">
        <v>45967.67755787037</v>
      </c>
      <c r="C1532" s="1" t="n">
        <v>46161</v>
      </c>
      <c r="D1532" t="inlineStr">
        <is>
          <t>VÄSTERNORRLANDS LÄN</t>
        </is>
      </c>
      <c r="E1532" t="inlineStr">
        <is>
          <t>SOLLEFTEÅ</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8656-2024</t>
        </is>
      </c>
      <c r="B1533" s="1" t="n">
        <v>45356</v>
      </c>
      <c r="C1533" s="1" t="n">
        <v>46161</v>
      </c>
      <c r="D1533" t="inlineStr">
        <is>
          <t>VÄSTERNORRLANDS LÄN</t>
        </is>
      </c>
      <c r="E1533" t="inlineStr">
        <is>
          <t>SOLLEFTEÅ</t>
        </is>
      </c>
      <c r="F1533" t="inlineStr">
        <is>
          <t>SCA</t>
        </is>
      </c>
      <c r="G1533" t="n">
        <v>18.4</v>
      </c>
      <c r="H1533" t="n">
        <v>0</v>
      </c>
      <c r="I1533" t="n">
        <v>0</v>
      </c>
      <c r="J1533" t="n">
        <v>0</v>
      </c>
      <c r="K1533" t="n">
        <v>0</v>
      </c>
      <c r="L1533" t="n">
        <v>0</v>
      </c>
      <c r="M1533" t="n">
        <v>0</v>
      </c>
      <c r="N1533" t="n">
        <v>0</v>
      </c>
      <c r="O1533" t="n">
        <v>0</v>
      </c>
      <c r="P1533" t="n">
        <v>0</v>
      </c>
      <c r="Q1533" t="n">
        <v>0</v>
      </c>
      <c r="R1533" s="2" t="inlineStr"/>
    </row>
    <row r="1534" ht="15" customHeight="1">
      <c r="A1534" t="inlineStr">
        <is>
          <t>A 33935-2025</t>
        </is>
      </c>
      <c r="B1534" s="1" t="n">
        <v>45842.63614583333</v>
      </c>
      <c r="C1534" s="1" t="n">
        <v>46161</v>
      </c>
      <c r="D1534" t="inlineStr">
        <is>
          <t>VÄSTERNORRLANDS LÄN</t>
        </is>
      </c>
      <c r="E1534" t="inlineStr">
        <is>
          <t>SOLLEFTEÅ</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34051-2025</t>
        </is>
      </c>
      <c r="B1535" s="1" t="n">
        <v>45845.40672453704</v>
      </c>
      <c r="C1535" s="1" t="n">
        <v>46161</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33852-2025</t>
        </is>
      </c>
      <c r="B1536" s="1" t="n">
        <v>45842.51079861111</v>
      </c>
      <c r="C1536" s="1" t="n">
        <v>46161</v>
      </c>
      <c r="D1536" t="inlineStr">
        <is>
          <t>VÄSTERNORRLANDS LÄN</t>
        </is>
      </c>
      <c r="E1536" t="inlineStr">
        <is>
          <t>SOLLEFTEÅ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33739-2024</t>
        </is>
      </c>
      <c r="B1537" s="1" t="n">
        <v>45520.55943287037</v>
      </c>
      <c r="C1537" s="1" t="n">
        <v>46161</v>
      </c>
      <c r="D1537" t="inlineStr">
        <is>
          <t>VÄSTERNORRLANDS LÄN</t>
        </is>
      </c>
      <c r="E1537" t="inlineStr">
        <is>
          <t>SOLLEFTEÅ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33957-2025</t>
        </is>
      </c>
      <c r="B1538" s="1" t="n">
        <v>45842.67762731481</v>
      </c>
      <c r="C1538" s="1" t="n">
        <v>46161</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25703-2024</t>
        </is>
      </c>
      <c r="B1539" s="1" t="n">
        <v>45463</v>
      </c>
      <c r="C1539" s="1" t="n">
        <v>46161</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25704-2024</t>
        </is>
      </c>
      <c r="B1540" s="1" t="n">
        <v>45463.94270833334</v>
      </c>
      <c r="C1540" s="1" t="n">
        <v>46161</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29459-2024</t>
        </is>
      </c>
      <c r="B1541" s="1" t="n">
        <v>45483.96939814815</v>
      </c>
      <c r="C1541" s="1" t="n">
        <v>46161</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34000-2025</t>
        </is>
      </c>
      <c r="B1542" s="1" t="n">
        <v>45844.37024305556</v>
      </c>
      <c r="C1542" s="1" t="n">
        <v>46161</v>
      </c>
      <c r="D1542" t="inlineStr">
        <is>
          <t>VÄSTERNORRLANDS LÄN</t>
        </is>
      </c>
      <c r="E1542" t="inlineStr">
        <is>
          <t>SOLLEFTEÅ</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33999-2025</t>
        </is>
      </c>
      <c r="B1543" s="1" t="n">
        <v>45844.36113425926</v>
      </c>
      <c r="C1543" s="1" t="n">
        <v>46161</v>
      </c>
      <c r="D1543" t="inlineStr">
        <is>
          <t>VÄSTERNORRLANDS LÄN</t>
        </is>
      </c>
      <c r="E1543" t="inlineStr">
        <is>
          <t>SOLLEFTEÅ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34459-2025</t>
        </is>
      </c>
      <c r="B1544" s="1" t="n">
        <v>45847.34442129629</v>
      </c>
      <c r="C1544" s="1" t="n">
        <v>46161</v>
      </c>
      <c r="D1544" t="inlineStr">
        <is>
          <t>VÄSTERNORRLANDS LÄN</t>
        </is>
      </c>
      <c r="E1544" t="inlineStr">
        <is>
          <t>SOLLEFTEÅ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34476-2025</t>
        </is>
      </c>
      <c r="B1545" s="1" t="n">
        <v>45847.36752314815</v>
      </c>
      <c r="C1545" s="1" t="n">
        <v>46161</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48235-2024</t>
        </is>
      </c>
      <c r="B1546" s="1" t="n">
        <v>45590</v>
      </c>
      <c r="C1546" s="1" t="n">
        <v>46161</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34462-2025</t>
        </is>
      </c>
      <c r="B1547" s="1" t="n">
        <v>45847.34498842592</v>
      </c>
      <c r="C1547" s="1" t="n">
        <v>46161</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34473-2025</t>
        </is>
      </c>
      <c r="B1548" s="1" t="n">
        <v>45847.36511574074</v>
      </c>
      <c r="C1548" s="1" t="n">
        <v>46161</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3103-2025</t>
        </is>
      </c>
      <c r="B1549" s="1" t="n">
        <v>45678.67739583334</v>
      </c>
      <c r="C1549" s="1" t="n">
        <v>46161</v>
      </c>
      <c r="D1549" t="inlineStr">
        <is>
          <t>VÄSTERNORRLANDS LÄN</t>
        </is>
      </c>
      <c r="E1549" t="inlineStr">
        <is>
          <t>SOLLEFTEÅ</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57078-2024</t>
        </is>
      </c>
      <c r="B1550" s="1" t="n">
        <v>45629.35518518519</v>
      </c>
      <c r="C1550" s="1" t="n">
        <v>46161</v>
      </c>
      <c r="D1550" t="inlineStr">
        <is>
          <t>VÄSTERNORRLANDS LÄN</t>
        </is>
      </c>
      <c r="E1550" t="inlineStr">
        <is>
          <t>SOLLEFTEÅ</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54934-2025</t>
        </is>
      </c>
      <c r="B1551" s="1" t="n">
        <v>45967.42795138889</v>
      </c>
      <c r="C1551" s="1" t="n">
        <v>46161</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54950-2025</t>
        </is>
      </c>
      <c r="B1552" s="1" t="n">
        <v>45967.44888888889</v>
      </c>
      <c r="C1552" s="1" t="n">
        <v>46161</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54936-2025</t>
        </is>
      </c>
      <c r="B1553" s="1" t="n">
        <v>45967.42828703704</v>
      </c>
      <c r="C1553" s="1" t="n">
        <v>46161</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53545-2024</t>
        </is>
      </c>
      <c r="B1554" s="1" t="n">
        <v>45614.6370949074</v>
      </c>
      <c r="C1554" s="1" t="n">
        <v>46161</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54951-2025</t>
        </is>
      </c>
      <c r="B1555" s="1" t="n">
        <v>45967.44902777778</v>
      </c>
      <c r="C1555" s="1" t="n">
        <v>46161</v>
      </c>
      <c r="D1555" t="inlineStr">
        <is>
          <t>VÄSTERNORRLANDS LÄN</t>
        </is>
      </c>
      <c r="E1555" t="inlineStr">
        <is>
          <t>SOLLEFTEÅ</t>
        </is>
      </c>
      <c r="F1555" t="inlineStr">
        <is>
          <t>Kyrkan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54956-2025</t>
        </is>
      </c>
      <c r="B1556" s="1" t="n">
        <v>45967.46923611111</v>
      </c>
      <c r="C1556" s="1" t="n">
        <v>46161</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6068-2024</t>
        </is>
      </c>
      <c r="B1557" s="1" t="n">
        <v>45336.89725694444</v>
      </c>
      <c r="C1557" s="1" t="n">
        <v>46161</v>
      </c>
      <c r="D1557" t="inlineStr">
        <is>
          <t>VÄSTERNORRLANDS LÄN</t>
        </is>
      </c>
      <c r="E1557" t="inlineStr">
        <is>
          <t>SOLLEFTEÅ</t>
        </is>
      </c>
      <c r="F1557" t="inlineStr">
        <is>
          <t>Övriga Aktiebolag</t>
        </is>
      </c>
      <c r="G1557" t="n">
        <v>12.6</v>
      </c>
      <c r="H1557" t="n">
        <v>0</v>
      </c>
      <c r="I1557" t="n">
        <v>0</v>
      </c>
      <c r="J1557" t="n">
        <v>0</v>
      </c>
      <c r="K1557" t="n">
        <v>0</v>
      </c>
      <c r="L1557" t="n">
        <v>0</v>
      </c>
      <c r="M1557" t="n">
        <v>0</v>
      </c>
      <c r="N1557" t="n">
        <v>0</v>
      </c>
      <c r="O1557" t="n">
        <v>0</v>
      </c>
      <c r="P1557" t="n">
        <v>0</v>
      </c>
      <c r="Q1557" t="n">
        <v>0</v>
      </c>
      <c r="R1557" s="2" t="inlineStr"/>
    </row>
    <row r="1558" ht="15" customHeight="1">
      <c r="A1558" t="inlineStr">
        <is>
          <t>A 34870-2025</t>
        </is>
      </c>
      <c r="B1558" s="1" t="n">
        <v>45849.44729166666</v>
      </c>
      <c r="C1558" s="1" t="n">
        <v>46161</v>
      </c>
      <c r="D1558" t="inlineStr">
        <is>
          <t>VÄSTERNORRLANDS LÄN</t>
        </is>
      </c>
      <c r="E1558" t="inlineStr">
        <is>
          <t>SOLLEFTEÅ</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54932-2025</t>
        </is>
      </c>
      <c r="B1559" s="1" t="n">
        <v>45967.42759259259</v>
      </c>
      <c r="C1559" s="1" t="n">
        <v>46161</v>
      </c>
      <c r="D1559" t="inlineStr">
        <is>
          <t>VÄSTERNORRLANDS LÄN</t>
        </is>
      </c>
      <c r="E1559" t="inlineStr">
        <is>
          <t>SOLLEFTEÅ</t>
        </is>
      </c>
      <c r="F1559" t="inlineStr">
        <is>
          <t>SCA</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54935-2025</t>
        </is>
      </c>
      <c r="B1560" s="1" t="n">
        <v>45967.428125</v>
      </c>
      <c r="C1560" s="1" t="n">
        <v>46161</v>
      </c>
      <c r="D1560" t="inlineStr">
        <is>
          <t>VÄSTERNORRLANDS LÄN</t>
        </is>
      </c>
      <c r="E1560" t="inlineStr">
        <is>
          <t>SOLLEFTEÅ</t>
        </is>
      </c>
      <c r="F1560" t="inlineStr">
        <is>
          <t>Kyrkan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54947-2025</t>
        </is>
      </c>
      <c r="B1561" s="1" t="n">
        <v>45967.4485300926</v>
      </c>
      <c r="C1561" s="1" t="n">
        <v>46161</v>
      </c>
      <c r="D1561" t="inlineStr">
        <is>
          <t>VÄSTERNORRLANDS LÄN</t>
        </is>
      </c>
      <c r="E1561" t="inlineStr">
        <is>
          <t>SOLLEFTEÅ</t>
        </is>
      </c>
      <c r="F1561" t="inlineStr">
        <is>
          <t>SCA</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27025-2024</t>
        </is>
      </c>
      <c r="B1562" s="1" t="n">
        <v>45471.42071759259</v>
      </c>
      <c r="C1562" s="1" t="n">
        <v>46161</v>
      </c>
      <c r="D1562" t="inlineStr">
        <is>
          <t>VÄSTERNORRLANDS LÄN</t>
        </is>
      </c>
      <c r="E1562" t="inlineStr">
        <is>
          <t>SOLLEFTEÅ</t>
        </is>
      </c>
      <c r="F1562" t="inlineStr">
        <is>
          <t>Holmen skog AB</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54619-2025</t>
        </is>
      </c>
      <c r="B1563" s="1" t="n">
        <v>45966.34471064815</v>
      </c>
      <c r="C1563" s="1" t="n">
        <v>46161</v>
      </c>
      <c r="D1563" t="inlineStr">
        <is>
          <t>VÄSTERNORRLANDS LÄN</t>
        </is>
      </c>
      <c r="E1563" t="inlineStr">
        <is>
          <t>SOLLEFTEÅ</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40575-2024</t>
        </is>
      </c>
      <c r="B1564" s="1" t="n">
        <v>45555</v>
      </c>
      <c r="C1564" s="1" t="n">
        <v>46161</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54946-2025</t>
        </is>
      </c>
      <c r="B1565" s="1" t="n">
        <v>45967.44832175926</v>
      </c>
      <c r="C1565" s="1" t="n">
        <v>46161</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10950-2025</t>
        </is>
      </c>
      <c r="B1566" s="1" t="n">
        <v>45723.34474537037</v>
      </c>
      <c r="C1566" s="1" t="n">
        <v>46161</v>
      </c>
      <c r="D1566" t="inlineStr">
        <is>
          <t>VÄSTERNORRLANDS LÄN</t>
        </is>
      </c>
      <c r="E1566" t="inlineStr">
        <is>
          <t>SOLLEFTEÅ</t>
        </is>
      </c>
      <c r="F1566" t="inlineStr">
        <is>
          <t>SCA</t>
        </is>
      </c>
      <c r="G1566" t="n">
        <v>32.3</v>
      </c>
      <c r="H1566" t="n">
        <v>0</v>
      </c>
      <c r="I1566" t="n">
        <v>0</v>
      </c>
      <c r="J1566" t="n">
        <v>0</v>
      </c>
      <c r="K1566" t="n">
        <v>0</v>
      </c>
      <c r="L1566" t="n">
        <v>0</v>
      </c>
      <c r="M1566" t="n">
        <v>0</v>
      </c>
      <c r="N1566" t="n">
        <v>0</v>
      </c>
      <c r="O1566" t="n">
        <v>0</v>
      </c>
      <c r="P1566" t="n">
        <v>0</v>
      </c>
      <c r="Q1566" t="n">
        <v>0</v>
      </c>
      <c r="R1566" s="2" t="inlineStr"/>
    </row>
    <row r="1567" ht="15" customHeight="1">
      <c r="A1567" t="inlineStr">
        <is>
          <t>A 55013-2025</t>
        </is>
      </c>
      <c r="B1567" s="1" t="n">
        <v>45967.61578703704</v>
      </c>
      <c r="C1567" s="1" t="n">
        <v>46161</v>
      </c>
      <c r="D1567" t="inlineStr">
        <is>
          <t>VÄSTERNORRLANDS LÄN</t>
        </is>
      </c>
      <c r="E1567" t="inlineStr">
        <is>
          <t>SOLLEFTEÅ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55014-2025</t>
        </is>
      </c>
      <c r="B1568" s="1" t="n">
        <v>45967.61597222222</v>
      </c>
      <c r="C1568" s="1" t="n">
        <v>46161</v>
      </c>
      <c r="D1568" t="inlineStr">
        <is>
          <t>VÄSTERNORRLANDS LÄN</t>
        </is>
      </c>
      <c r="E1568" t="inlineStr">
        <is>
          <t>SOLLEFTEÅ</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25945-2025</t>
        </is>
      </c>
      <c r="B1569" s="1" t="n">
        <v>45804</v>
      </c>
      <c r="C1569" s="1" t="n">
        <v>46161</v>
      </c>
      <c r="D1569" t="inlineStr">
        <is>
          <t>VÄSTERNORRLANDS LÄN</t>
        </is>
      </c>
      <c r="E1569" t="inlineStr">
        <is>
          <t>SOLLEFTEÅ</t>
        </is>
      </c>
      <c r="F1569" t="inlineStr">
        <is>
          <t>SCA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35041-2025</t>
        </is>
      </c>
      <c r="B1570" s="1" t="n">
        <v>45852.3443287037</v>
      </c>
      <c r="C1570" s="1" t="n">
        <v>46161</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54816-2025</t>
        </is>
      </c>
      <c r="B1571" s="1" t="n">
        <v>45966.65668981482</v>
      </c>
      <c r="C1571" s="1" t="n">
        <v>46161</v>
      </c>
      <c r="D1571" t="inlineStr">
        <is>
          <t>VÄSTERNORRLANDS LÄN</t>
        </is>
      </c>
      <c r="E1571" t="inlineStr">
        <is>
          <t>SOLLEFTEÅ</t>
        </is>
      </c>
      <c r="F1571" t="inlineStr">
        <is>
          <t>SCA</t>
        </is>
      </c>
      <c r="G1571" t="n">
        <v>11.7</v>
      </c>
      <c r="H1571" t="n">
        <v>0</v>
      </c>
      <c r="I1571" t="n">
        <v>0</v>
      </c>
      <c r="J1571" t="n">
        <v>0</v>
      </c>
      <c r="K1571" t="n">
        <v>0</v>
      </c>
      <c r="L1571" t="n">
        <v>0</v>
      </c>
      <c r="M1571" t="n">
        <v>0</v>
      </c>
      <c r="N1571" t="n">
        <v>0</v>
      </c>
      <c r="O1571" t="n">
        <v>0</v>
      </c>
      <c r="P1571" t="n">
        <v>0</v>
      </c>
      <c r="Q1571" t="n">
        <v>0</v>
      </c>
      <c r="R1571" s="2" t="inlineStr"/>
    </row>
    <row r="1572" ht="15" customHeight="1">
      <c r="A1572" t="inlineStr">
        <is>
          <t>A 54903-2025</t>
        </is>
      </c>
      <c r="B1572" s="1" t="n">
        <v>45967.36623842592</v>
      </c>
      <c r="C1572" s="1" t="n">
        <v>46161</v>
      </c>
      <c r="D1572" t="inlineStr">
        <is>
          <t>VÄSTERNORRLANDS LÄN</t>
        </is>
      </c>
      <c r="E1572" t="inlineStr">
        <is>
          <t>SOLLEFTEÅ</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39446-2024</t>
        </is>
      </c>
      <c r="B1573" s="1" t="n">
        <v>45551</v>
      </c>
      <c r="C1573" s="1" t="n">
        <v>46161</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39469-2024</t>
        </is>
      </c>
      <c r="B1574" s="1" t="n">
        <v>45551</v>
      </c>
      <c r="C1574" s="1" t="n">
        <v>46161</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35086-2025</t>
        </is>
      </c>
      <c r="B1575" s="1" t="n">
        <v>45852.51719907407</v>
      </c>
      <c r="C1575" s="1" t="n">
        <v>46161</v>
      </c>
      <c r="D1575" t="inlineStr">
        <is>
          <t>VÄSTERNORRLANDS LÄN</t>
        </is>
      </c>
      <c r="E1575" t="inlineStr">
        <is>
          <t>SOLLEFTEÅ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12965-2025</t>
        </is>
      </c>
      <c r="B1576" s="1" t="n">
        <v>45734.42753472222</v>
      </c>
      <c r="C1576" s="1" t="n">
        <v>46161</v>
      </c>
      <c r="D1576" t="inlineStr">
        <is>
          <t>VÄSTERNORRLANDS LÄN</t>
        </is>
      </c>
      <c r="E1576" t="inlineStr">
        <is>
          <t>SOLLEFTEÅ</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54802-2025</t>
        </is>
      </c>
      <c r="B1577" s="1" t="n">
        <v>45966</v>
      </c>
      <c r="C1577" s="1" t="n">
        <v>46161</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55068-2025</t>
        </is>
      </c>
      <c r="B1578" s="1" t="n">
        <v>45967.7225462963</v>
      </c>
      <c r="C1578" s="1" t="n">
        <v>46161</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27314-2024</t>
        </is>
      </c>
      <c r="B1579" s="1" t="n">
        <v>45471.94633101852</v>
      </c>
      <c r="C1579" s="1" t="n">
        <v>46161</v>
      </c>
      <c r="D1579" t="inlineStr">
        <is>
          <t>VÄSTERNORRLANDS LÄN</t>
        </is>
      </c>
      <c r="E1579" t="inlineStr">
        <is>
          <t>SOLLEFTEÅ</t>
        </is>
      </c>
      <c r="G1579" t="n">
        <v>3.8</v>
      </c>
      <c r="H1579" t="n">
        <v>0</v>
      </c>
      <c r="I1579" t="n">
        <v>0</v>
      </c>
      <c r="J1579" t="n">
        <v>0</v>
      </c>
      <c r="K1579" t="n">
        <v>0</v>
      </c>
      <c r="L1579" t="n">
        <v>0</v>
      </c>
      <c r="M1579" t="n">
        <v>0</v>
      </c>
      <c r="N1579" t="n">
        <v>0</v>
      </c>
      <c r="O1579" t="n">
        <v>0</v>
      </c>
      <c r="P1579" t="n">
        <v>0</v>
      </c>
      <c r="Q1579" t="n">
        <v>0</v>
      </c>
      <c r="R1579" s="2" t="inlineStr"/>
      <c r="U1579">
        <f>HYPERLINK("https://klasma.github.io/Logging_2283/knärot/A 27314-2024 karta knärot.png", "A 27314-2024")</f>
        <v/>
      </c>
      <c r="V1579">
        <f>HYPERLINK("https://klasma.github.io/Logging_2283/klagomål/A 27314-2024 FSC-klagomål.docx", "A 27314-2024")</f>
        <v/>
      </c>
      <c r="W1579">
        <f>HYPERLINK("https://klasma.github.io/Logging_2283/klagomålsmail/A 27314-2024 FSC-klagomål mail.docx", "A 27314-2024")</f>
        <v/>
      </c>
      <c r="X1579">
        <f>HYPERLINK("https://klasma.github.io/Logging_2283/tillsyn/A 27314-2024 tillsynsbegäran.docx", "A 27314-2024")</f>
        <v/>
      </c>
      <c r="Y1579">
        <f>HYPERLINK("https://klasma.github.io/Logging_2283/tillsynsmail/A 27314-2024 tillsynsbegäran mail.docx", "A 27314-2024")</f>
        <v/>
      </c>
    </row>
    <row r="1580" ht="15" customHeight="1">
      <c r="A1580" t="inlineStr">
        <is>
          <t>A 35066-2025</t>
        </is>
      </c>
      <c r="B1580" s="1" t="n">
        <v>45852.45013888889</v>
      </c>
      <c r="C1580" s="1" t="n">
        <v>46161</v>
      </c>
      <c r="D1580" t="inlineStr">
        <is>
          <t>VÄSTERNORRLANDS LÄN</t>
        </is>
      </c>
      <c r="E1580" t="inlineStr">
        <is>
          <t>SOLLEFTEÅ</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1623-2025</t>
        </is>
      </c>
      <c r="B1581" s="1" t="n">
        <v>45670.61526620371</v>
      </c>
      <c r="C1581" s="1" t="n">
        <v>46161</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11057-2025</t>
        </is>
      </c>
      <c r="B1582" s="1" t="n">
        <v>45723.51069444444</v>
      </c>
      <c r="C1582" s="1" t="n">
        <v>46161</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2582-2025</t>
        </is>
      </c>
      <c r="B1583" s="1" t="n">
        <v>45674.67787037037</v>
      </c>
      <c r="C1583" s="1" t="n">
        <v>46161</v>
      </c>
      <c r="D1583" t="inlineStr">
        <is>
          <t>VÄSTERNORRLANDS LÄN</t>
        </is>
      </c>
      <c r="E1583" t="inlineStr">
        <is>
          <t>SOLLEFTEÅ</t>
        </is>
      </c>
      <c r="F1583" t="inlineStr">
        <is>
          <t>SCA</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35132-2025</t>
        </is>
      </c>
      <c r="B1584" s="1" t="n">
        <v>45852.63618055556</v>
      </c>
      <c r="C1584" s="1" t="n">
        <v>46161</v>
      </c>
      <c r="D1584" t="inlineStr">
        <is>
          <t>VÄSTERNORRLANDS LÄN</t>
        </is>
      </c>
      <c r="E1584" t="inlineStr">
        <is>
          <t>SOLLEFTEÅ</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3414-2025</t>
        </is>
      </c>
      <c r="B1585" s="1" t="n">
        <v>45680</v>
      </c>
      <c r="C1585" s="1" t="n">
        <v>46161</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59179-2024</t>
        </is>
      </c>
      <c r="B1586" s="1" t="n">
        <v>45637.51149305556</v>
      </c>
      <c r="C1586" s="1" t="n">
        <v>46161</v>
      </c>
      <c r="D1586" t="inlineStr">
        <is>
          <t>VÄSTERNORRLANDS LÄN</t>
        </is>
      </c>
      <c r="E1586" t="inlineStr">
        <is>
          <t>SOLLEFTEÅ</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35286-2025</t>
        </is>
      </c>
      <c r="B1587" s="1" t="n">
        <v>45854.36512731481</v>
      </c>
      <c r="C1587" s="1" t="n">
        <v>46161</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35448-2025</t>
        </is>
      </c>
      <c r="B1588" s="1" t="n">
        <v>45855.55247685185</v>
      </c>
      <c r="C1588" s="1" t="n">
        <v>46161</v>
      </c>
      <c r="D1588" t="inlineStr">
        <is>
          <t>VÄSTERNORRLANDS LÄN</t>
        </is>
      </c>
      <c r="E1588" t="inlineStr">
        <is>
          <t>SOLLEFTEÅ</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30060-2024</t>
        </is>
      </c>
      <c r="B1589" s="1" t="n">
        <v>45488.94813657407</v>
      </c>
      <c r="C1589" s="1" t="n">
        <v>46161</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55289-2025</t>
        </is>
      </c>
      <c r="B1590" s="1" t="n">
        <v>45969.344375</v>
      </c>
      <c r="C1590" s="1" t="n">
        <v>46161</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41655-2023</t>
        </is>
      </c>
      <c r="B1591" s="1" t="n">
        <v>45175.95751157407</v>
      </c>
      <c r="C1591" s="1" t="n">
        <v>46161</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13598-2022</t>
        </is>
      </c>
      <c r="B1592" s="1" t="n">
        <v>44648</v>
      </c>
      <c r="C1592" s="1" t="n">
        <v>46161</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12379-2025</t>
        </is>
      </c>
      <c r="B1593" s="1" t="n">
        <v>45730</v>
      </c>
      <c r="C1593" s="1" t="n">
        <v>46161</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55096-2025</t>
        </is>
      </c>
      <c r="B1594" s="1" t="n">
        <v>45968.34510416666</v>
      </c>
      <c r="C1594" s="1" t="n">
        <v>46161</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6063-2024</t>
        </is>
      </c>
      <c r="B1595" s="1" t="n">
        <v>45336.86584490741</v>
      </c>
      <c r="C1595" s="1" t="n">
        <v>46161</v>
      </c>
      <c r="D1595" t="inlineStr">
        <is>
          <t>VÄSTERNORRLANDS LÄN</t>
        </is>
      </c>
      <c r="E1595" t="inlineStr">
        <is>
          <t>SOLLEFTEÅ</t>
        </is>
      </c>
      <c r="F1595" t="inlineStr">
        <is>
          <t>Övriga Aktiebolag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41041-2024</t>
        </is>
      </c>
      <c r="B1596" s="1" t="n">
        <v>45558</v>
      </c>
      <c r="C1596" s="1" t="n">
        <v>46161</v>
      </c>
      <c r="D1596" t="inlineStr">
        <is>
          <t>VÄSTERNORRLANDS LÄN</t>
        </is>
      </c>
      <c r="E1596" t="inlineStr">
        <is>
          <t>SOLLEFTEÅ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41042-2024</t>
        </is>
      </c>
      <c r="B1597" s="1" t="n">
        <v>45559.36490740741</v>
      </c>
      <c r="C1597" s="1" t="n">
        <v>46161</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36514-2023</t>
        </is>
      </c>
      <c r="B1598" s="1" t="n">
        <v>45152.95377314815</v>
      </c>
      <c r="C1598" s="1" t="n">
        <v>46161</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35572-2025</t>
        </is>
      </c>
      <c r="B1599" s="1" t="n">
        <v>45856.59423611111</v>
      </c>
      <c r="C1599" s="1" t="n">
        <v>46161</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37977-2022</t>
        </is>
      </c>
      <c r="B1600" s="1" t="n">
        <v>44811</v>
      </c>
      <c r="C1600" s="1" t="n">
        <v>46161</v>
      </c>
      <c r="D1600" t="inlineStr">
        <is>
          <t>VÄSTERNORRLANDS LÄN</t>
        </is>
      </c>
      <c r="E1600" t="inlineStr">
        <is>
          <t>SOLLEFTEÅ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35513-2025</t>
        </is>
      </c>
      <c r="B1601" s="1" t="n">
        <v>45856.36520833334</v>
      </c>
      <c r="C1601" s="1" t="n">
        <v>46161</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35506-2025</t>
        </is>
      </c>
      <c r="B1602" s="1" t="n">
        <v>45856</v>
      </c>
      <c r="C1602" s="1" t="n">
        <v>46161</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43469-2022</t>
        </is>
      </c>
      <c r="B1603" s="1" t="n">
        <v>44836.80145833334</v>
      </c>
      <c r="C1603" s="1" t="n">
        <v>46161</v>
      </c>
      <c r="D1603" t="inlineStr">
        <is>
          <t>VÄSTERNORRLANDS LÄN</t>
        </is>
      </c>
      <c r="E1603" t="inlineStr">
        <is>
          <t>SOLLEFTEÅ</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34376-2024</t>
        </is>
      </c>
      <c r="B1604" s="1" t="n">
        <v>45525</v>
      </c>
      <c r="C1604" s="1" t="n">
        <v>46161</v>
      </c>
      <c r="D1604" t="inlineStr">
        <is>
          <t>VÄSTERNORRLANDS LÄN</t>
        </is>
      </c>
      <c r="E1604" t="inlineStr">
        <is>
          <t>SOLLEFTEÅ</t>
        </is>
      </c>
      <c r="F1604" t="inlineStr">
        <is>
          <t>Övriga statliga verk och myndigheter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55137-2025</t>
        </is>
      </c>
      <c r="B1605" s="1" t="n">
        <v>45968.42770833334</v>
      </c>
      <c r="C1605" s="1" t="n">
        <v>46161</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35703-2025</t>
        </is>
      </c>
      <c r="B1606" s="1" t="n">
        <v>45860.36497685185</v>
      </c>
      <c r="C1606" s="1" t="n">
        <v>46161</v>
      </c>
      <c r="D1606" t="inlineStr">
        <is>
          <t>VÄSTERNORRLANDS LÄN</t>
        </is>
      </c>
      <c r="E1606" t="inlineStr">
        <is>
          <t>SOLLEFTEÅ</t>
        </is>
      </c>
      <c r="F1606" t="inlineStr">
        <is>
          <t>SCA</t>
        </is>
      </c>
      <c r="G1606" t="n">
        <v>16.5</v>
      </c>
      <c r="H1606" t="n">
        <v>0</v>
      </c>
      <c r="I1606" t="n">
        <v>0</v>
      </c>
      <c r="J1606" t="n">
        <v>0</v>
      </c>
      <c r="K1606" t="n">
        <v>0</v>
      </c>
      <c r="L1606" t="n">
        <v>0</v>
      </c>
      <c r="M1606" t="n">
        <v>0</v>
      </c>
      <c r="N1606" t="n">
        <v>0</v>
      </c>
      <c r="O1606" t="n">
        <v>0</v>
      </c>
      <c r="P1606" t="n">
        <v>0</v>
      </c>
      <c r="Q1606" t="n">
        <v>0</v>
      </c>
      <c r="R1606" s="2" t="inlineStr"/>
    </row>
    <row r="1607" ht="15" customHeight="1">
      <c r="A1607" t="inlineStr">
        <is>
          <t>A 35704-2025</t>
        </is>
      </c>
      <c r="B1607" s="1" t="n">
        <v>45860.36518518518</v>
      </c>
      <c r="C1607" s="1" t="n">
        <v>46161</v>
      </c>
      <c r="D1607" t="inlineStr">
        <is>
          <t>VÄSTERNORRLANDS LÄN</t>
        </is>
      </c>
      <c r="E1607" t="inlineStr">
        <is>
          <t>SOLLEFTEÅ</t>
        </is>
      </c>
      <c r="F1607" t="inlineStr">
        <is>
          <t>SCA</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55136-2025</t>
        </is>
      </c>
      <c r="B1608" s="1" t="n">
        <v>45968.42752314815</v>
      </c>
      <c r="C1608" s="1" t="n">
        <v>46161</v>
      </c>
      <c r="D1608" t="inlineStr">
        <is>
          <t>VÄSTERNORRLANDS LÄN</t>
        </is>
      </c>
      <c r="E1608" t="inlineStr">
        <is>
          <t>SOLLEFTEÅ</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55471-2025</t>
        </is>
      </c>
      <c r="B1609" s="1" t="n">
        <v>45971</v>
      </c>
      <c r="C1609" s="1" t="n">
        <v>46161</v>
      </c>
      <c r="D1609" t="inlineStr">
        <is>
          <t>VÄSTERNORRLANDS LÄN</t>
        </is>
      </c>
      <c r="E1609" t="inlineStr">
        <is>
          <t>SOLLEFTEÅ</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31451-2025</t>
        </is>
      </c>
      <c r="B1610" s="1" t="n">
        <v>45833.53167824074</v>
      </c>
      <c r="C1610" s="1" t="n">
        <v>46161</v>
      </c>
      <c r="D1610" t="inlineStr">
        <is>
          <t>VÄSTERNORRLANDS LÄN</t>
        </is>
      </c>
      <c r="E1610" t="inlineStr">
        <is>
          <t>SOLLEFTEÅ</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55529-2025</t>
        </is>
      </c>
      <c r="B1611" s="1" t="n">
        <v>45971.62087962963</v>
      </c>
      <c r="C1611" s="1" t="n">
        <v>46161</v>
      </c>
      <c r="D1611" t="inlineStr">
        <is>
          <t>VÄSTERNORRLANDS LÄN</t>
        </is>
      </c>
      <c r="E1611" t="inlineStr">
        <is>
          <t>SOLLEFTEÅ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35042-2025</t>
        </is>
      </c>
      <c r="B1612" s="1" t="n">
        <v>45852.34447916667</v>
      </c>
      <c r="C1612" s="1" t="n">
        <v>46161</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22446-2025</t>
        </is>
      </c>
      <c r="B1613" s="1" t="n">
        <v>45786.59439814815</v>
      </c>
      <c r="C1613" s="1" t="n">
        <v>46161</v>
      </c>
      <c r="D1613" t="inlineStr">
        <is>
          <t>VÄSTERNORRLANDS LÄN</t>
        </is>
      </c>
      <c r="E1613" t="inlineStr">
        <is>
          <t>SOLLEFTEÅ</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35807-2025</t>
        </is>
      </c>
      <c r="B1614" s="1" t="n">
        <v>45861.40663194445</v>
      </c>
      <c r="C1614" s="1" t="n">
        <v>46161</v>
      </c>
      <c r="D1614" t="inlineStr">
        <is>
          <t>VÄSTERNORRLANDS LÄN</t>
        </is>
      </c>
      <c r="E1614" t="inlineStr">
        <is>
          <t>SOLLEFTEÅ</t>
        </is>
      </c>
      <c r="F1614" t="inlineStr">
        <is>
          <t>SCA</t>
        </is>
      </c>
      <c r="G1614" t="n">
        <v>16.7</v>
      </c>
      <c r="H1614" t="n">
        <v>0</v>
      </c>
      <c r="I1614" t="n">
        <v>0</v>
      </c>
      <c r="J1614" t="n">
        <v>0</v>
      </c>
      <c r="K1614" t="n">
        <v>0</v>
      </c>
      <c r="L1614" t="n">
        <v>0</v>
      </c>
      <c r="M1614" t="n">
        <v>0</v>
      </c>
      <c r="N1614" t="n">
        <v>0</v>
      </c>
      <c r="O1614" t="n">
        <v>0</v>
      </c>
      <c r="P1614" t="n">
        <v>0</v>
      </c>
      <c r="Q1614" t="n">
        <v>0</v>
      </c>
      <c r="R1614" s="2" t="inlineStr"/>
    </row>
    <row r="1615" ht="15" customHeight="1">
      <c r="A1615" t="inlineStr">
        <is>
          <t>A 55116-2025</t>
        </is>
      </c>
      <c r="B1615" s="1" t="n">
        <v>45968.38623842593</v>
      </c>
      <c r="C1615" s="1" t="n">
        <v>46161</v>
      </c>
      <c r="D1615" t="inlineStr">
        <is>
          <t>VÄSTERNORRLANDS LÄN</t>
        </is>
      </c>
      <c r="E1615" t="inlineStr">
        <is>
          <t>SOLLEFTEÅ</t>
        </is>
      </c>
      <c r="F1615" t="inlineStr">
        <is>
          <t>SCA</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23160-2025</t>
        </is>
      </c>
      <c r="B1616" s="1" t="n">
        <v>45791.40760416666</v>
      </c>
      <c r="C1616" s="1" t="n">
        <v>46161</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37691-2023</t>
        </is>
      </c>
      <c r="B1617" s="1" t="n">
        <v>45156</v>
      </c>
      <c r="C1617" s="1" t="n">
        <v>46161</v>
      </c>
      <c r="D1617" t="inlineStr">
        <is>
          <t>VÄSTERNORRLANDS LÄN</t>
        </is>
      </c>
      <c r="E1617" t="inlineStr">
        <is>
          <t>SOLLEFTEÅ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19207-2025</t>
        </is>
      </c>
      <c r="B1618" s="1" t="n">
        <v>45769</v>
      </c>
      <c r="C1618" s="1" t="n">
        <v>46161</v>
      </c>
      <c r="D1618" t="inlineStr">
        <is>
          <t>VÄSTERNORRLANDS LÄN</t>
        </is>
      </c>
      <c r="E1618" t="inlineStr">
        <is>
          <t>SOLLEFTEÅ</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55583-2025</t>
        </is>
      </c>
      <c r="B1619" s="1" t="n">
        <v>45971.67804398148</v>
      </c>
      <c r="C1619" s="1" t="n">
        <v>46161</v>
      </c>
      <c r="D1619" t="inlineStr">
        <is>
          <t>VÄSTERNORRLANDS LÄN</t>
        </is>
      </c>
      <c r="E1619" t="inlineStr">
        <is>
          <t>SOLLEFTEÅ</t>
        </is>
      </c>
      <c r="F1619" t="inlineStr">
        <is>
          <t>SCA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55584-2025</t>
        </is>
      </c>
      <c r="B1620" s="1" t="n">
        <v>45971.67821759259</v>
      </c>
      <c r="C1620" s="1" t="n">
        <v>46161</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55585-2025</t>
        </is>
      </c>
      <c r="B1621" s="1" t="n">
        <v>45971.6784375</v>
      </c>
      <c r="C1621" s="1" t="n">
        <v>46161</v>
      </c>
      <c r="D1621" t="inlineStr">
        <is>
          <t>VÄSTERNORRLANDS LÄN</t>
        </is>
      </c>
      <c r="E1621" t="inlineStr">
        <is>
          <t>SOLLEFTEÅ</t>
        </is>
      </c>
      <c r="F1621" t="inlineStr">
        <is>
          <t>SCA</t>
        </is>
      </c>
      <c r="G1621" t="n">
        <v>11.8</v>
      </c>
      <c r="H1621" t="n">
        <v>0</v>
      </c>
      <c r="I1621" t="n">
        <v>0</v>
      </c>
      <c r="J1621" t="n">
        <v>0</v>
      </c>
      <c r="K1621" t="n">
        <v>0</v>
      </c>
      <c r="L1621" t="n">
        <v>0</v>
      </c>
      <c r="M1621" t="n">
        <v>0</v>
      </c>
      <c r="N1621" t="n">
        <v>0</v>
      </c>
      <c r="O1621" t="n">
        <v>0</v>
      </c>
      <c r="P1621" t="n">
        <v>0</v>
      </c>
      <c r="Q1621" t="n">
        <v>0</v>
      </c>
      <c r="R1621" s="2" t="inlineStr"/>
    </row>
    <row r="1622" ht="15" customHeight="1">
      <c r="A1622" t="inlineStr">
        <is>
          <t>A 35924-2025</t>
        </is>
      </c>
      <c r="B1622" s="1" t="n">
        <v>45862.57326388889</v>
      </c>
      <c r="C1622" s="1" t="n">
        <v>46161</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55510-2025</t>
        </is>
      </c>
      <c r="B1623" s="1" t="n">
        <v>45971.60037037037</v>
      </c>
      <c r="C1623" s="1" t="n">
        <v>46161</v>
      </c>
      <c r="D1623" t="inlineStr">
        <is>
          <t>VÄSTERNORRLANDS LÄN</t>
        </is>
      </c>
      <c r="E1623" t="inlineStr">
        <is>
          <t>SOLLEFTEÅ</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18364-2024</t>
        </is>
      </c>
      <c r="B1624" s="1" t="n">
        <v>45422</v>
      </c>
      <c r="C1624" s="1" t="n">
        <v>46161</v>
      </c>
      <c r="D1624" t="inlineStr">
        <is>
          <t>VÄSTERNORRLANDS LÄN</t>
        </is>
      </c>
      <c r="E1624" t="inlineStr">
        <is>
          <t>SOLLEFTEÅ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16633-2025</t>
        </is>
      </c>
      <c r="B1625" s="1" t="n">
        <v>45754.36517361111</v>
      </c>
      <c r="C1625" s="1" t="n">
        <v>46161</v>
      </c>
      <c r="D1625" t="inlineStr">
        <is>
          <t>VÄSTERNORRLANDS LÄN</t>
        </is>
      </c>
      <c r="E1625" t="inlineStr">
        <is>
          <t>SOLLEFTEÅ</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55094-2025</t>
        </is>
      </c>
      <c r="B1626" s="1" t="n">
        <v>45968.34483796296</v>
      </c>
      <c r="C1626" s="1" t="n">
        <v>46161</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12834-2025</t>
        </is>
      </c>
      <c r="B1627" s="1" t="n">
        <v>45733.63612268519</v>
      </c>
      <c r="C1627" s="1" t="n">
        <v>46161</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12941-2025</t>
        </is>
      </c>
      <c r="B1628" s="1" t="n">
        <v>45734.36525462963</v>
      </c>
      <c r="C1628" s="1" t="n">
        <v>46161</v>
      </c>
      <c r="D1628" t="inlineStr">
        <is>
          <t>VÄSTERNORRLANDS LÄN</t>
        </is>
      </c>
      <c r="E1628" t="inlineStr">
        <is>
          <t>SOLLEFTEÅ</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55582-2025</t>
        </is>
      </c>
      <c r="B1629" s="1" t="n">
        <v>45971.67768518518</v>
      </c>
      <c r="C1629" s="1" t="n">
        <v>46161</v>
      </c>
      <c r="D1629" t="inlineStr">
        <is>
          <t>VÄSTERNORRLANDS LÄN</t>
        </is>
      </c>
      <c r="E1629" t="inlineStr">
        <is>
          <t>SOLLEFTEÅ</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55586-2025</t>
        </is>
      </c>
      <c r="B1630" s="1" t="n">
        <v>45971</v>
      </c>
      <c r="C1630" s="1" t="n">
        <v>46161</v>
      </c>
      <c r="D1630" t="inlineStr">
        <is>
          <t>VÄSTERNORRLANDS LÄN</t>
        </is>
      </c>
      <c r="E1630" t="inlineStr">
        <is>
          <t>SOLLEFTEÅ</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36078-2022</t>
        </is>
      </c>
      <c r="B1631" s="1" t="n">
        <v>44802.9459375</v>
      </c>
      <c r="C1631" s="1" t="n">
        <v>46161</v>
      </c>
      <c r="D1631" t="inlineStr">
        <is>
          <t>VÄSTERNORRLANDS LÄN</t>
        </is>
      </c>
      <c r="E1631" t="inlineStr">
        <is>
          <t>SOLLEFTEÅ</t>
        </is>
      </c>
      <c r="F1631" t="inlineStr">
        <is>
          <t>SCA</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55115-2025</t>
        </is>
      </c>
      <c r="B1632" s="1" t="n">
        <v>45968</v>
      </c>
      <c r="C1632" s="1" t="n">
        <v>46161</v>
      </c>
      <c r="D1632" t="inlineStr">
        <is>
          <t>VÄSTERNORRLANDS LÄN</t>
        </is>
      </c>
      <c r="E1632" t="inlineStr">
        <is>
          <t>SOLLEFTEÅ</t>
        </is>
      </c>
      <c r="F1632" t="inlineStr">
        <is>
          <t>SCA</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29125-2025</t>
        </is>
      </c>
      <c r="B1633" s="1" t="n">
        <v>45821.59459490741</v>
      </c>
      <c r="C1633" s="1" t="n">
        <v>46161</v>
      </c>
      <c r="D1633" t="inlineStr">
        <is>
          <t>VÄSTERNORRLANDS LÄN</t>
        </is>
      </c>
      <c r="E1633" t="inlineStr">
        <is>
          <t>SOLLEFTEÅ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36135-2025</t>
        </is>
      </c>
      <c r="B1634" s="1" t="n">
        <v>45866.63594907407</v>
      </c>
      <c r="C1634" s="1" t="n">
        <v>46161</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36068-2025</t>
        </is>
      </c>
      <c r="B1635" s="1" t="n">
        <v>45866.42752314815</v>
      </c>
      <c r="C1635" s="1" t="n">
        <v>46161</v>
      </c>
      <c r="D1635" t="inlineStr">
        <is>
          <t>VÄSTERNORRLANDS LÄN</t>
        </is>
      </c>
      <c r="E1635" t="inlineStr">
        <is>
          <t>SOLLEFTEÅ</t>
        </is>
      </c>
      <c r="F1635" t="inlineStr">
        <is>
          <t>SCA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36095-2025</t>
        </is>
      </c>
      <c r="B1636" s="1" t="n">
        <v>45866.49006944444</v>
      </c>
      <c r="C1636" s="1" t="n">
        <v>46161</v>
      </c>
      <c r="D1636" t="inlineStr">
        <is>
          <t>VÄSTERNORRLANDS LÄN</t>
        </is>
      </c>
      <c r="E1636" t="inlineStr">
        <is>
          <t>SOLLEFTEÅ</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22235-2024</t>
        </is>
      </c>
      <c r="B1637" s="1" t="n">
        <v>45446</v>
      </c>
      <c r="C1637" s="1" t="n">
        <v>46161</v>
      </c>
      <c r="D1637" t="inlineStr">
        <is>
          <t>VÄSTERNORRLANDS LÄN</t>
        </is>
      </c>
      <c r="E1637" t="inlineStr">
        <is>
          <t>SOLLEFTEÅ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55360-2025</t>
        </is>
      </c>
      <c r="B1638" s="1" t="n">
        <v>45971.38597222222</v>
      </c>
      <c r="C1638" s="1" t="n">
        <v>46161</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33496-2025</t>
        </is>
      </c>
      <c r="B1639" s="1" t="n">
        <v>45841</v>
      </c>
      <c r="C1639" s="1" t="n">
        <v>46161</v>
      </c>
      <c r="D1639" t="inlineStr">
        <is>
          <t>VÄSTERNORRLANDS LÄN</t>
        </is>
      </c>
      <c r="E1639" t="inlineStr">
        <is>
          <t>SOLLEFTEÅ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36064-2025</t>
        </is>
      </c>
      <c r="B1640" s="1" t="n">
        <v>45866</v>
      </c>
      <c r="C1640" s="1" t="n">
        <v>46161</v>
      </c>
      <c r="D1640" t="inlineStr">
        <is>
          <t>VÄSTERNORRLANDS LÄN</t>
        </is>
      </c>
      <c r="E1640" t="inlineStr">
        <is>
          <t>SOLLEFTEÅ</t>
        </is>
      </c>
      <c r="F1640" t="inlineStr">
        <is>
          <t>SCA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5867-2024</t>
        </is>
      </c>
      <c r="B1641" s="1" t="n">
        <v>45335.64733796296</v>
      </c>
      <c r="C1641" s="1" t="n">
        <v>46161</v>
      </c>
      <c r="D1641" t="inlineStr">
        <is>
          <t>VÄSTERNORRLANDS LÄN</t>
        </is>
      </c>
      <c r="E1641" t="inlineStr">
        <is>
          <t>SOLLEFTEÅ</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14730-2025</t>
        </is>
      </c>
      <c r="B1642" s="1" t="n">
        <v>45742.63587962963</v>
      </c>
      <c r="C1642" s="1" t="n">
        <v>46161</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55950-2025</t>
        </is>
      </c>
      <c r="B1643" s="1" t="n">
        <v>45973.46942129629</v>
      </c>
      <c r="C1643" s="1" t="n">
        <v>46161</v>
      </c>
      <c r="D1643" t="inlineStr">
        <is>
          <t>VÄSTERNORRLANDS LÄN</t>
        </is>
      </c>
      <c r="E1643" t="inlineStr">
        <is>
          <t>SOLLEFTEÅ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51681-2023</t>
        </is>
      </c>
      <c r="B1644" s="1" t="n">
        <v>45215</v>
      </c>
      <c r="C1644" s="1" t="n">
        <v>46161</v>
      </c>
      <c r="D1644" t="inlineStr">
        <is>
          <t>VÄSTERNORRLANDS LÄN</t>
        </is>
      </c>
      <c r="E1644" t="inlineStr">
        <is>
          <t>SOLLEFTEÅ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55168-2025</t>
        </is>
      </c>
      <c r="B1645" s="1" t="n">
        <v>45968</v>
      </c>
      <c r="C1645" s="1" t="n">
        <v>46161</v>
      </c>
      <c r="D1645" t="inlineStr">
        <is>
          <t>VÄSTERNORRLANDS LÄN</t>
        </is>
      </c>
      <c r="E1645" t="inlineStr">
        <is>
          <t>SOLLEFTEÅ</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55725-2025</t>
        </is>
      </c>
      <c r="B1646" s="1" t="n">
        <v>45972.53172453704</v>
      </c>
      <c r="C1646" s="1" t="n">
        <v>46161</v>
      </c>
      <c r="D1646" t="inlineStr">
        <is>
          <t>VÄSTERNORRLANDS LÄN</t>
        </is>
      </c>
      <c r="E1646" t="inlineStr">
        <is>
          <t>SOLLEFTEÅ</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36274-2025</t>
        </is>
      </c>
      <c r="B1647" s="1" t="n">
        <v>45867.63579861111</v>
      </c>
      <c r="C1647" s="1" t="n">
        <v>46161</v>
      </c>
      <c r="D1647" t="inlineStr">
        <is>
          <t>VÄSTERNORRLANDS LÄN</t>
        </is>
      </c>
      <c r="E1647" t="inlineStr">
        <is>
          <t>SOLLEFTEÅ</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33495-2025</t>
        </is>
      </c>
      <c r="B1648" s="1" t="n">
        <v>45841</v>
      </c>
      <c r="C1648" s="1" t="n">
        <v>46161</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36224-2025</t>
        </is>
      </c>
      <c r="B1649" s="1" t="n">
        <v>45867.51116898148</v>
      </c>
      <c r="C1649" s="1" t="n">
        <v>46161</v>
      </c>
      <c r="D1649" t="inlineStr">
        <is>
          <t>VÄSTERNORRLANDS LÄN</t>
        </is>
      </c>
      <c r="E1649" t="inlineStr">
        <is>
          <t>SOLLEFTEÅ</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29860-2025</t>
        </is>
      </c>
      <c r="B1650" s="1" t="n">
        <v>45826.34638888889</v>
      </c>
      <c r="C1650" s="1" t="n">
        <v>46161</v>
      </c>
      <c r="D1650" t="inlineStr">
        <is>
          <t>VÄSTERNORRLANDS LÄN</t>
        </is>
      </c>
      <c r="E1650" t="inlineStr">
        <is>
          <t>SOLLEFTEÅ</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36300-2025</t>
        </is>
      </c>
      <c r="B1651" s="1" t="n">
        <v>45867.6984375</v>
      </c>
      <c r="C1651" s="1" t="n">
        <v>46161</v>
      </c>
      <c r="D1651" t="inlineStr">
        <is>
          <t>VÄSTERNORRLANDS LÄN</t>
        </is>
      </c>
      <c r="E1651" t="inlineStr">
        <is>
          <t>SOLLEFTEÅ</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36063-2025</t>
        </is>
      </c>
      <c r="B1652" s="1" t="n">
        <v>45866</v>
      </c>
      <c r="C1652" s="1" t="n">
        <v>46161</v>
      </c>
      <c r="D1652" t="inlineStr">
        <is>
          <t>VÄSTERNORRLANDS LÄN</t>
        </is>
      </c>
      <c r="E1652" t="inlineStr">
        <is>
          <t>SOLLEFTEÅ</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36373-2025</t>
        </is>
      </c>
      <c r="B1653" s="1" t="n">
        <v>45868.55256944444</v>
      </c>
      <c r="C1653" s="1" t="n">
        <v>46161</v>
      </c>
      <c r="D1653" t="inlineStr">
        <is>
          <t>VÄSTERNORRLANDS LÄN</t>
        </is>
      </c>
      <c r="E1653" t="inlineStr">
        <is>
          <t>SOLLEFTEÅ</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55790-2025</t>
        </is>
      </c>
      <c r="B1654" s="1" t="n">
        <v>45972.64644675926</v>
      </c>
      <c r="C1654" s="1" t="n">
        <v>46161</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55819-2025</t>
        </is>
      </c>
      <c r="B1655" s="1" t="n">
        <v>45972</v>
      </c>
      <c r="C1655" s="1" t="n">
        <v>46161</v>
      </c>
      <c r="D1655" t="inlineStr">
        <is>
          <t>VÄSTERNORRLANDS LÄN</t>
        </is>
      </c>
      <c r="E1655" t="inlineStr">
        <is>
          <t>SOLLEFTEÅ</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36545-2025</t>
        </is>
      </c>
      <c r="B1656" s="1" t="n">
        <v>45869.67761574074</v>
      </c>
      <c r="C1656" s="1" t="n">
        <v>46161</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36324-2025</t>
        </is>
      </c>
      <c r="B1657" s="1" t="n">
        <v>45868.40707175926</v>
      </c>
      <c r="C1657" s="1" t="n">
        <v>46161</v>
      </c>
      <c r="D1657" t="inlineStr">
        <is>
          <t>VÄSTERNORRLANDS LÄN</t>
        </is>
      </c>
      <c r="E1657" t="inlineStr">
        <is>
          <t>SOLLEFTEÅ</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36312-2025</t>
        </is>
      </c>
      <c r="B1658" s="1" t="n">
        <v>45868.34444444445</v>
      </c>
      <c r="C1658" s="1" t="n">
        <v>46161</v>
      </c>
      <c r="D1658" t="inlineStr">
        <is>
          <t>VÄSTERNORRLANDS LÄN</t>
        </is>
      </c>
      <c r="E1658" t="inlineStr">
        <is>
          <t>SOLLEFTEÅ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55686-2025</t>
        </is>
      </c>
      <c r="B1659" s="1" t="n">
        <v>45972.42771990741</v>
      </c>
      <c r="C1659" s="1" t="n">
        <v>46161</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11026-2025</t>
        </is>
      </c>
      <c r="B1660" s="1" t="n">
        <v>45723.46961805555</v>
      </c>
      <c r="C1660" s="1" t="n">
        <v>46161</v>
      </c>
      <c r="D1660" t="inlineStr">
        <is>
          <t>VÄSTERNORRLANDS LÄN</t>
        </is>
      </c>
      <c r="E1660" t="inlineStr">
        <is>
          <t>SOLLEFTEÅ</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36313-2025</t>
        </is>
      </c>
      <c r="B1661" s="1" t="n">
        <v>45868.34456018519</v>
      </c>
      <c r="C1661" s="1" t="n">
        <v>46161</v>
      </c>
      <c r="D1661" t="inlineStr">
        <is>
          <t>VÄSTERNORRLANDS LÄN</t>
        </is>
      </c>
      <c r="E1661" t="inlineStr">
        <is>
          <t>SOLLEFTEÅ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55886-2025</t>
        </is>
      </c>
      <c r="B1662" s="1" t="n">
        <v>45973</v>
      </c>
      <c r="C1662" s="1" t="n">
        <v>46161</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8652-2024</t>
        </is>
      </c>
      <c r="B1663" s="1" t="n">
        <v>45356</v>
      </c>
      <c r="C1663" s="1" t="n">
        <v>46161</v>
      </c>
      <c r="D1663" t="inlineStr">
        <is>
          <t>VÄSTERNORRLANDS LÄN</t>
        </is>
      </c>
      <c r="E1663" t="inlineStr">
        <is>
          <t>SOLLEFTEÅ</t>
        </is>
      </c>
      <c r="F1663" t="inlineStr">
        <is>
          <t>SCA</t>
        </is>
      </c>
      <c r="G1663" t="n">
        <v>38.6</v>
      </c>
      <c r="H1663" t="n">
        <v>0</v>
      </c>
      <c r="I1663" t="n">
        <v>0</v>
      </c>
      <c r="J1663" t="n">
        <v>0</v>
      </c>
      <c r="K1663" t="n">
        <v>0</v>
      </c>
      <c r="L1663" t="n">
        <v>0</v>
      </c>
      <c r="M1663" t="n">
        <v>0</v>
      </c>
      <c r="N1663" t="n">
        <v>0</v>
      </c>
      <c r="O1663" t="n">
        <v>0</v>
      </c>
      <c r="P1663" t="n">
        <v>0</v>
      </c>
      <c r="Q1663" t="n">
        <v>0</v>
      </c>
      <c r="R1663" s="2" t="inlineStr"/>
    </row>
    <row r="1664" ht="15" customHeight="1">
      <c r="A1664" t="inlineStr">
        <is>
          <t>A 36558-2025</t>
        </is>
      </c>
      <c r="B1664" s="1" t="n">
        <v>45870.35769675926</v>
      </c>
      <c r="C1664" s="1" t="n">
        <v>46161</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36561-2025</t>
        </is>
      </c>
      <c r="B1665" s="1" t="n">
        <v>45870.36722222222</v>
      </c>
      <c r="C1665" s="1" t="n">
        <v>46161</v>
      </c>
      <c r="D1665" t="inlineStr">
        <is>
          <t>VÄSTERNORRLANDS LÄN</t>
        </is>
      </c>
      <c r="E1665" t="inlineStr">
        <is>
          <t>SOLLEFTEÅ</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36571-2025</t>
        </is>
      </c>
      <c r="B1666" s="1" t="n">
        <v>45870.38778935185</v>
      </c>
      <c r="C1666" s="1" t="n">
        <v>46161</v>
      </c>
      <c r="D1666" t="inlineStr">
        <is>
          <t>VÄSTERNORRLANDS LÄN</t>
        </is>
      </c>
      <c r="E1666" t="inlineStr">
        <is>
          <t>SOLLEFTEÅ</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56076-2025</t>
        </is>
      </c>
      <c r="B1667" s="1" t="n">
        <v>45973.65740740741</v>
      </c>
      <c r="C1667" s="1" t="n">
        <v>46161</v>
      </c>
      <c r="D1667" t="inlineStr">
        <is>
          <t>VÄSTERNORRLANDS LÄN</t>
        </is>
      </c>
      <c r="E1667" t="inlineStr">
        <is>
          <t>SOLLEFTEÅ</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36065-2025</t>
        </is>
      </c>
      <c r="B1668" s="1" t="n">
        <v>45866</v>
      </c>
      <c r="C1668" s="1" t="n">
        <v>46161</v>
      </c>
      <c r="D1668" t="inlineStr">
        <is>
          <t>VÄSTERNORRLANDS LÄN</t>
        </is>
      </c>
      <c r="E1668" t="inlineStr">
        <is>
          <t>SOLLEFTEÅ</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56074-2025</t>
        </is>
      </c>
      <c r="B1669" s="1" t="n">
        <v>45973.65700231482</v>
      </c>
      <c r="C1669" s="1" t="n">
        <v>46161</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56075-2025</t>
        </is>
      </c>
      <c r="B1670" s="1" t="n">
        <v>45973.65723379629</v>
      </c>
      <c r="C1670" s="1" t="n">
        <v>46161</v>
      </c>
      <c r="D1670" t="inlineStr">
        <is>
          <t>VÄSTERNORRLANDS LÄN</t>
        </is>
      </c>
      <c r="E1670" t="inlineStr">
        <is>
          <t>SOLLEFTEÅ</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36567-2025</t>
        </is>
      </c>
      <c r="B1671" s="1" t="n">
        <v>45870.38320601852</v>
      </c>
      <c r="C1671" s="1" t="n">
        <v>46161</v>
      </c>
      <c r="D1671" t="inlineStr">
        <is>
          <t>VÄSTERNORRLANDS LÄN</t>
        </is>
      </c>
      <c r="E1671" t="inlineStr">
        <is>
          <t>SOLLEFTEÅ</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31395-2025</t>
        </is>
      </c>
      <c r="B1672" s="1" t="n">
        <v>45833.46438657407</v>
      </c>
      <c r="C1672" s="1" t="n">
        <v>46161</v>
      </c>
      <c r="D1672" t="inlineStr">
        <is>
          <t>VÄSTERNORRLANDS LÄN</t>
        </is>
      </c>
      <c r="E1672" t="inlineStr">
        <is>
          <t>SOLLEFTEÅ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1465-2025</t>
        </is>
      </c>
      <c r="B1673" s="1" t="n">
        <v>45670.36513888889</v>
      </c>
      <c r="C1673" s="1" t="n">
        <v>46161</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33713-2023</t>
        </is>
      </c>
      <c r="B1674" s="1" t="n">
        <v>45132.94952546297</v>
      </c>
      <c r="C1674" s="1" t="n">
        <v>46161</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49171-2022</t>
        </is>
      </c>
      <c r="B1675" s="1" t="n">
        <v>44860.9269212963</v>
      </c>
      <c r="C1675" s="1" t="n">
        <v>46161</v>
      </c>
      <c r="D1675" t="inlineStr">
        <is>
          <t>VÄSTERNORRLANDS LÄN</t>
        </is>
      </c>
      <c r="E1675" t="inlineStr">
        <is>
          <t>SOLLEFTEÅ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56408-2024</t>
        </is>
      </c>
      <c r="B1676" s="1" t="n">
        <v>45625</v>
      </c>
      <c r="C1676" s="1" t="n">
        <v>46161</v>
      </c>
      <c r="D1676" t="inlineStr">
        <is>
          <t>VÄSTERNORRLANDS LÄN</t>
        </is>
      </c>
      <c r="E1676" t="inlineStr">
        <is>
          <t>SOLLEFTEÅ</t>
        </is>
      </c>
      <c r="F1676" t="inlineStr">
        <is>
          <t>SCA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56425-2025</t>
        </is>
      </c>
      <c r="B1677" s="1" t="n">
        <v>45975.34559027778</v>
      </c>
      <c r="C1677" s="1" t="n">
        <v>46161</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40355-2024</t>
        </is>
      </c>
      <c r="B1678" s="1" t="n">
        <v>45555.36541666667</v>
      </c>
      <c r="C1678" s="1" t="n">
        <v>46161</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22205-2025</t>
        </is>
      </c>
      <c r="B1679" s="1" t="n">
        <v>45785.65686342592</v>
      </c>
      <c r="C1679" s="1" t="n">
        <v>46161</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37671-2023</t>
        </is>
      </c>
      <c r="B1680" s="1" t="n">
        <v>45156</v>
      </c>
      <c r="C1680" s="1" t="n">
        <v>46161</v>
      </c>
      <c r="D1680" t="inlineStr">
        <is>
          <t>VÄSTERNORRLANDS LÄN</t>
        </is>
      </c>
      <c r="E1680" t="inlineStr">
        <is>
          <t>SOLLEFTEÅ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22390-2025</t>
        </is>
      </c>
      <c r="B1681" s="1" t="n">
        <v>45786.51107638889</v>
      </c>
      <c r="C1681" s="1" t="n">
        <v>46161</v>
      </c>
      <c r="D1681" t="inlineStr">
        <is>
          <t>VÄSTERNORRLANDS LÄN</t>
        </is>
      </c>
      <c r="E1681" t="inlineStr">
        <is>
          <t>SOLLEFTEÅ</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54559-2022</t>
        </is>
      </c>
      <c r="B1682" s="1" t="n">
        <v>44882</v>
      </c>
      <c r="C1682" s="1" t="n">
        <v>46161</v>
      </c>
      <c r="D1682" t="inlineStr">
        <is>
          <t>VÄSTERNORRLANDS LÄN</t>
        </is>
      </c>
      <c r="E1682" t="inlineStr">
        <is>
          <t>SOLLEFTEÅ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56393-2025</t>
        </is>
      </c>
      <c r="B1683" s="1" t="n">
        <v>45974.74042824074</v>
      </c>
      <c r="C1683" s="1" t="n">
        <v>46161</v>
      </c>
      <c r="D1683" t="inlineStr">
        <is>
          <t>VÄSTERNORRLANDS LÄN</t>
        </is>
      </c>
      <c r="E1683" t="inlineStr">
        <is>
          <t>SOLLEFTEÅ</t>
        </is>
      </c>
      <c r="F1683" t="inlineStr">
        <is>
          <t>Holmen skog AB</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36967-2025</t>
        </is>
      </c>
      <c r="B1684" s="1" t="n">
        <v>45874.63642361111</v>
      </c>
      <c r="C1684" s="1" t="n">
        <v>46161</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29210-2023</t>
        </is>
      </c>
      <c r="B1685" s="1" t="n">
        <v>45097</v>
      </c>
      <c r="C1685" s="1" t="n">
        <v>46161</v>
      </c>
      <c r="D1685" t="inlineStr">
        <is>
          <t>VÄSTERNORRLANDS LÄN</t>
        </is>
      </c>
      <c r="E1685" t="inlineStr">
        <is>
          <t>SOLLEFTEÅ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29336-2023</t>
        </is>
      </c>
      <c r="B1686" s="1" t="n">
        <v>45105</v>
      </c>
      <c r="C1686" s="1" t="n">
        <v>46161</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37053-2025</t>
        </is>
      </c>
      <c r="B1687" s="1" t="n">
        <v>45875.36493055556</v>
      </c>
      <c r="C1687" s="1" t="n">
        <v>46161</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36850-2025</t>
        </is>
      </c>
      <c r="B1688" s="1" t="n">
        <v>45874.39098379629</v>
      </c>
      <c r="C1688" s="1" t="n">
        <v>46161</v>
      </c>
      <c r="D1688" t="inlineStr">
        <is>
          <t>VÄSTERNORRLANDS LÄN</t>
        </is>
      </c>
      <c r="E1688" t="inlineStr">
        <is>
          <t>SOLLEFTEÅ</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37065-2025</t>
        </is>
      </c>
      <c r="B1689" s="1" t="n">
        <v>45875.38619212963</v>
      </c>
      <c r="C1689" s="1" t="n">
        <v>46161</v>
      </c>
      <c r="D1689" t="inlineStr">
        <is>
          <t>VÄSTERNORRLANDS LÄN</t>
        </is>
      </c>
      <c r="E1689" t="inlineStr">
        <is>
          <t>SOLLEFTEÅ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36968-2025</t>
        </is>
      </c>
      <c r="B1690" s="1" t="n">
        <v>45874.63667824074</v>
      </c>
      <c r="C1690" s="1" t="n">
        <v>46161</v>
      </c>
      <c r="D1690" t="inlineStr">
        <is>
          <t>VÄSTERNORRLANDS LÄN</t>
        </is>
      </c>
      <c r="E1690" t="inlineStr">
        <is>
          <t>SOLLEFTEÅ</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59491-2024</t>
        </is>
      </c>
      <c r="B1691" s="1" t="n">
        <v>45637</v>
      </c>
      <c r="C1691" s="1" t="n">
        <v>46161</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12561-2022</t>
        </is>
      </c>
      <c r="B1692" s="1" t="n">
        <v>44638</v>
      </c>
      <c r="C1692" s="1" t="n">
        <v>46161</v>
      </c>
      <c r="D1692" t="inlineStr">
        <is>
          <t>VÄSTERNORRLANDS LÄN</t>
        </is>
      </c>
      <c r="E1692" t="inlineStr">
        <is>
          <t>SOLLEFTEÅ</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12820-2023</t>
        </is>
      </c>
      <c r="B1693" s="1" t="n">
        <v>45000</v>
      </c>
      <c r="C1693" s="1" t="n">
        <v>46161</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37084-2025</t>
        </is>
      </c>
      <c r="B1694" s="1" t="n">
        <v>45875.44826388889</v>
      </c>
      <c r="C1694" s="1" t="n">
        <v>46161</v>
      </c>
      <c r="D1694" t="inlineStr">
        <is>
          <t>VÄSTERNORRLANDS LÄN</t>
        </is>
      </c>
      <c r="E1694" t="inlineStr">
        <is>
          <t>SOLLEFTEÅ</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3096-2025</t>
        </is>
      </c>
      <c r="B1695" s="1" t="n">
        <v>45678.66643518519</v>
      </c>
      <c r="C1695" s="1" t="n">
        <v>46161</v>
      </c>
      <c r="D1695" t="inlineStr">
        <is>
          <t>VÄSTERNORRLANDS LÄN</t>
        </is>
      </c>
      <c r="E1695" t="inlineStr">
        <is>
          <t>SOLLEFTEÅ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56438-2025</t>
        </is>
      </c>
      <c r="B1696" s="1" t="n">
        <v>45975.34724537037</v>
      </c>
      <c r="C1696" s="1" t="n">
        <v>46161</v>
      </c>
      <c r="D1696" t="inlineStr">
        <is>
          <t>VÄSTERNORRLANDS LÄN</t>
        </is>
      </c>
      <c r="E1696" t="inlineStr">
        <is>
          <t>SOLLEFTEÅ</t>
        </is>
      </c>
      <c r="F1696" t="inlineStr">
        <is>
          <t>SCA</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36928-2025</t>
        </is>
      </c>
      <c r="B1697" s="1" t="n">
        <v>45874.55299768518</v>
      </c>
      <c r="C1697" s="1" t="n">
        <v>46161</v>
      </c>
      <c r="D1697" t="inlineStr">
        <is>
          <t>VÄSTERNORRLANDS LÄN</t>
        </is>
      </c>
      <c r="E1697" t="inlineStr">
        <is>
          <t>SOLLEFTEÅ</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36966-2025</t>
        </is>
      </c>
      <c r="B1698" s="1" t="n">
        <v>45874.63614583333</v>
      </c>
      <c r="C1698" s="1" t="n">
        <v>46161</v>
      </c>
      <c r="D1698" t="inlineStr">
        <is>
          <t>VÄSTERNORRLANDS LÄN</t>
        </is>
      </c>
      <c r="E1698" t="inlineStr">
        <is>
          <t>SOLLEFTEÅ</t>
        </is>
      </c>
      <c r="F1698" t="inlineStr">
        <is>
          <t>SCA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43049-2024</t>
        </is>
      </c>
      <c r="B1699" s="1" t="n">
        <v>45567</v>
      </c>
      <c r="C1699" s="1" t="n">
        <v>46161</v>
      </c>
      <c r="D1699" t="inlineStr">
        <is>
          <t>VÄSTERNORRLANDS LÄN</t>
        </is>
      </c>
      <c r="E1699" t="inlineStr">
        <is>
          <t>SOLLEFTEÅ</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49711-2021</t>
        </is>
      </c>
      <c r="B1700" s="1" t="n">
        <v>44455</v>
      </c>
      <c r="C1700" s="1" t="n">
        <v>46161</v>
      </c>
      <c r="D1700" t="inlineStr">
        <is>
          <t>VÄSTERNORRLANDS LÄN</t>
        </is>
      </c>
      <c r="E1700" t="inlineStr">
        <is>
          <t>SOLLEFTEÅ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37019-2025</t>
        </is>
      </c>
      <c r="B1701" s="1" t="n">
        <v>45874</v>
      </c>
      <c r="C1701" s="1" t="n">
        <v>46161</v>
      </c>
      <c r="D1701" t="inlineStr">
        <is>
          <t>VÄSTERNORRLANDS LÄN</t>
        </is>
      </c>
      <c r="E1701" t="inlineStr">
        <is>
          <t>SOLLEFTEÅ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37073-2025</t>
        </is>
      </c>
      <c r="B1702" s="1" t="n">
        <v>45875.40703703704</v>
      </c>
      <c r="C1702" s="1" t="n">
        <v>46161</v>
      </c>
      <c r="D1702" t="inlineStr">
        <is>
          <t>VÄSTERNORRLANDS LÄN</t>
        </is>
      </c>
      <c r="E1702" t="inlineStr">
        <is>
          <t>SOLLEFTEÅ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56443-2025</t>
        </is>
      </c>
      <c r="B1703" s="1" t="n">
        <v>45975.34791666667</v>
      </c>
      <c r="C1703" s="1" t="n">
        <v>46161</v>
      </c>
      <c r="D1703" t="inlineStr">
        <is>
          <t>VÄSTERNORRLANDS LÄN</t>
        </is>
      </c>
      <c r="E1703" t="inlineStr">
        <is>
          <t>SOLLEFTEÅ</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56458-2025</t>
        </is>
      </c>
      <c r="B1704" s="1" t="n">
        <v>45975.3650462963</v>
      </c>
      <c r="C1704" s="1" t="n">
        <v>46161</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36927-2025</t>
        </is>
      </c>
      <c r="B1705" s="1" t="n">
        <v>45874.55273148148</v>
      </c>
      <c r="C1705" s="1" t="n">
        <v>46161</v>
      </c>
      <c r="D1705" t="inlineStr">
        <is>
          <t>VÄSTERNORRLANDS LÄN</t>
        </is>
      </c>
      <c r="E1705" t="inlineStr">
        <is>
          <t>SOLLEFTEÅ</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14274-2025</t>
        </is>
      </c>
      <c r="B1706" s="1" t="n">
        <v>45740.64412037037</v>
      </c>
      <c r="C1706" s="1" t="n">
        <v>46161</v>
      </c>
      <c r="D1706" t="inlineStr">
        <is>
          <t>VÄSTERNORRLANDS LÄN</t>
        </is>
      </c>
      <c r="E1706" t="inlineStr">
        <is>
          <t>SOLLEFTEÅ</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37278-2025</t>
        </is>
      </c>
      <c r="B1707" s="1" t="n">
        <v>45876.490625</v>
      </c>
      <c r="C1707" s="1" t="n">
        <v>46161</v>
      </c>
      <c r="D1707" t="inlineStr">
        <is>
          <t>VÄSTERNORRLANDS LÄN</t>
        </is>
      </c>
      <c r="E1707" t="inlineStr">
        <is>
          <t>SOLLEFTEÅ</t>
        </is>
      </c>
      <c r="F1707" t="inlineStr">
        <is>
          <t>SCA</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56631-2025</t>
        </is>
      </c>
      <c r="B1708" s="1" t="n">
        <v>45975.61549768518</v>
      </c>
      <c r="C1708" s="1" t="n">
        <v>46161</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56632-2025</t>
        </is>
      </c>
      <c r="B1709" s="1" t="n">
        <v>45975.61571759259</v>
      </c>
      <c r="C1709" s="1" t="n">
        <v>46161</v>
      </c>
      <c r="D1709" t="inlineStr">
        <is>
          <t>VÄSTERNORRLANDS LÄN</t>
        </is>
      </c>
      <c r="E1709" t="inlineStr">
        <is>
          <t>SOLLEFTEÅ</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33743-2025</t>
        </is>
      </c>
      <c r="B1710" s="1" t="n">
        <v>45842.34496527778</v>
      </c>
      <c r="C1710" s="1" t="n">
        <v>46161</v>
      </c>
      <c r="D1710" t="inlineStr">
        <is>
          <t>VÄSTERNORRLANDS LÄN</t>
        </is>
      </c>
      <c r="E1710" t="inlineStr">
        <is>
          <t>SOLLEFTEÅ</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56434-2025</t>
        </is>
      </c>
      <c r="B1711" s="1" t="n">
        <v>45975.34666666666</v>
      </c>
      <c r="C1711" s="1" t="n">
        <v>46161</v>
      </c>
      <c r="D1711" t="inlineStr">
        <is>
          <t>VÄSTERNORRLANDS LÄN</t>
        </is>
      </c>
      <c r="E1711" t="inlineStr">
        <is>
          <t>SOLLEFTEÅ</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4931-2025</t>
        </is>
      </c>
      <c r="B1712" s="1" t="n">
        <v>45688.68476851852</v>
      </c>
      <c r="C1712" s="1" t="n">
        <v>46161</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37304-2025</t>
        </is>
      </c>
      <c r="B1713" s="1" t="n">
        <v>45876.59458333333</v>
      </c>
      <c r="C1713" s="1" t="n">
        <v>46161</v>
      </c>
      <c r="D1713" t="inlineStr">
        <is>
          <t>VÄSTERNORRLANDS LÄN</t>
        </is>
      </c>
      <c r="E1713" t="inlineStr">
        <is>
          <t>SOLLEFTEÅ</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15872-2024</t>
        </is>
      </c>
      <c r="B1714" s="1" t="n">
        <v>45405</v>
      </c>
      <c r="C1714" s="1" t="n">
        <v>46161</v>
      </c>
      <c r="D1714" t="inlineStr">
        <is>
          <t>VÄSTERNORRLANDS LÄN</t>
        </is>
      </c>
      <c r="E1714" t="inlineStr">
        <is>
          <t>SOLLEFTEÅ</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37242-2025</t>
        </is>
      </c>
      <c r="B1715" s="1" t="n">
        <v>45876.38614583333</v>
      </c>
      <c r="C1715" s="1" t="n">
        <v>46161</v>
      </c>
      <c r="D1715" t="inlineStr">
        <is>
          <t>VÄSTERNORRLANDS LÄN</t>
        </is>
      </c>
      <c r="E1715" t="inlineStr">
        <is>
          <t>SOLLEFTEÅ</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37325-2025</t>
        </is>
      </c>
      <c r="B1716" s="1" t="n">
        <v>45876.63581018519</v>
      </c>
      <c r="C1716" s="1" t="n">
        <v>46161</v>
      </c>
      <c r="D1716" t="inlineStr">
        <is>
          <t>VÄSTERNORRLANDS LÄN</t>
        </is>
      </c>
      <c r="E1716" t="inlineStr">
        <is>
          <t>SOLLEFTEÅ</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37581-2025</t>
        </is>
      </c>
      <c r="B1717" s="1" t="n">
        <v>45880.38623842593</v>
      </c>
      <c r="C1717" s="1" t="n">
        <v>46161</v>
      </c>
      <c r="D1717" t="inlineStr">
        <is>
          <t>VÄSTERNORRLANDS LÄN</t>
        </is>
      </c>
      <c r="E1717" t="inlineStr">
        <is>
          <t>SOLLEFTEÅ</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12006-2022</t>
        </is>
      </c>
      <c r="B1718" s="1" t="n">
        <v>44635.92496527778</v>
      </c>
      <c r="C1718" s="1" t="n">
        <v>46161</v>
      </c>
      <c r="D1718" t="inlineStr">
        <is>
          <t>VÄSTERNORRLANDS LÄN</t>
        </is>
      </c>
      <c r="E1718" t="inlineStr">
        <is>
          <t>SOLLEFTEÅ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37607-2025</t>
        </is>
      </c>
      <c r="B1719" s="1" t="n">
        <v>45880</v>
      </c>
      <c r="C1719" s="1" t="n">
        <v>46161</v>
      </c>
      <c r="D1719" t="inlineStr">
        <is>
          <t>VÄSTERNORRLANDS LÄN</t>
        </is>
      </c>
      <c r="E1719" t="inlineStr">
        <is>
          <t>SOLLEFTEÅ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3082-2025</t>
        </is>
      </c>
      <c r="B1720" s="1" t="n">
        <v>45678.64443287037</v>
      </c>
      <c r="C1720" s="1" t="n">
        <v>46161</v>
      </c>
      <c r="D1720" t="inlineStr">
        <is>
          <t>VÄSTERNORRLANDS LÄN</t>
        </is>
      </c>
      <c r="E1720" t="inlineStr">
        <is>
          <t>SOLLEFTEÅ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5874-2024</t>
        </is>
      </c>
      <c r="B1721" s="1" t="n">
        <v>45335.6615625</v>
      </c>
      <c r="C1721" s="1" t="n">
        <v>46161</v>
      </c>
      <c r="D1721" t="inlineStr">
        <is>
          <t>VÄSTERNORRLANDS LÄN</t>
        </is>
      </c>
      <c r="E1721" t="inlineStr">
        <is>
          <t>SOLLEFTEÅ</t>
        </is>
      </c>
      <c r="F1721" t="inlineStr">
        <is>
          <t>Övriga Aktiebolag</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8084-2025</t>
        </is>
      </c>
      <c r="B1722" s="1" t="n">
        <v>45707</v>
      </c>
      <c r="C1722" s="1" t="n">
        <v>46161</v>
      </c>
      <c r="D1722" t="inlineStr">
        <is>
          <t>VÄSTERNORRLANDS LÄN</t>
        </is>
      </c>
      <c r="E1722" t="inlineStr">
        <is>
          <t>SOLLEFTEÅ</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58427-2023</t>
        </is>
      </c>
      <c r="B1723" s="1" t="n">
        <v>45250</v>
      </c>
      <c r="C1723" s="1" t="n">
        <v>46161</v>
      </c>
      <c r="D1723" t="inlineStr">
        <is>
          <t>VÄSTERNORRLANDS LÄN</t>
        </is>
      </c>
      <c r="E1723" t="inlineStr">
        <is>
          <t>SOLLEFTEÅ</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37921-2025</t>
        </is>
      </c>
      <c r="B1724" s="1" t="n">
        <v>45881.57491898148</v>
      </c>
      <c r="C1724" s="1" t="n">
        <v>46161</v>
      </c>
      <c r="D1724" t="inlineStr">
        <is>
          <t>VÄSTERNORRLANDS LÄN</t>
        </is>
      </c>
      <c r="E1724" t="inlineStr">
        <is>
          <t>SOLLEFTEÅ</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37880-2025</t>
        </is>
      </c>
      <c r="B1725" s="1" t="n">
        <v>45881.48998842593</v>
      </c>
      <c r="C1725" s="1" t="n">
        <v>46161</v>
      </c>
      <c r="D1725" t="inlineStr">
        <is>
          <t>VÄSTERNORRLANDS LÄN</t>
        </is>
      </c>
      <c r="E1725" t="inlineStr">
        <is>
          <t>SOLLEFTEÅ</t>
        </is>
      </c>
      <c r="F1725" t="inlineStr">
        <is>
          <t>SCA</t>
        </is>
      </c>
      <c r="G1725" t="n">
        <v>26.1</v>
      </c>
      <c r="H1725" t="n">
        <v>0</v>
      </c>
      <c r="I1725" t="n">
        <v>0</v>
      </c>
      <c r="J1725" t="n">
        <v>0</v>
      </c>
      <c r="K1725" t="n">
        <v>0</v>
      </c>
      <c r="L1725" t="n">
        <v>0</v>
      </c>
      <c r="M1725" t="n">
        <v>0</v>
      </c>
      <c r="N1725" t="n">
        <v>0</v>
      </c>
      <c r="O1725" t="n">
        <v>0</v>
      </c>
      <c r="P1725" t="n">
        <v>0</v>
      </c>
      <c r="Q1725" t="n">
        <v>0</v>
      </c>
      <c r="R1725" s="2" t="inlineStr"/>
    </row>
    <row r="1726" ht="15" customHeight="1">
      <c r="A1726" t="inlineStr">
        <is>
          <t>A 4859-2025</t>
        </is>
      </c>
      <c r="B1726" s="1" t="n">
        <v>45688.67451388889</v>
      </c>
      <c r="C1726" s="1" t="n">
        <v>46161</v>
      </c>
      <c r="D1726" t="inlineStr">
        <is>
          <t>VÄSTERNORRLANDS LÄN</t>
        </is>
      </c>
      <c r="E1726" t="inlineStr">
        <is>
          <t>SOLLEFTEÅ</t>
        </is>
      </c>
      <c r="F1726" t="inlineStr">
        <is>
          <t>SCA</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4894-2025</t>
        </is>
      </c>
      <c r="B1727" s="1" t="n">
        <v>45688.67888888889</v>
      </c>
      <c r="C1727" s="1" t="n">
        <v>46161</v>
      </c>
      <c r="D1727" t="inlineStr">
        <is>
          <t>VÄSTERNORRLANDS LÄN</t>
        </is>
      </c>
      <c r="E1727" t="inlineStr">
        <is>
          <t>SOLLEFTEÅ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57224-2025</t>
        </is>
      </c>
      <c r="B1728" s="1" t="n">
        <v>45979.61547453704</v>
      </c>
      <c r="C1728" s="1" t="n">
        <v>46161</v>
      </c>
      <c r="D1728" t="inlineStr">
        <is>
          <t>VÄSTERNORRLANDS LÄN</t>
        </is>
      </c>
      <c r="E1728" t="inlineStr">
        <is>
          <t>SOLLEFTEÅ</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57225-2025</t>
        </is>
      </c>
      <c r="B1729" s="1" t="n">
        <v>45979.61555555555</v>
      </c>
      <c r="C1729" s="1" t="n">
        <v>46161</v>
      </c>
      <c r="D1729" t="inlineStr">
        <is>
          <t>VÄSTERNORRLANDS LÄN</t>
        </is>
      </c>
      <c r="E1729" t="inlineStr">
        <is>
          <t>SOLLEFTEÅ</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46212-2023</t>
        </is>
      </c>
      <c r="B1730" s="1" t="n">
        <v>45190</v>
      </c>
      <c r="C1730" s="1" t="n">
        <v>46161</v>
      </c>
      <c r="D1730" t="inlineStr">
        <is>
          <t>VÄSTERNORRLANDS LÄN</t>
        </is>
      </c>
      <c r="E1730" t="inlineStr">
        <is>
          <t>SOLLEFTEÅ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38271-2025</t>
        </is>
      </c>
      <c r="B1731" s="1" t="n">
        <v>45883.4071412037</v>
      </c>
      <c r="C1731" s="1" t="n">
        <v>46161</v>
      </c>
      <c r="D1731" t="inlineStr">
        <is>
          <t>VÄSTERNORRLANDS LÄN</t>
        </is>
      </c>
      <c r="E1731" t="inlineStr">
        <is>
          <t>SOLLEFTEÅ</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22207-2025</t>
        </is>
      </c>
      <c r="B1732" s="1" t="n">
        <v>45785.65710648148</v>
      </c>
      <c r="C1732" s="1" t="n">
        <v>46161</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39399-2023</t>
        </is>
      </c>
      <c r="B1733" s="1" t="n">
        <v>45163</v>
      </c>
      <c r="C1733" s="1" t="n">
        <v>46161</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15147-2024</t>
        </is>
      </c>
      <c r="B1734" s="1" t="n">
        <v>45399.94372685185</v>
      </c>
      <c r="C1734" s="1" t="n">
        <v>46161</v>
      </c>
      <c r="D1734" t="inlineStr">
        <is>
          <t>VÄSTERNORRLANDS LÄN</t>
        </is>
      </c>
      <c r="E1734" t="inlineStr">
        <is>
          <t>SOLLEFTEÅ</t>
        </is>
      </c>
      <c r="F1734" t="inlineStr">
        <is>
          <t>SCA</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56987-2025</t>
        </is>
      </c>
      <c r="B1735" s="1" t="n">
        <v>45978.71915509259</v>
      </c>
      <c r="C1735" s="1" t="n">
        <v>46161</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57061-2025</t>
        </is>
      </c>
      <c r="B1736" s="1" t="n">
        <v>45979.37059027778</v>
      </c>
      <c r="C1736" s="1" t="n">
        <v>46161</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54574-2024</t>
        </is>
      </c>
      <c r="B1737" s="1" t="n">
        <v>45617.65201388889</v>
      </c>
      <c r="C1737" s="1" t="n">
        <v>46161</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26955-2024</t>
        </is>
      </c>
      <c r="B1738" s="1" t="n">
        <v>45470.97040509259</v>
      </c>
      <c r="C1738" s="1" t="n">
        <v>46161</v>
      </c>
      <c r="D1738" t="inlineStr">
        <is>
          <t>VÄSTERNORRLANDS LÄN</t>
        </is>
      </c>
      <c r="E1738" t="inlineStr">
        <is>
          <t>SOLLEFTEÅ</t>
        </is>
      </c>
      <c r="F1738" t="inlineStr">
        <is>
          <t>SCA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14612-2025</t>
        </is>
      </c>
      <c r="B1739" s="1" t="n">
        <v>45742</v>
      </c>
      <c r="C1739" s="1" t="n">
        <v>46161</v>
      </c>
      <c r="D1739" t="inlineStr">
        <is>
          <t>VÄSTERNORRLANDS LÄN</t>
        </is>
      </c>
      <c r="E1739" t="inlineStr">
        <is>
          <t>SOLLEFTEÅ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38330-2025</t>
        </is>
      </c>
      <c r="B1740" s="1" t="n">
        <v>45883.49123842592</v>
      </c>
      <c r="C1740" s="1" t="n">
        <v>46161</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38156-2025</t>
        </is>
      </c>
      <c r="B1741" s="1" t="n">
        <v>45882.61491898148</v>
      </c>
      <c r="C1741" s="1" t="n">
        <v>46161</v>
      </c>
      <c r="D1741" t="inlineStr">
        <is>
          <t>VÄSTERNORRLANDS LÄN</t>
        </is>
      </c>
      <c r="E1741" t="inlineStr">
        <is>
          <t>SOLLEFTEÅ</t>
        </is>
      </c>
      <c r="F1741" t="inlineStr">
        <is>
          <t>SCA</t>
        </is>
      </c>
      <c r="G1741" t="n">
        <v>13.5</v>
      </c>
      <c r="H1741" t="n">
        <v>0</v>
      </c>
      <c r="I1741" t="n">
        <v>0</v>
      </c>
      <c r="J1741" t="n">
        <v>0</v>
      </c>
      <c r="K1741" t="n">
        <v>0</v>
      </c>
      <c r="L1741" t="n">
        <v>0</v>
      </c>
      <c r="M1741" t="n">
        <v>0</v>
      </c>
      <c r="N1741" t="n">
        <v>0</v>
      </c>
      <c r="O1741" t="n">
        <v>0</v>
      </c>
      <c r="P1741" t="n">
        <v>0</v>
      </c>
      <c r="Q1741" t="n">
        <v>0</v>
      </c>
      <c r="R1741" s="2" t="inlineStr"/>
    </row>
    <row r="1742" ht="15" customHeight="1">
      <c r="A1742" t="inlineStr">
        <is>
          <t>A 57176-2025</t>
        </is>
      </c>
      <c r="B1742" s="1" t="n">
        <v>45979.55251157407</v>
      </c>
      <c r="C1742" s="1" t="n">
        <v>46161</v>
      </c>
      <c r="D1742" t="inlineStr">
        <is>
          <t>VÄSTERNORRLANDS LÄN</t>
        </is>
      </c>
      <c r="E1742" t="inlineStr">
        <is>
          <t>SOLLEFTEÅ</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37801-2025</t>
        </is>
      </c>
      <c r="B1743" s="1" t="n">
        <v>45881.34436342592</v>
      </c>
      <c r="C1743" s="1" t="n">
        <v>46161</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61845-2024</t>
        </is>
      </c>
      <c r="B1744" s="1" t="n">
        <v>45646</v>
      </c>
      <c r="C1744" s="1" t="n">
        <v>46161</v>
      </c>
      <c r="D1744" t="inlineStr">
        <is>
          <t>VÄSTERNORRLANDS LÄN</t>
        </is>
      </c>
      <c r="E1744" t="inlineStr">
        <is>
          <t>SOLLEFTEÅ</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61849-2024</t>
        </is>
      </c>
      <c r="B1745" s="1" t="n">
        <v>45646</v>
      </c>
      <c r="C1745" s="1" t="n">
        <v>46161</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57205-2025</t>
        </is>
      </c>
      <c r="B1746" s="1" t="n">
        <v>45979.59429398148</v>
      </c>
      <c r="C1746" s="1" t="n">
        <v>46161</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38092-2025</t>
        </is>
      </c>
      <c r="B1747" s="1" t="n">
        <v>45882.49005787037</v>
      </c>
      <c r="C1747" s="1" t="n">
        <v>46161</v>
      </c>
      <c r="D1747" t="inlineStr">
        <is>
          <t>VÄSTERNORRLANDS LÄN</t>
        </is>
      </c>
      <c r="E1747" t="inlineStr">
        <is>
          <t>SOLLEFTEÅ</t>
        </is>
      </c>
      <c r="F1747" t="inlineStr">
        <is>
          <t>SCA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57042-2025</t>
        </is>
      </c>
      <c r="B1748" s="1" t="n">
        <v>45979.34598379629</v>
      </c>
      <c r="C1748" s="1" t="n">
        <v>46161</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47329-2023</t>
        </is>
      </c>
      <c r="B1749" s="1" t="n">
        <v>45196</v>
      </c>
      <c r="C1749" s="1" t="n">
        <v>46161</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38190-2025</t>
        </is>
      </c>
      <c r="B1750" s="1" t="n">
        <v>45882.65680555555</v>
      </c>
      <c r="C1750" s="1" t="n">
        <v>46161</v>
      </c>
      <c r="D1750" t="inlineStr">
        <is>
          <t>VÄSTERNORRLANDS LÄN</t>
        </is>
      </c>
      <c r="E1750" t="inlineStr">
        <is>
          <t>SOLLEFTEÅ</t>
        </is>
      </c>
      <c r="F1750" t="inlineStr">
        <is>
          <t>SCA</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38220-2025</t>
        </is>
      </c>
      <c r="B1751" s="1" t="n">
        <v>45883.34418981482</v>
      </c>
      <c r="C1751" s="1" t="n">
        <v>46161</v>
      </c>
      <c r="D1751" t="inlineStr">
        <is>
          <t>VÄSTERNORRLANDS LÄN</t>
        </is>
      </c>
      <c r="E1751" t="inlineStr">
        <is>
          <t>SOLLEFTEÅ</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41925-2024</t>
        </is>
      </c>
      <c r="B1752" s="1" t="n">
        <v>45561</v>
      </c>
      <c r="C1752" s="1" t="n">
        <v>46161</v>
      </c>
      <c r="D1752" t="inlineStr">
        <is>
          <t>VÄSTERNORRLANDS LÄN</t>
        </is>
      </c>
      <c r="E1752" t="inlineStr">
        <is>
          <t>SOLLEFTEÅ</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38240-2025</t>
        </is>
      </c>
      <c r="B1753" s="1" t="n">
        <v>45883.36532407408</v>
      </c>
      <c r="C1753" s="1" t="n">
        <v>46161</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58808-2024</t>
        </is>
      </c>
      <c r="B1754" s="1" t="n">
        <v>45636.34446759259</v>
      </c>
      <c r="C1754" s="1" t="n">
        <v>46161</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57019-2025</t>
        </is>
      </c>
      <c r="B1755" s="1" t="n">
        <v>45978.85565972222</v>
      </c>
      <c r="C1755" s="1" t="n">
        <v>46161</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42983-2024</t>
        </is>
      </c>
      <c r="B1756" s="1" t="n">
        <v>45567.37471064815</v>
      </c>
      <c r="C1756" s="1" t="n">
        <v>46161</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42984-2024</t>
        </is>
      </c>
      <c r="B1757" s="1" t="n">
        <v>45567.37532407408</v>
      </c>
      <c r="C1757" s="1" t="n">
        <v>46161</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42985-2024</t>
        </is>
      </c>
      <c r="B1758" s="1" t="n">
        <v>45567.37533564815</v>
      </c>
      <c r="C1758" s="1" t="n">
        <v>46161</v>
      </c>
      <c r="D1758" t="inlineStr">
        <is>
          <t>VÄSTERNORRLANDS LÄN</t>
        </is>
      </c>
      <c r="E1758" t="inlineStr">
        <is>
          <t>SOLLEFTEÅ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48964-2023</t>
        </is>
      </c>
      <c r="B1759" s="1" t="n">
        <v>45204</v>
      </c>
      <c r="C1759" s="1" t="n">
        <v>46161</v>
      </c>
      <c r="D1759" t="inlineStr">
        <is>
          <t>VÄSTERNORRLANDS LÄN</t>
        </is>
      </c>
      <c r="E1759" t="inlineStr">
        <is>
          <t>SOLLEFTEÅ</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48785-2024</t>
        </is>
      </c>
      <c r="B1760" s="1" t="n">
        <v>45593</v>
      </c>
      <c r="C1760" s="1" t="n">
        <v>46161</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38596-2025</t>
        </is>
      </c>
      <c r="B1761" s="1" t="n">
        <v>45884.49040509259</v>
      </c>
      <c r="C1761" s="1" t="n">
        <v>46161</v>
      </c>
      <c r="D1761" t="inlineStr">
        <is>
          <t>VÄSTERNORRLANDS LÄN</t>
        </is>
      </c>
      <c r="E1761" t="inlineStr">
        <is>
          <t>SOLLEFTEÅ</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38598-2025</t>
        </is>
      </c>
      <c r="B1762" s="1" t="n">
        <v>45884.49074074074</v>
      </c>
      <c r="C1762" s="1" t="n">
        <v>46161</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34100-2023</t>
        </is>
      </c>
      <c r="B1763" s="1" t="n">
        <v>45125</v>
      </c>
      <c r="C1763" s="1" t="n">
        <v>46161</v>
      </c>
      <c r="D1763" t="inlineStr">
        <is>
          <t>VÄSTERNORRLANDS LÄN</t>
        </is>
      </c>
      <c r="E1763" t="inlineStr">
        <is>
          <t>SOLLEFTEÅ</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54607-2023</t>
        </is>
      </c>
      <c r="B1764" s="1" t="n">
        <v>45233.95748842593</v>
      </c>
      <c r="C1764" s="1" t="n">
        <v>46161</v>
      </c>
      <c r="D1764" t="inlineStr">
        <is>
          <t>VÄSTERNORRLANDS LÄN</t>
        </is>
      </c>
      <c r="E1764" t="inlineStr">
        <is>
          <t>SOLLEFTEÅ</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41420-2024</t>
        </is>
      </c>
      <c r="B1765" s="1" t="n">
        <v>45560.34616898148</v>
      </c>
      <c r="C1765" s="1" t="n">
        <v>46161</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57373-2025</t>
        </is>
      </c>
      <c r="B1766" s="1" t="n">
        <v>45980.38606481482</v>
      </c>
      <c r="C1766" s="1" t="n">
        <v>46161</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57784-2025</t>
        </is>
      </c>
      <c r="B1767" s="1" t="n">
        <v>45981.57376157407</v>
      </c>
      <c r="C1767" s="1" t="n">
        <v>46161</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9608-2025</t>
        </is>
      </c>
      <c r="B1768" s="1" t="n">
        <v>45715.65699074074</v>
      </c>
      <c r="C1768" s="1" t="n">
        <v>46161</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58151-2025</t>
        </is>
      </c>
      <c r="B1769" s="1" t="n">
        <v>45982.65255787037</v>
      </c>
      <c r="C1769" s="1" t="n">
        <v>46161</v>
      </c>
      <c r="D1769" t="inlineStr">
        <is>
          <t>VÄSTERNORRLANDS LÄN</t>
        </is>
      </c>
      <c r="E1769" t="inlineStr">
        <is>
          <t>SOLLEFTEÅ</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57990-2025</t>
        </is>
      </c>
      <c r="B1770" s="1" t="n">
        <v>45982.4240625</v>
      </c>
      <c r="C1770" s="1" t="n">
        <v>46161</v>
      </c>
      <c r="D1770" t="inlineStr">
        <is>
          <t>VÄSTERNORRLANDS LÄN</t>
        </is>
      </c>
      <c r="E1770" t="inlineStr">
        <is>
          <t>SOLLEFTEÅ</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58313-2025</t>
        </is>
      </c>
      <c r="B1771" s="1" t="n">
        <v>45985.47021990741</v>
      </c>
      <c r="C1771" s="1" t="n">
        <v>46161</v>
      </c>
      <c r="D1771" t="inlineStr">
        <is>
          <t>VÄSTERNORRLANDS LÄN</t>
        </is>
      </c>
      <c r="E1771" t="inlineStr">
        <is>
          <t>SOLLEFTEÅ</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58383-2025</t>
        </is>
      </c>
      <c r="B1772" s="1" t="n">
        <v>45985.54152777778</v>
      </c>
      <c r="C1772" s="1" t="n">
        <v>46161</v>
      </c>
      <c r="D1772" t="inlineStr">
        <is>
          <t>VÄSTERNORRLANDS LÄN</t>
        </is>
      </c>
      <c r="E1772" t="inlineStr">
        <is>
          <t>SOLLEFTEÅ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58512-2025</t>
        </is>
      </c>
      <c r="B1773" s="1" t="n">
        <v>45982</v>
      </c>
      <c r="C1773" s="1" t="n">
        <v>46161</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58509-2025</t>
        </is>
      </c>
      <c r="B1774" s="1" t="n">
        <v>45982</v>
      </c>
      <c r="C1774" s="1" t="n">
        <v>46161</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58510-2025</t>
        </is>
      </c>
      <c r="B1775" s="1" t="n">
        <v>45982</v>
      </c>
      <c r="C1775" s="1" t="n">
        <v>46161</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9096-2023</t>
        </is>
      </c>
      <c r="B1776" s="1" t="n">
        <v>44979.94303240741</v>
      </c>
      <c r="C1776" s="1" t="n">
        <v>46161</v>
      </c>
      <c r="D1776" t="inlineStr">
        <is>
          <t>VÄSTERNORRLANDS LÄN</t>
        </is>
      </c>
      <c r="E1776" t="inlineStr">
        <is>
          <t>SOLLEFTEÅ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58032-2025</t>
        </is>
      </c>
      <c r="B1777" s="1" t="n">
        <v>45982.48753472222</v>
      </c>
      <c r="C1777" s="1" t="n">
        <v>46161</v>
      </c>
      <c r="D1777" t="inlineStr">
        <is>
          <t>VÄSTERNORRLANDS LÄN</t>
        </is>
      </c>
      <c r="E1777" t="inlineStr">
        <is>
          <t>SOLLEFTEÅ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38493-2025</t>
        </is>
      </c>
      <c r="B1778" s="1" t="n">
        <v>45884.36516203704</v>
      </c>
      <c r="C1778" s="1" t="n">
        <v>46161</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58034-2025</t>
        </is>
      </c>
      <c r="B1779" s="1" t="n">
        <v>45982.48967592593</v>
      </c>
      <c r="C1779" s="1" t="n">
        <v>46161</v>
      </c>
      <c r="D1779" t="inlineStr">
        <is>
          <t>VÄSTERNORRLANDS LÄN</t>
        </is>
      </c>
      <c r="E1779" t="inlineStr">
        <is>
          <t>SOLLEFTEÅ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58505-2025</t>
        </is>
      </c>
      <c r="B1780" s="1" t="n">
        <v>45985.69831018519</v>
      </c>
      <c r="C1780" s="1" t="n">
        <v>46161</v>
      </c>
      <c r="D1780" t="inlineStr">
        <is>
          <t>VÄSTERNORRLANDS LÄN</t>
        </is>
      </c>
      <c r="E1780" t="inlineStr">
        <is>
          <t>SOLLEFTEÅ</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58511-2025</t>
        </is>
      </c>
      <c r="B1781" s="1" t="n">
        <v>45982</v>
      </c>
      <c r="C1781" s="1" t="n">
        <v>46161</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18220-2025</t>
        </is>
      </c>
      <c r="B1782" s="1" t="n">
        <v>45761.7190625</v>
      </c>
      <c r="C1782" s="1" t="n">
        <v>46161</v>
      </c>
      <c r="D1782" t="inlineStr">
        <is>
          <t>VÄSTERNORRLANDS LÄN</t>
        </is>
      </c>
      <c r="E1782" t="inlineStr">
        <is>
          <t>SOLLEFTEÅ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58445-2025</t>
        </is>
      </c>
      <c r="B1783" s="1" t="n">
        <v>45985.62047453703</v>
      </c>
      <c r="C1783" s="1" t="n">
        <v>46161</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58030-2025</t>
        </is>
      </c>
      <c r="B1784" s="1" t="n">
        <v>45982.48627314815</v>
      </c>
      <c r="C1784" s="1" t="n">
        <v>46161</v>
      </c>
      <c r="D1784" t="inlineStr">
        <is>
          <t>VÄSTERNORRLANDS LÄN</t>
        </is>
      </c>
      <c r="E1784" t="inlineStr">
        <is>
          <t>SOLLEFTEÅ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58046-2025</t>
        </is>
      </c>
      <c r="B1785" s="1" t="n">
        <v>45982.50449074074</v>
      </c>
      <c r="C1785" s="1" t="n">
        <v>46161</v>
      </c>
      <c r="D1785" t="inlineStr">
        <is>
          <t>VÄSTERNORRLANDS LÄN</t>
        </is>
      </c>
      <c r="E1785" t="inlineStr">
        <is>
          <t>SOLLEFTEÅ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58126-2025</t>
        </is>
      </c>
      <c r="B1786" s="1" t="n">
        <v>45982.61518518518</v>
      </c>
      <c r="C1786" s="1" t="n">
        <v>46161</v>
      </c>
      <c r="D1786" t="inlineStr">
        <is>
          <t>VÄSTERNORRLANDS LÄN</t>
        </is>
      </c>
      <c r="E1786" t="inlineStr">
        <is>
          <t>SOLLEFTEÅ</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57846-2024</t>
        </is>
      </c>
      <c r="B1787" s="1" t="n">
        <v>45631.40759259259</v>
      </c>
      <c r="C1787" s="1" t="n">
        <v>46161</v>
      </c>
      <c r="D1787" t="inlineStr">
        <is>
          <t>VÄSTERNORRLANDS LÄN</t>
        </is>
      </c>
      <c r="E1787" t="inlineStr">
        <is>
          <t>SOLLEFTEÅ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10870-2024</t>
        </is>
      </c>
      <c r="B1788" s="1" t="n">
        <v>45370.02083333334</v>
      </c>
      <c r="C1788" s="1" t="n">
        <v>46161</v>
      </c>
      <c r="D1788" t="inlineStr">
        <is>
          <t>VÄSTERNORRLANDS LÄN</t>
        </is>
      </c>
      <c r="E1788" t="inlineStr">
        <is>
          <t>SOLLEFTEÅ</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20133-2025</t>
        </is>
      </c>
      <c r="B1789" s="1" t="n">
        <v>45772.51092592593</v>
      </c>
      <c r="C1789" s="1" t="n">
        <v>46161</v>
      </c>
      <c r="D1789" t="inlineStr">
        <is>
          <t>VÄSTERNORRLANDS LÄN</t>
        </is>
      </c>
      <c r="E1789" t="inlineStr">
        <is>
          <t>SOLLEFTEÅ</t>
        </is>
      </c>
      <c r="F1789" t="inlineStr">
        <is>
          <t>SCA</t>
        </is>
      </c>
      <c r="G1789" t="n">
        <v>58.2</v>
      </c>
      <c r="H1789" t="n">
        <v>0</v>
      </c>
      <c r="I1789" t="n">
        <v>0</v>
      </c>
      <c r="J1789" t="n">
        <v>0</v>
      </c>
      <c r="K1789" t="n">
        <v>0</v>
      </c>
      <c r="L1789" t="n">
        <v>0</v>
      </c>
      <c r="M1789" t="n">
        <v>0</v>
      </c>
      <c r="N1789" t="n">
        <v>0</v>
      </c>
      <c r="O1789" t="n">
        <v>0</v>
      </c>
      <c r="P1789" t="n">
        <v>0</v>
      </c>
      <c r="Q1789" t="n">
        <v>0</v>
      </c>
      <c r="R1789" s="2" t="inlineStr"/>
    </row>
    <row r="1790" ht="15" customHeight="1">
      <c r="A1790" t="inlineStr">
        <is>
          <t>A 55643-2021</t>
        </is>
      </c>
      <c r="B1790" s="1" t="n">
        <v>44475</v>
      </c>
      <c r="C1790" s="1" t="n">
        <v>46161</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58384-2025</t>
        </is>
      </c>
      <c r="B1791" s="1" t="n">
        <v>45985.54319444444</v>
      </c>
      <c r="C1791" s="1" t="n">
        <v>46161</v>
      </c>
      <c r="D1791" t="inlineStr">
        <is>
          <t>VÄSTERNORRLANDS LÄN</t>
        </is>
      </c>
      <c r="E1791" t="inlineStr">
        <is>
          <t>SOLLEFTEÅ</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58386-2025</t>
        </is>
      </c>
      <c r="B1792" s="1" t="n">
        <v>45985.54576388889</v>
      </c>
      <c r="C1792" s="1" t="n">
        <v>46161</v>
      </c>
      <c r="D1792" t="inlineStr">
        <is>
          <t>VÄSTERNORRLANDS LÄN</t>
        </is>
      </c>
      <c r="E1792" t="inlineStr">
        <is>
          <t>SOLLEFTEÅ</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49810-2023</t>
        </is>
      </c>
      <c r="B1793" s="1" t="n">
        <v>45212.66369212963</v>
      </c>
      <c r="C1793" s="1" t="n">
        <v>46161</v>
      </c>
      <c r="D1793" t="inlineStr">
        <is>
          <t>VÄSTERNORRLANDS LÄN</t>
        </is>
      </c>
      <c r="E1793" t="inlineStr">
        <is>
          <t>SOLLEFTEÅ</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58314-2025</t>
        </is>
      </c>
      <c r="B1794" s="1" t="n">
        <v>45985.47027777778</v>
      </c>
      <c r="C1794" s="1" t="n">
        <v>46161</v>
      </c>
      <c r="D1794" t="inlineStr">
        <is>
          <t>VÄSTERNORRLANDS LÄN</t>
        </is>
      </c>
      <c r="E1794" t="inlineStr">
        <is>
          <t>SOLLEFTEÅ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58205-2025</t>
        </is>
      </c>
      <c r="B1795" s="1" t="n">
        <v>45984.64722222222</v>
      </c>
      <c r="C1795" s="1" t="n">
        <v>46161</v>
      </c>
      <c r="D1795" t="inlineStr">
        <is>
          <t>VÄSTERNORRLANDS LÄN</t>
        </is>
      </c>
      <c r="E1795" t="inlineStr">
        <is>
          <t>SOLLEFTEÅ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58152-2025</t>
        </is>
      </c>
      <c r="B1796" s="1" t="n">
        <v>45982.65260416667</v>
      </c>
      <c r="C1796" s="1" t="n">
        <v>46161</v>
      </c>
      <c r="D1796" t="inlineStr">
        <is>
          <t>VÄSTERNORRLANDS LÄN</t>
        </is>
      </c>
      <c r="E1796" t="inlineStr">
        <is>
          <t>SOLLEFTEÅ</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58153-2025</t>
        </is>
      </c>
      <c r="B1797" s="1" t="n">
        <v>45982.65262731481</v>
      </c>
      <c r="C1797" s="1" t="n">
        <v>46161</v>
      </c>
      <c r="D1797" t="inlineStr">
        <is>
          <t>VÄSTERNORRLANDS LÄN</t>
        </is>
      </c>
      <c r="E1797" t="inlineStr">
        <is>
          <t>SOLLEFTEÅ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58027-2025</t>
        </is>
      </c>
      <c r="B1798" s="1" t="n">
        <v>45982.48417824074</v>
      </c>
      <c r="C1798" s="1" t="n">
        <v>46161</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32140-2024</t>
        </is>
      </c>
      <c r="B1799" s="1" t="n">
        <v>45511.54391203704</v>
      </c>
      <c r="C1799" s="1" t="n">
        <v>46161</v>
      </c>
      <c r="D1799" t="inlineStr">
        <is>
          <t>VÄSTERNORRLANDS LÄN</t>
        </is>
      </c>
      <c r="E1799" t="inlineStr">
        <is>
          <t>SOLLEFTEÅ</t>
        </is>
      </c>
      <c r="F1799" t="inlineStr">
        <is>
          <t>Holmen skog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58315-2025</t>
        </is>
      </c>
      <c r="B1800" s="1" t="n">
        <v>45985.47033564815</v>
      </c>
      <c r="C1800" s="1" t="n">
        <v>46161</v>
      </c>
      <c r="D1800" t="inlineStr">
        <is>
          <t>VÄSTERNORRLANDS LÄN</t>
        </is>
      </c>
      <c r="E1800" t="inlineStr">
        <is>
          <t>SOLLEFTEÅ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38507-2025</t>
        </is>
      </c>
      <c r="B1801" s="1" t="n">
        <v>45884.38591435185</v>
      </c>
      <c r="C1801" s="1" t="n">
        <v>46161</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58234-2025</t>
        </is>
      </c>
      <c r="B1802" s="1" t="n">
        <v>45985.38688657407</v>
      </c>
      <c r="C1802" s="1" t="n">
        <v>46161</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13567-2023</t>
        </is>
      </c>
      <c r="B1803" s="1" t="n">
        <v>45005</v>
      </c>
      <c r="C1803" s="1" t="n">
        <v>46161</v>
      </c>
      <c r="D1803" t="inlineStr">
        <is>
          <t>VÄSTERNORRLANDS LÄN</t>
        </is>
      </c>
      <c r="E1803" t="inlineStr">
        <is>
          <t>SOLLEFTEÅ</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13570-2023</t>
        </is>
      </c>
      <c r="B1804" s="1" t="n">
        <v>45005</v>
      </c>
      <c r="C1804" s="1" t="n">
        <v>46161</v>
      </c>
      <c r="D1804" t="inlineStr">
        <is>
          <t>VÄSTERNORRLANDS LÄN</t>
        </is>
      </c>
      <c r="E1804" t="inlineStr">
        <is>
          <t>SOLLEFTEÅ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56356-2023</t>
        </is>
      </c>
      <c r="B1805" s="1" t="n">
        <v>45236</v>
      </c>
      <c r="C1805" s="1" t="n">
        <v>46161</v>
      </c>
      <c r="D1805" t="inlineStr">
        <is>
          <t>VÄSTERNORRLANDS LÄN</t>
        </is>
      </c>
      <c r="E1805" t="inlineStr">
        <is>
          <t>SOLLEFTEÅ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38959-2025</t>
        </is>
      </c>
      <c r="B1806" s="1" t="n">
        <v>45887.67769675926</v>
      </c>
      <c r="C1806" s="1" t="n">
        <v>46161</v>
      </c>
      <c r="D1806" t="inlineStr">
        <is>
          <t>VÄSTERNORRLANDS LÄN</t>
        </is>
      </c>
      <c r="E1806" t="inlineStr">
        <is>
          <t>SOLLEFTEÅ</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58845-2025</t>
        </is>
      </c>
      <c r="B1807" s="1" t="n">
        <v>45987.3859375</v>
      </c>
      <c r="C1807" s="1" t="n">
        <v>46161</v>
      </c>
      <c r="D1807" t="inlineStr">
        <is>
          <t>VÄSTERNORRLANDS LÄN</t>
        </is>
      </c>
      <c r="E1807" t="inlineStr">
        <is>
          <t>SOLLEFTEÅ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57991-2022</t>
        </is>
      </c>
      <c r="B1808" s="1" t="n">
        <v>44900.48915509259</v>
      </c>
      <c r="C1808" s="1" t="n">
        <v>46161</v>
      </c>
      <c r="D1808" t="inlineStr">
        <is>
          <t>VÄSTERNORRLANDS LÄN</t>
        </is>
      </c>
      <c r="E1808" t="inlineStr">
        <is>
          <t>SOLLEFTEÅ</t>
        </is>
      </c>
      <c r="G1808" t="n">
        <v>14.2</v>
      </c>
      <c r="H1808" t="n">
        <v>0</v>
      </c>
      <c r="I1808" t="n">
        <v>0</v>
      </c>
      <c r="J1808" t="n">
        <v>0</v>
      </c>
      <c r="K1808" t="n">
        <v>0</v>
      </c>
      <c r="L1808" t="n">
        <v>0</v>
      </c>
      <c r="M1808" t="n">
        <v>0</v>
      </c>
      <c r="N1808" t="n">
        <v>0</v>
      </c>
      <c r="O1808" t="n">
        <v>0</v>
      </c>
      <c r="P1808" t="n">
        <v>0</v>
      </c>
      <c r="Q1808" t="n">
        <v>0</v>
      </c>
      <c r="R1808" s="2" t="inlineStr"/>
    </row>
    <row r="1809" ht="15" customHeight="1">
      <c r="A1809" t="inlineStr">
        <is>
          <t>A 58973-2025</t>
        </is>
      </c>
      <c r="B1809" s="1" t="n">
        <v>45987</v>
      </c>
      <c r="C1809" s="1" t="n">
        <v>46161</v>
      </c>
      <c r="D1809" t="inlineStr">
        <is>
          <t>VÄSTERNORRLANDS LÄN</t>
        </is>
      </c>
      <c r="E1809" t="inlineStr">
        <is>
          <t>SOLLEFTEÅ</t>
        </is>
      </c>
      <c r="F1809" t="inlineStr">
        <is>
          <t>SCA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38910-2025</t>
        </is>
      </c>
      <c r="B1810" s="1" t="n">
        <v>45887.61509259259</v>
      </c>
      <c r="C1810" s="1" t="n">
        <v>46161</v>
      </c>
      <c r="D1810" t="inlineStr">
        <is>
          <t>VÄSTERNORRLANDS LÄN</t>
        </is>
      </c>
      <c r="E1810" t="inlineStr">
        <is>
          <t>SOLLEFTEÅ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58999-2025</t>
        </is>
      </c>
      <c r="B1811" s="1" t="n">
        <v>45987</v>
      </c>
      <c r="C1811" s="1" t="n">
        <v>46161</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20184-2025</t>
        </is>
      </c>
      <c r="B1812" s="1" t="n">
        <v>45772.59458333333</v>
      </c>
      <c r="C1812" s="1" t="n">
        <v>46161</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6139-2024</t>
        </is>
      </c>
      <c r="B1813" s="1" t="n">
        <v>45337</v>
      </c>
      <c r="C1813" s="1" t="n">
        <v>46161</v>
      </c>
      <c r="D1813" t="inlineStr">
        <is>
          <t>VÄSTERNORRLANDS LÄN</t>
        </is>
      </c>
      <c r="E1813" t="inlineStr">
        <is>
          <t>SOLLEFTEÅ</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5254-2024</t>
        </is>
      </c>
      <c r="B1814" s="1" t="n">
        <v>45330</v>
      </c>
      <c r="C1814" s="1" t="n">
        <v>46161</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39504-2021</t>
        </is>
      </c>
      <c r="B1815" s="1" t="n">
        <v>44414.93480324074</v>
      </c>
      <c r="C1815" s="1" t="n">
        <v>46161</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58578-2024</t>
        </is>
      </c>
      <c r="B1816" s="1" t="n">
        <v>45635</v>
      </c>
      <c r="C1816" s="1" t="n">
        <v>46161</v>
      </c>
      <c r="D1816" t="inlineStr">
        <is>
          <t>VÄSTERNORRLANDS LÄN</t>
        </is>
      </c>
      <c r="E1816" t="inlineStr">
        <is>
          <t>SOLLEFTEÅ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58588-2024</t>
        </is>
      </c>
      <c r="B1817" s="1" t="n">
        <v>45635.50605324074</v>
      </c>
      <c r="C1817" s="1" t="n">
        <v>46161</v>
      </c>
      <c r="D1817" t="inlineStr">
        <is>
          <t>VÄSTERNORRLANDS LÄN</t>
        </is>
      </c>
      <c r="E1817" t="inlineStr">
        <is>
          <t>SOLLEFTEÅ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12539-2023</t>
        </is>
      </c>
      <c r="B1818" s="1" t="n">
        <v>45000.01452546296</v>
      </c>
      <c r="C1818" s="1" t="n">
        <v>46161</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2048-2025</t>
        </is>
      </c>
      <c r="B1819" s="1" t="n">
        <v>45671</v>
      </c>
      <c r="C1819" s="1" t="n">
        <v>46161</v>
      </c>
      <c r="D1819" t="inlineStr">
        <is>
          <t>VÄSTERNORRLANDS LÄN</t>
        </is>
      </c>
      <c r="E1819" t="inlineStr">
        <is>
          <t>SOLLEFTEÅ</t>
        </is>
      </c>
      <c r="G1819" t="n">
        <v>13.5</v>
      </c>
      <c r="H1819" t="n">
        <v>0</v>
      </c>
      <c r="I1819" t="n">
        <v>0</v>
      </c>
      <c r="J1819" t="n">
        <v>0</v>
      </c>
      <c r="K1819" t="n">
        <v>0</v>
      </c>
      <c r="L1819" t="n">
        <v>0</v>
      </c>
      <c r="M1819" t="n">
        <v>0</v>
      </c>
      <c r="N1819" t="n">
        <v>0</v>
      </c>
      <c r="O1819" t="n">
        <v>0</v>
      </c>
      <c r="P1819" t="n">
        <v>0</v>
      </c>
      <c r="Q1819" t="n">
        <v>0</v>
      </c>
      <c r="R1819" s="2" t="inlineStr"/>
    </row>
    <row r="1820" ht="15" customHeight="1">
      <c r="A1820" t="inlineStr">
        <is>
          <t>A 22208-2024</t>
        </is>
      </c>
      <c r="B1820" s="1" t="n">
        <v>45446.38181712963</v>
      </c>
      <c r="C1820" s="1" t="n">
        <v>46161</v>
      </c>
      <c r="D1820" t="inlineStr">
        <is>
          <t>VÄSTERNORRLANDS LÄN</t>
        </is>
      </c>
      <c r="E1820" t="inlineStr">
        <is>
          <t>SOLLEFTEÅ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58948-2025</t>
        </is>
      </c>
      <c r="B1821" s="1" t="n">
        <v>45987</v>
      </c>
      <c r="C1821" s="1" t="n">
        <v>46161</v>
      </c>
      <c r="D1821" t="inlineStr">
        <is>
          <t>VÄSTERNORRLANDS LÄN</t>
        </is>
      </c>
      <c r="E1821" t="inlineStr">
        <is>
          <t>SOLLEFTEÅ</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4253-2025</t>
        </is>
      </c>
      <c r="B1822" s="1" t="n">
        <v>45685.61232638889</v>
      </c>
      <c r="C1822" s="1" t="n">
        <v>46161</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3194-2025</t>
        </is>
      </c>
      <c r="B1823" s="1" t="n">
        <v>45679.42130787037</v>
      </c>
      <c r="C1823" s="1" t="n">
        <v>46161</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59474-2024</t>
        </is>
      </c>
      <c r="B1824" s="1" t="n">
        <v>45638.504375</v>
      </c>
      <c r="C1824" s="1" t="n">
        <v>46161</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58558-2025</t>
        </is>
      </c>
      <c r="B1825" s="1" t="n">
        <v>45986.34451388889</v>
      </c>
      <c r="C1825" s="1" t="n">
        <v>46161</v>
      </c>
      <c r="D1825" t="inlineStr">
        <is>
          <t>VÄSTERNORRLANDS LÄN</t>
        </is>
      </c>
      <c r="E1825" t="inlineStr">
        <is>
          <t>SOLLEFTEÅ</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58998-2025</t>
        </is>
      </c>
      <c r="B1826" s="1" t="n">
        <v>45987</v>
      </c>
      <c r="C1826" s="1" t="n">
        <v>46161</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62100-2023</t>
        </is>
      </c>
      <c r="B1827" s="1" t="n">
        <v>45266.92689814815</v>
      </c>
      <c r="C1827" s="1" t="n">
        <v>46161</v>
      </c>
      <c r="D1827" t="inlineStr">
        <is>
          <t>VÄSTERNORRLANDS LÄN</t>
        </is>
      </c>
      <c r="E1827" t="inlineStr">
        <is>
          <t>SOLLEFTEÅ</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59002-2025</t>
        </is>
      </c>
      <c r="B1828" s="1" t="n">
        <v>45987</v>
      </c>
      <c r="C1828" s="1" t="n">
        <v>46161</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14252-2025</t>
        </is>
      </c>
      <c r="B1829" s="1" t="n">
        <v>45740.61601851852</v>
      </c>
      <c r="C1829" s="1" t="n">
        <v>46161</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58772-2025</t>
        </is>
      </c>
      <c r="B1830" s="1" t="n">
        <v>45986</v>
      </c>
      <c r="C1830" s="1" t="n">
        <v>46161</v>
      </c>
      <c r="D1830" t="inlineStr">
        <is>
          <t>VÄSTERNORRLANDS LÄN</t>
        </is>
      </c>
      <c r="E1830" t="inlineStr">
        <is>
          <t>SOLLEFTEÅ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58382-2025</t>
        </is>
      </c>
      <c r="B1831" s="1" t="n">
        <v>45982</v>
      </c>
      <c r="C1831" s="1" t="n">
        <v>46161</v>
      </c>
      <c r="D1831" t="inlineStr">
        <is>
          <t>VÄSTERNORRLANDS LÄN</t>
        </is>
      </c>
      <c r="E1831" t="inlineStr">
        <is>
          <t>SOLLEFTEÅ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58391-2025</t>
        </is>
      </c>
      <c r="B1832" s="1" t="n">
        <v>45982</v>
      </c>
      <c r="C1832" s="1" t="n">
        <v>46161</v>
      </c>
      <c r="D1832" t="inlineStr">
        <is>
          <t>VÄSTERNORRLANDS LÄN</t>
        </is>
      </c>
      <c r="E1832" t="inlineStr">
        <is>
          <t>SOLLEFTEÅ</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59181-2025</t>
        </is>
      </c>
      <c r="B1833" s="1" t="n">
        <v>45988.57390046296</v>
      </c>
      <c r="C1833" s="1" t="n">
        <v>46161</v>
      </c>
      <c r="D1833" t="inlineStr">
        <is>
          <t>VÄSTERNORRLANDS LÄN</t>
        </is>
      </c>
      <c r="E1833" t="inlineStr">
        <is>
          <t>SOLLEFTEÅ</t>
        </is>
      </c>
      <c r="F1833" t="inlineStr">
        <is>
          <t>SCA</t>
        </is>
      </c>
      <c r="G1833" t="n">
        <v>28.3</v>
      </c>
      <c r="H1833" t="n">
        <v>0</v>
      </c>
      <c r="I1833" t="n">
        <v>0</v>
      </c>
      <c r="J1833" t="n">
        <v>0</v>
      </c>
      <c r="K1833" t="n">
        <v>0</v>
      </c>
      <c r="L1833" t="n">
        <v>0</v>
      </c>
      <c r="M1833" t="n">
        <v>0</v>
      </c>
      <c r="N1833" t="n">
        <v>0</v>
      </c>
      <c r="O1833" t="n">
        <v>0</v>
      </c>
      <c r="P1833" t="n">
        <v>0</v>
      </c>
      <c r="Q1833" t="n">
        <v>0</v>
      </c>
      <c r="R1833" s="2" t="inlineStr"/>
    </row>
    <row r="1834" ht="15" customHeight="1">
      <c r="A1834" t="inlineStr">
        <is>
          <t>A 59408-2025</t>
        </is>
      </c>
      <c r="B1834" s="1" t="n">
        <v>45989.49541666666</v>
      </c>
      <c r="C1834" s="1" t="n">
        <v>46161</v>
      </c>
      <c r="D1834" t="inlineStr">
        <is>
          <t>VÄSTERNORRLANDS LÄN</t>
        </is>
      </c>
      <c r="E1834" t="inlineStr">
        <is>
          <t>SOLLEFTEÅ</t>
        </is>
      </c>
      <c r="F1834" t="inlineStr">
        <is>
          <t>Holmen skog AB</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59436-2025</t>
        </is>
      </c>
      <c r="B1835" s="1" t="n">
        <v>45989.55641203704</v>
      </c>
      <c r="C1835" s="1" t="n">
        <v>46161</v>
      </c>
      <c r="D1835" t="inlineStr">
        <is>
          <t>VÄSTERNORRLANDS LÄN</t>
        </is>
      </c>
      <c r="E1835" t="inlineStr">
        <is>
          <t>SOLLEFTEÅ</t>
        </is>
      </c>
      <c r="F1835" t="inlineStr">
        <is>
          <t>Holmen skog AB</t>
        </is>
      </c>
      <c r="G1835" t="n">
        <v>20</v>
      </c>
      <c r="H1835" t="n">
        <v>0</v>
      </c>
      <c r="I1835" t="n">
        <v>0</v>
      </c>
      <c r="J1835" t="n">
        <v>0</v>
      </c>
      <c r="K1835" t="n">
        <v>0</v>
      </c>
      <c r="L1835" t="n">
        <v>0</v>
      </c>
      <c r="M1835" t="n">
        <v>0</v>
      </c>
      <c r="N1835" t="n">
        <v>0</v>
      </c>
      <c r="O1835" t="n">
        <v>0</v>
      </c>
      <c r="P1835" t="n">
        <v>0</v>
      </c>
      <c r="Q1835" t="n">
        <v>0</v>
      </c>
      <c r="R1835" s="2" t="inlineStr"/>
    </row>
    <row r="1836" ht="15" customHeight="1">
      <c r="A1836" t="inlineStr">
        <is>
          <t>A 18951-2025</t>
        </is>
      </c>
      <c r="B1836" s="1" t="n">
        <v>45764.51086805556</v>
      </c>
      <c r="C1836" s="1" t="n">
        <v>46161</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49160-2021</t>
        </is>
      </c>
      <c r="B1837" s="1" t="n">
        <v>44453.94021990741</v>
      </c>
      <c r="C1837" s="1" t="n">
        <v>46161</v>
      </c>
      <c r="D1837" t="inlineStr">
        <is>
          <t>VÄSTERNORRLANDS LÄN</t>
        </is>
      </c>
      <c r="E1837" t="inlineStr">
        <is>
          <t>SOLLEFTEÅ</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58508-2025</t>
        </is>
      </c>
      <c r="B1838" s="1" t="n">
        <v>45982</v>
      </c>
      <c r="C1838" s="1" t="n">
        <v>46161</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59038-2025</t>
        </is>
      </c>
      <c r="B1839" s="1" t="n">
        <v>45988.36515046296</v>
      </c>
      <c r="C1839" s="1" t="n">
        <v>46161</v>
      </c>
      <c r="D1839" t="inlineStr">
        <is>
          <t>VÄSTERNORRLANDS LÄN</t>
        </is>
      </c>
      <c r="E1839" t="inlineStr">
        <is>
          <t>SOLLEFTEÅ</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59051-2025</t>
        </is>
      </c>
      <c r="B1840" s="1" t="n">
        <v>45988.38612268519</v>
      </c>
      <c r="C1840" s="1" t="n">
        <v>46161</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7234-2024</t>
        </is>
      </c>
      <c r="B1841" s="1" t="n">
        <v>45344.65627314815</v>
      </c>
      <c r="C1841" s="1" t="n">
        <v>46161</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59024-2025</t>
        </is>
      </c>
      <c r="B1842" s="1" t="n">
        <v>45988</v>
      </c>
      <c r="C1842" s="1" t="n">
        <v>46161</v>
      </c>
      <c r="D1842" t="inlineStr">
        <is>
          <t>VÄSTERNORRLANDS LÄN</t>
        </is>
      </c>
      <c r="E1842" t="inlineStr">
        <is>
          <t>SOLLEFTEÅ</t>
        </is>
      </c>
      <c r="F1842" t="inlineStr">
        <is>
          <t>SCA</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25131-2024</t>
        </is>
      </c>
      <c r="B1843" s="1" t="n">
        <v>45462.46725694444</v>
      </c>
      <c r="C1843" s="1" t="n">
        <v>46161</v>
      </c>
      <c r="D1843" t="inlineStr">
        <is>
          <t>VÄSTERNORRLANDS LÄN</t>
        </is>
      </c>
      <c r="E1843" t="inlineStr">
        <is>
          <t>SOLLEFTEÅ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59260-2025</t>
        </is>
      </c>
      <c r="B1844" s="1" t="n">
        <v>45988.65762731482</v>
      </c>
      <c r="C1844" s="1" t="n">
        <v>46161</v>
      </c>
      <c r="D1844" t="inlineStr">
        <is>
          <t>VÄSTERNORRLANDS LÄN</t>
        </is>
      </c>
      <c r="E1844" t="inlineStr">
        <is>
          <t>SOLLEFTEÅ</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17034-2025</t>
        </is>
      </c>
      <c r="B1845" s="1" t="n">
        <v>45755.57385416667</v>
      </c>
      <c r="C1845" s="1" t="n">
        <v>46161</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59648-2025</t>
        </is>
      </c>
      <c r="B1846" s="1" t="n">
        <v>45992.42827546296</v>
      </c>
      <c r="C1846" s="1" t="n">
        <v>46161</v>
      </c>
      <c r="D1846" t="inlineStr">
        <is>
          <t>VÄSTERNORRLANDS LÄN</t>
        </is>
      </c>
      <c r="E1846" t="inlineStr">
        <is>
          <t>SOLLEFTEÅ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60063-2025</t>
        </is>
      </c>
      <c r="B1847" s="1" t="n">
        <v>45993.65711805555</v>
      </c>
      <c r="C1847" s="1" t="n">
        <v>46161</v>
      </c>
      <c r="D1847" t="inlineStr">
        <is>
          <t>VÄSTERNORRLANDS LÄN</t>
        </is>
      </c>
      <c r="E1847" t="inlineStr">
        <is>
          <t>SOLLEFTEÅ</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59865-2025</t>
        </is>
      </c>
      <c r="B1848" s="1" t="n">
        <v>45992.86313657407</v>
      </c>
      <c r="C1848" s="1" t="n">
        <v>46161</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59766-2025</t>
        </is>
      </c>
      <c r="B1849" s="1" t="n">
        <v>45992.59480324074</v>
      </c>
      <c r="C1849" s="1" t="n">
        <v>46161</v>
      </c>
      <c r="D1849" t="inlineStr">
        <is>
          <t>VÄSTERNORRLANDS LÄN</t>
        </is>
      </c>
      <c r="E1849" t="inlineStr">
        <is>
          <t>SOLLEFTEÅ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59999-2025</t>
        </is>
      </c>
      <c r="B1850" s="1" t="n">
        <v>45993.57372685185</v>
      </c>
      <c r="C1850" s="1" t="n">
        <v>46161</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59541-2025</t>
        </is>
      </c>
      <c r="B1851" s="1" t="n">
        <v>45990.34443287037</v>
      </c>
      <c r="C1851" s="1" t="n">
        <v>46161</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59789-2025</t>
        </is>
      </c>
      <c r="B1852" s="1" t="n">
        <v>45992.61519675926</v>
      </c>
      <c r="C1852" s="1" t="n">
        <v>46161</v>
      </c>
      <c r="D1852" t="inlineStr">
        <is>
          <t>VÄSTERNORRLANDS LÄN</t>
        </is>
      </c>
      <c r="E1852" t="inlineStr">
        <is>
          <t>SOLLEFTEÅ</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59842-2025</t>
        </is>
      </c>
      <c r="B1853" s="1" t="n">
        <v>45992.67807870371</v>
      </c>
      <c r="C1853" s="1" t="n">
        <v>46161</v>
      </c>
      <c r="D1853" t="inlineStr">
        <is>
          <t>VÄSTERNORRLANDS LÄN</t>
        </is>
      </c>
      <c r="E1853" t="inlineStr">
        <is>
          <t>SOLLEFTEÅ</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59849-2025</t>
        </is>
      </c>
      <c r="B1854" s="1" t="n">
        <v>45992.70704861111</v>
      </c>
      <c r="C1854" s="1" t="n">
        <v>46161</v>
      </c>
      <c r="D1854" t="inlineStr">
        <is>
          <t>VÄSTERNORRLANDS LÄN</t>
        </is>
      </c>
      <c r="E1854" t="inlineStr">
        <is>
          <t>SOLLEFTEÅ</t>
        </is>
      </c>
      <c r="F1854" t="inlineStr">
        <is>
          <t>Holmen skog AB</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28749-2023</t>
        </is>
      </c>
      <c r="B1855" s="1" t="n">
        <v>45103</v>
      </c>
      <c r="C1855" s="1" t="n">
        <v>46161</v>
      </c>
      <c r="D1855" t="inlineStr">
        <is>
          <t>VÄSTERNORRLANDS LÄN</t>
        </is>
      </c>
      <c r="E1855" t="inlineStr">
        <is>
          <t>SOLLEFTEÅ</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59679-2025</t>
        </is>
      </c>
      <c r="B1856" s="1" t="n">
        <v>45992.46934027778</v>
      </c>
      <c r="C1856" s="1" t="n">
        <v>46161</v>
      </c>
      <c r="D1856" t="inlineStr">
        <is>
          <t>VÄSTERNORRLANDS LÄN</t>
        </is>
      </c>
      <c r="E1856" t="inlineStr">
        <is>
          <t>SOLLEFTEÅ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59764-2025</t>
        </is>
      </c>
      <c r="B1857" s="1" t="n">
        <v>45992.59456018519</v>
      </c>
      <c r="C1857" s="1" t="n">
        <v>46161</v>
      </c>
      <c r="D1857" t="inlineStr">
        <is>
          <t>VÄSTERNORRLANDS LÄN</t>
        </is>
      </c>
      <c r="E1857" t="inlineStr">
        <is>
          <t>SOLLEFTEÅ</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59765-2025</t>
        </is>
      </c>
      <c r="B1858" s="1" t="n">
        <v>45992.59473379629</v>
      </c>
      <c r="C1858" s="1" t="n">
        <v>46161</v>
      </c>
      <c r="D1858" t="inlineStr">
        <is>
          <t>VÄSTERNORRLANDS LÄN</t>
        </is>
      </c>
      <c r="E1858" t="inlineStr">
        <is>
          <t>SOLLEFTEÅ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59758-2025</t>
        </is>
      </c>
      <c r="B1859" s="1" t="n">
        <v>45992.59136574074</v>
      </c>
      <c r="C1859" s="1" t="n">
        <v>46161</v>
      </c>
      <c r="D1859" t="inlineStr">
        <is>
          <t>VÄSTERNORRLANDS LÄN</t>
        </is>
      </c>
      <c r="E1859" t="inlineStr">
        <is>
          <t>SOLLEFTEÅ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43177-2023</t>
        </is>
      </c>
      <c r="B1860" s="1" t="n">
        <v>45181</v>
      </c>
      <c r="C1860" s="1" t="n">
        <v>46161</v>
      </c>
      <c r="D1860" t="inlineStr">
        <is>
          <t>VÄSTERNORRLANDS LÄN</t>
        </is>
      </c>
      <c r="E1860" t="inlineStr">
        <is>
          <t>SOLLEFTEÅ</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59645-2025</t>
        </is>
      </c>
      <c r="B1861" s="1" t="n">
        <v>45992.42796296296</v>
      </c>
      <c r="C1861" s="1" t="n">
        <v>46161</v>
      </c>
      <c r="D1861" t="inlineStr">
        <is>
          <t>VÄSTERNORRLANDS LÄN</t>
        </is>
      </c>
      <c r="E1861" t="inlineStr">
        <is>
          <t>SOLLEFTEÅ</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59767-2025</t>
        </is>
      </c>
      <c r="B1862" s="1" t="n">
        <v>45992.59505787037</v>
      </c>
      <c r="C1862" s="1" t="n">
        <v>46161</v>
      </c>
      <c r="D1862" t="inlineStr">
        <is>
          <t>VÄSTERNORRLANDS LÄN</t>
        </is>
      </c>
      <c r="E1862" t="inlineStr">
        <is>
          <t>SOLLEFTEÅ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2185-2025</t>
        </is>
      </c>
      <c r="B1863" s="1" t="n">
        <v>45673</v>
      </c>
      <c r="C1863" s="1" t="n">
        <v>46161</v>
      </c>
      <c r="D1863" t="inlineStr">
        <is>
          <t>VÄSTERNORRLANDS LÄN</t>
        </is>
      </c>
      <c r="E1863" t="inlineStr">
        <is>
          <t>SOLLEFTEÅ</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60036-2025</t>
        </is>
      </c>
      <c r="B1864" s="1" t="n">
        <v>45993.61569444444</v>
      </c>
      <c r="C1864" s="1" t="n">
        <v>46161</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59680-2025</t>
        </is>
      </c>
      <c r="B1865" s="1" t="n">
        <v>45992.46940972222</v>
      </c>
      <c r="C1865" s="1" t="n">
        <v>46161</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59866-2025</t>
        </is>
      </c>
      <c r="B1866" s="1" t="n">
        <v>45992.86497685185</v>
      </c>
      <c r="C1866" s="1" t="n">
        <v>46161</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59592-2025</t>
        </is>
      </c>
      <c r="B1867" s="1" t="n">
        <v>45992.34443287037</v>
      </c>
      <c r="C1867" s="1" t="n">
        <v>46161</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30069-2024</t>
        </is>
      </c>
      <c r="B1868" s="1" t="n">
        <v>45488.9489699074</v>
      </c>
      <c r="C1868" s="1" t="n">
        <v>46161</v>
      </c>
      <c r="D1868" t="inlineStr">
        <is>
          <t>VÄSTERNORRLANDS LÄN</t>
        </is>
      </c>
      <c r="E1868" t="inlineStr">
        <is>
          <t>SOLLEFTEÅ</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19295-2022</t>
        </is>
      </c>
      <c r="B1869" s="1" t="n">
        <v>44692</v>
      </c>
      <c r="C1869" s="1" t="n">
        <v>46161</v>
      </c>
      <c r="D1869" t="inlineStr">
        <is>
          <t>VÄSTERNORRLANDS LÄN</t>
        </is>
      </c>
      <c r="E1869" t="inlineStr">
        <is>
          <t>SOLLEFTEÅ</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59896-2025</t>
        </is>
      </c>
      <c r="B1870" s="1" t="n">
        <v>45993.34427083333</v>
      </c>
      <c r="C1870" s="1" t="n">
        <v>46161</v>
      </c>
      <c r="D1870" t="inlineStr">
        <is>
          <t>VÄSTERNORRLANDS LÄN</t>
        </is>
      </c>
      <c r="E1870" t="inlineStr">
        <is>
          <t>SOLLEFTEÅ</t>
        </is>
      </c>
      <c r="F1870" t="inlineStr">
        <is>
          <t>SCA</t>
        </is>
      </c>
      <c r="G1870" t="n">
        <v>16.1</v>
      </c>
      <c r="H1870" t="n">
        <v>0</v>
      </c>
      <c r="I1870" t="n">
        <v>0</v>
      </c>
      <c r="J1870" t="n">
        <v>0</v>
      </c>
      <c r="K1870" t="n">
        <v>0</v>
      </c>
      <c r="L1870" t="n">
        <v>0</v>
      </c>
      <c r="M1870" t="n">
        <v>0</v>
      </c>
      <c r="N1870" t="n">
        <v>0</v>
      </c>
      <c r="O1870" t="n">
        <v>0</v>
      </c>
      <c r="P1870" t="n">
        <v>0</v>
      </c>
      <c r="Q1870" t="n">
        <v>0</v>
      </c>
      <c r="R1870" s="2" t="inlineStr"/>
    </row>
    <row r="1871" ht="15" customHeight="1">
      <c r="A1871" t="inlineStr">
        <is>
          <t>A 16253-2024</t>
        </is>
      </c>
      <c r="B1871" s="1" t="n">
        <v>45407.0587962963</v>
      </c>
      <c r="C1871" s="1" t="n">
        <v>46161</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61081-2023</t>
        </is>
      </c>
      <c r="B1872" s="1" t="n">
        <v>45261</v>
      </c>
      <c r="C1872" s="1" t="n">
        <v>46161</v>
      </c>
      <c r="D1872" t="inlineStr">
        <is>
          <t>VÄSTERNORRLANDS LÄN</t>
        </is>
      </c>
      <c r="E1872" t="inlineStr">
        <is>
          <t>SOLLEFTEÅ</t>
        </is>
      </c>
      <c r="F1872" t="inlineStr">
        <is>
          <t>Holmen skog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60515-2025</t>
        </is>
      </c>
      <c r="B1873" s="1" t="n">
        <v>45995</v>
      </c>
      <c r="C1873" s="1" t="n">
        <v>46161</v>
      </c>
      <c r="D1873" t="inlineStr">
        <is>
          <t>VÄSTERNORRLANDS LÄN</t>
        </is>
      </c>
      <c r="E1873" t="inlineStr">
        <is>
          <t>SOLLEFTEÅ</t>
        </is>
      </c>
      <c r="F1873" t="inlineStr">
        <is>
          <t>SCA</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60514-2025</t>
        </is>
      </c>
      <c r="B1874" s="1" t="n">
        <v>45995.63584490741</v>
      </c>
      <c r="C1874" s="1" t="n">
        <v>46161</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60516-2025</t>
        </is>
      </c>
      <c r="B1875" s="1" t="n">
        <v>45995.63630787037</v>
      </c>
      <c r="C1875" s="1" t="n">
        <v>46161</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25364-2024</t>
        </is>
      </c>
      <c r="B1876" s="1" t="n">
        <v>45462.95849537037</v>
      </c>
      <c r="C1876" s="1" t="n">
        <v>46161</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26962-2024</t>
        </is>
      </c>
      <c r="B1877" s="1" t="n">
        <v>45470.9716087963</v>
      </c>
      <c r="C1877" s="1" t="n">
        <v>46161</v>
      </c>
      <c r="D1877" t="inlineStr">
        <is>
          <t>VÄSTERNORRLANDS LÄN</t>
        </is>
      </c>
      <c r="E1877" t="inlineStr">
        <is>
          <t>SOLLEFTEÅ</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40655-2024</t>
        </is>
      </c>
      <c r="B1878" s="1" t="n">
        <v>45558.34414351852</v>
      </c>
      <c r="C1878" s="1" t="n">
        <v>46161</v>
      </c>
      <c r="D1878" t="inlineStr">
        <is>
          <t>VÄSTERNORRLANDS LÄN</t>
        </is>
      </c>
      <c r="E1878" t="inlineStr">
        <is>
          <t>SOLLEFTEÅ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38054-2024</t>
        </is>
      </c>
      <c r="B1879" s="1" t="n">
        <v>45544.71916666667</v>
      </c>
      <c r="C1879" s="1" t="n">
        <v>46161</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60410-2025</t>
        </is>
      </c>
      <c r="B1880" s="1" t="n">
        <v>45995.44840277778</v>
      </c>
      <c r="C1880" s="1" t="n">
        <v>46161</v>
      </c>
      <c r="D1880" t="inlineStr">
        <is>
          <t>VÄSTERNORRLANDS LÄN</t>
        </is>
      </c>
      <c r="E1880" t="inlineStr">
        <is>
          <t>SOLLEFTEÅ</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60123-2025</t>
        </is>
      </c>
      <c r="B1881" s="1" t="n">
        <v>45994.33506944445</v>
      </c>
      <c r="C1881" s="1" t="n">
        <v>46161</v>
      </c>
      <c r="D1881" t="inlineStr">
        <is>
          <t>VÄSTERNORRLANDS LÄN</t>
        </is>
      </c>
      <c r="E1881" t="inlineStr">
        <is>
          <t>SOLLEFTEÅ</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50674-2023</t>
        </is>
      </c>
      <c r="B1882" s="1" t="n">
        <v>45210</v>
      </c>
      <c r="C1882" s="1" t="n">
        <v>46161</v>
      </c>
      <c r="D1882" t="inlineStr">
        <is>
          <t>VÄSTERNORRLANDS LÄN</t>
        </is>
      </c>
      <c r="E1882" t="inlineStr">
        <is>
          <t>SOLLEFTEÅ</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59635-2025</t>
        </is>
      </c>
      <c r="B1883" s="1" t="n">
        <v>45992.4065625</v>
      </c>
      <c r="C1883" s="1" t="n">
        <v>46161</v>
      </c>
      <c r="D1883" t="inlineStr">
        <is>
          <t>VÄSTERNORRLANDS LÄN</t>
        </is>
      </c>
      <c r="E1883" t="inlineStr">
        <is>
          <t>SOLLEFTEÅ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218-2025</t>
        </is>
      </c>
      <c r="B1884" s="1" t="n">
        <v>45660</v>
      </c>
      <c r="C1884" s="1" t="n">
        <v>46161</v>
      </c>
      <c r="D1884" t="inlineStr">
        <is>
          <t>VÄSTERNORRLANDS LÄN</t>
        </is>
      </c>
      <c r="E1884" t="inlineStr">
        <is>
          <t>SOLLEFTEÅ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60645-2025</t>
        </is>
      </c>
      <c r="B1885" s="1" t="n">
        <v>45996.44834490741</v>
      </c>
      <c r="C1885" s="1" t="n">
        <v>46161</v>
      </c>
      <c r="D1885" t="inlineStr">
        <is>
          <t>VÄSTERNORRLANDS LÄN</t>
        </is>
      </c>
      <c r="E1885" t="inlineStr">
        <is>
          <t>SOLLEFTEÅ</t>
        </is>
      </c>
      <c r="G1885" t="n">
        <v>11.8</v>
      </c>
      <c r="H1885" t="n">
        <v>0</v>
      </c>
      <c r="I1885" t="n">
        <v>0</v>
      </c>
      <c r="J1885" t="n">
        <v>0</v>
      </c>
      <c r="K1885" t="n">
        <v>0</v>
      </c>
      <c r="L1885" t="n">
        <v>0</v>
      </c>
      <c r="M1885" t="n">
        <v>0</v>
      </c>
      <c r="N1885" t="n">
        <v>0</v>
      </c>
      <c r="O1885" t="n">
        <v>0</v>
      </c>
      <c r="P1885" t="n">
        <v>0</v>
      </c>
      <c r="Q1885" t="n">
        <v>0</v>
      </c>
      <c r="R1885" s="2" t="inlineStr"/>
    </row>
    <row r="1886" ht="15" customHeight="1">
      <c r="A1886" t="inlineStr">
        <is>
          <t>A 60764-2025</t>
        </is>
      </c>
      <c r="B1886" s="1" t="n">
        <v>45999.38659722222</v>
      </c>
      <c r="C1886" s="1" t="n">
        <v>46161</v>
      </c>
      <c r="D1886" t="inlineStr">
        <is>
          <t>VÄSTERNORRLANDS LÄN</t>
        </is>
      </c>
      <c r="E1886" t="inlineStr">
        <is>
          <t>SOLLEFTEÅ</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60854-2025</t>
        </is>
      </c>
      <c r="B1887" s="1" t="n">
        <v>45999</v>
      </c>
      <c r="C1887" s="1" t="n">
        <v>46161</v>
      </c>
      <c r="D1887" t="inlineStr">
        <is>
          <t>VÄSTERNORRLANDS LÄN</t>
        </is>
      </c>
      <c r="E1887" t="inlineStr">
        <is>
          <t>SOLLEFTEÅ</t>
        </is>
      </c>
      <c r="F1887" t="inlineStr">
        <is>
          <t>SCA</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60591-2025</t>
        </is>
      </c>
      <c r="B1888" s="1" t="n">
        <v>45996.34302083333</v>
      </c>
      <c r="C1888" s="1" t="n">
        <v>46161</v>
      </c>
      <c r="D1888" t="inlineStr">
        <is>
          <t>VÄSTERNORRLANDS LÄN</t>
        </is>
      </c>
      <c r="E1888" t="inlineStr">
        <is>
          <t>SOLLEFTEÅ</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21344-2023</t>
        </is>
      </c>
      <c r="B1889" s="1" t="n">
        <v>45062</v>
      </c>
      <c r="C1889" s="1" t="n">
        <v>46161</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60803-2025</t>
        </is>
      </c>
      <c r="B1890" s="1" t="n">
        <v>45999.43230324074</v>
      </c>
      <c r="C1890" s="1" t="n">
        <v>46161</v>
      </c>
      <c r="D1890" t="inlineStr">
        <is>
          <t>VÄSTERNORRLANDS LÄN</t>
        </is>
      </c>
      <c r="E1890" t="inlineStr">
        <is>
          <t>SOLLEFTEÅ</t>
        </is>
      </c>
      <c r="F1890" t="inlineStr">
        <is>
          <t>Holmen skog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60956-2025</t>
        </is>
      </c>
      <c r="B1891" s="1" t="n">
        <v>45999.65674768519</v>
      </c>
      <c r="C1891" s="1" t="n">
        <v>46161</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60761-2025</t>
        </is>
      </c>
      <c r="B1892" s="1" t="n">
        <v>45999.3862037037</v>
      </c>
      <c r="C1892" s="1" t="n">
        <v>46161</v>
      </c>
      <c r="D1892" t="inlineStr">
        <is>
          <t>VÄSTERNORRLANDS LÄN</t>
        </is>
      </c>
      <c r="E1892" t="inlineStr">
        <is>
          <t>SOLLEFTEÅ</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60709-2025</t>
        </is>
      </c>
      <c r="B1893" s="1" t="n">
        <v>45996.62238425926</v>
      </c>
      <c r="C1893" s="1" t="n">
        <v>46161</v>
      </c>
      <c r="D1893" t="inlineStr">
        <is>
          <t>VÄSTERNORRLANDS LÄN</t>
        </is>
      </c>
      <c r="E1893" t="inlineStr">
        <is>
          <t>SOLLEFTEÅ</t>
        </is>
      </c>
      <c r="F1893" t="inlineStr">
        <is>
          <t>Holmen skog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3095-2025</t>
        </is>
      </c>
      <c r="B1894" s="1" t="n">
        <v>45678.66633101852</v>
      </c>
      <c r="C1894" s="1" t="n">
        <v>46161</v>
      </c>
      <c r="D1894" t="inlineStr">
        <is>
          <t>VÄSTERNORRLANDS LÄN</t>
        </is>
      </c>
      <c r="E1894" t="inlineStr">
        <is>
          <t>SOLLEFTEÅ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60597-2025</t>
        </is>
      </c>
      <c r="B1895" s="1" t="n">
        <v>45996</v>
      </c>
      <c r="C1895" s="1" t="n">
        <v>46161</v>
      </c>
      <c r="D1895" t="inlineStr">
        <is>
          <t>VÄSTERNORRLANDS LÄN</t>
        </is>
      </c>
      <c r="E1895" t="inlineStr">
        <is>
          <t>SOLLEFTEÅ</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60677-2025</t>
        </is>
      </c>
      <c r="B1896" s="1" t="n">
        <v>45996.56097222222</v>
      </c>
      <c r="C1896" s="1" t="n">
        <v>46161</v>
      </c>
      <c r="D1896" t="inlineStr">
        <is>
          <t>VÄSTERNORRLANDS LÄN</t>
        </is>
      </c>
      <c r="E1896" t="inlineStr">
        <is>
          <t>SOLLEFTEÅ</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18648-2024</t>
        </is>
      </c>
      <c r="B1897" s="1" t="n">
        <v>45425.9678125</v>
      </c>
      <c r="C1897" s="1" t="n">
        <v>46161</v>
      </c>
      <c r="D1897" t="inlineStr">
        <is>
          <t>VÄSTERNORRLANDS LÄN</t>
        </is>
      </c>
      <c r="E1897" t="inlineStr">
        <is>
          <t>SOLLEFTEÅ</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3323-2025</t>
        </is>
      </c>
      <c r="B1898" s="1" t="n">
        <v>45679.69921296297</v>
      </c>
      <c r="C1898" s="1" t="n">
        <v>46161</v>
      </c>
      <c r="D1898" t="inlineStr">
        <is>
          <t>VÄSTERNORRLANDS LÄN</t>
        </is>
      </c>
      <c r="E1898" t="inlineStr">
        <is>
          <t>SOLLEFTEÅ</t>
        </is>
      </c>
      <c r="F1898" t="inlineStr">
        <is>
          <t>SCA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17173-2024</t>
        </is>
      </c>
      <c r="B1899" s="1" t="n">
        <v>45412.97866898148</v>
      </c>
      <c r="C1899" s="1" t="n">
        <v>46161</v>
      </c>
      <c r="D1899" t="inlineStr">
        <is>
          <t>VÄSTERNORRLANDS LÄN</t>
        </is>
      </c>
      <c r="E1899" t="inlineStr">
        <is>
          <t>SOLLEFTEÅ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60601-2025</t>
        </is>
      </c>
      <c r="B1900" s="1" t="n">
        <v>45996.3521412037</v>
      </c>
      <c r="C1900" s="1" t="n">
        <v>46161</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656-2024</t>
        </is>
      </c>
      <c r="B1901" s="1" t="n">
        <v>45299</v>
      </c>
      <c r="C1901" s="1" t="n">
        <v>46161</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27572-2022</t>
        </is>
      </c>
      <c r="B1902" s="1" t="n">
        <v>44742.94329861111</v>
      </c>
      <c r="C1902" s="1" t="n">
        <v>46161</v>
      </c>
      <c r="D1902" t="inlineStr">
        <is>
          <t>VÄSTERNORRLANDS LÄN</t>
        </is>
      </c>
      <c r="E1902" t="inlineStr">
        <is>
          <t>SOLLEFTEÅ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57518-2023</t>
        </is>
      </c>
      <c r="B1903" s="1" t="n">
        <v>45242</v>
      </c>
      <c r="C1903" s="1" t="n">
        <v>46161</v>
      </c>
      <c r="D1903" t="inlineStr">
        <is>
          <t>VÄSTERNORRLANDS LÄN</t>
        </is>
      </c>
      <c r="E1903" t="inlineStr">
        <is>
          <t>SOLLEFTEÅ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1480-2025</t>
        </is>
      </c>
      <c r="B1904" s="1" t="n">
        <v>45670.38575231482</v>
      </c>
      <c r="C1904" s="1" t="n">
        <v>46161</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39495-2023</t>
        </is>
      </c>
      <c r="B1905" s="1" t="n">
        <v>45166.95712962963</v>
      </c>
      <c r="C1905" s="1" t="n">
        <v>46161</v>
      </c>
      <c r="D1905" t="inlineStr">
        <is>
          <t>VÄSTERNORRLANDS LÄN</t>
        </is>
      </c>
      <c r="E1905" t="inlineStr">
        <is>
          <t>SOLLEFTEÅ</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61488-2025</t>
        </is>
      </c>
      <c r="B1906" s="1" t="n">
        <v>46001.63652777778</v>
      </c>
      <c r="C1906" s="1" t="n">
        <v>46161</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61523-2025</t>
        </is>
      </c>
      <c r="B1907" s="1" t="n">
        <v>46001.68748842592</v>
      </c>
      <c r="C1907" s="1" t="n">
        <v>46161</v>
      </c>
      <c r="D1907" t="inlineStr">
        <is>
          <t>VÄSTERNORRLANDS LÄN</t>
        </is>
      </c>
      <c r="E1907" t="inlineStr">
        <is>
          <t>SOLLEFTEÅ</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10140-2022</t>
        </is>
      </c>
      <c r="B1908" s="1" t="n">
        <v>44621</v>
      </c>
      <c r="C1908" s="1" t="n">
        <v>46161</v>
      </c>
      <c r="D1908" t="inlineStr">
        <is>
          <t>VÄSTERNORRLANDS LÄN</t>
        </is>
      </c>
      <c r="E1908" t="inlineStr">
        <is>
          <t>SOLLEFTEÅ</t>
        </is>
      </c>
      <c r="F1908" t="inlineStr">
        <is>
          <t>SCA</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61265-2025</t>
        </is>
      </c>
      <c r="B1909" s="1" t="n">
        <v>46000.67771990741</v>
      </c>
      <c r="C1909" s="1" t="n">
        <v>46161</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46973-2024</t>
        </is>
      </c>
      <c r="B1910" s="1" t="n">
        <v>45586.34424768519</v>
      </c>
      <c r="C1910" s="1" t="n">
        <v>46161</v>
      </c>
      <c r="D1910" t="inlineStr">
        <is>
          <t>VÄSTERNORRLANDS LÄN</t>
        </is>
      </c>
      <c r="E1910" t="inlineStr">
        <is>
          <t>SOLLEFTEÅ</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61347-2025</t>
        </is>
      </c>
      <c r="B1911" s="1" t="n">
        <v>46001.3863425926</v>
      </c>
      <c r="C1911" s="1" t="n">
        <v>46161</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61485-2025</t>
        </is>
      </c>
      <c r="B1912" s="1" t="n">
        <v>46001.63587962963</v>
      </c>
      <c r="C1912" s="1" t="n">
        <v>46161</v>
      </c>
      <c r="D1912" t="inlineStr">
        <is>
          <t>VÄSTERNORRLANDS LÄN</t>
        </is>
      </c>
      <c r="E1912" t="inlineStr">
        <is>
          <t>SOLLEFTEÅ</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55756-2024</t>
        </is>
      </c>
      <c r="B1913" s="1" t="n">
        <v>45623</v>
      </c>
      <c r="C1913" s="1" t="n">
        <v>46161</v>
      </c>
      <c r="D1913" t="inlineStr">
        <is>
          <t>VÄSTERNORRLANDS LÄN</t>
        </is>
      </c>
      <c r="E1913" t="inlineStr">
        <is>
          <t>SOLLEFTEÅ</t>
        </is>
      </c>
      <c r="F1913" t="inlineStr">
        <is>
          <t>Holmen skog AB</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55769-2024</t>
        </is>
      </c>
      <c r="B1914" s="1" t="n">
        <v>45623.38574074074</v>
      </c>
      <c r="C1914" s="1" t="n">
        <v>46161</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55824-2024</t>
        </is>
      </c>
      <c r="B1915" s="1" t="n">
        <v>45623.47813657407</v>
      </c>
      <c r="C1915" s="1" t="n">
        <v>46161</v>
      </c>
      <c r="D1915" t="inlineStr">
        <is>
          <t>VÄSTERNORRLANDS LÄN</t>
        </is>
      </c>
      <c r="E1915" t="inlineStr">
        <is>
          <t>SOLLEFTEÅ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51711-2025</t>
        </is>
      </c>
      <c r="B1916" s="1" t="n">
        <v>45951.57133101852</v>
      </c>
      <c r="C1916" s="1" t="n">
        <v>46161</v>
      </c>
      <c r="D1916" t="inlineStr">
        <is>
          <t>VÄSTERNORRLANDS LÄN</t>
        </is>
      </c>
      <c r="E1916" t="inlineStr">
        <is>
          <t>SOLLEFTEÅ</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61062-2025</t>
        </is>
      </c>
      <c r="B1917" s="1" t="n">
        <v>46000.36528935185</v>
      </c>
      <c r="C1917" s="1" t="n">
        <v>46161</v>
      </c>
      <c r="D1917" t="inlineStr">
        <is>
          <t>VÄSTERNORRLANDS LÄN</t>
        </is>
      </c>
      <c r="E1917" t="inlineStr">
        <is>
          <t>SOLLEFTEÅ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61428-2025</t>
        </is>
      </c>
      <c r="B1918" s="1" t="n">
        <v>46001.55237268518</v>
      </c>
      <c r="C1918" s="1" t="n">
        <v>46161</v>
      </c>
      <c r="D1918" t="inlineStr">
        <is>
          <t>VÄSTERNORRLANDS LÄN</t>
        </is>
      </c>
      <c r="E1918" t="inlineStr">
        <is>
          <t>SOLLEFTEÅ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8038-2024</t>
        </is>
      </c>
      <c r="B1919" s="1" t="n">
        <v>45350</v>
      </c>
      <c r="C1919" s="1" t="n">
        <v>46161</v>
      </c>
      <c r="D1919" t="inlineStr">
        <is>
          <t>VÄSTERNORRLANDS LÄN</t>
        </is>
      </c>
      <c r="E1919" t="inlineStr">
        <is>
          <t>SOLLEFTEÅ</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8039-2024</t>
        </is>
      </c>
      <c r="B1920" s="1" t="n">
        <v>45350</v>
      </c>
      <c r="C1920" s="1" t="n">
        <v>46161</v>
      </c>
      <c r="D1920" t="inlineStr">
        <is>
          <t>VÄSTERNORRLANDS LÄN</t>
        </is>
      </c>
      <c r="E1920" t="inlineStr">
        <is>
          <t>SOLLEFTEÅ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61442-2025</t>
        </is>
      </c>
      <c r="B1921" s="1" t="n">
        <v>46001</v>
      </c>
      <c r="C1921" s="1" t="n">
        <v>46161</v>
      </c>
      <c r="D1921" t="inlineStr">
        <is>
          <t>VÄSTERNORRLANDS LÄN</t>
        </is>
      </c>
      <c r="E1921" t="inlineStr">
        <is>
          <t>SOLLEFTEÅ</t>
        </is>
      </c>
      <c r="F1921" t="inlineStr">
        <is>
          <t>SCA</t>
        </is>
      </c>
      <c r="G1921" t="n">
        <v>12.8</v>
      </c>
      <c r="H1921" t="n">
        <v>0</v>
      </c>
      <c r="I1921" t="n">
        <v>0</v>
      </c>
      <c r="J1921" t="n">
        <v>0</v>
      </c>
      <c r="K1921" t="n">
        <v>0</v>
      </c>
      <c r="L1921" t="n">
        <v>0</v>
      </c>
      <c r="M1921" t="n">
        <v>0</v>
      </c>
      <c r="N1921" t="n">
        <v>0</v>
      </c>
      <c r="O1921" t="n">
        <v>0</v>
      </c>
      <c r="P1921" t="n">
        <v>0</v>
      </c>
      <c r="Q1921" t="n">
        <v>0</v>
      </c>
      <c r="R1921" s="2" t="inlineStr"/>
    </row>
    <row r="1922" ht="15" customHeight="1">
      <c r="A1922" t="inlineStr">
        <is>
          <t>A 61061-2025</t>
        </is>
      </c>
      <c r="B1922" s="1" t="n">
        <v>46000.36512731481</v>
      </c>
      <c r="C1922" s="1" t="n">
        <v>46161</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61278-2025</t>
        </is>
      </c>
      <c r="B1923" s="1" t="n">
        <v>46000.69827546296</v>
      </c>
      <c r="C1923" s="1" t="n">
        <v>46161</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61280-2025</t>
        </is>
      </c>
      <c r="B1924" s="1" t="n">
        <v>46000.6985300926</v>
      </c>
      <c r="C1924" s="1" t="n">
        <v>46161</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61507-2025</t>
        </is>
      </c>
      <c r="B1925" s="1" t="n">
        <v>46001.68109953704</v>
      </c>
      <c r="C1925" s="1" t="n">
        <v>46161</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61242-2025</t>
        </is>
      </c>
      <c r="B1926" s="1" t="n">
        <v>46000</v>
      </c>
      <c r="C1926" s="1" t="n">
        <v>46161</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61333-2025</t>
        </is>
      </c>
      <c r="B1927" s="1" t="n">
        <v>46001.34421296296</v>
      </c>
      <c r="C1927" s="1" t="n">
        <v>46161</v>
      </c>
      <c r="D1927" t="inlineStr">
        <is>
          <t>VÄSTERNORRLANDS LÄN</t>
        </is>
      </c>
      <c r="E1927" t="inlineStr">
        <is>
          <t>SOLLEFTEÅ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19489-2025</t>
        </is>
      </c>
      <c r="B1928" s="1" t="n">
        <v>45770.38847222222</v>
      </c>
      <c r="C1928" s="1" t="n">
        <v>46161</v>
      </c>
      <c r="D1928" t="inlineStr">
        <is>
          <t>VÄSTERNORRLANDS LÄN</t>
        </is>
      </c>
      <c r="E1928" t="inlineStr">
        <is>
          <t>SOLLEFTEÅ</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61832-2025</t>
        </is>
      </c>
      <c r="B1929" s="1" t="n">
        <v>46003.34456018519</v>
      </c>
      <c r="C1929" s="1" t="n">
        <v>46161</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61915-2025</t>
        </is>
      </c>
      <c r="B1930" s="1" t="n">
        <v>46003.49025462963</v>
      </c>
      <c r="C1930" s="1" t="n">
        <v>46161</v>
      </c>
      <c r="D1930" t="inlineStr">
        <is>
          <t>VÄSTERNORRLANDS LÄN</t>
        </is>
      </c>
      <c r="E1930" t="inlineStr">
        <is>
          <t>SOLLEFTEÅ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61920-2025</t>
        </is>
      </c>
      <c r="B1931" s="1" t="n">
        <v>46003.51108796296</v>
      </c>
      <c r="C1931" s="1" t="n">
        <v>46161</v>
      </c>
      <c r="D1931" t="inlineStr">
        <is>
          <t>VÄSTERNORRLANDS LÄN</t>
        </is>
      </c>
      <c r="E1931" t="inlineStr">
        <is>
          <t>SOLLEFTEÅ</t>
        </is>
      </c>
      <c r="F1931" t="inlineStr">
        <is>
          <t>SCA</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60426-2025</t>
        </is>
      </c>
      <c r="B1932" s="1" t="n">
        <v>45995.46984953704</v>
      </c>
      <c r="C1932" s="1" t="n">
        <v>46161</v>
      </c>
      <c r="D1932" t="inlineStr">
        <is>
          <t>VÄSTERNORRLANDS LÄN</t>
        </is>
      </c>
      <c r="E1932" t="inlineStr">
        <is>
          <t>SOLLEFTEÅ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61953-2025</t>
        </is>
      </c>
      <c r="B1933" s="1" t="n">
        <v>46003.57358796296</v>
      </c>
      <c r="C1933" s="1" t="n">
        <v>46161</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61980-2025</t>
        </is>
      </c>
      <c r="B1934" s="1" t="n">
        <v>46003.61520833334</v>
      </c>
      <c r="C1934" s="1" t="n">
        <v>46161</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61861-2025</t>
        </is>
      </c>
      <c r="B1935" s="1" t="n">
        <v>46003.3868287037</v>
      </c>
      <c r="C1935" s="1" t="n">
        <v>46161</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61775-2025</t>
        </is>
      </c>
      <c r="B1936" s="1" t="n">
        <v>46002.65674768519</v>
      </c>
      <c r="C1936" s="1" t="n">
        <v>46161</v>
      </c>
      <c r="D1936" t="inlineStr">
        <is>
          <t>VÄSTERNORRLANDS LÄN</t>
        </is>
      </c>
      <c r="E1936" t="inlineStr">
        <is>
          <t>SOLLEFTEÅ</t>
        </is>
      </c>
      <c r="F1936" t="inlineStr">
        <is>
          <t>SCA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16564-2025</t>
        </is>
      </c>
      <c r="B1937" s="1" t="n">
        <v>45752</v>
      </c>
      <c r="C1937" s="1" t="n">
        <v>46161</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61914-2025</t>
        </is>
      </c>
      <c r="B1938" s="1" t="n">
        <v>46003.49018518518</v>
      </c>
      <c r="C1938" s="1" t="n">
        <v>46161</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61616-2024</t>
        </is>
      </c>
      <c r="B1939" s="1" t="n">
        <v>45645</v>
      </c>
      <c r="C1939" s="1" t="n">
        <v>46161</v>
      </c>
      <c r="D1939" t="inlineStr">
        <is>
          <t>VÄSTERNORRLANDS LÄN</t>
        </is>
      </c>
      <c r="E1939" t="inlineStr">
        <is>
          <t>SOLLEFTEÅ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62001-2025</t>
        </is>
      </c>
      <c r="B1940" s="1" t="n">
        <v>46003.65665509259</v>
      </c>
      <c r="C1940" s="1" t="n">
        <v>46161</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61732-2025</t>
        </is>
      </c>
      <c r="B1941" s="1" t="n">
        <v>46002.59408564815</v>
      </c>
      <c r="C1941" s="1" t="n">
        <v>46161</v>
      </c>
      <c r="D1941" t="inlineStr">
        <is>
          <t>VÄSTERNORRLANDS LÄN</t>
        </is>
      </c>
      <c r="E1941" t="inlineStr">
        <is>
          <t>SOLLEFTEÅ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61733-2025</t>
        </is>
      </c>
      <c r="B1942" s="1" t="n">
        <v>46002.59412037037</v>
      </c>
      <c r="C1942" s="1" t="n">
        <v>46161</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60430-2025</t>
        </is>
      </c>
      <c r="B1943" s="1" t="n">
        <v>45995.47020833333</v>
      </c>
      <c r="C1943" s="1" t="n">
        <v>46161</v>
      </c>
      <c r="D1943" t="inlineStr">
        <is>
          <t>VÄSTERNORRLANDS LÄN</t>
        </is>
      </c>
      <c r="E1943" t="inlineStr">
        <is>
          <t>SOLLEFTEÅ</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61588-2025</t>
        </is>
      </c>
      <c r="B1944" s="1" t="n">
        <v>46002.34503472222</v>
      </c>
      <c r="C1944" s="1" t="n">
        <v>46161</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19577-2024</t>
        </is>
      </c>
      <c r="B1945" s="1" t="n">
        <v>45429</v>
      </c>
      <c r="C1945" s="1" t="n">
        <v>46161</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61663-2025</t>
        </is>
      </c>
      <c r="B1946" s="1" t="n">
        <v>46002.46935185185</v>
      </c>
      <c r="C1946" s="1" t="n">
        <v>46161</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8653-2024</t>
        </is>
      </c>
      <c r="B1947" s="1" t="n">
        <v>45356</v>
      </c>
      <c r="C1947" s="1" t="n">
        <v>46161</v>
      </c>
      <c r="D1947" t="inlineStr">
        <is>
          <t>VÄSTERNORRLANDS LÄN</t>
        </is>
      </c>
      <c r="E1947" t="inlineStr">
        <is>
          <t>SOLLEFTEÅ</t>
        </is>
      </c>
      <c r="F1947" t="inlineStr">
        <is>
          <t>SCA</t>
        </is>
      </c>
      <c r="G1947" t="n">
        <v>67.8</v>
      </c>
      <c r="H1947" t="n">
        <v>0</v>
      </c>
      <c r="I1947" t="n">
        <v>0</v>
      </c>
      <c r="J1947" t="n">
        <v>0</v>
      </c>
      <c r="K1947" t="n">
        <v>0</v>
      </c>
      <c r="L1947" t="n">
        <v>0</v>
      </c>
      <c r="M1947" t="n">
        <v>0</v>
      </c>
      <c r="N1947" t="n">
        <v>0</v>
      </c>
      <c r="O1947" t="n">
        <v>0</v>
      </c>
      <c r="P1947" t="n">
        <v>0</v>
      </c>
      <c r="Q1947" t="n">
        <v>0</v>
      </c>
      <c r="R1947" s="2" t="inlineStr"/>
    </row>
    <row r="1948" ht="15" customHeight="1">
      <c r="A1948" t="inlineStr">
        <is>
          <t>A 44554-2024</t>
        </is>
      </c>
      <c r="B1948" s="1" t="n">
        <v>45574.46940972222</v>
      </c>
      <c r="C1948" s="1" t="n">
        <v>46161</v>
      </c>
      <c r="D1948" t="inlineStr">
        <is>
          <t>VÄSTERNORRLANDS LÄN</t>
        </is>
      </c>
      <c r="E1948" t="inlineStr">
        <is>
          <t>SOLLEFTEÅ</t>
        </is>
      </c>
      <c r="F1948" t="inlineStr">
        <is>
          <t>SCA</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61967-2025</t>
        </is>
      </c>
      <c r="B1949" s="1" t="n">
        <v>46003.59440972222</v>
      </c>
      <c r="C1949" s="1" t="n">
        <v>46161</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8729-2024</t>
        </is>
      </c>
      <c r="B1950" s="1" t="n">
        <v>45356.43958333333</v>
      </c>
      <c r="C1950" s="1" t="n">
        <v>46161</v>
      </c>
      <c r="D1950" t="inlineStr">
        <is>
          <t>VÄSTERNORRLANDS LÄN</t>
        </is>
      </c>
      <c r="E1950" t="inlineStr">
        <is>
          <t>SOLLEFTEÅ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61669-2025</t>
        </is>
      </c>
      <c r="B1951" s="1" t="n">
        <v>46002.46998842592</v>
      </c>
      <c r="C1951" s="1" t="n">
        <v>46161</v>
      </c>
      <c r="D1951" t="inlineStr">
        <is>
          <t>VÄSTERNORRLANDS LÄN</t>
        </is>
      </c>
      <c r="E1951" t="inlineStr">
        <is>
          <t>SOLLEFTEÅ</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62544-2025</t>
        </is>
      </c>
      <c r="B1952" s="1" t="n">
        <v>46007.65690972222</v>
      </c>
      <c r="C1952" s="1" t="n">
        <v>46161</v>
      </c>
      <c r="D1952" t="inlineStr">
        <is>
          <t>VÄSTERNORRLANDS LÄN</t>
        </is>
      </c>
      <c r="E1952" t="inlineStr">
        <is>
          <t>SOLLEFTEÅ</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36685-2024</t>
        </is>
      </c>
      <c r="B1953" s="1" t="n">
        <v>45537.66467592592</v>
      </c>
      <c r="C1953" s="1" t="n">
        <v>46161</v>
      </c>
      <c r="D1953" t="inlineStr">
        <is>
          <t>VÄSTERNORRLANDS LÄN</t>
        </is>
      </c>
      <c r="E1953" t="inlineStr">
        <is>
          <t>SOLLEFTEÅ</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62526-2025</t>
        </is>
      </c>
      <c r="B1954" s="1" t="n">
        <v>46007.63583333333</v>
      </c>
      <c r="C1954" s="1" t="n">
        <v>46161</v>
      </c>
      <c r="D1954" t="inlineStr">
        <is>
          <t>VÄSTERNORRLANDS LÄN</t>
        </is>
      </c>
      <c r="E1954" t="inlineStr">
        <is>
          <t>SOLLEFTEÅ</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62195-2025</t>
        </is>
      </c>
      <c r="B1955" s="1" t="n">
        <v>46006.55266203704</v>
      </c>
      <c r="C1955" s="1" t="n">
        <v>46161</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9689-2024</t>
        </is>
      </c>
      <c r="B1956" s="1" t="n">
        <v>45362</v>
      </c>
      <c r="C1956" s="1" t="n">
        <v>46161</v>
      </c>
      <c r="D1956" t="inlineStr">
        <is>
          <t>VÄSTERNORRLANDS LÄN</t>
        </is>
      </c>
      <c r="E1956" t="inlineStr">
        <is>
          <t>SOLLEFTEÅ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62280-2025</t>
        </is>
      </c>
      <c r="B1957" s="1" t="n">
        <v>46006.63635416667</v>
      </c>
      <c r="C1957" s="1" t="n">
        <v>46161</v>
      </c>
      <c r="D1957" t="inlineStr">
        <is>
          <t>VÄSTERNORRLANDS LÄN</t>
        </is>
      </c>
      <c r="E1957" t="inlineStr">
        <is>
          <t>SOLLEFTEÅ</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62312-2025</t>
        </is>
      </c>
      <c r="B1958" s="1" t="n">
        <v>46006.67767361111</v>
      </c>
      <c r="C1958" s="1" t="n">
        <v>46161</v>
      </c>
      <c r="D1958" t="inlineStr">
        <is>
          <t>VÄSTERNORRLANDS LÄN</t>
        </is>
      </c>
      <c r="E1958" t="inlineStr">
        <is>
          <t>SOLLEFTEÅ</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2481-2025</t>
        </is>
      </c>
      <c r="B1959" s="1" t="n">
        <v>45674.48996527777</v>
      </c>
      <c r="C1959" s="1" t="n">
        <v>46161</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62311-2025</t>
        </is>
      </c>
      <c r="B1960" s="1" t="n">
        <v>46006.67753472222</v>
      </c>
      <c r="C1960" s="1" t="n">
        <v>46161</v>
      </c>
      <c r="D1960" t="inlineStr">
        <is>
          <t>VÄSTERNORRLANDS LÄN</t>
        </is>
      </c>
      <c r="E1960" t="inlineStr">
        <is>
          <t>SOLLEFTEÅ</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62281-2025</t>
        </is>
      </c>
      <c r="B1961" s="1" t="n">
        <v>46006.63652777778</v>
      </c>
      <c r="C1961" s="1" t="n">
        <v>46161</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62285-2025</t>
        </is>
      </c>
      <c r="B1962" s="1" t="n">
        <v>46006</v>
      </c>
      <c r="C1962" s="1" t="n">
        <v>46161</v>
      </c>
      <c r="D1962" t="inlineStr">
        <is>
          <t>VÄSTERNORRLANDS LÄN</t>
        </is>
      </c>
      <c r="E1962" t="inlineStr">
        <is>
          <t>SOLLEFTEÅ</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25986-2023</t>
        </is>
      </c>
      <c r="B1963" s="1" t="n">
        <v>45090</v>
      </c>
      <c r="C1963" s="1" t="n">
        <v>46161</v>
      </c>
      <c r="D1963" t="inlineStr">
        <is>
          <t>VÄSTERNORRLANDS LÄN</t>
        </is>
      </c>
      <c r="E1963" t="inlineStr">
        <is>
          <t>SOLLEFTEÅ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8851-2025</t>
        </is>
      </c>
      <c r="B1964" s="1" t="n">
        <v>45713.34465277778</v>
      </c>
      <c r="C1964" s="1" t="n">
        <v>46161</v>
      </c>
      <c r="D1964" t="inlineStr">
        <is>
          <t>VÄSTERNORRLANDS LÄN</t>
        </is>
      </c>
      <c r="E1964" t="inlineStr">
        <is>
          <t>SOLLEFTEÅ</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62283-2025</t>
        </is>
      </c>
      <c r="B1965" s="1" t="n">
        <v>46006.63672453703</v>
      </c>
      <c r="C1965" s="1" t="n">
        <v>46161</v>
      </c>
      <c r="D1965" t="inlineStr">
        <is>
          <t>VÄSTERNORRLANDS LÄN</t>
        </is>
      </c>
      <c r="E1965" t="inlineStr">
        <is>
          <t>SOLLEFTEÅ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62371-2025</t>
        </is>
      </c>
      <c r="B1966" s="1" t="n">
        <v>46007.34425925926</v>
      </c>
      <c r="C1966" s="1" t="n">
        <v>46161</v>
      </c>
      <c r="D1966" t="inlineStr">
        <is>
          <t>VÄSTERNORRLANDS LÄN</t>
        </is>
      </c>
      <c r="E1966" t="inlineStr">
        <is>
          <t>SOLLEFTEÅ</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55272-2024</t>
        </is>
      </c>
      <c r="B1967" s="1" t="n">
        <v>45621</v>
      </c>
      <c r="C1967" s="1" t="n">
        <v>46161</v>
      </c>
      <c r="D1967" t="inlineStr">
        <is>
          <t>VÄSTERNORRLANDS LÄN</t>
        </is>
      </c>
      <c r="E1967" t="inlineStr">
        <is>
          <t>SOLLEFTEÅ</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62064-2025</t>
        </is>
      </c>
      <c r="B1968" s="1" t="n">
        <v>46006.3446875</v>
      </c>
      <c r="C1968" s="1" t="n">
        <v>46161</v>
      </c>
      <c r="D1968" t="inlineStr">
        <is>
          <t>VÄSTERNORRLANDS LÄN</t>
        </is>
      </c>
      <c r="E1968" t="inlineStr">
        <is>
          <t>SOLLEFTEÅ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62065-2025</t>
        </is>
      </c>
      <c r="B1969" s="1" t="n">
        <v>46006.34474537037</v>
      </c>
      <c r="C1969" s="1" t="n">
        <v>46161</v>
      </c>
      <c r="D1969" t="inlineStr">
        <is>
          <t>VÄSTERNORRLANDS LÄN</t>
        </is>
      </c>
      <c r="E1969" t="inlineStr">
        <is>
          <t>SOLLEFTEÅ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8476-2025</t>
        </is>
      </c>
      <c r="B1970" s="1" t="n">
        <v>45709.47894675926</v>
      </c>
      <c r="C1970" s="1" t="n">
        <v>46161</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21711-2022</t>
        </is>
      </c>
      <c r="B1971" s="1" t="n">
        <v>44707</v>
      </c>
      <c r="C1971" s="1" t="n">
        <v>46161</v>
      </c>
      <c r="D1971" t="inlineStr">
        <is>
          <t>VÄSTERNORRLANDS LÄN</t>
        </is>
      </c>
      <c r="E1971" t="inlineStr">
        <is>
          <t>SOLLEFTEÅ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64120-2023</t>
        </is>
      </c>
      <c r="B1972" s="1" t="n">
        <v>45279</v>
      </c>
      <c r="C1972" s="1" t="n">
        <v>46161</v>
      </c>
      <c r="D1972" t="inlineStr">
        <is>
          <t>VÄSTERNORRLANDS LÄN</t>
        </is>
      </c>
      <c r="E1972" t="inlineStr">
        <is>
          <t>SOLLEFTEÅ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62279-2025</t>
        </is>
      </c>
      <c r="B1973" s="1" t="n">
        <v>46006.63605324074</v>
      </c>
      <c r="C1973" s="1" t="n">
        <v>46161</v>
      </c>
      <c r="D1973" t="inlineStr">
        <is>
          <t>VÄSTERNORRLANDS LÄN</t>
        </is>
      </c>
      <c r="E1973" t="inlineStr">
        <is>
          <t>SOLLEFTEÅ</t>
        </is>
      </c>
      <c r="F1973" t="inlineStr">
        <is>
          <t>SCA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37726-2023</t>
        </is>
      </c>
      <c r="B1974" s="1" t="n">
        <v>45156</v>
      </c>
      <c r="C1974" s="1" t="n">
        <v>46161</v>
      </c>
      <c r="D1974" t="inlineStr">
        <is>
          <t>VÄSTERNORRLANDS LÄN</t>
        </is>
      </c>
      <c r="E1974" t="inlineStr">
        <is>
          <t>SOLLEFTEÅ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62458-2025</t>
        </is>
      </c>
      <c r="B1975" s="1" t="n">
        <v>46007.50270833333</v>
      </c>
      <c r="C1975" s="1" t="n">
        <v>46161</v>
      </c>
      <c r="D1975" t="inlineStr">
        <is>
          <t>VÄSTERNORRLANDS LÄN</t>
        </is>
      </c>
      <c r="E1975" t="inlineStr">
        <is>
          <t>SOLLEFTEÅ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59339-2023</t>
        </is>
      </c>
      <c r="B1976" s="1" t="n">
        <v>45253</v>
      </c>
      <c r="C1976" s="1" t="n">
        <v>46161</v>
      </c>
      <c r="D1976" t="inlineStr">
        <is>
          <t>VÄSTERNORRLANDS LÄN</t>
        </is>
      </c>
      <c r="E1976" t="inlineStr">
        <is>
          <t>SOLLEFTEÅ</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56252-2024</t>
        </is>
      </c>
      <c r="B1977" s="1" t="n">
        <v>45624</v>
      </c>
      <c r="C1977" s="1" t="n">
        <v>46161</v>
      </c>
      <c r="D1977" t="inlineStr">
        <is>
          <t>VÄSTERNORRLANDS LÄN</t>
        </is>
      </c>
      <c r="E1977" t="inlineStr">
        <is>
          <t>SOLLEFTEÅ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61611-2024</t>
        </is>
      </c>
      <c r="B1978" s="1" t="n">
        <v>45645</v>
      </c>
      <c r="C1978" s="1" t="n">
        <v>46161</v>
      </c>
      <c r="D1978" t="inlineStr">
        <is>
          <t>VÄSTERNORRLANDS LÄN</t>
        </is>
      </c>
      <c r="E1978" t="inlineStr">
        <is>
          <t>SOLLEFTEÅ</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62494-2025</t>
        </is>
      </c>
      <c r="B1979" s="1" t="n">
        <v>46007.5735300926</v>
      </c>
      <c r="C1979" s="1" t="n">
        <v>46161</v>
      </c>
      <c r="D1979" t="inlineStr">
        <is>
          <t>VÄSTERNORRLANDS LÄN</t>
        </is>
      </c>
      <c r="E1979" t="inlineStr">
        <is>
          <t>SOLLEFTEÅ</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62181-2025</t>
        </is>
      </c>
      <c r="B1980" s="1" t="n">
        <v>46006.53164351852</v>
      </c>
      <c r="C1980" s="1" t="n">
        <v>46161</v>
      </c>
      <c r="D1980" t="inlineStr">
        <is>
          <t>VÄSTERNORRLANDS LÄN</t>
        </is>
      </c>
      <c r="E1980" t="inlineStr">
        <is>
          <t>SOLLEFTEÅ</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50008-2024</t>
        </is>
      </c>
      <c r="B1981" s="1" t="n">
        <v>45598.57908564815</v>
      </c>
      <c r="C1981" s="1" t="n">
        <v>46161</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55692-2024</t>
        </is>
      </c>
      <c r="B1982" s="1" t="n">
        <v>45622</v>
      </c>
      <c r="C1982" s="1" t="n">
        <v>46161</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55759-2024</t>
        </is>
      </c>
      <c r="B1983" s="1" t="n">
        <v>45623.3647337963</v>
      </c>
      <c r="C1983" s="1" t="n">
        <v>46161</v>
      </c>
      <c r="D1983" t="inlineStr">
        <is>
          <t>VÄSTERNORRLANDS LÄN</t>
        </is>
      </c>
      <c r="E1983" t="inlineStr">
        <is>
          <t>SOLLEFTEÅ</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55792-2024</t>
        </is>
      </c>
      <c r="B1984" s="1" t="n">
        <v>45623</v>
      </c>
      <c r="C1984" s="1" t="n">
        <v>46161</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62585-2025</t>
        </is>
      </c>
      <c r="B1985" s="1" t="n">
        <v>46007.84189814814</v>
      </c>
      <c r="C1985" s="1" t="n">
        <v>46161</v>
      </c>
      <c r="D1985" t="inlineStr">
        <is>
          <t>VÄSTERNORRLANDS LÄN</t>
        </is>
      </c>
      <c r="E1985" t="inlineStr">
        <is>
          <t>SOLLEFTEÅ</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44172-2024</t>
        </is>
      </c>
      <c r="B1986" s="1" t="n">
        <v>45572.74454861111</v>
      </c>
      <c r="C1986" s="1" t="n">
        <v>46161</v>
      </c>
      <c r="D1986" t="inlineStr">
        <is>
          <t>VÄSTERNORRLANDS LÄN</t>
        </is>
      </c>
      <c r="E1986" t="inlineStr">
        <is>
          <t>SOLLEFTEÅ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62901-2025</t>
        </is>
      </c>
      <c r="B1987" s="1" t="n">
        <v>46009.34457175926</v>
      </c>
      <c r="C1987" s="1" t="n">
        <v>46161</v>
      </c>
      <c r="D1987" t="inlineStr">
        <is>
          <t>VÄSTERNORRLANDS LÄN</t>
        </is>
      </c>
      <c r="E1987" t="inlineStr">
        <is>
          <t>SOLLEFTEÅ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62902-2025</t>
        </is>
      </c>
      <c r="B1988" s="1" t="n">
        <v>46009.34462962963</v>
      </c>
      <c r="C1988" s="1" t="n">
        <v>46161</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59647-2022</t>
        </is>
      </c>
      <c r="B1989" s="1" t="n">
        <v>44907.96577546297</v>
      </c>
      <c r="C1989" s="1" t="n">
        <v>46161</v>
      </c>
      <c r="D1989" t="inlineStr">
        <is>
          <t>VÄSTERNORRLANDS LÄN</t>
        </is>
      </c>
      <c r="E1989" t="inlineStr">
        <is>
          <t>SOLLEFTEÅ</t>
        </is>
      </c>
      <c r="F1989" t="inlineStr">
        <is>
          <t>SCA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49829-2024</t>
        </is>
      </c>
      <c r="B1990" s="1" t="n">
        <v>45597</v>
      </c>
      <c r="C1990" s="1" t="n">
        <v>46161</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62903-2025</t>
        </is>
      </c>
      <c r="B1991" s="1" t="n">
        <v>46009.34466435185</v>
      </c>
      <c r="C1991" s="1" t="n">
        <v>46161</v>
      </c>
      <c r="D1991" t="inlineStr">
        <is>
          <t>VÄSTERNORRLANDS LÄN</t>
        </is>
      </c>
      <c r="E1991" t="inlineStr">
        <is>
          <t>SOLLEFTEÅ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62847-2025</t>
        </is>
      </c>
      <c r="B1992" s="1" t="n">
        <v>46008.69819444444</v>
      </c>
      <c r="C1992" s="1" t="n">
        <v>46161</v>
      </c>
      <c r="D1992" t="inlineStr">
        <is>
          <t>VÄSTERNORRLANDS LÄN</t>
        </is>
      </c>
      <c r="E1992" t="inlineStr">
        <is>
          <t>SOLLEFTEÅ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49567-2024</t>
        </is>
      </c>
      <c r="B1993" s="1" t="n">
        <v>45596.49003472222</v>
      </c>
      <c r="C1993" s="1" t="n">
        <v>46161</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c r="U1993">
        <f>HYPERLINK("https://klasma.github.io/Logging_2283/knärot/A 49567-2024 karta knärot.png", "A 49567-2024")</f>
        <v/>
      </c>
      <c r="V1993">
        <f>HYPERLINK("https://klasma.github.io/Logging_2283/klagomål/A 49567-2024 FSC-klagomål.docx", "A 49567-2024")</f>
        <v/>
      </c>
      <c r="W1993">
        <f>HYPERLINK("https://klasma.github.io/Logging_2283/klagomålsmail/A 49567-2024 FSC-klagomål mail.docx", "A 49567-2024")</f>
        <v/>
      </c>
      <c r="X1993">
        <f>HYPERLINK("https://klasma.github.io/Logging_2283/tillsyn/A 49567-2024 tillsynsbegäran.docx", "A 49567-2024")</f>
        <v/>
      </c>
      <c r="Y1993">
        <f>HYPERLINK("https://klasma.github.io/Logging_2283/tillsynsmail/A 49567-2024 tillsynsbegäran mail.docx", "A 49567-2024")</f>
        <v/>
      </c>
    </row>
    <row r="1994" ht="15" customHeight="1">
      <c r="A1994" t="inlineStr">
        <is>
          <t>A 38231-2024</t>
        </is>
      </c>
      <c r="B1994" s="1" t="n">
        <v>45545.55601851852</v>
      </c>
      <c r="C1994" s="1" t="n">
        <v>46161</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58172-2022</t>
        </is>
      </c>
      <c r="B1995" s="1" t="n">
        <v>44900.95525462963</v>
      </c>
      <c r="C1995" s="1" t="n">
        <v>46161</v>
      </c>
      <c r="D1995" t="inlineStr">
        <is>
          <t>VÄSTERNORRLANDS LÄN</t>
        </is>
      </c>
      <c r="E1995" t="inlineStr">
        <is>
          <t>SOLLEFTEÅ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62981-2025</t>
        </is>
      </c>
      <c r="B1996" s="1" t="n">
        <v>46009.49001157407</v>
      </c>
      <c r="C1996" s="1" t="n">
        <v>46161</v>
      </c>
      <c r="D1996" t="inlineStr">
        <is>
          <t>VÄSTERNORRLANDS LÄN</t>
        </is>
      </c>
      <c r="E1996" t="inlineStr">
        <is>
          <t>SOLLEFTEÅ</t>
        </is>
      </c>
      <c r="F1996" t="inlineStr">
        <is>
          <t>SCA</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62982-2025</t>
        </is>
      </c>
      <c r="B1997" s="1" t="n">
        <v>46009.49017361111</v>
      </c>
      <c r="C1997" s="1" t="n">
        <v>46161</v>
      </c>
      <c r="D1997" t="inlineStr">
        <is>
          <t>VÄSTERNORRLANDS LÄN</t>
        </is>
      </c>
      <c r="E1997" t="inlineStr">
        <is>
          <t>SOLLEFTEÅ</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62900-2025</t>
        </is>
      </c>
      <c r="B1998" s="1" t="n">
        <v>46009.34457175926</v>
      </c>
      <c r="C1998" s="1" t="n">
        <v>46161</v>
      </c>
      <c r="D1998" t="inlineStr">
        <is>
          <t>VÄSTERNORRLANDS LÄN</t>
        </is>
      </c>
      <c r="E1998" t="inlineStr">
        <is>
          <t>SOLLEFTEÅ</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35793-2024</t>
        </is>
      </c>
      <c r="B1999" s="1" t="n">
        <v>45532</v>
      </c>
      <c r="C1999" s="1" t="n">
        <v>46161</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35794-2024</t>
        </is>
      </c>
      <c r="B2000" s="1" t="n">
        <v>45532.62974537037</v>
      </c>
      <c r="C2000" s="1" t="n">
        <v>46161</v>
      </c>
      <c r="D2000" t="inlineStr">
        <is>
          <t>VÄSTERNORRLANDS LÄN</t>
        </is>
      </c>
      <c r="E2000" t="inlineStr">
        <is>
          <t>SOLLEFTEÅ</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15875-2024</t>
        </is>
      </c>
      <c r="B2001" s="1" t="n">
        <v>45405.32438657407</v>
      </c>
      <c r="C2001" s="1" t="n">
        <v>46161</v>
      </c>
      <c r="D2001" t="inlineStr">
        <is>
          <t>VÄSTERNORRLANDS LÄN</t>
        </is>
      </c>
      <c r="E2001" t="inlineStr">
        <is>
          <t>SOLLEFTEÅ</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14134-2023</t>
        </is>
      </c>
      <c r="B2002" s="1" t="n">
        <v>45008</v>
      </c>
      <c r="C2002" s="1" t="n">
        <v>46161</v>
      </c>
      <c r="D2002" t="inlineStr">
        <is>
          <t>VÄSTERNORRLANDS LÄN</t>
        </is>
      </c>
      <c r="E2002" t="inlineStr">
        <is>
          <t>SOLLEFTEÅ</t>
        </is>
      </c>
      <c r="F2002" t="inlineStr">
        <is>
          <t>Övriga Aktiebolag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7463-2024</t>
        </is>
      </c>
      <c r="B2003" s="1" t="n">
        <v>45345.94887731481</v>
      </c>
      <c r="C2003" s="1" t="n">
        <v>46161</v>
      </c>
      <c r="D2003" t="inlineStr">
        <is>
          <t>VÄSTERNORRLANDS LÄN</t>
        </is>
      </c>
      <c r="E2003" t="inlineStr">
        <is>
          <t>SOLLEFTEÅ</t>
        </is>
      </c>
      <c r="F2003" t="inlineStr">
        <is>
          <t>SCA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63433-2025</t>
        </is>
      </c>
      <c r="B2004" s="1" t="n">
        <v>46013.36335648148</v>
      </c>
      <c r="C2004" s="1" t="n">
        <v>46161</v>
      </c>
      <c r="D2004" t="inlineStr">
        <is>
          <t>VÄSTERNORRLANDS LÄN</t>
        </is>
      </c>
      <c r="E2004" t="inlineStr">
        <is>
          <t>SOLLEFTEÅ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63456-2025</t>
        </is>
      </c>
      <c r="B2005" s="1" t="n">
        <v>46013.42209490741</v>
      </c>
      <c r="C2005" s="1" t="n">
        <v>46161</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43525-2021</t>
        </is>
      </c>
      <c r="B2006" s="1" t="n">
        <v>44433</v>
      </c>
      <c r="C2006" s="1" t="n">
        <v>46161</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63296-2025</t>
        </is>
      </c>
      <c r="B2007" s="1" t="n">
        <v>46010.5952662037</v>
      </c>
      <c r="C2007" s="1" t="n">
        <v>46161</v>
      </c>
      <c r="D2007" t="inlineStr">
        <is>
          <t>VÄSTERNORRLANDS LÄN</t>
        </is>
      </c>
      <c r="E2007" t="inlineStr">
        <is>
          <t>SOLLEFTEÅ</t>
        </is>
      </c>
      <c r="F2007" t="inlineStr">
        <is>
          <t>Holmen skog AB</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63728-2025</t>
        </is>
      </c>
      <c r="B2008" s="1" t="n">
        <v>46010</v>
      </c>
      <c r="C2008" s="1" t="n">
        <v>46161</v>
      </c>
      <c r="D2008" t="inlineStr">
        <is>
          <t>VÄSTERNORRLANDS LÄN</t>
        </is>
      </c>
      <c r="E2008" t="inlineStr">
        <is>
          <t>SOLLEFTEÅ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63180-2025</t>
        </is>
      </c>
      <c r="B2009" s="1" t="n">
        <v>46010.42760416667</v>
      </c>
      <c r="C2009" s="1" t="n">
        <v>46161</v>
      </c>
      <c r="D2009" t="inlineStr">
        <is>
          <t>VÄSTERNORRLANDS LÄN</t>
        </is>
      </c>
      <c r="E2009" t="inlineStr">
        <is>
          <t>SOLLEFTEÅ</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63727-2025</t>
        </is>
      </c>
      <c r="B2010" s="1" t="n">
        <v>46010</v>
      </c>
      <c r="C2010" s="1" t="n">
        <v>46161</v>
      </c>
      <c r="D2010" t="inlineStr">
        <is>
          <t>VÄSTERNORRLANDS LÄN</t>
        </is>
      </c>
      <c r="E2010" t="inlineStr">
        <is>
          <t>SOLLEFTEÅ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11338-2025</t>
        </is>
      </c>
      <c r="B2011" s="1" t="n">
        <v>45726.48987268518</v>
      </c>
      <c r="C2011" s="1" t="n">
        <v>46161</v>
      </c>
      <c r="D2011" t="inlineStr">
        <is>
          <t>VÄSTERNORRLANDS LÄN</t>
        </is>
      </c>
      <c r="E2011" t="inlineStr">
        <is>
          <t>SOLLEFTEÅ</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63382-2025</t>
        </is>
      </c>
      <c r="B2012" s="1" t="n">
        <v>46011.34420138889</v>
      </c>
      <c r="C2012" s="1" t="n">
        <v>46161</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5447-2025</t>
        </is>
      </c>
      <c r="B2013" s="1" t="n">
        <v>45692</v>
      </c>
      <c r="C2013" s="1" t="n">
        <v>46161</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63273-2025</t>
        </is>
      </c>
      <c r="B2014" s="1" t="n">
        <v>46010.57322916666</v>
      </c>
      <c r="C2014" s="1" t="n">
        <v>46161</v>
      </c>
      <c r="D2014" t="inlineStr">
        <is>
          <t>VÄSTERNORRLANDS LÄN</t>
        </is>
      </c>
      <c r="E2014" t="inlineStr">
        <is>
          <t>SOLLEFTEÅ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42755-2022</t>
        </is>
      </c>
      <c r="B2015" s="1" t="n">
        <v>44832</v>
      </c>
      <c r="C2015" s="1" t="n">
        <v>46161</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12734-2023</t>
        </is>
      </c>
      <c r="B2016" s="1" t="n">
        <v>45000.92436342593</v>
      </c>
      <c r="C2016" s="1" t="n">
        <v>46161</v>
      </c>
      <c r="D2016" t="inlineStr">
        <is>
          <t>VÄSTERNORRLANDS LÄN</t>
        </is>
      </c>
      <c r="E2016" t="inlineStr">
        <is>
          <t>SOLLEFTEÅ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63412-2025</t>
        </is>
      </c>
      <c r="B2017" s="1" t="n">
        <v>46013.31016203704</v>
      </c>
      <c r="C2017" s="1" t="n">
        <v>46161</v>
      </c>
      <c r="D2017" t="inlineStr">
        <is>
          <t>VÄSTERNORRLANDS LÄN</t>
        </is>
      </c>
      <c r="E2017" t="inlineStr">
        <is>
          <t>SOLLEFTEÅ</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63470-2025</t>
        </is>
      </c>
      <c r="B2018" s="1" t="n">
        <v>46013.4347337963</v>
      </c>
      <c r="C2018" s="1" t="n">
        <v>46161</v>
      </c>
      <c r="D2018" t="inlineStr">
        <is>
          <t>VÄSTERNORRLANDS LÄN</t>
        </is>
      </c>
      <c r="E2018" t="inlineStr">
        <is>
          <t>SOLLEFTEÅ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63471-2025</t>
        </is>
      </c>
      <c r="B2019" s="1" t="n">
        <v>46013.43973379629</v>
      </c>
      <c r="C2019" s="1" t="n">
        <v>46161</v>
      </c>
      <c r="D2019" t="inlineStr">
        <is>
          <t>VÄSTERNORRLANDS LÄN</t>
        </is>
      </c>
      <c r="E2019" t="inlineStr">
        <is>
          <t>SOLLEFTEÅ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59402-2025</t>
        </is>
      </c>
      <c r="B2020" s="1" t="n">
        <v>45989</v>
      </c>
      <c r="C2020" s="1" t="n">
        <v>46161</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63158-2025</t>
        </is>
      </c>
      <c r="B2021" s="1" t="n">
        <v>46010.36509259259</v>
      </c>
      <c r="C2021" s="1" t="n">
        <v>46161</v>
      </c>
      <c r="D2021" t="inlineStr">
        <is>
          <t>VÄSTERNORRLANDS LÄN</t>
        </is>
      </c>
      <c r="E2021" t="inlineStr">
        <is>
          <t>SOLLEFTEÅ</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52266-2023</t>
        </is>
      </c>
      <c r="B2022" s="1" t="n">
        <v>45217</v>
      </c>
      <c r="C2022" s="1" t="n">
        <v>46161</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63442-2025</t>
        </is>
      </c>
      <c r="B2023" s="1" t="n">
        <v>46013.38599537037</v>
      </c>
      <c r="C2023" s="1" t="n">
        <v>46161</v>
      </c>
      <c r="D2023" t="inlineStr">
        <is>
          <t>VÄSTERNORRLANDS LÄN</t>
        </is>
      </c>
      <c r="E2023" t="inlineStr">
        <is>
          <t>SOLLEFTEÅ</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63443-2025</t>
        </is>
      </c>
      <c r="B2024" s="1" t="n">
        <v>46013.38929398148</v>
      </c>
      <c r="C2024" s="1" t="n">
        <v>46161</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51107-2023</t>
        </is>
      </c>
      <c r="B2025" s="1" t="n">
        <v>45218.92530092593</v>
      </c>
      <c r="C2025" s="1" t="n">
        <v>46161</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63569-2025</t>
        </is>
      </c>
      <c r="B2026" s="1" t="n">
        <v>46013.63601851852</v>
      </c>
      <c r="C2026" s="1" t="n">
        <v>46161</v>
      </c>
      <c r="D2026" t="inlineStr">
        <is>
          <t>VÄSTERNORRLANDS LÄN</t>
        </is>
      </c>
      <c r="E2026" t="inlineStr">
        <is>
          <t>SOLLEFTEÅ</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63568-2025</t>
        </is>
      </c>
      <c r="B2027" s="1" t="n">
        <v>46013.63594907407</v>
      </c>
      <c r="C2027" s="1" t="n">
        <v>46161</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63579-2025</t>
        </is>
      </c>
      <c r="B2028" s="1" t="n">
        <v>46013.67748842593</v>
      </c>
      <c r="C2028" s="1" t="n">
        <v>46161</v>
      </c>
      <c r="D2028" t="inlineStr">
        <is>
          <t>VÄSTERNORRLANDS LÄN</t>
        </is>
      </c>
      <c r="E2028" t="inlineStr">
        <is>
          <t>SOLLEFTEÅ</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63726-2025</t>
        </is>
      </c>
      <c r="B2029" s="1" t="n">
        <v>46010</v>
      </c>
      <c r="C2029" s="1" t="n">
        <v>46161</v>
      </c>
      <c r="D2029" t="inlineStr">
        <is>
          <t>VÄSTERNORRLANDS LÄN</t>
        </is>
      </c>
      <c r="E2029" t="inlineStr">
        <is>
          <t>SOLLEFTEÅ</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60077-2024</t>
        </is>
      </c>
      <c r="B2030" s="1" t="n">
        <v>45642</v>
      </c>
      <c r="C2030" s="1" t="n">
        <v>46161</v>
      </c>
      <c r="D2030" t="inlineStr">
        <is>
          <t>VÄSTERNORRLANDS LÄN</t>
        </is>
      </c>
      <c r="E2030" t="inlineStr">
        <is>
          <t>SOLLEFTEÅ</t>
        </is>
      </c>
      <c r="F2030" t="inlineStr">
        <is>
          <t>SCA</t>
        </is>
      </c>
      <c r="G2030" t="n">
        <v>21.5</v>
      </c>
      <c r="H2030" t="n">
        <v>0</v>
      </c>
      <c r="I2030" t="n">
        <v>0</v>
      </c>
      <c r="J2030" t="n">
        <v>0</v>
      </c>
      <c r="K2030" t="n">
        <v>0</v>
      </c>
      <c r="L2030" t="n">
        <v>0</v>
      </c>
      <c r="M2030" t="n">
        <v>0</v>
      </c>
      <c r="N2030" t="n">
        <v>0</v>
      </c>
      <c r="O2030" t="n">
        <v>0</v>
      </c>
      <c r="P2030" t="n">
        <v>0</v>
      </c>
      <c r="Q2030" t="n">
        <v>0</v>
      </c>
      <c r="R2030" s="2" t="inlineStr"/>
    </row>
    <row r="2031" ht="15" customHeight="1">
      <c r="A2031" t="inlineStr">
        <is>
          <t>A 11711-2025</t>
        </is>
      </c>
      <c r="B2031" s="1" t="n">
        <v>45727.59398148148</v>
      </c>
      <c r="C2031" s="1" t="n">
        <v>46161</v>
      </c>
      <c r="D2031" t="inlineStr">
        <is>
          <t>VÄSTERNORRLANDS LÄN</t>
        </is>
      </c>
      <c r="E2031" t="inlineStr">
        <is>
          <t>SOLLEFTEÅ</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27936-2024</t>
        </is>
      </c>
      <c r="B2032" s="1" t="n">
        <v>45475.95054398148</v>
      </c>
      <c r="C2032" s="1" t="n">
        <v>46161</v>
      </c>
      <c r="D2032" t="inlineStr">
        <is>
          <t>VÄSTERNORRLANDS LÄN</t>
        </is>
      </c>
      <c r="E2032" t="inlineStr">
        <is>
          <t>SOLLEFTEÅ</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60360-2024</t>
        </is>
      </c>
      <c r="B2033" s="1" t="n">
        <v>45643.44837962963</v>
      </c>
      <c r="C2033" s="1" t="n">
        <v>46161</v>
      </c>
      <c r="D2033" t="inlineStr">
        <is>
          <t>VÄSTERNORRLANDS LÄN</t>
        </is>
      </c>
      <c r="E2033" t="inlineStr">
        <is>
          <t>SOLLEFTEÅ</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53278-2021</t>
        </is>
      </c>
      <c r="B2034" s="1" t="n">
        <v>44467</v>
      </c>
      <c r="C2034" s="1" t="n">
        <v>46161</v>
      </c>
      <c r="D2034" t="inlineStr">
        <is>
          <t>VÄSTERNORRLANDS LÄN</t>
        </is>
      </c>
      <c r="E2034" t="inlineStr">
        <is>
          <t>SOLLEFTEÅ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63646-2025</t>
        </is>
      </c>
      <c r="B2035" s="1" t="n">
        <v>46014.42746527777</v>
      </c>
      <c r="C2035" s="1" t="n">
        <v>46161</v>
      </c>
      <c r="D2035" t="inlineStr">
        <is>
          <t>VÄSTERNORRLANDS LÄN</t>
        </is>
      </c>
      <c r="E2035" t="inlineStr">
        <is>
          <t>SOLLEFTEÅ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55726-2024</t>
        </is>
      </c>
      <c r="B2036" s="1" t="n">
        <v>45622.84653935185</v>
      </c>
      <c r="C2036" s="1" t="n">
        <v>46161</v>
      </c>
      <c r="D2036" t="inlineStr">
        <is>
          <t>VÄSTERNORRLANDS LÄN</t>
        </is>
      </c>
      <c r="E2036" t="inlineStr">
        <is>
          <t>SOLLEFTEÅ</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63677-2025</t>
        </is>
      </c>
      <c r="B2037" s="1" t="n">
        <v>46014.48986111111</v>
      </c>
      <c r="C2037" s="1" t="n">
        <v>46161</v>
      </c>
      <c r="D2037" t="inlineStr">
        <is>
          <t>VÄSTERNORRLANDS LÄN</t>
        </is>
      </c>
      <c r="E2037" t="inlineStr">
        <is>
          <t>SOLLEFTEÅ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12590-2024</t>
        </is>
      </c>
      <c r="B2038" s="1" t="n">
        <v>45379.93686342592</v>
      </c>
      <c r="C2038" s="1" t="n">
        <v>46161</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34329-2023</t>
        </is>
      </c>
      <c r="B2039" s="1" t="n">
        <v>45138.94997685185</v>
      </c>
      <c r="C2039" s="1" t="n">
        <v>46161</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60831-2024</t>
        </is>
      </c>
      <c r="B2040" s="1" t="n">
        <v>45644</v>
      </c>
      <c r="C2040" s="1" t="n">
        <v>46161</v>
      </c>
      <c r="D2040" t="inlineStr">
        <is>
          <t>VÄSTERNORRLANDS LÄN</t>
        </is>
      </c>
      <c r="E2040" t="inlineStr">
        <is>
          <t>SOLLEFTEÅ</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13860-2025</t>
        </is>
      </c>
      <c r="B2041" s="1" t="n">
        <v>45737.57387731481</v>
      </c>
      <c r="C2041" s="1" t="n">
        <v>46161</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52461-2024</t>
        </is>
      </c>
      <c r="B2042" s="1" t="n">
        <v>45609.51947916667</v>
      </c>
      <c r="C2042" s="1" t="n">
        <v>46161</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58276-2021</t>
        </is>
      </c>
      <c r="B2043" s="1" t="n">
        <v>44487.94453703704</v>
      </c>
      <c r="C2043" s="1" t="n">
        <v>46161</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14353-2025</t>
        </is>
      </c>
      <c r="B2044" s="1" t="n">
        <v>45741.36502314815</v>
      </c>
      <c r="C2044" s="1" t="n">
        <v>46161</v>
      </c>
      <c r="D2044" t="inlineStr">
        <is>
          <t>VÄSTERNORRLANDS LÄN</t>
        </is>
      </c>
      <c r="E2044" t="inlineStr">
        <is>
          <t>SOLLEFTEÅ</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16463-2024</t>
        </is>
      </c>
      <c r="B2045" s="1" t="n">
        <v>45408.05027777778</v>
      </c>
      <c r="C2045" s="1" t="n">
        <v>46161</v>
      </c>
      <c r="D2045" t="inlineStr">
        <is>
          <t>VÄSTERNORRLANDS LÄN</t>
        </is>
      </c>
      <c r="E2045" t="inlineStr">
        <is>
          <t>SOLLEFTEÅ</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16467-2024</t>
        </is>
      </c>
      <c r="B2046" s="1" t="n">
        <v>45408</v>
      </c>
      <c r="C2046" s="1" t="n">
        <v>46161</v>
      </c>
      <c r="D2046" t="inlineStr">
        <is>
          <t>VÄSTERNORRLANDS LÄN</t>
        </is>
      </c>
      <c r="E2046" t="inlineStr">
        <is>
          <t>SOLLEFTEÅ</t>
        </is>
      </c>
      <c r="F2046" t="inlineStr">
        <is>
          <t>SCA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12972-2023</t>
        </is>
      </c>
      <c r="B2047" s="1" t="n">
        <v>45001</v>
      </c>
      <c r="C2047" s="1" t="n">
        <v>46161</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17512-2024</t>
        </is>
      </c>
      <c r="B2048" s="1" t="n">
        <v>45415</v>
      </c>
      <c r="C2048" s="1" t="n">
        <v>46161</v>
      </c>
      <c r="D2048" t="inlineStr">
        <is>
          <t>VÄSTERNORRLANDS LÄN</t>
        </is>
      </c>
      <c r="E2048" t="inlineStr">
        <is>
          <t>SOLLEFTEÅ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56311-2023</t>
        </is>
      </c>
      <c r="B2049" s="1" t="n">
        <v>45242.94203703704</v>
      </c>
      <c r="C2049" s="1" t="n">
        <v>46161</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60170-2022</t>
        </is>
      </c>
      <c r="B2050" s="1" t="n">
        <v>44909</v>
      </c>
      <c r="C2050" s="1" t="n">
        <v>46161</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774-2025</t>
        </is>
      </c>
      <c r="B2051" s="1" t="n">
        <v>45659</v>
      </c>
      <c r="C2051" s="1" t="n">
        <v>46161</v>
      </c>
      <c r="D2051" t="inlineStr">
        <is>
          <t>VÄSTERNORRLANDS LÄN</t>
        </is>
      </c>
      <c r="E2051" t="inlineStr">
        <is>
          <t>SOLLEFTEÅ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775-2025</t>
        </is>
      </c>
      <c r="B2052" s="1" t="n">
        <v>45659</v>
      </c>
      <c r="C2052" s="1" t="n">
        <v>46161</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149-2026</t>
        </is>
      </c>
      <c r="B2053" s="1" t="n">
        <v>46020</v>
      </c>
      <c r="C2053" s="1" t="n">
        <v>46161</v>
      </c>
      <c r="D2053" t="inlineStr">
        <is>
          <t>VÄSTERNORRLANDS LÄN</t>
        </is>
      </c>
      <c r="E2053" t="inlineStr">
        <is>
          <t>SOLLEFTEÅ</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5394-2025</t>
        </is>
      </c>
      <c r="B2054" s="1" t="n">
        <v>45692.63591435185</v>
      </c>
      <c r="C2054" s="1" t="n">
        <v>46161</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13252-2023</t>
        </is>
      </c>
      <c r="B2055" s="1" t="n">
        <v>45002</v>
      </c>
      <c r="C2055" s="1" t="n">
        <v>46161</v>
      </c>
      <c r="D2055" t="inlineStr">
        <is>
          <t>VÄSTERNORRLANDS LÄN</t>
        </is>
      </c>
      <c r="E2055" t="inlineStr">
        <is>
          <t>SOLLEFTEÅ</t>
        </is>
      </c>
      <c r="F2055" t="inlineStr">
        <is>
          <t>SCA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48001-2024</t>
        </is>
      </c>
      <c r="B2056" s="1" t="n">
        <v>45589.44826388889</v>
      </c>
      <c r="C2056" s="1" t="n">
        <v>46161</v>
      </c>
      <c r="D2056" t="inlineStr">
        <is>
          <t>VÄSTERNORRLANDS LÄN</t>
        </is>
      </c>
      <c r="E2056" t="inlineStr">
        <is>
          <t>SOLLEFTEÅ</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127-2026</t>
        </is>
      </c>
      <c r="B2057" s="1" t="n">
        <v>46020</v>
      </c>
      <c r="C2057" s="1" t="n">
        <v>46161</v>
      </c>
      <c r="D2057" t="inlineStr">
        <is>
          <t>VÄSTERNORRLANDS LÄN</t>
        </is>
      </c>
      <c r="E2057" t="inlineStr">
        <is>
          <t>SOLLEFTEÅ</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61997-2022</t>
        </is>
      </c>
      <c r="B2058" s="1" t="n">
        <v>44914</v>
      </c>
      <c r="C2058" s="1" t="n">
        <v>46161</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61429-2025</t>
        </is>
      </c>
      <c r="B2059" s="1" t="n">
        <v>46001.55243055556</v>
      </c>
      <c r="C2059" s="1" t="n">
        <v>46161</v>
      </c>
      <c r="D2059" t="inlineStr">
        <is>
          <t>VÄSTERNORRLANDS LÄN</t>
        </is>
      </c>
      <c r="E2059" t="inlineStr">
        <is>
          <t>SOLLEFTEÅ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39429-2024</t>
        </is>
      </c>
      <c r="B2060" s="1" t="n">
        <v>45551.59427083333</v>
      </c>
      <c r="C2060" s="1" t="n">
        <v>46161</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11551-2023</t>
        </is>
      </c>
      <c r="B2061" s="1" t="n">
        <v>44993</v>
      </c>
      <c r="C2061" s="1" t="n">
        <v>46161</v>
      </c>
      <c r="D2061" t="inlineStr">
        <is>
          <t>VÄSTERNORRLANDS LÄN</t>
        </is>
      </c>
      <c r="E2061" t="inlineStr">
        <is>
          <t>SOLLEFTEÅ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9072-2025</t>
        </is>
      </c>
      <c r="B2062" s="1" t="n">
        <v>45713.65673611111</v>
      </c>
      <c r="C2062" s="1" t="n">
        <v>46161</v>
      </c>
      <c r="D2062" t="inlineStr">
        <is>
          <t>VÄSTERNORRLANDS LÄN</t>
        </is>
      </c>
      <c r="E2062" t="inlineStr">
        <is>
          <t>SOLLEFTEÅ</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358-2026</t>
        </is>
      </c>
      <c r="B2063" s="1" t="n">
        <v>46027.65996527778</v>
      </c>
      <c r="C2063" s="1" t="n">
        <v>46161</v>
      </c>
      <c r="D2063" t="inlineStr">
        <is>
          <t>VÄSTERNORRLANDS LÄN</t>
        </is>
      </c>
      <c r="E2063" t="inlineStr">
        <is>
          <t>SOLLEFTEÅ</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738-2026</t>
        </is>
      </c>
      <c r="B2064" s="1" t="n">
        <v>46029.65686342592</v>
      </c>
      <c r="C2064" s="1" t="n">
        <v>46161</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10737-2025</t>
        </is>
      </c>
      <c r="B2065" s="1" t="n">
        <v>45722</v>
      </c>
      <c r="C2065" s="1" t="n">
        <v>46161</v>
      </c>
      <c r="D2065" t="inlineStr">
        <is>
          <t>VÄSTERNORRLANDS LÄN</t>
        </is>
      </c>
      <c r="E2065" t="inlineStr">
        <is>
          <t>SOLLEFTEÅ</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61778-2024</t>
        </is>
      </c>
      <c r="B2066" s="1" t="n">
        <v>45649.46961805555</v>
      </c>
      <c r="C2066" s="1" t="n">
        <v>46161</v>
      </c>
      <c r="D2066" t="inlineStr">
        <is>
          <t>VÄSTERNORRLANDS LÄN</t>
        </is>
      </c>
      <c r="E2066" t="inlineStr">
        <is>
          <t>SOLLEFTEÅ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11117-2022</t>
        </is>
      </c>
      <c r="B2067" s="1" t="n">
        <v>44628.94248842593</v>
      </c>
      <c r="C2067" s="1" t="n">
        <v>46161</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403-2026</t>
        </is>
      </c>
      <c r="B2068" s="1" t="n">
        <v>46028.66550925926</v>
      </c>
      <c r="C2068" s="1" t="n">
        <v>46161</v>
      </c>
      <c r="D2068" t="inlineStr">
        <is>
          <t>VÄSTERNORRLANDS LÄN</t>
        </is>
      </c>
      <c r="E2068" t="inlineStr">
        <is>
          <t>SOLLEFTEÅ</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18621-2024</t>
        </is>
      </c>
      <c r="B2069" s="1" t="n">
        <v>45425</v>
      </c>
      <c r="C2069" s="1" t="n">
        <v>46161</v>
      </c>
      <c r="D2069" t="inlineStr">
        <is>
          <t>VÄSTERNORRLANDS LÄN</t>
        </is>
      </c>
      <c r="E2069" t="inlineStr">
        <is>
          <t>SOLLEFTEÅ</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18622-2024</t>
        </is>
      </c>
      <c r="B2070" s="1" t="n">
        <v>45425.96364583333</v>
      </c>
      <c r="C2070" s="1" t="n">
        <v>46161</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40569-2024</t>
        </is>
      </c>
      <c r="B2071" s="1" t="n">
        <v>45555.67744212963</v>
      </c>
      <c r="C2071" s="1" t="n">
        <v>46161</v>
      </c>
      <c r="D2071" t="inlineStr">
        <is>
          <t>VÄSTERNORRLANDS LÄN</t>
        </is>
      </c>
      <c r="E2071" t="inlineStr">
        <is>
          <t>SOLLEFTEÅ</t>
        </is>
      </c>
      <c r="F2071" t="inlineStr">
        <is>
          <t>SCA</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658-2026</t>
        </is>
      </c>
      <c r="B2072" s="1" t="n">
        <v>46029.58168981481</v>
      </c>
      <c r="C2072" s="1" t="n">
        <v>46161</v>
      </c>
      <c r="D2072" t="inlineStr">
        <is>
          <t>VÄSTERNORRLANDS LÄN</t>
        </is>
      </c>
      <c r="E2072" t="inlineStr">
        <is>
          <t>SOLLEFTEÅ</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13539-2024</t>
        </is>
      </c>
      <c r="B2073" s="1" t="n">
        <v>45387.92583333333</v>
      </c>
      <c r="C2073" s="1" t="n">
        <v>46161</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34543-2022</t>
        </is>
      </c>
      <c r="B2074" s="1" t="n">
        <v>44793</v>
      </c>
      <c r="C2074" s="1" t="n">
        <v>46161</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42115-2024</t>
        </is>
      </c>
      <c r="B2075" s="1" t="n">
        <v>45562.38615740741</v>
      </c>
      <c r="C2075" s="1" t="n">
        <v>46161</v>
      </c>
      <c r="D2075" t="inlineStr">
        <is>
          <t>VÄSTERNORRLANDS LÄN</t>
        </is>
      </c>
      <c r="E2075" t="inlineStr">
        <is>
          <t>SOLLEFTEÅ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896-2026</t>
        </is>
      </c>
      <c r="B2076" s="1" t="n">
        <v>46030.46054398148</v>
      </c>
      <c r="C2076" s="1" t="n">
        <v>46161</v>
      </c>
      <c r="D2076" t="inlineStr">
        <is>
          <t>VÄSTERNORRLANDS LÄN</t>
        </is>
      </c>
      <c r="E2076" t="inlineStr">
        <is>
          <t>SOLLEFTEÅ</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67702-2021</t>
        </is>
      </c>
      <c r="B2077" s="1" t="n">
        <v>44524.94660879629</v>
      </c>
      <c r="C2077" s="1" t="n">
        <v>46161</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1066-2026</t>
        </is>
      </c>
      <c r="B2078" s="1" t="n">
        <v>46030.64322916666</v>
      </c>
      <c r="C2078" s="1" t="n">
        <v>46161</v>
      </c>
      <c r="D2078" t="inlineStr">
        <is>
          <t>VÄSTERNORRLANDS LÄN</t>
        </is>
      </c>
      <c r="E2078" t="inlineStr">
        <is>
          <t>SOLLEFTEÅ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3633-2024</t>
        </is>
      </c>
      <c r="B2079" s="1" t="n">
        <v>45320</v>
      </c>
      <c r="C2079" s="1" t="n">
        <v>46161</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51573-2024</t>
        </is>
      </c>
      <c r="B2080" s="1" t="n">
        <v>45604</v>
      </c>
      <c r="C2080" s="1" t="n">
        <v>46161</v>
      </c>
      <c r="D2080" t="inlineStr">
        <is>
          <t>VÄSTERNORRLANDS LÄN</t>
        </is>
      </c>
      <c r="E2080" t="inlineStr">
        <is>
          <t>SOLLEFTEÅ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9254-2025</t>
        </is>
      </c>
      <c r="B2081" s="1" t="n">
        <v>45714.59442129629</v>
      </c>
      <c r="C2081" s="1" t="n">
        <v>46161</v>
      </c>
      <c r="D2081" t="inlineStr">
        <is>
          <t>VÄSTERNORRLANDS LÄN</t>
        </is>
      </c>
      <c r="E2081" t="inlineStr">
        <is>
          <t>SOLLEFTEÅ</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42164-2023</t>
        </is>
      </c>
      <c r="B2082" s="1" t="n">
        <v>45177.93747685185</v>
      </c>
      <c r="C2082" s="1" t="n">
        <v>46161</v>
      </c>
      <c r="D2082" t="inlineStr">
        <is>
          <t>VÄSTERNORRLANDS LÄN</t>
        </is>
      </c>
      <c r="E2082" t="inlineStr">
        <is>
          <t>SOLLEFTEÅ</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42514-2023</t>
        </is>
      </c>
      <c r="B2083" s="1" t="n">
        <v>45180.95969907408</v>
      </c>
      <c r="C2083" s="1" t="n">
        <v>46161</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37696-2023</t>
        </is>
      </c>
      <c r="B2084" s="1" t="n">
        <v>45156</v>
      </c>
      <c r="C2084" s="1" t="n">
        <v>46161</v>
      </c>
      <c r="D2084" t="inlineStr">
        <is>
          <t>VÄSTERNORRLANDS LÄN</t>
        </is>
      </c>
      <c r="E2084" t="inlineStr">
        <is>
          <t>SOLLEFTEÅ</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34878-2024</t>
        </is>
      </c>
      <c r="B2085" s="1" t="n">
        <v>45527</v>
      </c>
      <c r="C2085" s="1" t="n">
        <v>46161</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31681-2024</t>
        </is>
      </c>
      <c r="B2086" s="1" t="n">
        <v>45506.94902777778</v>
      </c>
      <c r="C2086" s="1" t="n">
        <v>46161</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54233-2024</t>
        </is>
      </c>
      <c r="B2087" s="1" t="n">
        <v>45616.67791666667</v>
      </c>
      <c r="C2087" s="1" t="n">
        <v>46161</v>
      </c>
      <c r="D2087" t="inlineStr">
        <is>
          <t>VÄSTERNORRLANDS LÄN</t>
        </is>
      </c>
      <c r="E2087" t="inlineStr">
        <is>
          <t>SOLLEFTEÅ</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38100-2023</t>
        </is>
      </c>
      <c r="B2088" s="1" t="n">
        <v>45160.9647800926</v>
      </c>
      <c r="C2088" s="1" t="n">
        <v>46161</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51575-2025</t>
        </is>
      </c>
      <c r="B2089" s="1" t="n">
        <v>45951.34452546296</v>
      </c>
      <c r="C2089" s="1" t="n">
        <v>46161</v>
      </c>
      <c r="D2089" t="inlineStr">
        <is>
          <t>VÄSTERNORRLANDS LÄN</t>
        </is>
      </c>
      <c r="E2089" t="inlineStr">
        <is>
          <t>SOLLEFTEÅ</t>
        </is>
      </c>
      <c r="F2089" t="inlineStr">
        <is>
          <t>SCA</t>
        </is>
      </c>
      <c r="G2089" t="n">
        <v>35.4</v>
      </c>
      <c r="H2089" t="n">
        <v>0</v>
      </c>
      <c r="I2089" t="n">
        <v>0</v>
      </c>
      <c r="J2089" t="n">
        <v>0</v>
      </c>
      <c r="K2089" t="n">
        <v>0</v>
      </c>
      <c r="L2089" t="n">
        <v>0</v>
      </c>
      <c r="M2089" t="n">
        <v>0</v>
      </c>
      <c r="N2089" t="n">
        <v>0</v>
      </c>
      <c r="O2089" t="n">
        <v>0</v>
      </c>
      <c r="P2089" t="n">
        <v>0</v>
      </c>
      <c r="Q2089" t="n">
        <v>0</v>
      </c>
      <c r="R2089" s="2" t="inlineStr"/>
    </row>
    <row r="2090" ht="15" customHeight="1">
      <c r="A2090" t="inlineStr">
        <is>
          <t>A 2391-2026</t>
        </is>
      </c>
      <c r="B2090" s="1" t="n">
        <v>46035</v>
      </c>
      <c r="C2090" s="1" t="n">
        <v>46161</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25877-2021</t>
        </is>
      </c>
      <c r="B2091" s="1" t="n">
        <v>44344</v>
      </c>
      <c r="C2091" s="1" t="n">
        <v>46161</v>
      </c>
      <c r="D2091" t="inlineStr">
        <is>
          <t>VÄSTERNORRLANDS LÄN</t>
        </is>
      </c>
      <c r="E2091" t="inlineStr">
        <is>
          <t>SOLLEFTEÅ</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1601-2026</t>
        </is>
      </c>
      <c r="B2092" s="1" t="n">
        <v>46034.45820601852</v>
      </c>
      <c r="C2092" s="1" t="n">
        <v>46161</v>
      </c>
      <c r="D2092" t="inlineStr">
        <is>
          <t>VÄSTERNORRLANDS LÄN</t>
        </is>
      </c>
      <c r="E2092" t="inlineStr">
        <is>
          <t>SOLLEFTEÅ</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2459-2026</t>
        </is>
      </c>
      <c r="B2093" s="1" t="n">
        <v>46035</v>
      </c>
      <c r="C2093" s="1" t="n">
        <v>46161</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1812-2026</t>
        </is>
      </c>
      <c r="B2094" s="1" t="n">
        <v>46035.34425925926</v>
      </c>
      <c r="C2094" s="1" t="n">
        <v>46161</v>
      </c>
      <c r="D2094" t="inlineStr">
        <is>
          <t>VÄSTERNORRLANDS LÄN</t>
        </is>
      </c>
      <c r="E2094" t="inlineStr">
        <is>
          <t>SOLLEFTEÅ</t>
        </is>
      </c>
      <c r="F2094" t="inlineStr">
        <is>
          <t>SCA</t>
        </is>
      </c>
      <c r="G2094" t="n">
        <v>25.8</v>
      </c>
      <c r="H2094" t="n">
        <v>0</v>
      </c>
      <c r="I2094" t="n">
        <v>0</v>
      </c>
      <c r="J2094" t="n">
        <v>0</v>
      </c>
      <c r="K2094" t="n">
        <v>0</v>
      </c>
      <c r="L2094" t="n">
        <v>0</v>
      </c>
      <c r="M2094" t="n">
        <v>0</v>
      </c>
      <c r="N2094" t="n">
        <v>0</v>
      </c>
      <c r="O2094" t="n">
        <v>0</v>
      </c>
      <c r="P2094" t="n">
        <v>0</v>
      </c>
      <c r="Q2094" t="n">
        <v>0</v>
      </c>
      <c r="R2094" s="2" t="inlineStr"/>
    </row>
    <row r="2095" ht="15" customHeight="1">
      <c r="A2095" t="inlineStr">
        <is>
          <t>A 1964-2026</t>
        </is>
      </c>
      <c r="B2095" s="1" t="n">
        <v>46035.63594907407</v>
      </c>
      <c r="C2095" s="1" t="n">
        <v>46161</v>
      </c>
      <c r="D2095" t="inlineStr">
        <is>
          <t>VÄSTERNORRLANDS LÄN</t>
        </is>
      </c>
      <c r="E2095" t="inlineStr">
        <is>
          <t>SOLLEFTEÅ</t>
        </is>
      </c>
      <c r="F2095" t="inlineStr">
        <is>
          <t>SCA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23542-2024</t>
        </is>
      </c>
      <c r="B2096" s="1" t="n">
        <v>45453.95262731481</v>
      </c>
      <c r="C2096" s="1" t="n">
        <v>46161</v>
      </c>
      <c r="D2096" t="inlineStr">
        <is>
          <t>VÄSTERNORRLANDS LÄN</t>
        </is>
      </c>
      <c r="E2096" t="inlineStr">
        <is>
          <t>SOLLEFTEÅ</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1999-2026</t>
        </is>
      </c>
      <c r="B2097" s="1" t="n">
        <v>46035.67773148148</v>
      </c>
      <c r="C2097" s="1" t="n">
        <v>46161</v>
      </c>
      <c r="D2097" t="inlineStr">
        <is>
          <t>VÄSTERNORRLANDS LÄN</t>
        </is>
      </c>
      <c r="E2097" t="inlineStr">
        <is>
          <t>SOLLEFTEÅ</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18861-2023</t>
        </is>
      </c>
      <c r="B2098" s="1" t="n">
        <v>45042</v>
      </c>
      <c r="C2098" s="1" t="n">
        <v>46161</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17993-2025</t>
        </is>
      </c>
      <c r="B2099" s="1" t="n">
        <v>45761.40673611111</v>
      </c>
      <c r="C2099" s="1" t="n">
        <v>46161</v>
      </c>
      <c r="D2099" t="inlineStr">
        <is>
          <t>VÄSTERNORRLANDS LÄN</t>
        </is>
      </c>
      <c r="E2099" t="inlineStr">
        <is>
          <t>SOLLEFTEÅ</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2023-2026</t>
        </is>
      </c>
      <c r="B2100" s="1" t="n">
        <v>46035.72098379629</v>
      </c>
      <c r="C2100" s="1" t="n">
        <v>46161</v>
      </c>
      <c r="D2100" t="inlineStr">
        <is>
          <t>VÄSTERNORRLANDS LÄN</t>
        </is>
      </c>
      <c r="E2100" t="inlineStr">
        <is>
          <t>SOLLEFTEÅ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2027-2026</t>
        </is>
      </c>
      <c r="B2101" s="1" t="n">
        <v>46035.72739583333</v>
      </c>
      <c r="C2101" s="1" t="n">
        <v>46161</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2074-2026</t>
        </is>
      </c>
      <c r="B2102" s="1" t="n">
        <v>46036.34439814815</v>
      </c>
      <c r="C2102" s="1" t="n">
        <v>46161</v>
      </c>
      <c r="D2102" t="inlineStr">
        <is>
          <t>VÄSTERNORRLANDS LÄN</t>
        </is>
      </c>
      <c r="E2102" t="inlineStr">
        <is>
          <t>SOLLEFTEÅ</t>
        </is>
      </c>
      <c r="F2102" t="inlineStr">
        <is>
          <t>SCA</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2376-2026</t>
        </is>
      </c>
      <c r="B2103" s="1" t="n">
        <v>46036.65675925926</v>
      </c>
      <c r="C2103" s="1" t="n">
        <v>46161</v>
      </c>
      <c r="D2103" t="inlineStr">
        <is>
          <t>VÄSTERNORRLANDS LÄN</t>
        </is>
      </c>
      <c r="E2103" t="inlineStr">
        <is>
          <t>SOLLEFTEÅ</t>
        </is>
      </c>
      <c r="F2103" t="inlineStr">
        <is>
          <t>SCA</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2076-2026</t>
        </is>
      </c>
      <c r="B2104" s="1" t="n">
        <v>46036</v>
      </c>
      <c r="C2104" s="1" t="n">
        <v>46161</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2834-2026</t>
        </is>
      </c>
      <c r="B2105" s="1" t="n">
        <v>46036</v>
      </c>
      <c r="C2105" s="1" t="n">
        <v>46161</v>
      </c>
      <c r="D2105" t="inlineStr">
        <is>
          <t>VÄSTERNORRLANDS LÄN</t>
        </is>
      </c>
      <c r="E2105" t="inlineStr">
        <is>
          <t>SOLLEFTEÅ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2263-2026</t>
        </is>
      </c>
      <c r="B2106" s="1" t="n">
        <v>46036.56760416667</v>
      </c>
      <c r="C2106" s="1" t="n">
        <v>46161</v>
      </c>
      <c r="D2106" t="inlineStr">
        <is>
          <t>VÄSTERNORRLANDS LÄN</t>
        </is>
      </c>
      <c r="E2106" t="inlineStr">
        <is>
          <t>SOLLEFTEÅ</t>
        </is>
      </c>
      <c r="G2106" t="n">
        <v>14.3</v>
      </c>
      <c r="H2106" t="n">
        <v>0</v>
      </c>
      <c r="I2106" t="n">
        <v>0</v>
      </c>
      <c r="J2106" t="n">
        <v>0</v>
      </c>
      <c r="K2106" t="n">
        <v>0</v>
      </c>
      <c r="L2106" t="n">
        <v>0</v>
      </c>
      <c r="M2106" t="n">
        <v>0</v>
      </c>
      <c r="N2106" t="n">
        <v>0</v>
      </c>
      <c r="O2106" t="n">
        <v>0</v>
      </c>
      <c r="P2106" t="n">
        <v>0</v>
      </c>
      <c r="Q2106" t="n">
        <v>0</v>
      </c>
      <c r="R2106" s="2" t="inlineStr"/>
    </row>
    <row r="2107" ht="15" customHeight="1">
      <c r="A2107" t="inlineStr">
        <is>
          <t>A 2453-2026</t>
        </is>
      </c>
      <c r="B2107" s="1" t="n">
        <v>46037.34457175926</v>
      </c>
      <c r="C2107" s="1" t="n">
        <v>46161</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2080-2026</t>
        </is>
      </c>
      <c r="B2108" s="1" t="n">
        <v>46036.35287037037</v>
      </c>
      <c r="C2108" s="1" t="n">
        <v>46161</v>
      </c>
      <c r="D2108" t="inlineStr">
        <is>
          <t>VÄSTERNORRLANDS LÄN</t>
        </is>
      </c>
      <c r="E2108" t="inlineStr">
        <is>
          <t>SOLLEFTEÅ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49253-2024</t>
        </is>
      </c>
      <c r="B2109" s="1" t="n">
        <v>45595</v>
      </c>
      <c r="C2109" s="1" t="n">
        <v>46161</v>
      </c>
      <c r="D2109" t="inlineStr">
        <is>
          <t>VÄSTERNORRLANDS LÄN</t>
        </is>
      </c>
      <c r="E2109" t="inlineStr">
        <is>
          <t>SOLLEFTEÅ</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2836-2026</t>
        </is>
      </c>
      <c r="B2110" s="1" t="n">
        <v>46036</v>
      </c>
      <c r="C2110" s="1" t="n">
        <v>46161</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11455-2025</t>
        </is>
      </c>
      <c r="B2111" s="1" t="n">
        <v>45726.64886574074</v>
      </c>
      <c r="C2111" s="1" t="n">
        <v>46161</v>
      </c>
      <c r="D2111" t="inlineStr">
        <is>
          <t>VÄSTERNORRLANDS LÄN</t>
        </is>
      </c>
      <c r="E2111" t="inlineStr">
        <is>
          <t>SOLLEFTEÅ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3179-2026</t>
        </is>
      </c>
      <c r="B2112" s="1" t="n">
        <v>46041.44837962963</v>
      </c>
      <c r="C2112" s="1" t="n">
        <v>46161</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10138-2022</t>
        </is>
      </c>
      <c r="B2113" s="1" t="n">
        <v>44621.94612268519</v>
      </c>
      <c r="C2113" s="1" t="n">
        <v>46161</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3229-2026</t>
        </is>
      </c>
      <c r="B2114" s="1" t="n">
        <v>46041.55244212963</v>
      </c>
      <c r="C2114" s="1" t="n">
        <v>46161</v>
      </c>
      <c r="D2114" t="inlineStr">
        <is>
          <t>VÄSTERNORRLANDS LÄN</t>
        </is>
      </c>
      <c r="E2114" t="inlineStr">
        <is>
          <t>SOLLEFTEÅ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11746-2025</t>
        </is>
      </c>
      <c r="B2115" s="1" t="n">
        <v>45727.63577546296</v>
      </c>
      <c r="C2115" s="1" t="n">
        <v>46161</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2987-2026</t>
        </is>
      </c>
      <c r="B2116" s="1" t="n">
        <v>46038.63591435185</v>
      </c>
      <c r="C2116" s="1" t="n">
        <v>46161</v>
      </c>
      <c r="D2116" t="inlineStr">
        <is>
          <t>VÄSTERNORRLANDS LÄN</t>
        </is>
      </c>
      <c r="E2116" t="inlineStr">
        <is>
          <t>SOLLEFTEÅ</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3320-2026</t>
        </is>
      </c>
      <c r="B2117" s="1" t="n">
        <v>46041</v>
      </c>
      <c r="C2117" s="1" t="n">
        <v>46161</v>
      </c>
      <c r="D2117" t="inlineStr">
        <is>
          <t>VÄSTERNORRLANDS LÄN</t>
        </is>
      </c>
      <c r="E2117" t="inlineStr">
        <is>
          <t>SOLLEFTEÅ</t>
        </is>
      </c>
      <c r="F2117" t="inlineStr">
        <is>
          <t>Övriga statliga verk och myndigheter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51847-2021</t>
        </is>
      </c>
      <c r="B2118" s="1" t="n">
        <v>44462.69077546296</v>
      </c>
      <c r="C2118" s="1" t="n">
        <v>46161</v>
      </c>
      <c r="D2118" t="inlineStr">
        <is>
          <t>VÄSTERNORRLANDS LÄN</t>
        </is>
      </c>
      <c r="E2118" t="inlineStr">
        <is>
          <t>SOLLEFTEÅ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3274-2026</t>
        </is>
      </c>
      <c r="B2119" s="1" t="n">
        <v>46041.61489583334</v>
      </c>
      <c r="C2119" s="1" t="n">
        <v>46161</v>
      </c>
      <c r="D2119" t="inlineStr">
        <is>
          <t>VÄSTERNORRLANDS LÄN</t>
        </is>
      </c>
      <c r="E2119" t="inlineStr">
        <is>
          <t>SOLLEFTEÅ</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30063-2024</t>
        </is>
      </c>
      <c r="B2120" s="1" t="n">
        <v>45488.94841435185</v>
      </c>
      <c r="C2120" s="1" t="n">
        <v>46161</v>
      </c>
      <c r="D2120" t="inlineStr">
        <is>
          <t>VÄSTERNORRLANDS LÄN</t>
        </is>
      </c>
      <c r="E2120" t="inlineStr">
        <is>
          <t>SOLLEFTEÅ</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3314-2026</t>
        </is>
      </c>
      <c r="B2121" s="1" t="n">
        <v>46041</v>
      </c>
      <c r="C2121" s="1" t="n">
        <v>46161</v>
      </c>
      <c r="D2121" t="inlineStr">
        <is>
          <t>VÄSTERNORRLANDS LÄN</t>
        </is>
      </c>
      <c r="E2121" t="inlineStr">
        <is>
          <t>SOLLEFTEÅ</t>
        </is>
      </c>
      <c r="G2121" t="n">
        <v>10.5</v>
      </c>
      <c r="H2121" t="n">
        <v>0</v>
      </c>
      <c r="I2121" t="n">
        <v>0</v>
      </c>
      <c r="J2121" t="n">
        <v>0</v>
      </c>
      <c r="K2121" t="n">
        <v>0</v>
      </c>
      <c r="L2121" t="n">
        <v>0</v>
      </c>
      <c r="M2121" t="n">
        <v>0</v>
      </c>
      <c r="N2121" t="n">
        <v>0</v>
      </c>
      <c r="O2121" t="n">
        <v>0</v>
      </c>
      <c r="P2121" t="n">
        <v>0</v>
      </c>
      <c r="Q2121" t="n">
        <v>0</v>
      </c>
      <c r="R2121" s="2" t="inlineStr"/>
    </row>
    <row r="2122" ht="15" customHeight="1">
      <c r="A2122" t="inlineStr">
        <is>
          <t>A 59317-2024</t>
        </is>
      </c>
      <c r="B2122" s="1" t="n">
        <v>45637.69873842593</v>
      </c>
      <c r="C2122" s="1" t="n">
        <v>46161</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59388-2024</t>
        </is>
      </c>
      <c r="B2123" s="1" t="n">
        <v>45638.365</v>
      </c>
      <c r="C2123" s="1" t="n">
        <v>46161</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51341-2024</t>
        </is>
      </c>
      <c r="B2124" s="1" t="n">
        <v>45604.34481481482</v>
      </c>
      <c r="C2124" s="1" t="n">
        <v>46161</v>
      </c>
      <c r="D2124" t="inlineStr">
        <is>
          <t>VÄSTERNORRLANDS LÄN</t>
        </is>
      </c>
      <c r="E2124" t="inlineStr">
        <is>
          <t>SOLLEFTEÅ</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19407-2025</t>
        </is>
      </c>
      <c r="B2125" s="1" t="n">
        <v>45769.67832175926</v>
      </c>
      <c r="C2125" s="1" t="n">
        <v>46161</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20551-2022</t>
        </is>
      </c>
      <c r="B2126" s="1" t="n">
        <v>44699</v>
      </c>
      <c r="C2126" s="1" t="n">
        <v>46161</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3210-2026</t>
        </is>
      </c>
      <c r="B2127" s="1" t="n">
        <v>46041.48989583334</v>
      </c>
      <c r="C2127" s="1" t="n">
        <v>46161</v>
      </c>
      <c r="D2127" t="inlineStr">
        <is>
          <t>VÄSTERNORRLANDS LÄN</t>
        </is>
      </c>
      <c r="E2127" t="inlineStr">
        <is>
          <t>SOLLEFTEÅ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3052-2026</t>
        </is>
      </c>
      <c r="B2128" s="1" t="n">
        <v>46039.26511574074</v>
      </c>
      <c r="C2128" s="1" t="n">
        <v>46161</v>
      </c>
      <c r="D2128" t="inlineStr">
        <is>
          <t>VÄSTERNORRLANDS LÄN</t>
        </is>
      </c>
      <c r="E2128" t="inlineStr">
        <is>
          <t>SOLLEFTEÅ</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3807-2026</t>
        </is>
      </c>
      <c r="B2129" s="1" t="n">
        <v>46043.5834375</v>
      </c>
      <c r="C2129" s="1" t="n">
        <v>46161</v>
      </c>
      <c r="D2129" t="inlineStr">
        <is>
          <t>VÄSTERNORRLANDS LÄN</t>
        </is>
      </c>
      <c r="E2129" t="inlineStr">
        <is>
          <t>SOLLEFTEÅ</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3436-2026</t>
        </is>
      </c>
      <c r="B2130" s="1" t="n">
        <v>46042.46947916667</v>
      </c>
      <c r="C2130" s="1" t="n">
        <v>46161</v>
      </c>
      <c r="D2130" t="inlineStr">
        <is>
          <t>VÄSTERNORRLANDS LÄN</t>
        </is>
      </c>
      <c r="E2130" t="inlineStr">
        <is>
          <t>SOLLEFTEÅ</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10094-2023</t>
        </is>
      </c>
      <c r="B2131" s="1" t="n">
        <v>44985</v>
      </c>
      <c r="C2131" s="1" t="n">
        <v>46161</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3425-2026</t>
        </is>
      </c>
      <c r="B2132" s="1" t="n">
        <v>46042.44827546296</v>
      </c>
      <c r="C2132" s="1" t="n">
        <v>46161</v>
      </c>
      <c r="D2132" t="inlineStr">
        <is>
          <t>VÄSTERNORRLANDS LÄN</t>
        </is>
      </c>
      <c r="E2132" t="inlineStr">
        <is>
          <t>SOLLEFTEÅ</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3583-2026</t>
        </is>
      </c>
      <c r="B2133" s="1" t="n">
        <v>46042.72951388889</v>
      </c>
      <c r="C2133" s="1" t="n">
        <v>46161</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3584-2026</t>
        </is>
      </c>
      <c r="B2134" s="1" t="n">
        <v>46042.73206018518</v>
      </c>
      <c r="C2134" s="1" t="n">
        <v>46161</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10865-2025</t>
        </is>
      </c>
      <c r="B2135" s="1" t="n">
        <v>45722.61526620371</v>
      </c>
      <c r="C2135" s="1" t="n">
        <v>46161</v>
      </c>
      <c r="D2135" t="inlineStr">
        <is>
          <t>VÄSTERNORRLANDS LÄN</t>
        </is>
      </c>
      <c r="E2135" t="inlineStr">
        <is>
          <t>SOLLEFTEÅ</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3400-2026</t>
        </is>
      </c>
      <c r="B2136" s="1" t="n">
        <v>46042.38619212963</v>
      </c>
      <c r="C2136" s="1" t="n">
        <v>46161</v>
      </c>
      <c r="D2136" t="inlineStr">
        <is>
          <t>VÄSTERNORRLANDS LÄN</t>
        </is>
      </c>
      <c r="E2136" t="inlineStr">
        <is>
          <t>SOLLEFTEÅ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3805-2026</t>
        </is>
      </c>
      <c r="B2137" s="1" t="n">
        <v>46043.58320601852</v>
      </c>
      <c r="C2137" s="1" t="n">
        <v>46161</v>
      </c>
      <c r="D2137" t="inlineStr">
        <is>
          <t>VÄSTERNORRLANDS LÄN</t>
        </is>
      </c>
      <c r="E2137" t="inlineStr">
        <is>
          <t>SOLLEFTEÅ</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17279-2025</t>
        </is>
      </c>
      <c r="B2138" s="1" t="n">
        <v>45756.56396990741</v>
      </c>
      <c r="C2138" s="1" t="n">
        <v>46161</v>
      </c>
      <c r="D2138" t="inlineStr">
        <is>
          <t>VÄSTERNORRLANDS LÄN</t>
        </is>
      </c>
      <c r="E2138" t="inlineStr">
        <is>
          <t>SOLLEFTEÅ</t>
        </is>
      </c>
      <c r="G2138" t="n">
        <v>22.4</v>
      </c>
      <c r="H2138" t="n">
        <v>0</v>
      </c>
      <c r="I2138" t="n">
        <v>0</v>
      </c>
      <c r="J2138" t="n">
        <v>0</v>
      </c>
      <c r="K2138" t="n">
        <v>0</v>
      </c>
      <c r="L2138" t="n">
        <v>0</v>
      </c>
      <c r="M2138" t="n">
        <v>0</v>
      </c>
      <c r="N2138" t="n">
        <v>0</v>
      </c>
      <c r="O2138" t="n">
        <v>0</v>
      </c>
      <c r="P2138" t="n">
        <v>0</v>
      </c>
      <c r="Q2138" t="n">
        <v>0</v>
      </c>
      <c r="R2138" s="2" t="inlineStr"/>
    </row>
    <row r="2139" ht="15" customHeight="1">
      <c r="A2139" t="inlineStr">
        <is>
          <t>A 52702-2024</t>
        </is>
      </c>
      <c r="B2139" s="1" t="n">
        <v>45610</v>
      </c>
      <c r="C2139" s="1" t="n">
        <v>46161</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25017-2022</t>
        </is>
      </c>
      <c r="B2140" s="1" t="n">
        <v>44728.94331018518</v>
      </c>
      <c r="C2140" s="1" t="n">
        <v>46161</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3495-2026</t>
        </is>
      </c>
      <c r="B2141" s="1" t="n">
        <v>46042</v>
      </c>
      <c r="C2141" s="1" t="n">
        <v>46161</v>
      </c>
      <c r="D2141" t="inlineStr">
        <is>
          <t>VÄSTERNORRLANDS LÄN</t>
        </is>
      </c>
      <c r="E2141" t="inlineStr">
        <is>
          <t>SOLLEFTEÅ</t>
        </is>
      </c>
      <c r="F2141" t="inlineStr">
        <is>
          <t>Kyrkan</t>
        </is>
      </c>
      <c r="G2141" t="n">
        <v>10.5</v>
      </c>
      <c r="H2141" t="n">
        <v>0</v>
      </c>
      <c r="I2141" t="n">
        <v>0</v>
      </c>
      <c r="J2141" t="n">
        <v>0</v>
      </c>
      <c r="K2141" t="n">
        <v>0</v>
      </c>
      <c r="L2141" t="n">
        <v>0</v>
      </c>
      <c r="M2141" t="n">
        <v>0</v>
      </c>
      <c r="N2141" t="n">
        <v>0</v>
      </c>
      <c r="O2141" t="n">
        <v>0</v>
      </c>
      <c r="P2141" t="n">
        <v>0</v>
      </c>
      <c r="Q2141" t="n">
        <v>0</v>
      </c>
      <c r="R2141" s="2" t="inlineStr"/>
    </row>
    <row r="2142" ht="15" customHeight="1">
      <c r="A2142" t="inlineStr">
        <is>
          <t>A 58226-2024</t>
        </is>
      </c>
      <c r="B2142" s="1" t="n">
        <v>45632.51076388889</v>
      </c>
      <c r="C2142" s="1" t="n">
        <v>46161</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3496-2026</t>
        </is>
      </c>
      <c r="B2143" s="1" t="n">
        <v>46042</v>
      </c>
      <c r="C2143" s="1" t="n">
        <v>46161</v>
      </c>
      <c r="D2143" t="inlineStr">
        <is>
          <t>VÄSTERNORRLANDS LÄN</t>
        </is>
      </c>
      <c r="E2143" t="inlineStr">
        <is>
          <t>SOLLEFTEÅ</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3812-2026</t>
        </is>
      </c>
      <c r="B2144" s="1" t="n">
        <v>46043.58417824074</v>
      </c>
      <c r="C2144" s="1" t="n">
        <v>46161</v>
      </c>
      <c r="D2144" t="inlineStr">
        <is>
          <t>VÄSTERNORRLANDS LÄN</t>
        </is>
      </c>
      <c r="E2144" t="inlineStr">
        <is>
          <t>SOLLEFTEÅ</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4208-2026</t>
        </is>
      </c>
      <c r="B2145" s="1" t="n">
        <v>46044</v>
      </c>
      <c r="C2145" s="1" t="n">
        <v>46161</v>
      </c>
      <c r="D2145" t="inlineStr">
        <is>
          <t>VÄSTERNORRLANDS LÄN</t>
        </is>
      </c>
      <c r="E2145" t="inlineStr">
        <is>
          <t>SOLLEFTEÅ</t>
        </is>
      </c>
      <c r="F2145" t="inlineStr">
        <is>
          <t>Kommuner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13554-2023</t>
        </is>
      </c>
      <c r="B2146" s="1" t="n">
        <v>45005</v>
      </c>
      <c r="C2146" s="1" t="n">
        <v>46161</v>
      </c>
      <c r="D2146" t="inlineStr">
        <is>
          <t>VÄSTERNORRLANDS LÄN</t>
        </is>
      </c>
      <c r="E2146" t="inlineStr">
        <is>
          <t>SOLLEFTEÅ</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4461-2026</t>
        </is>
      </c>
      <c r="B2147" s="1" t="n">
        <v>46045.65018518519</v>
      </c>
      <c r="C2147" s="1" t="n">
        <v>46161</v>
      </c>
      <c r="D2147" t="inlineStr">
        <is>
          <t>VÄSTERNORRLANDS LÄN</t>
        </is>
      </c>
      <c r="E2147" t="inlineStr">
        <is>
          <t>SOLLEFTEÅ</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26391-2024</t>
        </is>
      </c>
      <c r="B2148" s="1" t="n">
        <v>45468</v>
      </c>
      <c r="C2148" s="1" t="n">
        <v>46161</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4052-2026</t>
        </is>
      </c>
      <c r="B2149" s="1" t="n">
        <v>46044.47467592593</v>
      </c>
      <c r="C2149" s="1" t="n">
        <v>46161</v>
      </c>
      <c r="D2149" t="inlineStr">
        <is>
          <t>VÄSTERNORRLANDS LÄN</t>
        </is>
      </c>
      <c r="E2149" t="inlineStr">
        <is>
          <t>SOLLEFTEÅ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34309-2023</t>
        </is>
      </c>
      <c r="B2150" s="1" t="n">
        <v>45138.92300925926</v>
      </c>
      <c r="C2150" s="1" t="n">
        <v>46161</v>
      </c>
      <c r="D2150" t="inlineStr">
        <is>
          <t>VÄSTERNORRLANDS LÄN</t>
        </is>
      </c>
      <c r="E2150" t="inlineStr">
        <is>
          <t>SOLLEFTEÅ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4058-2026</t>
        </is>
      </c>
      <c r="B2151" s="1" t="n">
        <v>46044.49015046296</v>
      </c>
      <c r="C2151" s="1" t="n">
        <v>46161</v>
      </c>
      <c r="D2151" t="inlineStr">
        <is>
          <t>VÄSTERNORRLANDS LÄN</t>
        </is>
      </c>
      <c r="E2151" t="inlineStr">
        <is>
          <t>SOLLEFTEÅ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1031-2026</t>
        </is>
      </c>
      <c r="B2152" s="1" t="n">
        <v>46030.61530092593</v>
      </c>
      <c r="C2152" s="1" t="n">
        <v>46161</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4149-2026</t>
        </is>
      </c>
      <c r="B2153" s="1" t="n">
        <v>46044.64534722222</v>
      </c>
      <c r="C2153" s="1" t="n">
        <v>46161</v>
      </c>
      <c r="D2153" t="inlineStr">
        <is>
          <t>VÄSTERNORRLANDS LÄN</t>
        </is>
      </c>
      <c r="E2153" t="inlineStr">
        <is>
          <t>SOLLEFTEÅ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13009-2023</t>
        </is>
      </c>
      <c r="B2154" s="1" t="n">
        <v>45002.03643518518</v>
      </c>
      <c r="C2154" s="1" t="n">
        <v>46161</v>
      </c>
      <c r="D2154" t="inlineStr">
        <is>
          <t>VÄSTERNORRLANDS LÄN</t>
        </is>
      </c>
      <c r="E2154" t="inlineStr">
        <is>
          <t>SOLLEFTEÅ</t>
        </is>
      </c>
      <c r="F2154" t="inlineStr">
        <is>
          <t>SCA</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4064-2026</t>
        </is>
      </c>
      <c r="B2155" s="1" t="n">
        <v>46044.5109837963</v>
      </c>
      <c r="C2155" s="1" t="n">
        <v>46161</v>
      </c>
      <c r="D2155" t="inlineStr">
        <is>
          <t>VÄSTERNORRLANDS LÄN</t>
        </is>
      </c>
      <c r="E2155" t="inlineStr">
        <is>
          <t>SOLLEFTEÅ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5036-2024</t>
        </is>
      </c>
      <c r="B2156" s="1" t="n">
        <v>45329.87555555555</v>
      </c>
      <c r="C2156" s="1" t="n">
        <v>46161</v>
      </c>
      <c r="D2156" t="inlineStr">
        <is>
          <t>VÄSTERNORRLANDS LÄN</t>
        </is>
      </c>
      <c r="E2156" t="inlineStr">
        <is>
          <t>SOLLEFTEÅ</t>
        </is>
      </c>
      <c r="F2156" t="inlineStr">
        <is>
          <t>Övriga Aktiebolag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42512-2023</t>
        </is>
      </c>
      <c r="B2157" s="1" t="n">
        <v>45180.95953703704</v>
      </c>
      <c r="C2157" s="1" t="n">
        <v>46161</v>
      </c>
      <c r="D2157" t="inlineStr">
        <is>
          <t>VÄSTERNORRLANDS LÄN</t>
        </is>
      </c>
      <c r="E2157" t="inlineStr">
        <is>
          <t>SOLLEFTEÅ</t>
        </is>
      </c>
      <c r="F2157" t="inlineStr">
        <is>
          <t>SCA</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44591-2024</t>
        </is>
      </c>
      <c r="B2158" s="1" t="n">
        <v>45574</v>
      </c>
      <c r="C2158" s="1" t="n">
        <v>46161</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4181-2026</t>
        </is>
      </c>
      <c r="B2159" s="1" t="n">
        <v>46044</v>
      </c>
      <c r="C2159" s="1" t="n">
        <v>46161</v>
      </c>
      <c r="D2159" t="inlineStr">
        <is>
          <t>VÄSTERNORRLANDS LÄN</t>
        </is>
      </c>
      <c r="E2159" t="inlineStr">
        <is>
          <t>SOLLEFTEÅ</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31177-2023</t>
        </is>
      </c>
      <c r="B2160" s="1" t="n">
        <v>45113</v>
      </c>
      <c r="C2160" s="1" t="n">
        <v>46161</v>
      </c>
      <c r="D2160" t="inlineStr">
        <is>
          <t>VÄSTERNORRLANDS LÄN</t>
        </is>
      </c>
      <c r="E2160" t="inlineStr">
        <is>
          <t>SOLLEFTEÅ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53669-2023</t>
        </is>
      </c>
      <c r="B2161" s="1" t="n">
        <v>45230</v>
      </c>
      <c r="C2161" s="1" t="n">
        <v>46161</v>
      </c>
      <c r="D2161" t="inlineStr">
        <is>
          <t>VÄSTERNORRLANDS LÄN</t>
        </is>
      </c>
      <c r="E2161" t="inlineStr">
        <is>
          <t>SOLLEFTEÅ</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23287-2023</t>
        </is>
      </c>
      <c r="B2162" s="1" t="n">
        <v>45075</v>
      </c>
      <c r="C2162" s="1" t="n">
        <v>46161</v>
      </c>
      <c r="D2162" t="inlineStr">
        <is>
          <t>VÄSTERNORRLANDS LÄN</t>
        </is>
      </c>
      <c r="E2162" t="inlineStr">
        <is>
          <t>SOLLEFTEÅ</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5159-2026</t>
        </is>
      </c>
      <c r="B2163" s="1" t="n">
        <v>46049.61608796296</v>
      </c>
      <c r="C2163" s="1" t="n">
        <v>46161</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37197-2024</t>
        </is>
      </c>
      <c r="B2164" s="1" t="n">
        <v>45539</v>
      </c>
      <c r="C2164" s="1" t="n">
        <v>46161</v>
      </c>
      <c r="D2164" t="inlineStr">
        <is>
          <t>VÄSTERNORRLANDS LÄN</t>
        </is>
      </c>
      <c r="E2164" t="inlineStr">
        <is>
          <t>SOLLEFTEÅ</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13292-2023</t>
        </is>
      </c>
      <c r="B2165" s="1" t="n">
        <v>45004</v>
      </c>
      <c r="C2165" s="1" t="n">
        <v>46161</v>
      </c>
      <c r="D2165" t="inlineStr">
        <is>
          <t>VÄSTERNORRLANDS LÄN</t>
        </is>
      </c>
      <c r="E2165" t="inlineStr">
        <is>
          <t>SOLLEFTEÅ</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18456-2023</t>
        </is>
      </c>
      <c r="B2166" s="1" t="n">
        <v>45041</v>
      </c>
      <c r="C2166" s="1" t="n">
        <v>46161</v>
      </c>
      <c r="D2166" t="inlineStr">
        <is>
          <t>VÄSTERNORRLANDS LÄN</t>
        </is>
      </c>
      <c r="E2166" t="inlineStr">
        <is>
          <t>SOLLEFTEÅ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5158-2026</t>
        </is>
      </c>
      <c r="B2167" s="1" t="n">
        <v>46049.61594907408</v>
      </c>
      <c r="C2167" s="1" t="n">
        <v>46161</v>
      </c>
      <c r="D2167" t="inlineStr">
        <is>
          <t>VÄSTERNORRLANDS LÄN</t>
        </is>
      </c>
      <c r="E2167" t="inlineStr">
        <is>
          <t>SOLLEFTEÅ</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54532-2024</t>
        </is>
      </c>
      <c r="B2168" s="1" t="n">
        <v>45617.60480324074</v>
      </c>
      <c r="C2168" s="1" t="n">
        <v>46161</v>
      </c>
      <c r="D2168" t="inlineStr">
        <is>
          <t>VÄSTERNORRLANDS LÄN</t>
        </is>
      </c>
      <c r="E2168" t="inlineStr">
        <is>
          <t>SOLLEFTEÅ</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5059-2026</t>
        </is>
      </c>
      <c r="B2169" s="1" t="n">
        <v>46049.48384259259</v>
      </c>
      <c r="C2169" s="1" t="n">
        <v>46161</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48606-2024</t>
        </is>
      </c>
      <c r="B2170" s="1" t="n">
        <v>45593.4485300926</v>
      </c>
      <c r="C2170" s="1" t="n">
        <v>46161</v>
      </c>
      <c r="D2170" t="inlineStr">
        <is>
          <t>VÄSTERNORRLANDS LÄN</t>
        </is>
      </c>
      <c r="E2170" t="inlineStr">
        <is>
          <t>SOLLEFTEÅ</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5032-2026</t>
        </is>
      </c>
      <c r="B2171" s="1" t="n">
        <v>46049.45354166667</v>
      </c>
      <c r="C2171" s="1" t="n">
        <v>46161</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6065-2024</t>
        </is>
      </c>
      <c r="B2172" s="1" t="n">
        <v>45336.87826388889</v>
      </c>
      <c r="C2172" s="1" t="n">
        <v>46161</v>
      </c>
      <c r="D2172" t="inlineStr">
        <is>
          <t>VÄSTERNORRLANDS LÄN</t>
        </is>
      </c>
      <c r="E2172" t="inlineStr">
        <is>
          <t>SOLLEFTEÅ</t>
        </is>
      </c>
      <c r="F2172" t="inlineStr">
        <is>
          <t>Övriga Aktiebolag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54485-2024</t>
        </is>
      </c>
      <c r="B2173" s="1" t="n">
        <v>45617.5625462963</v>
      </c>
      <c r="C2173" s="1" t="n">
        <v>46161</v>
      </c>
      <c r="D2173" t="inlineStr">
        <is>
          <t>VÄSTERNORRLANDS LÄN</t>
        </is>
      </c>
      <c r="E2173" t="inlineStr">
        <is>
          <t>SOLLEFTEÅ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14875-2023</t>
        </is>
      </c>
      <c r="B2174" s="1" t="n">
        <v>45015.07292824074</v>
      </c>
      <c r="C2174" s="1" t="n">
        <v>46161</v>
      </c>
      <c r="D2174" t="inlineStr">
        <is>
          <t>VÄSTERNORRLANDS LÄN</t>
        </is>
      </c>
      <c r="E2174" t="inlineStr">
        <is>
          <t>SOLLEFTEÅ</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14975-2024</t>
        </is>
      </c>
      <c r="B2175" s="1" t="n">
        <v>45398.94100694444</v>
      </c>
      <c r="C2175" s="1" t="n">
        <v>46161</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14983-2024</t>
        </is>
      </c>
      <c r="B2176" s="1" t="n">
        <v>45398.94237268518</v>
      </c>
      <c r="C2176" s="1" t="n">
        <v>46161</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50721-2024</t>
        </is>
      </c>
      <c r="B2177" s="1" t="n">
        <v>45602.3863425926</v>
      </c>
      <c r="C2177" s="1" t="n">
        <v>46161</v>
      </c>
      <c r="D2177" t="inlineStr">
        <is>
          <t>VÄSTERNORRLANDS LÄN</t>
        </is>
      </c>
      <c r="E2177" t="inlineStr">
        <is>
          <t>SOLLEFTEÅ</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15621-2025</t>
        </is>
      </c>
      <c r="B2178" s="1" t="n">
        <v>45748.35635416667</v>
      </c>
      <c r="C2178" s="1" t="n">
        <v>46161</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53477-2024</t>
        </is>
      </c>
      <c r="B2179" s="1" t="n">
        <v>45611</v>
      </c>
      <c r="C2179" s="1" t="n">
        <v>46161</v>
      </c>
      <c r="D2179" t="inlineStr">
        <is>
          <t>VÄSTERNORRLANDS LÄN</t>
        </is>
      </c>
      <c r="E2179" t="inlineStr">
        <is>
          <t>SOLLEFTEÅ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1986-2025</t>
        </is>
      </c>
      <c r="B2180" s="1" t="n">
        <v>45672.40684027778</v>
      </c>
      <c r="C2180" s="1" t="n">
        <v>46161</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16492-2025</t>
        </is>
      </c>
      <c r="B2181" s="1" t="n">
        <v>45751.59414351852</v>
      </c>
      <c r="C2181" s="1" t="n">
        <v>46161</v>
      </c>
      <c r="D2181" t="inlineStr">
        <is>
          <t>VÄSTERNORRLANDS LÄN</t>
        </is>
      </c>
      <c r="E2181" t="inlineStr">
        <is>
          <t>SOLLEFTEÅ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7330-2023</t>
        </is>
      </c>
      <c r="B2182" s="1" t="n">
        <v>44970.97920138889</v>
      </c>
      <c r="C2182" s="1" t="n">
        <v>46161</v>
      </c>
      <c r="D2182" t="inlineStr">
        <is>
          <t>VÄSTERNORRLANDS LÄN</t>
        </is>
      </c>
      <c r="E2182" t="inlineStr">
        <is>
          <t>SOLLEFTEÅ</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7333-2023</t>
        </is>
      </c>
      <c r="B2183" s="1" t="n">
        <v>44970.97947916666</v>
      </c>
      <c r="C2183" s="1" t="n">
        <v>46161</v>
      </c>
      <c r="D2183" t="inlineStr">
        <is>
          <t>VÄSTERNORRLANDS LÄN</t>
        </is>
      </c>
      <c r="E2183" t="inlineStr">
        <is>
          <t>SOLLEFTEÅ</t>
        </is>
      </c>
      <c r="F2183" t="inlineStr">
        <is>
          <t>SCA</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5390-2026</t>
        </is>
      </c>
      <c r="B2184" s="1" t="n">
        <v>46050.46929398148</v>
      </c>
      <c r="C2184" s="1" t="n">
        <v>46161</v>
      </c>
      <c r="D2184" t="inlineStr">
        <is>
          <t>VÄSTERNORRLANDS LÄN</t>
        </is>
      </c>
      <c r="E2184" t="inlineStr">
        <is>
          <t>SOLLEFTEÅ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4905-2025</t>
        </is>
      </c>
      <c r="B2185" s="1" t="n">
        <v>45688.68043981482</v>
      </c>
      <c r="C2185" s="1" t="n">
        <v>46161</v>
      </c>
      <c r="D2185" t="inlineStr">
        <is>
          <t>VÄSTERNORRLANDS LÄN</t>
        </is>
      </c>
      <c r="E2185" t="inlineStr">
        <is>
          <t>SOLLEFTEÅ</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56204-2024</t>
        </is>
      </c>
      <c r="B2186" s="1" t="n">
        <v>45624</v>
      </c>
      <c r="C2186" s="1" t="n">
        <v>46161</v>
      </c>
      <c r="D2186" t="inlineStr">
        <is>
          <t>VÄSTERNORRLANDS LÄN</t>
        </is>
      </c>
      <c r="E2186" t="inlineStr">
        <is>
          <t>SOLLEFTEÅ</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2346-2025</t>
        </is>
      </c>
      <c r="B2187" s="1" t="n">
        <v>45673.67767361111</v>
      </c>
      <c r="C2187" s="1" t="n">
        <v>46161</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55149-2024</t>
        </is>
      </c>
      <c r="B2188" s="1" t="n">
        <v>45621.49055555555</v>
      </c>
      <c r="C2188" s="1" t="n">
        <v>46161</v>
      </c>
      <c r="D2188" t="inlineStr">
        <is>
          <t>VÄSTERNORRLANDS LÄN</t>
        </is>
      </c>
      <c r="E2188" t="inlineStr">
        <is>
          <t>SOLLEFTEÅ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5434-2026</t>
        </is>
      </c>
      <c r="B2189" s="1" t="n">
        <v>46050.55648148148</v>
      </c>
      <c r="C2189" s="1" t="n">
        <v>46161</v>
      </c>
      <c r="D2189" t="inlineStr">
        <is>
          <t>VÄSTERNORRLANDS LÄN</t>
        </is>
      </c>
      <c r="E2189" t="inlineStr">
        <is>
          <t>SOLLEFTEÅ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5489-2026</t>
        </is>
      </c>
      <c r="B2190" s="1" t="n">
        <v>46050.61511574074</v>
      </c>
      <c r="C2190" s="1" t="n">
        <v>46161</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5646-2026</t>
        </is>
      </c>
      <c r="B2191" s="1" t="n">
        <v>46051.42618055556</v>
      </c>
      <c r="C2191" s="1" t="n">
        <v>46161</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34284-2023</t>
        </is>
      </c>
      <c r="B2192" s="1" t="n">
        <v>45128</v>
      </c>
      <c r="C2192" s="1" t="n">
        <v>46161</v>
      </c>
      <c r="D2192" t="inlineStr">
        <is>
          <t>VÄSTERNORRLANDS LÄN</t>
        </is>
      </c>
      <c r="E2192" t="inlineStr">
        <is>
          <t>SOLLEFTEÅ</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54235-2024</t>
        </is>
      </c>
      <c r="B2193" s="1" t="n">
        <v>45616.67806712963</v>
      </c>
      <c r="C2193" s="1" t="n">
        <v>46161</v>
      </c>
      <c r="D2193" t="inlineStr">
        <is>
          <t>VÄSTERNORRLANDS LÄN</t>
        </is>
      </c>
      <c r="E2193" t="inlineStr">
        <is>
          <t>SOLLEFTEÅ</t>
        </is>
      </c>
      <c r="F2193" t="inlineStr">
        <is>
          <t>SCA</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31547-2024</t>
        </is>
      </c>
      <c r="B2194" s="1" t="n">
        <v>45505.96362268519</v>
      </c>
      <c r="C2194" s="1" t="n">
        <v>46161</v>
      </c>
      <c r="D2194" t="inlineStr">
        <is>
          <t>VÄSTERNORRLANDS LÄN</t>
        </is>
      </c>
      <c r="E2194" t="inlineStr">
        <is>
          <t>SOLLEFTEÅ</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1030-2025</t>
        </is>
      </c>
      <c r="B2195" s="1" t="n">
        <v>45666</v>
      </c>
      <c r="C2195" s="1" t="n">
        <v>46161</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14731-2025</t>
        </is>
      </c>
      <c r="B2196" s="1" t="n">
        <v>45742.6360300926</v>
      </c>
      <c r="C2196" s="1" t="n">
        <v>46161</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5511-2026</t>
        </is>
      </c>
      <c r="B2197" s="1" t="n">
        <v>46050.6358912037</v>
      </c>
      <c r="C2197" s="1" t="n">
        <v>46161</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31925-2023</t>
        </is>
      </c>
      <c r="B2198" s="1" t="n">
        <v>45118</v>
      </c>
      <c r="C2198" s="1" t="n">
        <v>46161</v>
      </c>
      <c r="D2198" t="inlineStr">
        <is>
          <t>VÄSTERNORRLANDS LÄN</t>
        </is>
      </c>
      <c r="E2198" t="inlineStr">
        <is>
          <t>SOLLEFTEÅ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469-2025</t>
        </is>
      </c>
      <c r="B2199" s="1" t="n">
        <v>45664</v>
      </c>
      <c r="C2199" s="1" t="n">
        <v>46161</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3324-2025</t>
        </is>
      </c>
      <c r="B2200" s="1" t="n">
        <v>45679.69924768519</v>
      </c>
      <c r="C2200" s="1" t="n">
        <v>46161</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6876-2025</t>
        </is>
      </c>
      <c r="B2201" s="1" t="n">
        <v>45701.34446759259</v>
      </c>
      <c r="C2201" s="1" t="n">
        <v>46161</v>
      </c>
      <c r="D2201" t="inlineStr">
        <is>
          <t>VÄSTERNORRLANDS LÄN</t>
        </is>
      </c>
      <c r="E2201" t="inlineStr">
        <is>
          <t>SOLLEFTEÅ</t>
        </is>
      </c>
      <c r="F2201" t="inlineStr">
        <is>
          <t>SCA</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46759-2024</t>
        </is>
      </c>
      <c r="B2202" s="1" t="n">
        <v>45583.49101851852</v>
      </c>
      <c r="C2202" s="1" t="n">
        <v>46161</v>
      </c>
      <c r="D2202" t="inlineStr">
        <is>
          <t>VÄSTERNORRLANDS LÄN</t>
        </is>
      </c>
      <c r="E2202" t="inlineStr">
        <is>
          <t>SOLLEFTEÅ</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59424-2024</t>
        </is>
      </c>
      <c r="B2203" s="1" t="n">
        <v>45638</v>
      </c>
      <c r="C2203" s="1" t="n">
        <v>46161</v>
      </c>
      <c r="D2203" t="inlineStr">
        <is>
          <t>VÄSTERNORRLANDS LÄN</t>
        </is>
      </c>
      <c r="E2203" t="inlineStr">
        <is>
          <t>SOLLEFTEÅ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59434-2024</t>
        </is>
      </c>
      <c r="B2204" s="1" t="n">
        <v>45638.43040509259</v>
      </c>
      <c r="C2204" s="1" t="n">
        <v>46161</v>
      </c>
      <c r="D2204" t="inlineStr">
        <is>
          <t>VÄSTERNORRLANDS LÄN</t>
        </is>
      </c>
      <c r="E2204" t="inlineStr">
        <is>
          <t>SOLLEFTEÅ</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50655-2022</t>
        </is>
      </c>
      <c r="B2205" s="1" t="n">
        <v>44866</v>
      </c>
      <c r="C2205" s="1" t="n">
        <v>46161</v>
      </c>
      <c r="D2205" t="inlineStr">
        <is>
          <t>VÄSTERNORRLANDS LÄN</t>
        </is>
      </c>
      <c r="E2205" t="inlineStr">
        <is>
          <t>SOLLEFTEÅ</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10926-2022</t>
        </is>
      </c>
      <c r="B2206" s="1" t="n">
        <v>44627.94447916667</v>
      </c>
      <c r="C2206" s="1" t="n">
        <v>46161</v>
      </c>
      <c r="D2206" t="inlineStr">
        <is>
          <t>VÄSTERNORRLANDS LÄN</t>
        </is>
      </c>
      <c r="E2206" t="inlineStr">
        <is>
          <t>SOLLEFTEÅ</t>
        </is>
      </c>
      <c r="F2206" t="inlineStr">
        <is>
          <t>SCA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5842-2026</t>
        </is>
      </c>
      <c r="B2207" s="1" t="n">
        <v>46052.34503472222</v>
      </c>
      <c r="C2207" s="1" t="n">
        <v>46161</v>
      </c>
      <c r="D2207" t="inlineStr">
        <is>
          <t>VÄSTERNORRLANDS LÄN</t>
        </is>
      </c>
      <c r="E2207" t="inlineStr">
        <is>
          <t>SOLLEFTEÅ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6053-2026</t>
        </is>
      </c>
      <c r="B2208" s="1" t="n">
        <v>46052.6358912037</v>
      </c>
      <c r="C2208" s="1" t="n">
        <v>46161</v>
      </c>
      <c r="D2208" t="inlineStr">
        <is>
          <t>VÄSTERNORRLANDS LÄN</t>
        </is>
      </c>
      <c r="E2208" t="inlineStr">
        <is>
          <t>SOLLEFTEÅ</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21191-2022</t>
        </is>
      </c>
      <c r="B2209" s="1" t="n">
        <v>44704.94193287037</v>
      </c>
      <c r="C2209" s="1" t="n">
        <v>46161</v>
      </c>
      <c r="D2209" t="inlineStr">
        <is>
          <t>VÄSTERNORRLANDS LÄN</t>
        </is>
      </c>
      <c r="E2209" t="inlineStr">
        <is>
          <t>SOLLEFTEÅ</t>
        </is>
      </c>
      <c r="F2209" t="inlineStr">
        <is>
          <t>SCA</t>
        </is>
      </c>
      <c r="G2209" t="n">
        <v>26.5</v>
      </c>
      <c r="H2209" t="n">
        <v>0</v>
      </c>
      <c r="I2209" t="n">
        <v>0</v>
      </c>
      <c r="J2209" t="n">
        <v>0</v>
      </c>
      <c r="K2209" t="n">
        <v>0</v>
      </c>
      <c r="L2209" t="n">
        <v>0</v>
      </c>
      <c r="M2209" t="n">
        <v>0</v>
      </c>
      <c r="N2209" t="n">
        <v>0</v>
      </c>
      <c r="O2209" t="n">
        <v>0</v>
      </c>
      <c r="P2209" t="n">
        <v>0</v>
      </c>
      <c r="Q2209" t="n">
        <v>0</v>
      </c>
      <c r="R2209" s="2" t="inlineStr"/>
    </row>
    <row r="2210" ht="15" customHeight="1">
      <c r="A2210" t="inlineStr">
        <is>
          <t>A 37046-2024</t>
        </is>
      </c>
      <c r="B2210" s="1" t="n">
        <v>45539.42739583334</v>
      </c>
      <c r="C2210" s="1" t="n">
        <v>46161</v>
      </c>
      <c r="D2210" t="inlineStr">
        <is>
          <t>VÄSTERNORRLANDS LÄN</t>
        </is>
      </c>
      <c r="E2210" t="inlineStr">
        <is>
          <t>SOLLEFTEÅ</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46161</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50745-2023</t>
        </is>
      </c>
      <c r="B2212" s="1" t="n">
        <v>45210</v>
      </c>
      <c r="C2212" s="1" t="n">
        <v>46161</v>
      </c>
      <c r="D2212" t="inlineStr">
        <is>
          <t>VÄSTERNORRLANDS LÄN</t>
        </is>
      </c>
      <c r="E2212" t="inlineStr">
        <is>
          <t>SOLLEFTEÅ</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43772-2022</t>
        </is>
      </c>
      <c r="B2213" s="1" t="n">
        <v>44837</v>
      </c>
      <c r="C2213" s="1" t="n">
        <v>46161</v>
      </c>
      <c r="D2213" t="inlineStr">
        <is>
          <t>VÄSTERNORRLANDS LÄN</t>
        </is>
      </c>
      <c r="E2213" t="inlineStr">
        <is>
          <t>SOLLEFTEÅ</t>
        </is>
      </c>
      <c r="F2213" t="inlineStr">
        <is>
          <t>Kyrkan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48038-2024</t>
        </is>
      </c>
      <c r="B2214" s="1" t="n">
        <v>45589.49350694445</v>
      </c>
      <c r="C2214" s="1" t="n">
        <v>46161</v>
      </c>
      <c r="D2214" t="inlineStr">
        <is>
          <t>VÄSTERNORRLANDS LÄN</t>
        </is>
      </c>
      <c r="E2214" t="inlineStr">
        <is>
          <t>SOLLEFTEÅ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4722-2025</t>
        </is>
      </c>
      <c r="B2215" s="1" t="n">
        <v>45688.41627314815</v>
      </c>
      <c r="C2215" s="1" t="n">
        <v>46161</v>
      </c>
      <c r="D2215" t="inlineStr">
        <is>
          <t>VÄSTERNORRLANDS LÄN</t>
        </is>
      </c>
      <c r="E2215" t="inlineStr">
        <is>
          <t>SOLLEFTEÅ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4726-2025</t>
        </is>
      </c>
      <c r="B2216" s="1" t="n">
        <v>45688</v>
      </c>
      <c r="C2216" s="1" t="n">
        <v>46161</v>
      </c>
      <c r="D2216" t="inlineStr">
        <is>
          <t>VÄSTERNORRLANDS LÄN</t>
        </is>
      </c>
      <c r="E2216" t="inlineStr">
        <is>
          <t>SOLLEFTEÅ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6282-2024</t>
        </is>
      </c>
      <c r="B2217" s="1" t="n">
        <v>45337</v>
      </c>
      <c r="C2217" s="1" t="n">
        <v>46161</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55654-2023</t>
        </is>
      </c>
      <c r="B2218" s="1" t="n">
        <v>45238.96642361111</v>
      </c>
      <c r="C2218" s="1" t="n">
        <v>46161</v>
      </c>
      <c r="D2218" t="inlineStr">
        <is>
          <t>VÄSTERNORRLANDS LÄN</t>
        </is>
      </c>
      <c r="E2218" t="inlineStr">
        <is>
          <t>SOLLEFTEÅ</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17664-2023</t>
        </is>
      </c>
      <c r="B2219" s="1" t="n">
        <v>45036.94416666667</v>
      </c>
      <c r="C2219" s="1" t="n">
        <v>46161</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7007-2025</t>
        </is>
      </c>
      <c r="B2220" s="1" t="n">
        <v>45701</v>
      </c>
      <c r="C2220" s="1" t="n">
        <v>46161</v>
      </c>
      <c r="D2220" t="inlineStr">
        <is>
          <t>VÄSTERNORRLANDS LÄN</t>
        </is>
      </c>
      <c r="E2220" t="inlineStr">
        <is>
          <t>SOLLEFTEÅ</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6725-2026</t>
        </is>
      </c>
      <c r="B2221" s="1" t="n">
        <v>46056.67760416667</v>
      </c>
      <c r="C2221" s="1" t="n">
        <v>46161</v>
      </c>
      <c r="D2221" t="inlineStr">
        <is>
          <t>VÄSTERNORRLANDS LÄN</t>
        </is>
      </c>
      <c r="E2221" t="inlineStr">
        <is>
          <t>SOLLEFTEÅ</t>
        </is>
      </c>
      <c r="F2221" t="inlineStr">
        <is>
          <t>SCA</t>
        </is>
      </c>
      <c r="G2221" t="n">
        <v>27.7</v>
      </c>
      <c r="H2221" t="n">
        <v>0</v>
      </c>
      <c r="I2221" t="n">
        <v>0</v>
      </c>
      <c r="J2221" t="n">
        <v>0</v>
      </c>
      <c r="K2221" t="n">
        <v>0</v>
      </c>
      <c r="L2221" t="n">
        <v>0</v>
      </c>
      <c r="M2221" t="n">
        <v>0</v>
      </c>
      <c r="N2221" t="n">
        <v>0</v>
      </c>
      <c r="O2221" t="n">
        <v>0</v>
      </c>
      <c r="P2221" t="n">
        <v>0</v>
      </c>
      <c r="Q2221" t="n">
        <v>0</v>
      </c>
      <c r="R2221" s="2" t="inlineStr"/>
    </row>
    <row r="2222" ht="15" customHeight="1">
      <c r="A2222" t="inlineStr">
        <is>
          <t>A 23285-2023</t>
        </is>
      </c>
      <c r="B2222" s="1" t="n">
        <v>45075</v>
      </c>
      <c r="C2222" s="1" t="n">
        <v>46161</v>
      </c>
      <c r="D2222" t="inlineStr">
        <is>
          <t>VÄSTERNORRLANDS LÄN</t>
        </is>
      </c>
      <c r="E2222" t="inlineStr">
        <is>
          <t>SOLLEFTEÅ</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6544-2026</t>
        </is>
      </c>
      <c r="B2223" s="1" t="n">
        <v>46056.42792824074</v>
      </c>
      <c r="C2223" s="1" t="n">
        <v>46161</v>
      </c>
      <c r="D2223" t="inlineStr">
        <is>
          <t>VÄSTERNORRLANDS LÄN</t>
        </is>
      </c>
      <c r="E2223" t="inlineStr">
        <is>
          <t>SOLLEFTEÅ</t>
        </is>
      </c>
      <c r="F2223" t="inlineStr">
        <is>
          <t>SCA</t>
        </is>
      </c>
      <c r="G2223" t="n">
        <v>28.3</v>
      </c>
      <c r="H2223" t="n">
        <v>0</v>
      </c>
      <c r="I2223" t="n">
        <v>0</v>
      </c>
      <c r="J2223" t="n">
        <v>0</v>
      </c>
      <c r="K2223" t="n">
        <v>0</v>
      </c>
      <c r="L2223" t="n">
        <v>0</v>
      </c>
      <c r="M2223" t="n">
        <v>0</v>
      </c>
      <c r="N2223" t="n">
        <v>0</v>
      </c>
      <c r="O2223" t="n">
        <v>0</v>
      </c>
      <c r="P2223" t="n">
        <v>0</v>
      </c>
      <c r="Q2223" t="n">
        <v>0</v>
      </c>
      <c r="R2223" s="2" t="inlineStr"/>
    </row>
    <row r="2224" ht="15" customHeight="1">
      <c r="A2224" t="inlineStr">
        <is>
          <t>A 19936-2025</t>
        </is>
      </c>
      <c r="B2224" s="1" t="n">
        <v>45771.64130787037</v>
      </c>
      <c r="C2224" s="1" t="n">
        <v>46161</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6468-2026</t>
        </is>
      </c>
      <c r="B2225" s="1" t="n">
        <v>46056.32021990741</v>
      </c>
      <c r="C2225" s="1" t="n">
        <v>46161</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6615-2026</t>
        </is>
      </c>
      <c r="B2226" s="1" t="n">
        <v>46056.49050925926</v>
      </c>
      <c r="C2226" s="1" t="n">
        <v>46161</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20183-2025</t>
        </is>
      </c>
      <c r="B2227" s="1" t="n">
        <v>45772.59440972222</v>
      </c>
      <c r="C2227" s="1" t="n">
        <v>46161</v>
      </c>
      <c r="D2227" t="inlineStr">
        <is>
          <t>VÄSTERNORRLANDS LÄN</t>
        </is>
      </c>
      <c r="E2227" t="inlineStr">
        <is>
          <t>SOLLEFTEÅ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20334-2025</t>
        </is>
      </c>
      <c r="B2228" s="1" t="n">
        <v>45775.36496527777</v>
      </c>
      <c r="C2228" s="1" t="n">
        <v>46161</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39230-2021</t>
        </is>
      </c>
      <c r="B2229" s="1" t="n">
        <v>44413.43902777778</v>
      </c>
      <c r="C2229" s="1" t="n">
        <v>46161</v>
      </c>
      <c r="D2229" t="inlineStr">
        <is>
          <t>VÄSTERNORRLANDS LÄN</t>
        </is>
      </c>
      <c r="E2229" t="inlineStr">
        <is>
          <t>SOLLEFTEÅ</t>
        </is>
      </c>
      <c r="G2229" t="n">
        <v>13.6</v>
      </c>
      <c r="H2229" t="n">
        <v>0</v>
      </c>
      <c r="I2229" t="n">
        <v>0</v>
      </c>
      <c r="J2229" t="n">
        <v>0</v>
      </c>
      <c r="K2229" t="n">
        <v>0</v>
      </c>
      <c r="L2229" t="n">
        <v>0</v>
      </c>
      <c r="M2229" t="n">
        <v>0</v>
      </c>
      <c r="N2229" t="n">
        <v>0</v>
      </c>
      <c r="O2229" t="n">
        <v>0</v>
      </c>
      <c r="P2229" t="n">
        <v>0</v>
      </c>
      <c r="Q2229" t="n">
        <v>0</v>
      </c>
      <c r="R2229" s="2" t="inlineStr"/>
    </row>
    <row r="2230" ht="15" customHeight="1">
      <c r="A2230" t="inlineStr">
        <is>
          <t>A 7161-2026</t>
        </is>
      </c>
      <c r="B2230" s="1" t="n">
        <v>46058.44846064815</v>
      </c>
      <c r="C2230" s="1" t="n">
        <v>46161</v>
      </c>
      <c r="D2230" t="inlineStr">
        <is>
          <t>VÄSTERNORRLANDS LÄN</t>
        </is>
      </c>
      <c r="E2230" t="inlineStr">
        <is>
          <t>SOLLEFTEÅ</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7528-2026</t>
        </is>
      </c>
      <c r="B2231" s="1" t="n">
        <v>46059.61530092593</v>
      </c>
      <c r="C2231" s="1" t="n">
        <v>46161</v>
      </c>
      <c r="D2231" t="inlineStr">
        <is>
          <t>VÄSTERNORRLANDS LÄN</t>
        </is>
      </c>
      <c r="E2231" t="inlineStr">
        <is>
          <t>SOLLEFTEÅ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40571-2024</t>
        </is>
      </c>
      <c r="B2232" s="1" t="n">
        <v>45555.67759259259</v>
      </c>
      <c r="C2232" s="1" t="n">
        <v>46161</v>
      </c>
      <c r="D2232" t="inlineStr">
        <is>
          <t>VÄSTERNORRLANDS LÄN</t>
        </is>
      </c>
      <c r="E2232" t="inlineStr">
        <is>
          <t>SOLLEFTEÅ</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40679-2024</t>
        </is>
      </c>
      <c r="B2233" s="1" t="n">
        <v>45558</v>
      </c>
      <c r="C2233" s="1" t="n">
        <v>46161</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14308-2022</t>
        </is>
      </c>
      <c r="B2234" s="1" t="n">
        <v>44651.93954861111</v>
      </c>
      <c r="C2234" s="1" t="n">
        <v>46161</v>
      </c>
      <c r="D2234" t="inlineStr">
        <is>
          <t>VÄSTERNORRLANDS LÄN</t>
        </is>
      </c>
      <c r="E2234" t="inlineStr">
        <is>
          <t>SOLLEFTEÅ</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42663-2022</t>
        </is>
      </c>
      <c r="B2235" s="1" t="n">
        <v>44831</v>
      </c>
      <c r="C2235" s="1" t="n">
        <v>46161</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19749-2025</t>
        </is>
      </c>
      <c r="B2236" s="1" t="n">
        <v>45771.38582175926</v>
      </c>
      <c r="C2236" s="1" t="n">
        <v>46161</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17172-2024</t>
        </is>
      </c>
      <c r="B2237" s="1" t="n">
        <v>45412.97858796296</v>
      </c>
      <c r="C2237" s="1" t="n">
        <v>46161</v>
      </c>
      <c r="D2237" t="inlineStr">
        <is>
          <t>VÄSTERNORRLANDS LÄN</t>
        </is>
      </c>
      <c r="E2237" t="inlineStr">
        <is>
          <t>SOLLEFTEÅ</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7453-2026</t>
        </is>
      </c>
      <c r="B2238" s="1" t="n">
        <v>46059.46925925926</v>
      </c>
      <c r="C2238" s="1" t="n">
        <v>46161</v>
      </c>
      <c r="D2238" t="inlineStr">
        <is>
          <t>VÄSTERNORRLANDS LÄN</t>
        </is>
      </c>
      <c r="E2238" t="inlineStr">
        <is>
          <t>SOLLEFTEÅ</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2939-2025</t>
        </is>
      </c>
      <c r="B2239" s="1" t="n">
        <v>45678.38581018519</v>
      </c>
      <c r="C2239" s="1" t="n">
        <v>46161</v>
      </c>
      <c r="D2239" t="inlineStr">
        <is>
          <t>VÄSTERNORRLANDS LÄN</t>
        </is>
      </c>
      <c r="E2239" t="inlineStr">
        <is>
          <t>SOLLEFTEÅ</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20461-2023</t>
        </is>
      </c>
      <c r="B2240" s="1" t="n">
        <v>45056.95284722222</v>
      </c>
      <c r="C2240" s="1" t="n">
        <v>46161</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7387-2026</t>
        </is>
      </c>
      <c r="B2241" s="1" t="n">
        <v>46059.36527777778</v>
      </c>
      <c r="C2241" s="1" t="n">
        <v>46161</v>
      </c>
      <c r="D2241" t="inlineStr">
        <is>
          <t>VÄSTERNORRLANDS LÄN</t>
        </is>
      </c>
      <c r="E2241" t="inlineStr">
        <is>
          <t>SOLLEFTEÅ</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7397-2026</t>
        </is>
      </c>
      <c r="B2242" s="1" t="n">
        <v>46059.37511574074</v>
      </c>
      <c r="C2242" s="1" t="n">
        <v>46161</v>
      </c>
      <c r="D2242" t="inlineStr">
        <is>
          <t>VÄSTERNORRLANDS LÄN</t>
        </is>
      </c>
      <c r="E2242" t="inlineStr">
        <is>
          <t>SOLLEFTEÅ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3081-2025</t>
        </is>
      </c>
      <c r="B2243" s="1" t="n">
        <v>45678.644375</v>
      </c>
      <c r="C2243" s="1" t="n">
        <v>46161</v>
      </c>
      <c r="D2243" t="inlineStr">
        <is>
          <t>VÄSTERNORRLANDS LÄN</t>
        </is>
      </c>
      <c r="E2243" t="inlineStr">
        <is>
          <t>SOLLEFTEÅ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7154-2026</t>
        </is>
      </c>
      <c r="B2244" s="1" t="n">
        <v>46058.42788194444</v>
      </c>
      <c r="C2244" s="1" t="n">
        <v>46161</v>
      </c>
      <c r="D2244" t="inlineStr">
        <is>
          <t>VÄSTERNORRLANDS LÄN</t>
        </is>
      </c>
      <c r="E2244" t="inlineStr">
        <is>
          <t>SOLLEFTEÅ</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7386-2026</t>
        </is>
      </c>
      <c r="B2245" s="1" t="n">
        <v>46059.36519675926</v>
      </c>
      <c r="C2245" s="1" t="n">
        <v>46161</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19929-2025</t>
        </is>
      </c>
      <c r="B2246" s="1" t="n">
        <v>45771.6359837963</v>
      </c>
      <c r="C2246" s="1" t="n">
        <v>46161</v>
      </c>
      <c r="D2246" t="inlineStr">
        <is>
          <t>VÄSTERNORRLANDS LÄN</t>
        </is>
      </c>
      <c r="E2246" t="inlineStr">
        <is>
          <t>SOLLEFTEÅ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19932-2025</t>
        </is>
      </c>
      <c r="B2247" s="1" t="n">
        <v>45771.63940972222</v>
      </c>
      <c r="C2247" s="1" t="n">
        <v>46161</v>
      </c>
      <c r="D2247" t="inlineStr">
        <is>
          <t>VÄSTERNORRLANDS LÄN</t>
        </is>
      </c>
      <c r="E2247" t="inlineStr">
        <is>
          <t>SOLLEFTEÅ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7304-2026</t>
        </is>
      </c>
      <c r="B2248" s="1" t="n">
        <v>46058.65677083333</v>
      </c>
      <c r="C2248" s="1" t="n">
        <v>46161</v>
      </c>
      <c r="D2248" t="inlineStr">
        <is>
          <t>VÄSTERNORRLANDS LÄN</t>
        </is>
      </c>
      <c r="E2248" t="inlineStr">
        <is>
          <t>SOLLEFTEÅ</t>
        </is>
      </c>
      <c r="F2248" t="inlineStr">
        <is>
          <t>SCA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18949-2025</t>
        </is>
      </c>
      <c r="B2249" s="1" t="n">
        <v>45764</v>
      </c>
      <c r="C2249" s="1" t="n">
        <v>46161</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48396-2024</t>
        </is>
      </c>
      <c r="B2250" s="1" t="n">
        <v>45590.61503472222</v>
      </c>
      <c r="C2250" s="1" t="n">
        <v>46161</v>
      </c>
      <c r="D2250" t="inlineStr">
        <is>
          <t>VÄSTERNORRLANDS LÄN</t>
        </is>
      </c>
      <c r="E2250" t="inlineStr">
        <is>
          <t>SOLLEFTEÅ</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51314-2022</t>
        </is>
      </c>
      <c r="B2251" s="1" t="n">
        <v>44868.950625</v>
      </c>
      <c r="C2251" s="1" t="n">
        <v>46161</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8028-2026</t>
        </is>
      </c>
      <c r="B2252" s="1" t="n">
        <v>46063.57350694444</v>
      </c>
      <c r="C2252" s="1" t="n">
        <v>46161</v>
      </c>
      <c r="D2252" t="inlineStr">
        <is>
          <t>VÄSTERNORRLANDS LÄN</t>
        </is>
      </c>
      <c r="E2252" t="inlineStr">
        <is>
          <t>SOLLEFTEÅ</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7674-2026</t>
        </is>
      </c>
      <c r="B2253" s="1" t="n">
        <v>46062</v>
      </c>
      <c r="C2253" s="1" t="n">
        <v>46161</v>
      </c>
      <c r="D2253" t="inlineStr">
        <is>
          <t>VÄSTERNORRLANDS LÄN</t>
        </is>
      </c>
      <c r="E2253" t="inlineStr">
        <is>
          <t>SOLLEFTEÅ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8084-2026</t>
        </is>
      </c>
      <c r="B2254" s="1" t="n">
        <v>46063.6775462963</v>
      </c>
      <c r="C2254" s="1" t="n">
        <v>46161</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26407-2022</t>
        </is>
      </c>
      <c r="B2255" s="1" t="n">
        <v>44735</v>
      </c>
      <c r="C2255" s="1" t="n">
        <v>46161</v>
      </c>
      <c r="D2255" t="inlineStr">
        <is>
          <t>VÄSTERNORRLANDS LÄN</t>
        </is>
      </c>
      <c r="E2255" t="inlineStr">
        <is>
          <t>SOLLEFTEÅ</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19326-2024</t>
        </is>
      </c>
      <c r="B2256" s="1" t="n">
        <v>45428</v>
      </c>
      <c r="C2256" s="1" t="n">
        <v>46161</v>
      </c>
      <c r="D2256" t="inlineStr">
        <is>
          <t>VÄSTERNORRLANDS LÄN</t>
        </is>
      </c>
      <c r="E2256" t="inlineStr">
        <is>
          <t>SOLLEFTEÅ</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16238-2024</t>
        </is>
      </c>
      <c r="B2257" s="1" t="n">
        <v>45407.05692129629</v>
      </c>
      <c r="C2257" s="1" t="n">
        <v>46161</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8088-2026</t>
        </is>
      </c>
      <c r="B2258" s="1" t="n">
        <v>46063</v>
      </c>
      <c r="C2258" s="1" t="n">
        <v>46161</v>
      </c>
      <c r="D2258" t="inlineStr">
        <is>
          <t>VÄSTERNORRLANDS LÄN</t>
        </is>
      </c>
      <c r="E2258" t="inlineStr">
        <is>
          <t>SOLLEFTEÅ</t>
        </is>
      </c>
      <c r="F2258" t="inlineStr">
        <is>
          <t>Kyrkan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14554-2024</t>
        </is>
      </c>
      <c r="B2259" s="1" t="n">
        <v>45394</v>
      </c>
      <c r="C2259" s="1" t="n">
        <v>46161</v>
      </c>
      <c r="D2259" t="inlineStr">
        <is>
          <t>VÄSTERNORRLANDS LÄN</t>
        </is>
      </c>
      <c r="E2259" t="inlineStr">
        <is>
          <t>SOLLEFTEÅ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1840-2024</t>
        </is>
      </c>
      <c r="B2260" s="1" t="n">
        <v>45307</v>
      </c>
      <c r="C2260" s="1" t="n">
        <v>46161</v>
      </c>
      <c r="D2260" t="inlineStr">
        <is>
          <t>VÄSTERNORRLANDS LÄN</t>
        </is>
      </c>
      <c r="E2260" t="inlineStr">
        <is>
          <t>SOLLEFTEÅ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1844-2024</t>
        </is>
      </c>
      <c r="B2261" s="1" t="n">
        <v>45307</v>
      </c>
      <c r="C2261" s="1" t="n">
        <v>46161</v>
      </c>
      <c r="D2261" t="inlineStr">
        <is>
          <t>VÄSTERNORRLANDS LÄN</t>
        </is>
      </c>
      <c r="E2261" t="inlineStr">
        <is>
          <t>SOLLEFTEÅ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39177-2024</t>
        </is>
      </c>
      <c r="B2262" s="1" t="n">
        <v>45548.65681712963</v>
      </c>
      <c r="C2262" s="1" t="n">
        <v>46161</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8206-2026</t>
        </is>
      </c>
      <c r="B2263" s="1" t="n">
        <v>46064.44851851852</v>
      </c>
      <c r="C2263" s="1" t="n">
        <v>46161</v>
      </c>
      <c r="D2263" t="inlineStr">
        <is>
          <t>VÄSTERNORRLANDS LÄN</t>
        </is>
      </c>
      <c r="E2263" t="inlineStr">
        <is>
          <t>SOLLEFTEÅ</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15080-2023</t>
        </is>
      </c>
      <c r="B2264" s="1" t="n">
        <v>45016.07525462963</v>
      </c>
      <c r="C2264" s="1" t="n">
        <v>46161</v>
      </c>
      <c r="D2264" t="inlineStr">
        <is>
          <t>VÄSTERNORRLANDS LÄN</t>
        </is>
      </c>
      <c r="E2264" t="inlineStr">
        <is>
          <t>SOLLEFTEÅ</t>
        </is>
      </c>
      <c r="F2264" t="inlineStr">
        <is>
          <t>SCA</t>
        </is>
      </c>
      <c r="G2264" t="n">
        <v>33.6</v>
      </c>
      <c r="H2264" t="n">
        <v>0</v>
      </c>
      <c r="I2264" t="n">
        <v>0</v>
      </c>
      <c r="J2264" t="n">
        <v>0</v>
      </c>
      <c r="K2264" t="n">
        <v>0</v>
      </c>
      <c r="L2264" t="n">
        <v>0</v>
      </c>
      <c r="M2264" t="n">
        <v>0</v>
      </c>
      <c r="N2264" t="n">
        <v>0</v>
      </c>
      <c r="O2264" t="n">
        <v>0</v>
      </c>
      <c r="P2264" t="n">
        <v>0</v>
      </c>
      <c r="Q2264" t="n">
        <v>0</v>
      </c>
      <c r="R2264" s="2" t="inlineStr"/>
    </row>
    <row r="2265" ht="15" customHeight="1">
      <c r="A2265" t="inlineStr">
        <is>
          <t>A 57394-2023</t>
        </is>
      </c>
      <c r="B2265" s="1" t="n">
        <v>45245.96774305555</v>
      </c>
      <c r="C2265" s="1" t="n">
        <v>46161</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8647-2026</t>
        </is>
      </c>
      <c r="B2266" s="1" t="n">
        <v>46065</v>
      </c>
      <c r="C2266" s="1" t="n">
        <v>46161</v>
      </c>
      <c r="D2266" t="inlineStr">
        <is>
          <t>VÄSTERNORRLANDS LÄN</t>
        </is>
      </c>
      <c r="E2266" t="inlineStr">
        <is>
          <t>SOLLEFTEÅ</t>
        </is>
      </c>
      <c r="F2266" t="inlineStr">
        <is>
          <t>Övriga Aktiebolag</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46804-2023</t>
        </is>
      </c>
      <c r="B2267" s="1" t="n">
        <v>45198</v>
      </c>
      <c r="C2267" s="1" t="n">
        <v>46161</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8207-2026</t>
        </is>
      </c>
      <c r="B2268" s="1" t="n">
        <v>46064.44872685185</v>
      </c>
      <c r="C2268" s="1" t="n">
        <v>46161</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12064-2025</t>
        </is>
      </c>
      <c r="B2269" s="1" t="n">
        <v>45728.69861111111</v>
      </c>
      <c r="C2269" s="1" t="n">
        <v>46161</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8546-2026</t>
        </is>
      </c>
      <c r="B2270" s="1" t="n">
        <v>46065.61515046296</v>
      </c>
      <c r="C2270" s="1" t="n">
        <v>46161</v>
      </c>
      <c r="D2270" t="inlineStr">
        <is>
          <t>VÄSTERNORRLANDS LÄN</t>
        </is>
      </c>
      <c r="E2270" t="inlineStr">
        <is>
          <t>SOLLEFTEÅ</t>
        </is>
      </c>
      <c r="F2270" t="inlineStr">
        <is>
          <t>SCA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59038-2022</t>
        </is>
      </c>
      <c r="B2271" s="1" t="n">
        <v>44903.9496412037</v>
      </c>
      <c r="C2271" s="1" t="n">
        <v>46161</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48296-2022</t>
        </is>
      </c>
      <c r="B2272" s="1" t="n">
        <v>44858.51815972223</v>
      </c>
      <c r="C2272" s="1" t="n">
        <v>46161</v>
      </c>
      <c r="D2272" t="inlineStr">
        <is>
          <t>VÄSTERNORRLANDS LÄN</t>
        </is>
      </c>
      <c r="E2272" t="inlineStr">
        <is>
          <t>SOLLEFTEÅ</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11318-2022</t>
        </is>
      </c>
      <c r="B2273" s="1" t="n">
        <v>44629.94743055556</v>
      </c>
      <c r="C2273" s="1" t="n">
        <v>46161</v>
      </c>
      <c r="D2273" t="inlineStr">
        <is>
          <t>VÄSTERNORRLANDS LÄN</t>
        </is>
      </c>
      <c r="E2273" t="inlineStr">
        <is>
          <t>SOLLEFTEÅ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8855-2026</t>
        </is>
      </c>
      <c r="B2274" s="1" t="n">
        <v>46066.67763888889</v>
      </c>
      <c r="C2274" s="1" t="n">
        <v>46161</v>
      </c>
      <c r="D2274" t="inlineStr">
        <is>
          <t>VÄSTERNORRLANDS LÄN</t>
        </is>
      </c>
      <c r="E2274" t="inlineStr">
        <is>
          <t>SOLLEFTEÅ</t>
        </is>
      </c>
      <c r="F2274" t="inlineStr">
        <is>
          <t>SCA</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8724-2026</t>
        </is>
      </c>
      <c r="B2275" s="1" t="n">
        <v>46066.49011574074</v>
      </c>
      <c r="C2275" s="1" t="n">
        <v>46161</v>
      </c>
      <c r="D2275" t="inlineStr">
        <is>
          <t>VÄSTERNORRLANDS LÄN</t>
        </is>
      </c>
      <c r="E2275" t="inlineStr">
        <is>
          <t>SOLLEFTEÅ</t>
        </is>
      </c>
      <c r="F2275" t="inlineStr">
        <is>
          <t>SCA</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50557-2024</t>
        </is>
      </c>
      <c r="B2276" s="1" t="n">
        <v>45601</v>
      </c>
      <c r="C2276" s="1" t="n">
        <v>46161</v>
      </c>
      <c r="D2276" t="inlineStr">
        <is>
          <t>VÄSTERNORRLANDS LÄN</t>
        </is>
      </c>
      <c r="E2276" t="inlineStr">
        <is>
          <t>SOLLEFTEÅ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14094-2025</t>
        </is>
      </c>
      <c r="B2277" s="1" t="n">
        <v>45740.44827546296</v>
      </c>
      <c r="C2277" s="1" t="n">
        <v>46161</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8739-2026</t>
        </is>
      </c>
      <c r="B2278" s="1" t="n">
        <v>46066.51086805556</v>
      </c>
      <c r="C2278" s="1" t="n">
        <v>46161</v>
      </c>
      <c r="D2278" t="inlineStr">
        <is>
          <t>VÄSTERNORRLANDS LÄN</t>
        </is>
      </c>
      <c r="E2278" t="inlineStr">
        <is>
          <t>SOLLEFTEÅ</t>
        </is>
      </c>
      <c r="F2278" t="inlineStr">
        <is>
          <t>Kyrkan</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14096-2025</t>
        </is>
      </c>
      <c r="B2279" s="1" t="n">
        <v>45740.44858796296</v>
      </c>
      <c r="C2279" s="1" t="n">
        <v>46161</v>
      </c>
      <c r="D2279" t="inlineStr">
        <is>
          <t>VÄSTERNORRLANDS LÄN</t>
        </is>
      </c>
      <c r="E2279" t="inlineStr">
        <is>
          <t>SOLLEFTEÅ</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14097-2025</t>
        </is>
      </c>
      <c r="B2280" s="1" t="n">
        <v>45740.44875</v>
      </c>
      <c r="C2280" s="1" t="n">
        <v>46161</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61391-2022</t>
        </is>
      </c>
      <c r="B2281" s="1" t="n">
        <v>44915.94334490741</v>
      </c>
      <c r="C2281" s="1" t="n">
        <v>46161</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8982-2026</t>
        </is>
      </c>
      <c r="B2282" s="1" t="n">
        <v>46069.44921296297</v>
      </c>
      <c r="C2282" s="1" t="n">
        <v>46161</v>
      </c>
      <c r="D2282" t="inlineStr">
        <is>
          <t>VÄSTERNORRLANDS LÄN</t>
        </is>
      </c>
      <c r="E2282" t="inlineStr">
        <is>
          <t>SOLLEFTEÅ</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8667-2026</t>
        </is>
      </c>
      <c r="B2283" s="1" t="n">
        <v>46066.38613425926</v>
      </c>
      <c r="C2283" s="1" t="n">
        <v>46161</v>
      </c>
      <c r="D2283" t="inlineStr">
        <is>
          <t>VÄSTERNORRLANDS LÄN</t>
        </is>
      </c>
      <c r="E2283" t="inlineStr">
        <is>
          <t>SOLLEFTEÅ</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18188-2022</t>
        </is>
      </c>
      <c r="B2284" s="1" t="n">
        <v>44684.94004629629</v>
      </c>
      <c r="C2284" s="1" t="n">
        <v>46161</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46032-2022</t>
        </is>
      </c>
      <c r="B2285" s="1" t="n">
        <v>44846</v>
      </c>
      <c r="C2285" s="1" t="n">
        <v>46161</v>
      </c>
      <c r="D2285" t="inlineStr">
        <is>
          <t>VÄSTERNORRLANDS LÄN</t>
        </is>
      </c>
      <c r="E2285" t="inlineStr">
        <is>
          <t>SOLLEFTEÅ</t>
        </is>
      </c>
      <c r="F2285" t="inlineStr">
        <is>
          <t>SCA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8834-2026</t>
        </is>
      </c>
      <c r="B2286" s="1" t="n">
        <v>46066.63671296297</v>
      </c>
      <c r="C2286" s="1" t="n">
        <v>46161</v>
      </c>
      <c r="D2286" t="inlineStr">
        <is>
          <t>VÄSTERNORRLANDS LÄN</t>
        </is>
      </c>
      <c r="E2286" t="inlineStr">
        <is>
          <t>SOLLEFTEÅ</t>
        </is>
      </c>
      <c r="F2286" t="inlineStr">
        <is>
          <t>SCA</t>
        </is>
      </c>
      <c r="G2286" t="n">
        <v>28.4</v>
      </c>
      <c r="H2286" t="n">
        <v>0</v>
      </c>
      <c r="I2286" t="n">
        <v>0</v>
      </c>
      <c r="J2286" t="n">
        <v>0</v>
      </c>
      <c r="K2286" t="n">
        <v>0</v>
      </c>
      <c r="L2286" t="n">
        <v>0</v>
      </c>
      <c r="M2286" t="n">
        <v>0</v>
      </c>
      <c r="N2286" t="n">
        <v>0</v>
      </c>
      <c r="O2286" t="n">
        <v>0</v>
      </c>
      <c r="P2286" t="n">
        <v>0</v>
      </c>
      <c r="Q2286" t="n">
        <v>0</v>
      </c>
      <c r="R2286" s="2" t="inlineStr"/>
    </row>
    <row r="2287" ht="15" customHeight="1">
      <c r="A2287" t="inlineStr">
        <is>
          <t>A 8692-2026</t>
        </is>
      </c>
      <c r="B2287" s="1" t="n">
        <v>46066.44842592593</v>
      </c>
      <c r="C2287" s="1" t="n">
        <v>46161</v>
      </c>
      <c r="D2287" t="inlineStr">
        <is>
          <t>VÄSTERNORRLANDS LÄN</t>
        </is>
      </c>
      <c r="E2287" t="inlineStr">
        <is>
          <t>SOLLEFTEÅ</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8693-2026</t>
        </is>
      </c>
      <c r="B2288" s="1" t="n">
        <v>46066.44861111111</v>
      </c>
      <c r="C2288" s="1" t="n">
        <v>46161</v>
      </c>
      <c r="D2288" t="inlineStr">
        <is>
          <t>VÄSTERNORRLANDS LÄN</t>
        </is>
      </c>
      <c r="E2288" t="inlineStr">
        <is>
          <t>SOLLEFTEÅ</t>
        </is>
      </c>
      <c r="F2288" t="inlineStr">
        <is>
          <t>SCA</t>
        </is>
      </c>
      <c r="G2288" t="n">
        <v>31.1</v>
      </c>
      <c r="H2288" t="n">
        <v>0</v>
      </c>
      <c r="I2288" t="n">
        <v>0</v>
      </c>
      <c r="J2288" t="n">
        <v>0</v>
      </c>
      <c r="K2288" t="n">
        <v>0</v>
      </c>
      <c r="L2288" t="n">
        <v>0</v>
      </c>
      <c r="M2288" t="n">
        <v>0</v>
      </c>
      <c r="N2288" t="n">
        <v>0</v>
      </c>
      <c r="O2288" t="n">
        <v>0</v>
      </c>
      <c r="P2288" t="n">
        <v>0</v>
      </c>
      <c r="Q2288" t="n">
        <v>0</v>
      </c>
      <c r="R2288" s="2" t="inlineStr"/>
    </row>
    <row r="2289" ht="15" customHeight="1">
      <c r="A2289" t="inlineStr">
        <is>
          <t>A 8666-2026</t>
        </is>
      </c>
      <c r="B2289" s="1" t="n">
        <v>46066.38591435185</v>
      </c>
      <c r="C2289" s="1" t="n">
        <v>46161</v>
      </c>
      <c r="D2289" t="inlineStr">
        <is>
          <t>VÄSTERNORRLANDS LÄN</t>
        </is>
      </c>
      <c r="E2289" t="inlineStr">
        <is>
          <t>SOLLEFTEÅ</t>
        </is>
      </c>
      <c r="F2289" t="inlineStr">
        <is>
          <t>SCA</t>
        </is>
      </c>
      <c r="G2289" t="n">
        <v>27.7</v>
      </c>
      <c r="H2289" t="n">
        <v>0</v>
      </c>
      <c r="I2289" t="n">
        <v>0</v>
      </c>
      <c r="J2289" t="n">
        <v>0</v>
      </c>
      <c r="K2289" t="n">
        <v>0</v>
      </c>
      <c r="L2289" t="n">
        <v>0</v>
      </c>
      <c r="M2289" t="n">
        <v>0</v>
      </c>
      <c r="N2289" t="n">
        <v>0</v>
      </c>
      <c r="O2289" t="n">
        <v>0</v>
      </c>
      <c r="P2289" t="n">
        <v>0</v>
      </c>
      <c r="Q2289" t="n">
        <v>0</v>
      </c>
      <c r="R2289" s="2" t="inlineStr"/>
    </row>
    <row r="2290" ht="15" customHeight="1">
      <c r="A2290" t="inlineStr">
        <is>
          <t>A 35276-2023</t>
        </is>
      </c>
      <c r="B2290" s="1" t="n">
        <v>45145.95409722222</v>
      </c>
      <c r="C2290" s="1" t="n">
        <v>46161</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9014-2026</t>
        </is>
      </c>
      <c r="B2291" s="1" t="n">
        <v>46069</v>
      </c>
      <c r="C2291" s="1" t="n">
        <v>46161</v>
      </c>
      <c r="D2291" t="inlineStr">
        <is>
          <t>VÄSTERNORRLANDS LÄN</t>
        </is>
      </c>
      <c r="E2291" t="inlineStr">
        <is>
          <t>SOLLEFTEÅ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56249-2023</t>
        </is>
      </c>
      <c r="B2292" s="1" t="n">
        <v>45240.9468287037</v>
      </c>
      <c r="C2292" s="1" t="n">
        <v>46161</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8655-2026</t>
        </is>
      </c>
      <c r="B2293" s="1" t="n">
        <v>46066</v>
      </c>
      <c r="C2293" s="1" t="n">
        <v>46161</v>
      </c>
      <c r="D2293" t="inlineStr">
        <is>
          <t>VÄSTERNORRLANDS LÄN</t>
        </is>
      </c>
      <c r="E2293" t="inlineStr">
        <is>
          <t>SOLLEFTEÅ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47272-2022</t>
        </is>
      </c>
      <c r="B2294" s="1" t="n">
        <v>44852.95016203704</v>
      </c>
      <c r="C2294" s="1" t="n">
        <v>46161</v>
      </c>
      <c r="D2294" t="inlineStr">
        <is>
          <t>VÄSTERNORRLANDS LÄN</t>
        </is>
      </c>
      <c r="E2294" t="inlineStr">
        <is>
          <t>SOLLEFTEÅ</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52455-2024</t>
        </is>
      </c>
      <c r="B2295" s="1" t="n">
        <v>45609.50984953704</v>
      </c>
      <c r="C2295" s="1" t="n">
        <v>46161</v>
      </c>
      <c r="D2295" t="inlineStr">
        <is>
          <t>VÄSTERNORRLANDS LÄN</t>
        </is>
      </c>
      <c r="E2295" t="inlineStr">
        <is>
          <t>SOLLEFTEÅ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31918-2023</t>
        </is>
      </c>
      <c r="B2296" s="1" t="n">
        <v>45118</v>
      </c>
      <c r="C2296" s="1" t="n">
        <v>46161</v>
      </c>
      <c r="D2296" t="inlineStr">
        <is>
          <t>VÄSTERNORRLANDS LÄN</t>
        </is>
      </c>
      <c r="E2296" t="inlineStr">
        <is>
          <t>SOLLEFTEÅ</t>
        </is>
      </c>
      <c r="F2296" t="inlineStr">
        <is>
          <t>SCA</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31922-2023</t>
        </is>
      </c>
      <c r="B2297" s="1" t="n">
        <v>45118.94021990741</v>
      </c>
      <c r="C2297" s="1" t="n">
        <v>46161</v>
      </c>
      <c r="D2297" t="inlineStr">
        <is>
          <t>VÄSTERNORRLANDS LÄN</t>
        </is>
      </c>
      <c r="E2297" t="inlineStr">
        <is>
          <t>SOLLEFTEÅ</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9156-2026</t>
        </is>
      </c>
      <c r="B2298" s="1" t="n">
        <v>46070</v>
      </c>
      <c r="C2298" s="1" t="n">
        <v>46161</v>
      </c>
      <c r="D2298" t="inlineStr">
        <is>
          <t>VÄSTERNORRLANDS LÄN</t>
        </is>
      </c>
      <c r="E2298" t="inlineStr">
        <is>
          <t>SOLLEFTEÅ</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9515-2026</t>
        </is>
      </c>
      <c r="B2299" s="1" t="n">
        <v>46071.59465277778</v>
      </c>
      <c r="C2299" s="1" t="n">
        <v>46161</v>
      </c>
      <c r="D2299" t="inlineStr">
        <is>
          <t>VÄSTERNORRLANDS LÄN</t>
        </is>
      </c>
      <c r="E2299" t="inlineStr">
        <is>
          <t>SOLLEFTEÅ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13300-2022</t>
        </is>
      </c>
      <c r="B2300" s="1" t="n">
        <v>44644</v>
      </c>
      <c r="C2300" s="1" t="n">
        <v>46161</v>
      </c>
      <c r="D2300" t="inlineStr">
        <is>
          <t>VÄSTERNORRLANDS LÄN</t>
        </is>
      </c>
      <c r="E2300" t="inlineStr">
        <is>
          <t>SOLLEFTEÅ</t>
        </is>
      </c>
      <c r="F2300" t="inlineStr">
        <is>
          <t>SCA</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9578-2026</t>
        </is>
      </c>
      <c r="B2301" s="1" t="n">
        <v>46071.6775462963</v>
      </c>
      <c r="C2301" s="1" t="n">
        <v>46161</v>
      </c>
      <c r="D2301" t="inlineStr">
        <is>
          <t>VÄSTERNORRLANDS LÄN</t>
        </is>
      </c>
      <c r="E2301" t="inlineStr">
        <is>
          <t>SOLLEFTEÅ</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27908-2024</t>
        </is>
      </c>
      <c r="B2302" s="1" t="n">
        <v>45475.94615740741</v>
      </c>
      <c r="C2302" s="1" t="n">
        <v>46161</v>
      </c>
      <c r="D2302" t="inlineStr">
        <is>
          <t>VÄSTERNORRLANDS LÄN</t>
        </is>
      </c>
      <c r="E2302" t="inlineStr">
        <is>
          <t>SOLLEFTEÅ</t>
        </is>
      </c>
      <c r="F2302" t="inlineStr">
        <is>
          <t>SCA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27916-2024</t>
        </is>
      </c>
      <c r="B2303" s="1" t="n">
        <v>45475.94834490741</v>
      </c>
      <c r="C2303" s="1" t="n">
        <v>46161</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19205-2025</t>
        </is>
      </c>
      <c r="B2304" s="1" t="n">
        <v>45769.42861111111</v>
      </c>
      <c r="C2304" s="1" t="n">
        <v>46161</v>
      </c>
      <c r="D2304" t="inlineStr">
        <is>
          <t>VÄSTERNORRLANDS LÄN</t>
        </is>
      </c>
      <c r="E2304" t="inlineStr">
        <is>
          <t>SOLLEFTEÅ</t>
        </is>
      </c>
      <c r="F2304" t="inlineStr">
        <is>
          <t>SCA</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7585-2024</t>
        </is>
      </c>
      <c r="B2305" s="1" t="n">
        <v>45348</v>
      </c>
      <c r="C2305" s="1" t="n">
        <v>46161</v>
      </c>
      <c r="D2305" t="inlineStr">
        <is>
          <t>VÄSTERNORRLANDS LÄN</t>
        </is>
      </c>
      <c r="E2305" t="inlineStr">
        <is>
          <t>SOLLEFTEÅ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9773-2026</t>
        </is>
      </c>
      <c r="B2306" s="1" t="n">
        <v>46072.5735300926</v>
      </c>
      <c r="C2306" s="1" t="n">
        <v>46161</v>
      </c>
      <c r="D2306" t="inlineStr">
        <is>
          <t>VÄSTERNORRLANDS LÄN</t>
        </is>
      </c>
      <c r="E2306" t="inlineStr">
        <is>
          <t>SOLLEFTEÅ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27633-2024</t>
        </is>
      </c>
      <c r="B2307" s="1" t="n">
        <v>45474.94590277778</v>
      </c>
      <c r="C2307" s="1" t="n">
        <v>46161</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27634-2024</t>
        </is>
      </c>
      <c r="B2308" s="1" t="n">
        <v>45474.94599537037</v>
      </c>
      <c r="C2308" s="1" t="n">
        <v>46161</v>
      </c>
      <c r="D2308" t="inlineStr">
        <is>
          <t>VÄSTERNORRLANDS LÄN</t>
        </is>
      </c>
      <c r="E2308" t="inlineStr">
        <is>
          <t>SOLLEFTEÅ</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46261-2024</t>
        </is>
      </c>
      <c r="B2309" s="1" t="n">
        <v>45581.61048611111</v>
      </c>
      <c r="C2309" s="1" t="n">
        <v>46161</v>
      </c>
      <c r="D2309" t="inlineStr">
        <is>
          <t>VÄSTERNORRLANDS LÄN</t>
        </is>
      </c>
      <c r="E2309" t="inlineStr">
        <is>
          <t>SOLLEFTEÅ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10052-2026</t>
        </is>
      </c>
      <c r="B2310" s="1" t="n">
        <v>46073.61515046296</v>
      </c>
      <c r="C2310" s="1" t="n">
        <v>46161</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10089-2026</t>
        </is>
      </c>
      <c r="B2311" s="1" t="n">
        <v>46073.69857638889</v>
      </c>
      <c r="C2311" s="1" t="n">
        <v>46161</v>
      </c>
      <c r="D2311" t="inlineStr">
        <is>
          <t>VÄSTERNORRLANDS LÄN</t>
        </is>
      </c>
      <c r="E2311" t="inlineStr">
        <is>
          <t>SOLLEFTEÅ</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25702-2024</t>
        </is>
      </c>
      <c r="B2312" s="1" t="n">
        <v>45463</v>
      </c>
      <c r="C2312" s="1" t="n">
        <v>46161</v>
      </c>
      <c r="D2312" t="inlineStr">
        <is>
          <t>VÄSTERNORRLANDS LÄN</t>
        </is>
      </c>
      <c r="E2312" t="inlineStr">
        <is>
          <t>SOLLEFTEÅ</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25711-2024</t>
        </is>
      </c>
      <c r="B2313" s="1" t="n">
        <v>45463</v>
      </c>
      <c r="C2313" s="1" t="n">
        <v>46161</v>
      </c>
      <c r="D2313" t="inlineStr">
        <is>
          <t>VÄSTERNORRLANDS LÄN</t>
        </is>
      </c>
      <c r="E2313" t="inlineStr">
        <is>
          <t>SOLLEFTEÅ</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9777-2026</t>
        </is>
      </c>
      <c r="B2314" s="1" t="n">
        <v>46072.57767361111</v>
      </c>
      <c r="C2314" s="1" t="n">
        <v>46161</v>
      </c>
      <c r="D2314" t="inlineStr">
        <is>
          <t>VÄSTERNORRLANDS LÄN</t>
        </is>
      </c>
      <c r="E2314" t="inlineStr">
        <is>
          <t>SOLLEFTEÅ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25356-2024</t>
        </is>
      </c>
      <c r="B2315" s="1" t="n">
        <v>45462.9565162037</v>
      </c>
      <c r="C2315" s="1" t="n">
        <v>46161</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9786-2026</t>
        </is>
      </c>
      <c r="B2316" s="1" t="n">
        <v>46072.59431712963</v>
      </c>
      <c r="C2316" s="1" t="n">
        <v>46161</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62662-2022</t>
        </is>
      </c>
      <c r="B2317" s="1" t="n">
        <v>44917</v>
      </c>
      <c r="C2317" s="1" t="n">
        <v>46161</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10066-2026</t>
        </is>
      </c>
      <c r="B2318" s="1" t="n">
        <v>46073.63586805556</v>
      </c>
      <c r="C2318" s="1" t="n">
        <v>46161</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63413-2023</t>
        </is>
      </c>
      <c r="B2319" s="1" t="n">
        <v>45274</v>
      </c>
      <c r="C2319" s="1" t="n">
        <v>46161</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63422-2023</t>
        </is>
      </c>
      <c r="B2320" s="1" t="n">
        <v>45274</v>
      </c>
      <c r="C2320" s="1" t="n">
        <v>46161</v>
      </c>
      <c r="D2320" t="inlineStr">
        <is>
          <t>VÄSTERNORRLANDS LÄN</t>
        </is>
      </c>
      <c r="E2320" t="inlineStr">
        <is>
          <t>SOLLEFTEÅ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9757-2026</t>
        </is>
      </c>
      <c r="B2321" s="1" t="n">
        <v>46072.54966435185</v>
      </c>
      <c r="C2321" s="1" t="n">
        <v>46161</v>
      </c>
      <c r="D2321" t="inlineStr">
        <is>
          <t>VÄSTERNORRLANDS LÄN</t>
        </is>
      </c>
      <c r="E2321" t="inlineStr">
        <is>
          <t>SOLLEFTEÅ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9765-2026</t>
        </is>
      </c>
      <c r="B2322" s="1" t="n">
        <v>46072.56244212963</v>
      </c>
      <c r="C2322" s="1" t="n">
        <v>46161</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9706-2026</t>
        </is>
      </c>
      <c r="B2323" s="1" t="n">
        <v>46072</v>
      </c>
      <c r="C2323" s="1" t="n">
        <v>46161</v>
      </c>
      <c r="D2323" t="inlineStr">
        <is>
          <t>VÄSTERNORRLANDS LÄN</t>
        </is>
      </c>
      <c r="E2323" t="inlineStr">
        <is>
          <t>SOLLEFTEÅ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64638-2021</t>
        </is>
      </c>
      <c r="B2324" s="1" t="n">
        <v>44511</v>
      </c>
      <c r="C2324" s="1" t="n">
        <v>46161</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10053-2026</t>
        </is>
      </c>
      <c r="B2325" s="1" t="n">
        <v>46073.61542824074</v>
      </c>
      <c r="C2325" s="1" t="n">
        <v>46161</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9924-2026</t>
        </is>
      </c>
      <c r="B2326" s="1" t="n">
        <v>46073.44850694444</v>
      </c>
      <c r="C2326" s="1" t="n">
        <v>46161</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9784-2026</t>
        </is>
      </c>
      <c r="B2327" s="1" t="n">
        <v>46072.59284722222</v>
      </c>
      <c r="C2327" s="1" t="n">
        <v>46161</v>
      </c>
      <c r="D2327" t="inlineStr">
        <is>
          <t>VÄSTERNORRLANDS LÄN</t>
        </is>
      </c>
      <c r="E2327" t="inlineStr">
        <is>
          <t>SOLLEFTEÅ</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4212-2026</t>
        </is>
      </c>
      <c r="B2328" s="1" t="n">
        <v>46044</v>
      </c>
      <c r="C2328" s="1" t="n">
        <v>46161</v>
      </c>
      <c r="D2328" t="inlineStr">
        <is>
          <t>VÄSTERNORRLANDS LÄN</t>
        </is>
      </c>
      <c r="E2328" t="inlineStr">
        <is>
          <t>SOLLEFTEÅ</t>
        </is>
      </c>
      <c r="F2328" t="inlineStr">
        <is>
          <t>Kommuner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9739-2026</t>
        </is>
      </c>
      <c r="B2329" s="1" t="n">
        <v>46072.50528935185</v>
      </c>
      <c r="C2329" s="1" t="n">
        <v>46161</v>
      </c>
      <c r="D2329" t="inlineStr">
        <is>
          <t>VÄSTERNORRLANDS LÄN</t>
        </is>
      </c>
      <c r="E2329" t="inlineStr">
        <is>
          <t>SOLLEFTEÅ</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31670-2024</t>
        </is>
      </c>
      <c r="B2330" s="1" t="n">
        <v>45506.94805555556</v>
      </c>
      <c r="C2330" s="1" t="n">
        <v>46161</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32157-2024</t>
        </is>
      </c>
      <c r="B2331" s="1" t="n">
        <v>45511.57340277778</v>
      </c>
      <c r="C2331" s="1" t="n">
        <v>46161</v>
      </c>
      <c r="D2331" t="inlineStr">
        <is>
          <t>VÄSTERNORRLANDS LÄN</t>
        </is>
      </c>
      <c r="E2331" t="inlineStr">
        <is>
          <t>SOLLEFTEÅ</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40421-2023</t>
        </is>
      </c>
      <c r="B2332" s="1" t="n">
        <v>45169.93973379629</v>
      </c>
      <c r="C2332" s="1" t="n">
        <v>46161</v>
      </c>
      <c r="D2332" t="inlineStr">
        <is>
          <t>VÄSTERNORRLANDS LÄN</t>
        </is>
      </c>
      <c r="E2332" t="inlineStr">
        <is>
          <t>SOLLEFTEÅ</t>
        </is>
      </c>
      <c r="F2332" t="inlineStr">
        <is>
          <t>SCA</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10776-2026</t>
        </is>
      </c>
      <c r="B2333" s="1" t="n">
        <v>46078.57349537037</v>
      </c>
      <c r="C2333" s="1" t="n">
        <v>46161</v>
      </c>
      <c r="D2333" t="inlineStr">
        <is>
          <t>VÄSTERNORRLANDS LÄN</t>
        </is>
      </c>
      <c r="E2333" t="inlineStr">
        <is>
          <t>SOLLEFTEÅ</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10806-2026</t>
        </is>
      </c>
      <c r="B2334" s="1" t="n">
        <v>46078.60390046296</v>
      </c>
      <c r="C2334" s="1" t="n">
        <v>46161</v>
      </c>
      <c r="D2334" t="inlineStr">
        <is>
          <t>VÄSTERNORRLANDS LÄN</t>
        </is>
      </c>
      <c r="E2334" t="inlineStr">
        <is>
          <t>SOLLEFTEÅ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10823-2026</t>
        </is>
      </c>
      <c r="B2335" s="1" t="n">
        <v>46078.61910879629</v>
      </c>
      <c r="C2335" s="1" t="n">
        <v>46161</v>
      </c>
      <c r="D2335" t="inlineStr">
        <is>
          <t>VÄSTERNORRLANDS LÄN</t>
        </is>
      </c>
      <c r="E2335" t="inlineStr">
        <is>
          <t>SOLLEFTEÅ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10829-2026</t>
        </is>
      </c>
      <c r="B2336" s="1" t="n">
        <v>46078.62606481482</v>
      </c>
      <c r="C2336" s="1" t="n">
        <v>46161</v>
      </c>
      <c r="D2336" t="inlineStr">
        <is>
          <t>VÄSTERNORRLANDS LÄN</t>
        </is>
      </c>
      <c r="E2336" t="inlineStr">
        <is>
          <t>SOLLEFTEÅ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10832-2026</t>
        </is>
      </c>
      <c r="B2337" s="1" t="n">
        <v>46078.62702546296</v>
      </c>
      <c r="C2337" s="1" t="n">
        <v>46161</v>
      </c>
      <c r="D2337" t="inlineStr">
        <is>
          <t>VÄSTERNORRLANDS LÄN</t>
        </is>
      </c>
      <c r="E2337" t="inlineStr">
        <is>
          <t>SOLLEFTEÅ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10188-2026</t>
        </is>
      </c>
      <c r="B2338" s="1" t="n">
        <v>46076.44836805556</v>
      </c>
      <c r="C2338" s="1" t="n">
        <v>46161</v>
      </c>
      <c r="D2338" t="inlineStr">
        <is>
          <t>VÄSTERNORRLANDS LÄN</t>
        </is>
      </c>
      <c r="E2338" t="inlineStr">
        <is>
          <t>SOLLEFTEÅ</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17496-2026</t>
        </is>
      </c>
      <c r="B2339" s="1" t="n">
        <v>46120.59482638889</v>
      </c>
      <c r="C2339" s="1" t="n">
        <v>46161</v>
      </c>
      <c r="D2339" t="inlineStr">
        <is>
          <t>VÄSTERNORRLANDS LÄN</t>
        </is>
      </c>
      <c r="E2339" t="inlineStr">
        <is>
          <t>SOLLEFTEÅ</t>
        </is>
      </c>
      <c r="F2339" t="inlineStr">
        <is>
          <t>SCA</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45120-2022</t>
        </is>
      </c>
      <c r="B2340" s="1" t="n">
        <v>44843</v>
      </c>
      <c r="C2340" s="1" t="n">
        <v>46161</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17348-2026</t>
        </is>
      </c>
      <c r="B2341" s="1" t="n">
        <v>46119.65678240741</v>
      </c>
      <c r="C2341" s="1" t="n">
        <v>46161</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10580-2026</t>
        </is>
      </c>
      <c r="B2342" s="1" t="n">
        <v>46077.67766203704</v>
      </c>
      <c r="C2342" s="1" t="n">
        <v>46161</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10216-2026</t>
        </is>
      </c>
      <c r="B2343" s="1" t="n">
        <v>46076.49002314815</v>
      </c>
      <c r="C2343" s="1" t="n">
        <v>46161</v>
      </c>
      <c r="D2343" t="inlineStr">
        <is>
          <t>VÄSTERNORRLANDS LÄN</t>
        </is>
      </c>
      <c r="E2343" t="inlineStr">
        <is>
          <t>SOLLEFTEÅ</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10583-2026</t>
        </is>
      </c>
      <c r="B2344" s="1" t="n">
        <v>46077.6781712963</v>
      </c>
      <c r="C2344" s="1" t="n">
        <v>46161</v>
      </c>
      <c r="D2344" t="inlineStr">
        <is>
          <t>VÄSTERNORRLANDS LÄN</t>
        </is>
      </c>
      <c r="E2344" t="inlineStr">
        <is>
          <t>SOLLEFTEÅ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34473-2021</t>
        </is>
      </c>
      <c r="B2345" s="1" t="n">
        <v>44381.93096064815</v>
      </c>
      <c r="C2345" s="1" t="n">
        <v>46161</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57094-2024</t>
        </is>
      </c>
      <c r="B2346" s="1" t="n">
        <v>45629.35780092593</v>
      </c>
      <c r="C2346" s="1" t="n">
        <v>46161</v>
      </c>
      <c r="D2346" t="inlineStr">
        <is>
          <t>VÄSTERNORRLANDS LÄN</t>
        </is>
      </c>
      <c r="E2346" t="inlineStr">
        <is>
          <t>SOLLEFTEÅ</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10581-2026</t>
        </is>
      </c>
      <c r="B2347" s="1" t="n">
        <v>46077.67774305555</v>
      </c>
      <c r="C2347" s="1" t="n">
        <v>46161</v>
      </c>
      <c r="D2347" t="inlineStr">
        <is>
          <t>VÄSTERNORRLANDS LÄN</t>
        </is>
      </c>
      <c r="E2347" t="inlineStr">
        <is>
          <t>SOLLEFTEÅ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10582-2026</t>
        </is>
      </c>
      <c r="B2348" s="1" t="n">
        <v>46077.67791666667</v>
      </c>
      <c r="C2348" s="1" t="n">
        <v>46161</v>
      </c>
      <c r="D2348" t="inlineStr">
        <is>
          <t>VÄSTERNORRLANDS LÄN</t>
        </is>
      </c>
      <c r="E2348" t="inlineStr">
        <is>
          <t>SOLLEFTEÅ</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10408-2026</t>
        </is>
      </c>
      <c r="B2349" s="1" t="n">
        <v>46077.34487268519</v>
      </c>
      <c r="C2349" s="1" t="n">
        <v>46161</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10422-2026</t>
        </is>
      </c>
      <c r="B2350" s="1" t="n">
        <v>46077.36511574074</v>
      </c>
      <c r="C2350" s="1" t="n">
        <v>46161</v>
      </c>
      <c r="D2350" t="inlineStr">
        <is>
          <t>VÄSTERNORRLANDS LÄN</t>
        </is>
      </c>
      <c r="E2350" t="inlineStr">
        <is>
          <t>SOLLEFTEÅ</t>
        </is>
      </c>
      <c r="F2350" t="inlineStr">
        <is>
          <t>SCA</t>
        </is>
      </c>
      <c r="G2350" t="n">
        <v>37.6</v>
      </c>
      <c r="H2350" t="n">
        <v>0</v>
      </c>
      <c r="I2350" t="n">
        <v>0</v>
      </c>
      <c r="J2350" t="n">
        <v>0</v>
      </c>
      <c r="K2350" t="n">
        <v>0</v>
      </c>
      <c r="L2350" t="n">
        <v>0</v>
      </c>
      <c r="M2350" t="n">
        <v>0</v>
      </c>
      <c r="N2350" t="n">
        <v>0</v>
      </c>
      <c r="O2350" t="n">
        <v>0</v>
      </c>
      <c r="P2350" t="n">
        <v>0</v>
      </c>
      <c r="Q2350" t="n">
        <v>0</v>
      </c>
      <c r="R2350" s="2" t="inlineStr"/>
    </row>
    <row r="2351" ht="15" customHeight="1">
      <c r="A2351" t="inlineStr">
        <is>
          <t>A 10433-2026</t>
        </is>
      </c>
      <c r="B2351" s="1" t="n">
        <v>46077.38600694444</v>
      </c>
      <c r="C2351" s="1" t="n">
        <v>46161</v>
      </c>
      <c r="D2351" t="inlineStr">
        <is>
          <t>VÄSTERNORRLANDS LÄN</t>
        </is>
      </c>
      <c r="E2351" t="inlineStr">
        <is>
          <t>SOLLEFTEÅ</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35975-2023</t>
        </is>
      </c>
      <c r="B2352" s="1" t="n">
        <v>45148</v>
      </c>
      <c r="C2352" s="1" t="n">
        <v>46161</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4031-2025</t>
        </is>
      </c>
      <c r="B2353" s="1" t="n">
        <v>45684.5978125</v>
      </c>
      <c r="C2353" s="1" t="n">
        <v>46161</v>
      </c>
      <c r="D2353" t="inlineStr">
        <is>
          <t>VÄSTERNORRLANDS LÄN</t>
        </is>
      </c>
      <c r="E2353" t="inlineStr">
        <is>
          <t>SOLLEFTEÅ</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56684-2023</t>
        </is>
      </c>
      <c r="B2354" s="1" t="n">
        <v>45243.96592592593</v>
      </c>
      <c r="C2354" s="1" t="n">
        <v>46161</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10814-2026</t>
        </is>
      </c>
      <c r="B2355" s="1" t="n">
        <v>46078.60829861111</v>
      </c>
      <c r="C2355" s="1" t="n">
        <v>46161</v>
      </c>
      <c r="D2355" t="inlineStr">
        <is>
          <t>VÄSTERNORRLANDS LÄN</t>
        </is>
      </c>
      <c r="E2355" t="inlineStr">
        <is>
          <t>SOLLEFTEÅ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17475-2026</t>
        </is>
      </c>
      <c r="B2356" s="1" t="n">
        <v>46120.52200231481</v>
      </c>
      <c r="C2356" s="1" t="n">
        <v>46161</v>
      </c>
      <c r="D2356" t="inlineStr">
        <is>
          <t>VÄSTERNORRLANDS LÄN</t>
        </is>
      </c>
      <c r="E2356" t="inlineStr">
        <is>
          <t>SOLLEFTEÅ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1269-2024</t>
        </is>
      </c>
      <c r="B2357" s="1" t="n">
        <v>45302</v>
      </c>
      <c r="C2357" s="1" t="n">
        <v>46161</v>
      </c>
      <c r="D2357" t="inlineStr">
        <is>
          <t>VÄSTERNORRLANDS LÄN</t>
        </is>
      </c>
      <c r="E2357" t="inlineStr">
        <is>
          <t>SOLLEFTEÅ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12706-2025</t>
        </is>
      </c>
      <c r="B2358" s="1" t="n">
        <v>45733.46958333333</v>
      </c>
      <c r="C2358" s="1" t="n">
        <v>46161</v>
      </c>
      <c r="D2358" t="inlineStr">
        <is>
          <t>VÄSTERNORRLANDS LÄN</t>
        </is>
      </c>
      <c r="E2358" t="inlineStr">
        <is>
          <t>SOLLEFTEÅ</t>
        </is>
      </c>
      <c r="F2358" t="inlineStr">
        <is>
          <t>SCA</t>
        </is>
      </c>
      <c r="G2358" t="n">
        <v>21.7</v>
      </c>
      <c r="H2358" t="n">
        <v>0</v>
      </c>
      <c r="I2358" t="n">
        <v>0</v>
      </c>
      <c r="J2358" t="n">
        <v>0</v>
      </c>
      <c r="K2358" t="n">
        <v>0</v>
      </c>
      <c r="L2358" t="n">
        <v>0</v>
      </c>
      <c r="M2358" t="n">
        <v>0</v>
      </c>
      <c r="N2358" t="n">
        <v>0</v>
      </c>
      <c r="O2358" t="n">
        <v>0</v>
      </c>
      <c r="P2358" t="n">
        <v>0</v>
      </c>
      <c r="Q2358" t="n">
        <v>0</v>
      </c>
      <c r="R2358" s="2" t="inlineStr"/>
    </row>
    <row r="2359" ht="15" customHeight="1">
      <c r="A2359" t="inlineStr">
        <is>
          <t>A 10852-2026</t>
        </is>
      </c>
      <c r="B2359" s="1" t="n">
        <v>46078.65675925926</v>
      </c>
      <c r="C2359" s="1" t="n">
        <v>46161</v>
      </c>
      <c r="D2359" t="inlineStr">
        <is>
          <t>VÄSTERNORRLANDS LÄN</t>
        </is>
      </c>
      <c r="E2359" t="inlineStr">
        <is>
          <t>SOLLEFTEÅ</t>
        </is>
      </c>
      <c r="F2359" t="inlineStr">
        <is>
          <t>SCA</t>
        </is>
      </c>
      <c r="G2359" t="n">
        <v>25.7</v>
      </c>
      <c r="H2359" t="n">
        <v>0</v>
      </c>
      <c r="I2359" t="n">
        <v>0</v>
      </c>
      <c r="J2359" t="n">
        <v>0</v>
      </c>
      <c r="K2359" t="n">
        <v>0</v>
      </c>
      <c r="L2359" t="n">
        <v>0</v>
      </c>
      <c r="M2359" t="n">
        <v>0</v>
      </c>
      <c r="N2359" t="n">
        <v>0</v>
      </c>
      <c r="O2359" t="n">
        <v>0</v>
      </c>
      <c r="P2359" t="n">
        <v>0</v>
      </c>
      <c r="Q2359" t="n">
        <v>0</v>
      </c>
      <c r="R2359" s="2" t="inlineStr"/>
    </row>
    <row r="2360" ht="15" customHeight="1">
      <c r="A2360" t="inlineStr">
        <is>
          <t>A 31179-2023</t>
        </is>
      </c>
      <c r="B2360" s="1" t="n">
        <v>45113.92564814815</v>
      </c>
      <c r="C2360" s="1" t="n">
        <v>46161</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10815-2026</t>
        </is>
      </c>
      <c r="B2361" s="1" t="n">
        <v>46078.60954861111</v>
      </c>
      <c r="C2361" s="1" t="n">
        <v>46161</v>
      </c>
      <c r="D2361" t="inlineStr">
        <is>
          <t>VÄSTERNORRLANDS LÄN</t>
        </is>
      </c>
      <c r="E2361" t="inlineStr">
        <is>
          <t>SOLLEFTEÅ</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10825-2026</t>
        </is>
      </c>
      <c r="B2362" s="1" t="n">
        <v>46078.62478009259</v>
      </c>
      <c r="C2362" s="1" t="n">
        <v>46161</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11014-2026</t>
        </is>
      </c>
      <c r="B2363" s="1" t="n">
        <v>46079.53983796296</v>
      </c>
      <c r="C2363" s="1" t="n">
        <v>46161</v>
      </c>
      <c r="D2363" t="inlineStr">
        <is>
          <t>VÄSTERNORRLANDS LÄN</t>
        </is>
      </c>
      <c r="E2363" t="inlineStr">
        <is>
          <t>SOLLEFTEÅ</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45644-2023</t>
        </is>
      </c>
      <c r="B2364" s="1" t="n">
        <v>45188</v>
      </c>
      <c r="C2364" s="1" t="n">
        <v>46161</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c r="U2364">
        <f>HYPERLINK("https://klasma.github.io/Logging_2283/knärot/A 45644-2023 karta knärot.png", "A 45644-2023")</f>
        <v/>
      </c>
      <c r="V2364">
        <f>HYPERLINK("https://klasma.github.io/Logging_2283/klagomål/A 45644-2023 FSC-klagomål.docx", "A 45644-2023")</f>
        <v/>
      </c>
      <c r="W2364">
        <f>HYPERLINK("https://klasma.github.io/Logging_2283/klagomålsmail/A 45644-2023 FSC-klagomål mail.docx", "A 45644-2023")</f>
        <v/>
      </c>
      <c r="X2364">
        <f>HYPERLINK("https://klasma.github.io/Logging_2283/tillsyn/A 45644-2023 tillsynsbegäran.docx", "A 45644-2023")</f>
        <v/>
      </c>
      <c r="Y2364">
        <f>HYPERLINK("https://klasma.github.io/Logging_2283/tillsynsmail/A 45644-2023 tillsynsbegäran mail.docx", "A 45644-2023")</f>
        <v/>
      </c>
    </row>
    <row r="2365" ht="15" customHeight="1">
      <c r="A2365" t="inlineStr">
        <is>
          <t>A 34765-2024</t>
        </is>
      </c>
      <c r="B2365" s="1" t="n">
        <v>45526</v>
      </c>
      <c r="C2365" s="1" t="n">
        <v>46161</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11175-2026</t>
        </is>
      </c>
      <c r="B2366" s="1" t="n">
        <v>46080.38614583333</v>
      </c>
      <c r="C2366" s="1" t="n">
        <v>46161</v>
      </c>
      <c r="D2366" t="inlineStr">
        <is>
          <t>VÄSTERNORRLANDS LÄN</t>
        </is>
      </c>
      <c r="E2366" t="inlineStr">
        <is>
          <t>SOLLEFTEÅ</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5359-2025</t>
        </is>
      </c>
      <c r="B2367" s="1" t="n">
        <v>45692</v>
      </c>
      <c r="C2367" s="1" t="n">
        <v>46161</v>
      </c>
      <c r="D2367" t="inlineStr">
        <is>
          <t>VÄSTERNORRLANDS LÄN</t>
        </is>
      </c>
      <c r="E2367" t="inlineStr">
        <is>
          <t>SOLLEFTEÅ</t>
        </is>
      </c>
      <c r="F2367" t="inlineStr">
        <is>
          <t>Övriga statliga verk och myndigheter</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11017-2026</t>
        </is>
      </c>
      <c r="B2368" s="1" t="n">
        <v>46079.54549768518</v>
      </c>
      <c r="C2368" s="1" t="n">
        <v>46161</v>
      </c>
      <c r="D2368" t="inlineStr">
        <is>
          <t>VÄSTERNORRLANDS LÄN</t>
        </is>
      </c>
      <c r="E2368" t="inlineStr">
        <is>
          <t>SOLLEFTEÅ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11281-2026</t>
        </is>
      </c>
      <c r="B2369" s="1" t="n">
        <v>46080.59430555555</v>
      </c>
      <c r="C2369" s="1" t="n">
        <v>46161</v>
      </c>
      <c r="D2369" t="inlineStr">
        <is>
          <t>VÄSTERNORRLANDS LÄN</t>
        </is>
      </c>
      <c r="E2369" t="inlineStr">
        <is>
          <t>SOLLEFTEÅ</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52718-2022</t>
        </is>
      </c>
      <c r="B2370" s="1" t="n">
        <v>44874</v>
      </c>
      <c r="C2370" s="1" t="n">
        <v>46161</v>
      </c>
      <c r="D2370" t="inlineStr">
        <is>
          <t>VÄSTERNORRLANDS LÄN</t>
        </is>
      </c>
      <c r="E2370" t="inlineStr">
        <is>
          <t>SOLLEFTEÅ</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11008-2026</t>
        </is>
      </c>
      <c r="B2371" s="1" t="n">
        <v>46079</v>
      </c>
      <c r="C2371" s="1" t="n">
        <v>46161</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10949-2026</t>
        </is>
      </c>
      <c r="B2372" s="1" t="n">
        <v>46079</v>
      </c>
      <c r="C2372" s="1" t="n">
        <v>46161</v>
      </c>
      <c r="D2372" t="inlineStr">
        <is>
          <t>VÄSTERNORRLANDS LÄN</t>
        </is>
      </c>
      <c r="E2372" t="inlineStr">
        <is>
          <t>SOLLEFTEÅ</t>
        </is>
      </c>
      <c r="F2372" t="inlineStr">
        <is>
          <t>SCA</t>
        </is>
      </c>
      <c r="G2372" t="n">
        <v>34.7</v>
      </c>
      <c r="H2372" t="n">
        <v>0</v>
      </c>
      <c r="I2372" t="n">
        <v>0</v>
      </c>
      <c r="J2372" t="n">
        <v>0</v>
      </c>
      <c r="K2372" t="n">
        <v>0</v>
      </c>
      <c r="L2372" t="n">
        <v>0</v>
      </c>
      <c r="M2372" t="n">
        <v>0</v>
      </c>
      <c r="N2372" t="n">
        <v>0</v>
      </c>
      <c r="O2372" t="n">
        <v>0</v>
      </c>
      <c r="P2372" t="n">
        <v>0</v>
      </c>
      <c r="Q2372" t="n">
        <v>0</v>
      </c>
      <c r="R2372" s="2" t="inlineStr"/>
    </row>
    <row r="2373" ht="15" customHeight="1">
      <c r="A2373" t="inlineStr">
        <is>
          <t>A 18761-2023</t>
        </is>
      </c>
      <c r="B2373" s="1" t="n">
        <v>45043</v>
      </c>
      <c r="C2373" s="1" t="n">
        <v>46161</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18762-2023</t>
        </is>
      </c>
      <c r="B2374" s="1" t="n">
        <v>45043</v>
      </c>
      <c r="C2374" s="1" t="n">
        <v>46161</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5519-2023</t>
        </is>
      </c>
      <c r="B2375" s="1" t="n">
        <v>44960.42409722223</v>
      </c>
      <c r="C2375" s="1" t="n">
        <v>46161</v>
      </c>
      <c r="D2375" t="inlineStr">
        <is>
          <t>VÄSTERNORRLANDS LÄN</t>
        </is>
      </c>
      <c r="E2375" t="inlineStr">
        <is>
          <t>SOLLEFTEÅ</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17691-2026</t>
        </is>
      </c>
      <c r="B2376" s="1" t="n">
        <v>46121.63640046296</v>
      </c>
      <c r="C2376" s="1" t="n">
        <v>46161</v>
      </c>
      <c r="D2376" t="inlineStr">
        <is>
          <t>VÄSTERNORRLANDS LÄN</t>
        </is>
      </c>
      <c r="E2376" t="inlineStr">
        <is>
          <t>SOLLEFTEÅ</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17771-2026</t>
        </is>
      </c>
      <c r="B2377" s="1" t="n">
        <v>46122.3656712963</v>
      </c>
      <c r="C2377" s="1" t="n">
        <v>46161</v>
      </c>
      <c r="D2377" t="inlineStr">
        <is>
          <t>VÄSTERNORRLANDS LÄN</t>
        </is>
      </c>
      <c r="E2377" t="inlineStr">
        <is>
          <t>SOLLEFTEÅ</t>
        </is>
      </c>
      <c r="F2377" t="inlineStr">
        <is>
          <t>SCA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27392-2023</t>
        </is>
      </c>
      <c r="B2378" s="1" t="n">
        <v>45096.93997685185</v>
      </c>
      <c r="C2378" s="1" t="n">
        <v>46161</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17588-2026</t>
        </is>
      </c>
      <c r="B2379" s="1" t="n">
        <v>46121.38614583333</v>
      </c>
      <c r="C2379" s="1" t="n">
        <v>46161</v>
      </c>
      <c r="D2379" t="inlineStr">
        <is>
          <t>VÄSTERNORRLANDS LÄN</t>
        </is>
      </c>
      <c r="E2379" t="inlineStr">
        <is>
          <t>SOLLEFTEÅ</t>
        </is>
      </c>
      <c r="G2379" t="n">
        <v>23.1</v>
      </c>
      <c r="H2379" t="n">
        <v>0</v>
      </c>
      <c r="I2379" t="n">
        <v>0</v>
      </c>
      <c r="J2379" t="n">
        <v>0</v>
      </c>
      <c r="K2379" t="n">
        <v>0</v>
      </c>
      <c r="L2379" t="n">
        <v>0</v>
      </c>
      <c r="M2379" t="n">
        <v>0</v>
      </c>
      <c r="N2379" t="n">
        <v>0</v>
      </c>
      <c r="O2379" t="n">
        <v>0</v>
      </c>
      <c r="P2379" t="n">
        <v>0</v>
      </c>
      <c r="Q2379" t="n">
        <v>0</v>
      </c>
      <c r="R2379" s="2" t="inlineStr"/>
    </row>
    <row r="2380" ht="15" customHeight="1">
      <c r="A2380" t="inlineStr">
        <is>
          <t>A 17936-2026</t>
        </is>
      </c>
      <c r="B2380" s="1" t="n">
        <v>46122.63597222222</v>
      </c>
      <c r="C2380" s="1" t="n">
        <v>46161</v>
      </c>
      <c r="D2380" t="inlineStr">
        <is>
          <t>VÄSTERNORRLANDS LÄN</t>
        </is>
      </c>
      <c r="E2380" t="inlineStr">
        <is>
          <t>SOLLEFTEÅ</t>
        </is>
      </c>
      <c r="F2380" t="inlineStr">
        <is>
          <t>SCA</t>
        </is>
      </c>
      <c r="G2380" t="n">
        <v>12.6</v>
      </c>
      <c r="H2380" t="n">
        <v>0</v>
      </c>
      <c r="I2380" t="n">
        <v>0</v>
      </c>
      <c r="J2380" t="n">
        <v>0</v>
      </c>
      <c r="K2380" t="n">
        <v>0</v>
      </c>
      <c r="L2380" t="n">
        <v>0</v>
      </c>
      <c r="M2380" t="n">
        <v>0</v>
      </c>
      <c r="N2380" t="n">
        <v>0</v>
      </c>
      <c r="O2380" t="n">
        <v>0</v>
      </c>
      <c r="P2380" t="n">
        <v>0</v>
      </c>
      <c r="Q2380" t="n">
        <v>0</v>
      </c>
      <c r="R2380" s="2" t="inlineStr"/>
    </row>
    <row r="2381" ht="15" customHeight="1">
      <c r="A2381" t="inlineStr">
        <is>
          <t>A 12062-2025</t>
        </is>
      </c>
      <c r="B2381" s="1" t="n">
        <v>45728.6984837963</v>
      </c>
      <c r="C2381" s="1" t="n">
        <v>46161</v>
      </c>
      <c r="D2381" t="inlineStr">
        <is>
          <t>VÄSTERNORRLANDS LÄN</t>
        </is>
      </c>
      <c r="E2381" t="inlineStr">
        <is>
          <t>SOLLEFTEÅ</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12063-2025</t>
        </is>
      </c>
      <c r="B2382" s="1" t="n">
        <v>45728.69851851852</v>
      </c>
      <c r="C2382" s="1" t="n">
        <v>46161</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7261-2024</t>
        </is>
      </c>
      <c r="B2383" s="1" t="n">
        <v>45344</v>
      </c>
      <c r="C2383" s="1" t="n">
        <v>46161</v>
      </c>
      <c r="D2383" t="inlineStr">
        <is>
          <t>VÄSTERNORRLANDS LÄN</t>
        </is>
      </c>
      <c r="E2383" t="inlineStr">
        <is>
          <t>SOLLEFTEÅ</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11214-2026</t>
        </is>
      </c>
      <c r="B2384" s="1" t="n">
        <v>46080.46942129629</v>
      </c>
      <c r="C2384" s="1" t="n">
        <v>46161</v>
      </c>
      <c r="D2384" t="inlineStr">
        <is>
          <t>VÄSTERNORRLANDS LÄN</t>
        </is>
      </c>
      <c r="E2384" t="inlineStr">
        <is>
          <t>SOLLEFTEÅ</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11215-2026</t>
        </is>
      </c>
      <c r="B2385" s="1" t="n">
        <v>46080.46967592592</v>
      </c>
      <c r="C2385" s="1" t="n">
        <v>46161</v>
      </c>
      <c r="D2385" t="inlineStr">
        <is>
          <t>VÄSTERNORRLANDS LÄN</t>
        </is>
      </c>
      <c r="E2385" t="inlineStr">
        <is>
          <t>SOLLEFTEÅ</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11071-2026</t>
        </is>
      </c>
      <c r="B2386" s="1" t="n">
        <v>46079.61130787037</v>
      </c>
      <c r="C2386" s="1" t="n">
        <v>46161</v>
      </c>
      <c r="D2386" t="inlineStr">
        <is>
          <t>VÄSTERNORRLANDS LÄN</t>
        </is>
      </c>
      <c r="E2386" t="inlineStr">
        <is>
          <t>SOLLEFTEÅ</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17587-2026</t>
        </is>
      </c>
      <c r="B2387" s="1" t="n">
        <v>46121.38612268519</v>
      </c>
      <c r="C2387" s="1" t="n">
        <v>46161</v>
      </c>
      <c r="D2387" t="inlineStr">
        <is>
          <t>VÄSTERNORRLANDS LÄN</t>
        </is>
      </c>
      <c r="E2387" t="inlineStr">
        <is>
          <t>SOLLEFTEÅ</t>
        </is>
      </c>
      <c r="G2387" t="n">
        <v>21.2</v>
      </c>
      <c r="H2387" t="n">
        <v>0</v>
      </c>
      <c r="I2387" t="n">
        <v>0</v>
      </c>
      <c r="J2387" t="n">
        <v>0</v>
      </c>
      <c r="K2387" t="n">
        <v>0</v>
      </c>
      <c r="L2387" t="n">
        <v>0</v>
      </c>
      <c r="M2387" t="n">
        <v>0</v>
      </c>
      <c r="N2387" t="n">
        <v>0</v>
      </c>
      <c r="O2387" t="n">
        <v>0</v>
      </c>
      <c r="P2387" t="n">
        <v>0</v>
      </c>
      <c r="Q2387" t="n">
        <v>0</v>
      </c>
      <c r="R2387" s="2" t="inlineStr"/>
    </row>
    <row r="2388" ht="15" customHeight="1">
      <c r="A2388" t="inlineStr">
        <is>
          <t>A 1096-2025</t>
        </is>
      </c>
      <c r="B2388" s="1" t="n">
        <v>45666</v>
      </c>
      <c r="C2388" s="1" t="n">
        <v>46161</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11182-2026</t>
        </is>
      </c>
      <c r="B2389" s="1" t="n">
        <v>46080</v>
      </c>
      <c r="C2389" s="1" t="n">
        <v>46161</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52471-2024</t>
        </is>
      </c>
      <c r="B2390" s="1" t="n">
        <v>45609.53076388889</v>
      </c>
      <c r="C2390" s="1" t="n">
        <v>46161</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11655-2026</t>
        </is>
      </c>
      <c r="B2391" s="1" t="n">
        <v>46084.53188657408</v>
      </c>
      <c r="C2391" s="1" t="n">
        <v>46161</v>
      </c>
      <c r="D2391" t="inlineStr">
        <is>
          <t>VÄSTERNORRLANDS LÄN</t>
        </is>
      </c>
      <c r="E2391" t="inlineStr">
        <is>
          <t>SOLLEFTEÅ</t>
        </is>
      </c>
      <c r="F2391" t="inlineStr">
        <is>
          <t>SCA</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18296-2026</t>
        </is>
      </c>
      <c r="B2392" s="1" t="n">
        <v>46126.44241898148</v>
      </c>
      <c r="C2392" s="1" t="n">
        <v>46161</v>
      </c>
      <c r="D2392" t="inlineStr">
        <is>
          <t>VÄSTERNORRLANDS LÄN</t>
        </is>
      </c>
      <c r="E2392" t="inlineStr">
        <is>
          <t>SOLLEFTEÅ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18392-2026</t>
        </is>
      </c>
      <c r="B2393" s="1" t="n">
        <v>46126.65784722222</v>
      </c>
      <c r="C2393" s="1" t="n">
        <v>46161</v>
      </c>
      <c r="D2393" t="inlineStr">
        <is>
          <t>VÄSTERNORRLANDS LÄN</t>
        </is>
      </c>
      <c r="E2393" t="inlineStr">
        <is>
          <t>SOLLEFTEÅ</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18287-2026</t>
        </is>
      </c>
      <c r="B2394" s="1" t="n">
        <v>46126.42769675926</v>
      </c>
      <c r="C2394" s="1" t="n">
        <v>46161</v>
      </c>
      <c r="D2394" t="inlineStr">
        <is>
          <t>VÄSTERNORRLANDS LÄN</t>
        </is>
      </c>
      <c r="E2394" t="inlineStr">
        <is>
          <t>SOLLEFTEÅ</t>
        </is>
      </c>
      <c r="F2394" t="inlineStr">
        <is>
          <t>SCA</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11747-2026</t>
        </is>
      </c>
      <c r="B2395" s="1" t="n">
        <v>46084</v>
      </c>
      <c r="C2395" s="1" t="n">
        <v>46161</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25139-2024</t>
        </is>
      </c>
      <c r="B2396" s="1" t="n">
        <v>45462.48130787037</v>
      </c>
      <c r="C2396" s="1" t="n">
        <v>46161</v>
      </c>
      <c r="D2396" t="inlineStr">
        <is>
          <t>VÄSTERNORRLANDS LÄN</t>
        </is>
      </c>
      <c r="E2396" t="inlineStr">
        <is>
          <t>SOLLEFTEÅ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18167-2026</t>
        </is>
      </c>
      <c r="B2397" s="1" t="n">
        <v>46125.65689814815</v>
      </c>
      <c r="C2397" s="1" t="n">
        <v>46161</v>
      </c>
      <c r="D2397" t="inlineStr">
        <is>
          <t>VÄSTERNORRLANDS LÄN</t>
        </is>
      </c>
      <c r="E2397" t="inlineStr">
        <is>
          <t>SOLLEFTEÅ</t>
        </is>
      </c>
      <c r="F2397" t="inlineStr">
        <is>
          <t>SCA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63712-2023</t>
        </is>
      </c>
      <c r="B2398" s="1" t="n">
        <v>45275.95094907407</v>
      </c>
      <c r="C2398" s="1" t="n">
        <v>46161</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33628-2024</t>
        </is>
      </c>
      <c r="B2399" s="1" t="n">
        <v>45520.4302662037</v>
      </c>
      <c r="C2399" s="1" t="n">
        <v>46161</v>
      </c>
      <c r="D2399" t="inlineStr">
        <is>
          <t>VÄSTERNORRLANDS LÄN</t>
        </is>
      </c>
      <c r="E2399" t="inlineStr">
        <is>
          <t>SOLLEFTEÅ</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11796-2026</t>
        </is>
      </c>
      <c r="B2400" s="1" t="n">
        <v>46084</v>
      </c>
      <c r="C2400" s="1" t="n">
        <v>46161</v>
      </c>
      <c r="D2400" t="inlineStr">
        <is>
          <t>VÄSTERNORRLANDS LÄN</t>
        </is>
      </c>
      <c r="E2400" t="inlineStr">
        <is>
          <t>SOLLEFTEÅ</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49403-2024</t>
        </is>
      </c>
      <c r="B2401" s="1" t="n">
        <v>45595.67730324074</v>
      </c>
      <c r="C2401" s="1" t="n">
        <v>46161</v>
      </c>
      <c r="D2401" t="inlineStr">
        <is>
          <t>VÄSTERNORRLANDS LÄN</t>
        </is>
      </c>
      <c r="E2401" t="inlineStr">
        <is>
          <t>SOLLEFTEÅ</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11766-2026</t>
        </is>
      </c>
      <c r="B2402" s="1" t="n">
        <v>46084.70090277777</v>
      </c>
      <c r="C2402" s="1" t="n">
        <v>46161</v>
      </c>
      <c r="D2402" t="inlineStr">
        <is>
          <t>VÄSTERNORRLANDS LÄN</t>
        </is>
      </c>
      <c r="E2402" t="inlineStr">
        <is>
          <t>SOLLEFTEÅ</t>
        </is>
      </c>
      <c r="F2402" t="inlineStr">
        <is>
          <t>Holmen skog AB</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1402-2022</t>
        </is>
      </c>
      <c r="B2403" s="1" t="n">
        <v>44573</v>
      </c>
      <c r="C2403" s="1" t="n">
        <v>46161</v>
      </c>
      <c r="D2403" t="inlineStr">
        <is>
          <t>VÄSTERNORRLANDS LÄN</t>
        </is>
      </c>
      <c r="E2403" t="inlineStr">
        <is>
          <t>SOLLEFTEÅ</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18691-2025</t>
        </is>
      </c>
      <c r="B2404" s="1" t="n">
        <v>45763.61511574074</v>
      </c>
      <c r="C2404" s="1" t="n">
        <v>46161</v>
      </c>
      <c r="D2404" t="inlineStr">
        <is>
          <t>VÄSTERNORRLANDS LÄN</t>
        </is>
      </c>
      <c r="E2404" t="inlineStr">
        <is>
          <t>SOLLEFTEÅ</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18333-2026</t>
        </is>
      </c>
      <c r="B2405" s="1" t="n">
        <v>46126.53193287037</v>
      </c>
      <c r="C2405" s="1" t="n">
        <v>46161</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11486-2026</t>
        </is>
      </c>
      <c r="B2406" s="1" t="n">
        <v>46083.63189814815</v>
      </c>
      <c r="C2406" s="1" t="n">
        <v>46161</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35556-2023</t>
        </is>
      </c>
      <c r="B2407" s="1" t="n">
        <v>45147</v>
      </c>
      <c r="C2407" s="1" t="n">
        <v>46161</v>
      </c>
      <c r="D2407" t="inlineStr">
        <is>
          <t>VÄSTERNORRLANDS LÄN</t>
        </is>
      </c>
      <c r="E2407" t="inlineStr">
        <is>
          <t>SOLLEFTEÅ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11556-2026</t>
        </is>
      </c>
      <c r="B2408" s="1" t="n">
        <v>46084.34427083333</v>
      </c>
      <c r="C2408" s="1" t="n">
        <v>46161</v>
      </c>
      <c r="D2408" t="inlineStr">
        <is>
          <t>VÄSTERNORRLANDS LÄN</t>
        </is>
      </c>
      <c r="E2408" t="inlineStr">
        <is>
          <t>SOLLEFTEÅ</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55851-2024</t>
        </is>
      </c>
      <c r="B2409" s="1" t="n">
        <v>45623.51140046296</v>
      </c>
      <c r="C2409" s="1" t="n">
        <v>46161</v>
      </c>
      <c r="D2409" t="inlineStr">
        <is>
          <t>VÄSTERNORRLANDS LÄN</t>
        </is>
      </c>
      <c r="E2409" t="inlineStr">
        <is>
          <t>SOLLEFTEÅ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40921-2024</t>
        </is>
      </c>
      <c r="B2410" s="1" t="n">
        <v>45558.6358912037</v>
      </c>
      <c r="C2410" s="1" t="n">
        <v>46161</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52267-2023</t>
        </is>
      </c>
      <c r="B2411" s="1" t="n">
        <v>45217</v>
      </c>
      <c r="C2411" s="1" t="n">
        <v>46161</v>
      </c>
      <c r="D2411" t="inlineStr">
        <is>
          <t>VÄSTERNORRLANDS LÄN</t>
        </is>
      </c>
      <c r="E2411" t="inlineStr">
        <is>
          <t>SOLLEFTEÅ</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11440-2026</t>
        </is>
      </c>
      <c r="B2412" s="1" t="n">
        <v>46083.51138888889</v>
      </c>
      <c r="C2412" s="1" t="n">
        <v>46161</v>
      </c>
      <c r="D2412" t="inlineStr">
        <is>
          <t>VÄSTERNORRLANDS LÄN</t>
        </is>
      </c>
      <c r="E2412" t="inlineStr">
        <is>
          <t>SOLLEFTEÅ</t>
        </is>
      </c>
      <c r="F2412" t="inlineStr">
        <is>
          <t>SCA</t>
        </is>
      </c>
      <c r="G2412" t="n">
        <v>20.1</v>
      </c>
      <c r="H2412" t="n">
        <v>0</v>
      </c>
      <c r="I2412" t="n">
        <v>0</v>
      </c>
      <c r="J2412" t="n">
        <v>0</v>
      </c>
      <c r="K2412" t="n">
        <v>0</v>
      </c>
      <c r="L2412" t="n">
        <v>0</v>
      </c>
      <c r="M2412" t="n">
        <v>0</v>
      </c>
      <c r="N2412" t="n">
        <v>0</v>
      </c>
      <c r="O2412" t="n">
        <v>0</v>
      </c>
      <c r="P2412" t="n">
        <v>0</v>
      </c>
      <c r="Q2412" t="n">
        <v>0</v>
      </c>
      <c r="R2412" s="2" t="inlineStr"/>
    </row>
    <row r="2413" ht="15" customHeight="1">
      <c r="A2413" t="inlineStr">
        <is>
          <t>A 63138-2023</t>
        </is>
      </c>
      <c r="B2413" s="1" t="n">
        <v>45272</v>
      </c>
      <c r="C2413" s="1" t="n">
        <v>46161</v>
      </c>
      <c r="D2413" t="inlineStr">
        <is>
          <t>VÄSTERNORRLANDS LÄN</t>
        </is>
      </c>
      <c r="E2413" t="inlineStr">
        <is>
          <t>SOLLEFTEÅ</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18293-2026</t>
        </is>
      </c>
      <c r="B2414" s="1" t="n">
        <v>46126.43950231482</v>
      </c>
      <c r="C2414" s="1" t="n">
        <v>46161</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53929-2022</t>
        </is>
      </c>
      <c r="B2415" s="1" t="n">
        <v>44880</v>
      </c>
      <c r="C2415" s="1" t="n">
        <v>46161</v>
      </c>
      <c r="D2415" t="inlineStr">
        <is>
          <t>VÄSTERNORRLANDS LÄN</t>
        </is>
      </c>
      <c r="E2415" t="inlineStr">
        <is>
          <t>SOLLEFTEÅ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53947-2022</t>
        </is>
      </c>
      <c r="B2416" s="1" t="n">
        <v>44880.95685185185</v>
      </c>
      <c r="C2416" s="1" t="n">
        <v>46161</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18255-2026</t>
        </is>
      </c>
      <c r="B2417" s="1" t="n">
        <v>46126.36520833334</v>
      </c>
      <c r="C2417" s="1" t="n">
        <v>46161</v>
      </c>
      <c r="D2417" t="inlineStr">
        <is>
          <t>VÄSTERNORRLANDS LÄN</t>
        </is>
      </c>
      <c r="E2417" t="inlineStr">
        <is>
          <t>SOLLEFTEÅ</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11792-2026</t>
        </is>
      </c>
      <c r="B2418" s="1" t="n">
        <v>46084</v>
      </c>
      <c r="C2418" s="1" t="n">
        <v>46161</v>
      </c>
      <c r="D2418" t="inlineStr">
        <is>
          <t>VÄSTERNORRLANDS LÄN</t>
        </is>
      </c>
      <c r="E2418" t="inlineStr">
        <is>
          <t>SOLLEFTEÅ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18155-2026</t>
        </is>
      </c>
      <c r="B2419" s="1" t="n">
        <v>46125.63591435185</v>
      </c>
      <c r="C2419" s="1" t="n">
        <v>46161</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18168-2026</t>
        </is>
      </c>
      <c r="B2420" s="1" t="n">
        <v>46125.65699074074</v>
      </c>
      <c r="C2420" s="1" t="n">
        <v>46161</v>
      </c>
      <c r="D2420" t="inlineStr">
        <is>
          <t>VÄSTERNORRLANDS LÄN</t>
        </is>
      </c>
      <c r="E2420" t="inlineStr">
        <is>
          <t>SOLLEFTEÅ</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18169-2026</t>
        </is>
      </c>
      <c r="B2421" s="1" t="n">
        <v>46125.6571875</v>
      </c>
      <c r="C2421" s="1" t="n">
        <v>46161</v>
      </c>
      <c r="D2421" t="inlineStr">
        <is>
          <t>VÄSTERNORRLANDS LÄN</t>
        </is>
      </c>
      <c r="E2421" t="inlineStr">
        <is>
          <t>SOLLEFTEÅ</t>
        </is>
      </c>
      <c r="F2421" t="inlineStr">
        <is>
          <t>SCA</t>
        </is>
      </c>
      <c r="G2421" t="n">
        <v>13.4</v>
      </c>
      <c r="H2421" t="n">
        <v>0</v>
      </c>
      <c r="I2421" t="n">
        <v>0</v>
      </c>
      <c r="J2421" t="n">
        <v>0</v>
      </c>
      <c r="K2421" t="n">
        <v>0</v>
      </c>
      <c r="L2421" t="n">
        <v>0</v>
      </c>
      <c r="M2421" t="n">
        <v>0</v>
      </c>
      <c r="N2421" t="n">
        <v>0</v>
      </c>
      <c r="O2421" t="n">
        <v>0</v>
      </c>
      <c r="P2421" t="n">
        <v>0</v>
      </c>
      <c r="Q2421" t="n">
        <v>0</v>
      </c>
      <c r="R2421" s="2" t="inlineStr"/>
    </row>
    <row r="2422" ht="15" customHeight="1">
      <c r="A2422" t="inlineStr">
        <is>
          <t>A 64617-2023</t>
        </is>
      </c>
      <c r="B2422" s="1" t="n">
        <v>45281</v>
      </c>
      <c r="C2422" s="1" t="n">
        <v>46161</v>
      </c>
      <c r="D2422" t="inlineStr">
        <is>
          <t>VÄSTERNORRLANDS LÄN</t>
        </is>
      </c>
      <c r="E2422" t="inlineStr">
        <is>
          <t>SOLLEFTEÅ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12164-2026</t>
        </is>
      </c>
      <c r="B2423" s="1" t="n">
        <v>46084</v>
      </c>
      <c r="C2423" s="1" t="n">
        <v>46161</v>
      </c>
      <c r="D2423" t="inlineStr">
        <is>
          <t>VÄSTERNORRLANDS LÄN</t>
        </is>
      </c>
      <c r="E2423" t="inlineStr">
        <is>
          <t>SOLLEFTEÅ</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18649-2026</t>
        </is>
      </c>
      <c r="B2424" s="1" t="n">
        <v>46128.34479166667</v>
      </c>
      <c r="C2424" s="1" t="n">
        <v>46161</v>
      </c>
      <c r="D2424" t="inlineStr">
        <is>
          <t>VÄSTERNORRLANDS LÄN</t>
        </is>
      </c>
      <c r="E2424" t="inlineStr">
        <is>
          <t>SOLLEFTEÅ</t>
        </is>
      </c>
      <c r="F2424" t="inlineStr">
        <is>
          <t>SCA</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18681-2026</t>
        </is>
      </c>
      <c r="B2425" s="1" t="n">
        <v>46128.38604166666</v>
      </c>
      <c r="C2425" s="1" t="n">
        <v>46161</v>
      </c>
      <c r="D2425" t="inlineStr">
        <is>
          <t>VÄSTERNORRLANDS LÄN</t>
        </is>
      </c>
      <c r="E2425" t="inlineStr">
        <is>
          <t>SOLLEFTEÅ</t>
        </is>
      </c>
      <c r="F2425" t="inlineStr">
        <is>
          <t>SCA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18682-2026</t>
        </is>
      </c>
      <c r="B2426" s="1" t="n">
        <v>46128.38626157407</v>
      </c>
      <c r="C2426" s="1" t="n">
        <v>46161</v>
      </c>
      <c r="D2426" t="inlineStr">
        <is>
          <t>VÄSTERNORRLANDS LÄN</t>
        </is>
      </c>
      <c r="E2426" t="inlineStr">
        <is>
          <t>SOLLEFTEÅ</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34560-2024</t>
        </is>
      </c>
      <c r="B2427" s="1" t="n">
        <v>45526.31116898148</v>
      </c>
      <c r="C2427" s="1" t="n">
        <v>46161</v>
      </c>
      <c r="D2427" t="inlineStr">
        <is>
          <t>VÄSTERNORRLANDS LÄN</t>
        </is>
      </c>
      <c r="E2427" t="inlineStr">
        <is>
          <t>SOLLEFTEÅ</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18729-2026</t>
        </is>
      </c>
      <c r="B2428" s="1" t="n">
        <v>46128.49038194444</v>
      </c>
      <c r="C2428" s="1" t="n">
        <v>46161</v>
      </c>
      <c r="D2428" t="inlineStr">
        <is>
          <t>VÄSTERNORRLANDS LÄN</t>
        </is>
      </c>
      <c r="E2428" t="inlineStr">
        <is>
          <t>SOLLEFTEÅ</t>
        </is>
      </c>
      <c r="F2428" t="inlineStr">
        <is>
          <t>SCA</t>
        </is>
      </c>
      <c r="G2428" t="n">
        <v>21.2</v>
      </c>
      <c r="H2428" t="n">
        <v>0</v>
      </c>
      <c r="I2428" t="n">
        <v>0</v>
      </c>
      <c r="J2428" t="n">
        <v>0</v>
      </c>
      <c r="K2428" t="n">
        <v>0</v>
      </c>
      <c r="L2428" t="n">
        <v>0</v>
      </c>
      <c r="M2428" t="n">
        <v>0</v>
      </c>
      <c r="N2428" t="n">
        <v>0</v>
      </c>
      <c r="O2428" t="n">
        <v>0</v>
      </c>
      <c r="P2428" t="n">
        <v>0</v>
      </c>
      <c r="Q2428" t="n">
        <v>0</v>
      </c>
      <c r="R2428" s="2" t="inlineStr"/>
    </row>
    <row r="2429" ht="15" customHeight="1">
      <c r="A2429" t="inlineStr">
        <is>
          <t>A 27641-2024</t>
        </is>
      </c>
      <c r="B2429" s="1" t="n">
        <v>45474.94694444445</v>
      </c>
      <c r="C2429" s="1" t="n">
        <v>46161</v>
      </c>
      <c r="D2429" t="inlineStr">
        <is>
          <t>VÄSTERNORRLANDS LÄN</t>
        </is>
      </c>
      <c r="E2429" t="inlineStr">
        <is>
          <t>SOLLEFTEÅ</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37201-2024</t>
        </is>
      </c>
      <c r="B2430" s="1" t="n">
        <v>45539</v>
      </c>
      <c r="C2430" s="1" t="n">
        <v>46161</v>
      </c>
      <c r="D2430" t="inlineStr">
        <is>
          <t>VÄSTERNORRLANDS LÄN</t>
        </is>
      </c>
      <c r="E2430" t="inlineStr">
        <is>
          <t>SOLLEFTEÅ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60177-2024</t>
        </is>
      </c>
      <c r="B2431" s="1" t="n">
        <v>45642.63850694444</v>
      </c>
      <c r="C2431" s="1" t="n">
        <v>46161</v>
      </c>
      <c r="D2431" t="inlineStr">
        <is>
          <t>VÄSTERNORRLANDS LÄN</t>
        </is>
      </c>
      <c r="E2431" t="inlineStr">
        <is>
          <t>SOLLEFTEÅ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43627-2024</t>
        </is>
      </c>
      <c r="B2432" s="1" t="n">
        <v>45569.49006944444</v>
      </c>
      <c r="C2432" s="1" t="n">
        <v>46161</v>
      </c>
      <c r="D2432" t="inlineStr">
        <is>
          <t>VÄSTERNORRLANDS LÄN</t>
        </is>
      </c>
      <c r="E2432" t="inlineStr">
        <is>
          <t>SOLLEFTEÅ</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18824-2026</t>
        </is>
      </c>
      <c r="B2433" s="1" t="n">
        <v>46128.67763888889</v>
      </c>
      <c r="C2433" s="1" t="n">
        <v>46161</v>
      </c>
      <c r="D2433" t="inlineStr">
        <is>
          <t>VÄSTERNORRLANDS LÄN</t>
        </is>
      </c>
      <c r="E2433" t="inlineStr">
        <is>
          <t>SOLLEFTEÅ</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8221-2022</t>
        </is>
      </c>
      <c r="B2434" s="1" t="n">
        <v>44609.93001157408</v>
      </c>
      <c r="C2434" s="1" t="n">
        <v>46161</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11916-2026</t>
        </is>
      </c>
      <c r="B2435" s="1" t="n">
        <v>46085.55888888889</v>
      </c>
      <c r="C2435" s="1" t="n">
        <v>46161</v>
      </c>
      <c r="D2435" t="inlineStr">
        <is>
          <t>VÄSTERNORRLANDS LÄN</t>
        </is>
      </c>
      <c r="E2435" t="inlineStr">
        <is>
          <t>SOLLEFTEÅ</t>
        </is>
      </c>
      <c r="G2435" t="n">
        <v>25.5</v>
      </c>
      <c r="H2435" t="n">
        <v>0</v>
      </c>
      <c r="I2435" t="n">
        <v>0</v>
      </c>
      <c r="J2435" t="n">
        <v>0</v>
      </c>
      <c r="K2435" t="n">
        <v>0</v>
      </c>
      <c r="L2435" t="n">
        <v>0</v>
      </c>
      <c r="M2435" t="n">
        <v>0</v>
      </c>
      <c r="N2435" t="n">
        <v>0</v>
      </c>
      <c r="O2435" t="n">
        <v>0</v>
      </c>
      <c r="P2435" t="n">
        <v>0</v>
      </c>
      <c r="Q2435" t="n">
        <v>0</v>
      </c>
      <c r="R2435" s="2" t="inlineStr"/>
    </row>
    <row r="2436" ht="15" customHeight="1">
      <c r="A2436" t="inlineStr">
        <is>
          <t>A 18435-2026</t>
        </is>
      </c>
      <c r="B2436" s="1" t="n">
        <v>46127.34512731482</v>
      </c>
      <c r="C2436" s="1" t="n">
        <v>46161</v>
      </c>
      <c r="D2436" t="inlineStr">
        <is>
          <t>VÄSTERNORRLANDS LÄN</t>
        </is>
      </c>
      <c r="E2436" t="inlineStr">
        <is>
          <t>SOLLEFTEÅ</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23286-2023</t>
        </is>
      </c>
      <c r="B2437" s="1" t="n">
        <v>45075</v>
      </c>
      <c r="C2437" s="1" t="n">
        <v>46161</v>
      </c>
      <c r="D2437" t="inlineStr">
        <is>
          <t>VÄSTERNORRLANDS LÄN</t>
        </is>
      </c>
      <c r="E2437" t="inlineStr">
        <is>
          <t>SOLLEFTEÅ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13499-2023</t>
        </is>
      </c>
      <c r="B2438" s="1" t="n">
        <v>45005</v>
      </c>
      <c r="C2438" s="1" t="n">
        <v>46161</v>
      </c>
      <c r="D2438" t="inlineStr">
        <is>
          <t>VÄSTERNORRLANDS LÄN</t>
        </is>
      </c>
      <c r="E2438" t="inlineStr">
        <is>
          <t>SOLLEFTEÅ</t>
        </is>
      </c>
      <c r="F2438" t="inlineStr">
        <is>
          <t>SCA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18187-2022</t>
        </is>
      </c>
      <c r="B2439" s="1" t="n">
        <v>44684</v>
      </c>
      <c r="C2439" s="1" t="n">
        <v>46161</v>
      </c>
      <c r="D2439" t="inlineStr">
        <is>
          <t>VÄSTERNORRLANDS LÄN</t>
        </is>
      </c>
      <c r="E2439" t="inlineStr">
        <is>
          <t>SOLLEFTEÅ</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25363-2024</t>
        </is>
      </c>
      <c r="B2440" s="1" t="n">
        <v>45462.95833333334</v>
      </c>
      <c r="C2440" s="1" t="n">
        <v>46161</v>
      </c>
      <c r="D2440" t="inlineStr">
        <is>
          <t>VÄSTERNORRLANDS LÄN</t>
        </is>
      </c>
      <c r="E2440" t="inlineStr">
        <is>
          <t>SOLLEFTEÅ</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25384-2024</t>
        </is>
      </c>
      <c r="B2441" s="1" t="n">
        <v>45462.96334490741</v>
      </c>
      <c r="C2441" s="1" t="n">
        <v>46161</v>
      </c>
      <c r="D2441" t="inlineStr">
        <is>
          <t>VÄSTERNORRLANDS LÄN</t>
        </is>
      </c>
      <c r="E2441" t="inlineStr">
        <is>
          <t>SOLLEFTEÅ</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18452-2026</t>
        </is>
      </c>
      <c r="B2442" s="1" t="n">
        <v>46127.38768518518</v>
      </c>
      <c r="C2442" s="1" t="n">
        <v>46161</v>
      </c>
      <c r="D2442" t="inlineStr">
        <is>
          <t>VÄSTERNORRLANDS LÄN</t>
        </is>
      </c>
      <c r="E2442" t="inlineStr">
        <is>
          <t>SOLLEFTEÅ</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50698-2023</t>
        </is>
      </c>
      <c r="B2443" s="1" t="n">
        <v>45210</v>
      </c>
      <c r="C2443" s="1" t="n">
        <v>46161</v>
      </c>
      <c r="D2443" t="inlineStr">
        <is>
          <t>VÄSTERNORRLANDS LÄN</t>
        </is>
      </c>
      <c r="E2443" t="inlineStr">
        <is>
          <t>SOLLEFTEÅ</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42970-2024</t>
        </is>
      </c>
      <c r="B2444" s="1" t="n">
        <v>45567.37322916667</v>
      </c>
      <c r="C2444" s="1" t="n">
        <v>46161</v>
      </c>
      <c r="D2444" t="inlineStr">
        <is>
          <t>VÄSTERNORRLANDS LÄN</t>
        </is>
      </c>
      <c r="E2444" t="inlineStr">
        <is>
          <t>SOLLEFTEÅ</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42981-2024</t>
        </is>
      </c>
      <c r="B2445" s="1" t="n">
        <v>45567.37460648148</v>
      </c>
      <c r="C2445" s="1" t="n">
        <v>46161</v>
      </c>
      <c r="D2445" t="inlineStr">
        <is>
          <t>VÄSTERNORRLANDS LÄN</t>
        </is>
      </c>
      <c r="E2445" t="inlineStr">
        <is>
          <t>SOLLEFTEÅ</t>
        </is>
      </c>
      <c r="F2445" t="inlineStr">
        <is>
          <t>SCA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12568-2026</t>
        </is>
      </c>
      <c r="B2446" s="1" t="n">
        <v>46090</v>
      </c>
      <c r="C2446" s="1" t="n">
        <v>46161</v>
      </c>
      <c r="D2446" t="inlineStr">
        <is>
          <t>VÄSTERNORRLANDS LÄN</t>
        </is>
      </c>
      <c r="E2446" t="inlineStr">
        <is>
          <t>SOLLEFTEÅ</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12249-2026</t>
        </is>
      </c>
      <c r="B2447" s="1" t="n">
        <v>46087.44841435185</v>
      </c>
      <c r="C2447" s="1" t="n">
        <v>46161</v>
      </c>
      <c r="D2447" t="inlineStr">
        <is>
          <t>VÄSTERNORRLANDS LÄN</t>
        </is>
      </c>
      <c r="E2447" t="inlineStr">
        <is>
          <t>SOLLEFTEÅ</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12288-2026</t>
        </is>
      </c>
      <c r="B2448" s="1" t="n">
        <v>46087.55270833334</v>
      </c>
      <c r="C2448" s="1" t="n">
        <v>46161</v>
      </c>
      <c r="D2448" t="inlineStr">
        <is>
          <t>VÄSTERNORRLANDS LÄN</t>
        </is>
      </c>
      <c r="E2448" t="inlineStr">
        <is>
          <t>SOLLEFTEÅ</t>
        </is>
      </c>
      <c r="F2448" t="inlineStr">
        <is>
          <t>SCA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12583-2026</t>
        </is>
      </c>
      <c r="B2449" s="1" t="n">
        <v>46090.6775462963</v>
      </c>
      <c r="C2449" s="1" t="n">
        <v>46161</v>
      </c>
      <c r="D2449" t="inlineStr">
        <is>
          <t>VÄSTERNORRLANDS LÄN</t>
        </is>
      </c>
      <c r="E2449" t="inlineStr">
        <is>
          <t>SOLLEFTEÅ</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19181-2026</t>
        </is>
      </c>
      <c r="B2450" s="1" t="n">
        <v>46132.59607638889</v>
      </c>
      <c r="C2450" s="1" t="n">
        <v>46161</v>
      </c>
      <c r="D2450" t="inlineStr">
        <is>
          <t>VÄSTERNORRLANDS LÄN</t>
        </is>
      </c>
      <c r="E2450" t="inlineStr">
        <is>
          <t>SOLLEFTEÅ</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12333-2026</t>
        </is>
      </c>
      <c r="B2451" s="1" t="n">
        <v>46087.63590277778</v>
      </c>
      <c r="C2451" s="1" t="n">
        <v>46161</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33134-2024</t>
        </is>
      </c>
      <c r="B2452" s="1" t="n">
        <v>45518</v>
      </c>
      <c r="C2452" s="1" t="n">
        <v>46161</v>
      </c>
      <c r="D2452" t="inlineStr">
        <is>
          <t>VÄSTERNORRLANDS LÄN</t>
        </is>
      </c>
      <c r="E2452" t="inlineStr">
        <is>
          <t>SOLLEFTEÅ</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33141-2024</t>
        </is>
      </c>
      <c r="B2453" s="1" t="n">
        <v>45518</v>
      </c>
      <c r="C2453" s="1" t="n">
        <v>46161</v>
      </c>
      <c r="D2453" t="inlineStr">
        <is>
          <t>VÄSTERNORRLANDS LÄN</t>
        </is>
      </c>
      <c r="E2453" t="inlineStr">
        <is>
          <t>SOLLEFTEÅ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12211-2026</t>
        </is>
      </c>
      <c r="B2454" s="1" t="n">
        <v>46087.34467592592</v>
      </c>
      <c r="C2454" s="1" t="n">
        <v>46161</v>
      </c>
      <c r="D2454" t="inlineStr">
        <is>
          <t>VÄSTERNORRLANDS LÄN</t>
        </is>
      </c>
      <c r="E2454" t="inlineStr">
        <is>
          <t>SOLLEFTEÅ</t>
        </is>
      </c>
      <c r="F2454" t="inlineStr">
        <is>
          <t>SCA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12212-2026</t>
        </is>
      </c>
      <c r="B2455" s="1" t="n">
        <v>46087.34480324074</v>
      </c>
      <c r="C2455" s="1" t="n">
        <v>46161</v>
      </c>
      <c r="D2455" t="inlineStr">
        <is>
          <t>VÄSTERNORRLANDS LÄN</t>
        </is>
      </c>
      <c r="E2455" t="inlineStr">
        <is>
          <t>SOLLEFTEÅ</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19047-2026</t>
        </is>
      </c>
      <c r="B2456" s="1" t="n">
        <v>46132.34450231482</v>
      </c>
      <c r="C2456" s="1" t="n">
        <v>46161</v>
      </c>
      <c r="D2456" t="inlineStr">
        <is>
          <t>VÄSTERNORRLANDS LÄN</t>
        </is>
      </c>
      <c r="E2456" t="inlineStr">
        <is>
          <t>SOLLEFTEÅ</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19055-2022</t>
        </is>
      </c>
      <c r="B2457" s="1" t="n">
        <v>44691.42189814815</v>
      </c>
      <c r="C2457" s="1" t="n">
        <v>46161</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49324-2023</t>
        </is>
      </c>
      <c r="B2458" s="1" t="n">
        <v>45210</v>
      </c>
      <c r="C2458" s="1" t="n">
        <v>46161</v>
      </c>
      <c r="D2458" t="inlineStr">
        <is>
          <t>VÄSTERNORRLANDS LÄN</t>
        </is>
      </c>
      <c r="E2458" t="inlineStr">
        <is>
          <t>SOLLEFTEÅ</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2816-2024</t>
        </is>
      </c>
      <c r="B2459" s="1" t="n">
        <v>45314</v>
      </c>
      <c r="C2459" s="1" t="n">
        <v>46161</v>
      </c>
      <c r="D2459" t="inlineStr">
        <is>
          <t>VÄSTERNORRLANDS LÄN</t>
        </is>
      </c>
      <c r="E2459" t="inlineStr">
        <is>
          <t>SOLLEFTEÅ</t>
        </is>
      </c>
      <c r="F2459" t="inlineStr">
        <is>
          <t>Holmen skog AB</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12422-2026</t>
        </is>
      </c>
      <c r="B2460" s="1" t="n">
        <v>46088</v>
      </c>
      <c r="C2460" s="1" t="n">
        <v>46161</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20859-2023</t>
        </is>
      </c>
      <c r="B2461" s="1" t="n">
        <v>45058.94212962963</v>
      </c>
      <c r="C2461" s="1" t="n">
        <v>46161</v>
      </c>
      <c r="D2461" t="inlineStr">
        <is>
          <t>VÄSTERNORRLANDS LÄN</t>
        </is>
      </c>
      <c r="E2461" t="inlineStr">
        <is>
          <t>SOLLEFTEÅ</t>
        </is>
      </c>
      <c r="F2461" t="inlineStr">
        <is>
          <t>SCA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54458-2024</t>
        </is>
      </c>
      <c r="B2462" s="1" t="n">
        <v>45617.5325</v>
      </c>
      <c r="C2462" s="1" t="n">
        <v>46161</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61480-2021</t>
        </is>
      </c>
      <c r="B2463" s="1" t="n">
        <v>44500</v>
      </c>
      <c r="C2463" s="1" t="n">
        <v>46161</v>
      </c>
      <c r="D2463" t="inlineStr">
        <is>
          <t>VÄSTERNORRLANDS LÄN</t>
        </is>
      </c>
      <c r="E2463" t="inlineStr">
        <is>
          <t>SOLLEFTEÅ</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12376-2026</t>
        </is>
      </c>
      <c r="B2464" s="1" t="n">
        <v>46090.34447916667</v>
      </c>
      <c r="C2464" s="1" t="n">
        <v>46161</v>
      </c>
      <c r="D2464" t="inlineStr">
        <is>
          <t>VÄSTERNORRLANDS LÄN</t>
        </is>
      </c>
      <c r="E2464" t="inlineStr">
        <is>
          <t>SOLLEFTEÅ</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26444-2024</t>
        </is>
      </c>
      <c r="B2465" s="1" t="n">
        <v>45469.50122685185</v>
      </c>
      <c r="C2465" s="1" t="n">
        <v>46161</v>
      </c>
      <c r="D2465" t="inlineStr">
        <is>
          <t>VÄSTERNORRLANDS LÄN</t>
        </is>
      </c>
      <c r="E2465" t="inlineStr">
        <is>
          <t>SOLLEFTEÅ</t>
        </is>
      </c>
      <c r="F2465" t="inlineStr">
        <is>
          <t>Holmen skog AB</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40211-2024</t>
        </is>
      </c>
      <c r="B2466" s="1" t="n">
        <v>45554.59435185185</v>
      </c>
      <c r="C2466" s="1" t="n">
        <v>46161</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18111-2025</t>
        </is>
      </c>
      <c r="B2467" s="1" t="n">
        <v>45761.57334490741</v>
      </c>
      <c r="C2467" s="1" t="n">
        <v>46161</v>
      </c>
      <c r="D2467" t="inlineStr">
        <is>
          <t>VÄSTERNORRLANDS LÄN</t>
        </is>
      </c>
      <c r="E2467" t="inlineStr">
        <is>
          <t>SOLLEFTEÅ</t>
        </is>
      </c>
      <c r="F2467" t="inlineStr">
        <is>
          <t>SCA</t>
        </is>
      </c>
      <c r="G2467" t="n">
        <v>41.6</v>
      </c>
      <c r="H2467" t="n">
        <v>0</v>
      </c>
      <c r="I2467" t="n">
        <v>0</v>
      </c>
      <c r="J2467" t="n">
        <v>0</v>
      </c>
      <c r="K2467" t="n">
        <v>0</v>
      </c>
      <c r="L2467" t="n">
        <v>0</v>
      </c>
      <c r="M2467" t="n">
        <v>0</v>
      </c>
      <c r="N2467" t="n">
        <v>0</v>
      </c>
      <c r="O2467" t="n">
        <v>0</v>
      </c>
      <c r="P2467" t="n">
        <v>0</v>
      </c>
      <c r="Q2467" t="n">
        <v>0</v>
      </c>
      <c r="R2467" s="2" t="inlineStr"/>
    </row>
    <row r="2468" ht="15" customHeight="1">
      <c r="A2468" t="inlineStr">
        <is>
          <t>A 23527-2023</t>
        </is>
      </c>
      <c r="B2468" s="1" t="n">
        <v>45076</v>
      </c>
      <c r="C2468" s="1" t="n">
        <v>46161</v>
      </c>
      <c r="D2468" t="inlineStr">
        <is>
          <t>VÄSTERNORRLANDS LÄN</t>
        </is>
      </c>
      <c r="E2468" t="inlineStr">
        <is>
          <t>SOLLEFTEÅ</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33591-2023</t>
        </is>
      </c>
      <c r="B2469" s="1" t="n">
        <v>45131</v>
      </c>
      <c r="C2469" s="1" t="n">
        <v>46161</v>
      </c>
      <c r="D2469" t="inlineStr">
        <is>
          <t>VÄSTERNORRLANDS LÄN</t>
        </is>
      </c>
      <c r="E2469" t="inlineStr">
        <is>
          <t>SOLLEFTEÅ</t>
        </is>
      </c>
      <c r="F2469" t="inlineStr">
        <is>
          <t>SCA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3435-2026</t>
        </is>
      </c>
      <c r="B2470" s="1" t="n">
        <v>46042.46942129629</v>
      </c>
      <c r="C2470" s="1" t="n">
        <v>46161</v>
      </c>
      <c r="D2470" t="inlineStr">
        <is>
          <t>VÄSTERNORRLANDS LÄN</t>
        </is>
      </c>
      <c r="E2470" t="inlineStr">
        <is>
          <t>SOLLEFTEÅ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53524-2021</t>
        </is>
      </c>
      <c r="B2471" s="1" t="n">
        <v>44468</v>
      </c>
      <c r="C2471" s="1" t="n">
        <v>46161</v>
      </c>
      <c r="D2471" t="inlineStr">
        <is>
          <t>VÄSTERNORRLANDS LÄN</t>
        </is>
      </c>
      <c r="E2471" t="inlineStr">
        <is>
          <t>SOLLEFTEÅ</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18887-2026</t>
        </is>
      </c>
      <c r="B2472" s="1" t="n">
        <v>46129.44881944444</v>
      </c>
      <c r="C2472" s="1" t="n">
        <v>46161</v>
      </c>
      <c r="D2472" t="inlineStr">
        <is>
          <t>VÄSTERNORRLANDS LÄN</t>
        </is>
      </c>
      <c r="E2472" t="inlineStr">
        <is>
          <t>SOLLEFTEÅ</t>
        </is>
      </c>
      <c r="F2472" t="inlineStr">
        <is>
          <t>SCA</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26655-2024</t>
        </is>
      </c>
      <c r="B2473" s="1" t="n">
        <v>45469</v>
      </c>
      <c r="C2473" s="1" t="n">
        <v>46161</v>
      </c>
      <c r="D2473" t="inlineStr">
        <is>
          <t>VÄSTERNORRLANDS LÄN</t>
        </is>
      </c>
      <c r="E2473" t="inlineStr">
        <is>
          <t>SOLLEFTEÅ</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9967-2025</t>
        </is>
      </c>
      <c r="B2474" s="1" t="n">
        <v>45719.37890046297</v>
      </c>
      <c r="C2474" s="1" t="n">
        <v>46161</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47185-2023</t>
        </is>
      </c>
      <c r="B2475" s="1" t="n">
        <v>45201</v>
      </c>
      <c r="C2475" s="1" t="n">
        <v>46161</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45435-2024</t>
        </is>
      </c>
      <c r="B2476" s="1" t="n">
        <v>45576.61538194444</v>
      </c>
      <c r="C2476" s="1" t="n">
        <v>46161</v>
      </c>
      <c r="D2476" t="inlineStr">
        <is>
          <t>VÄSTERNORRLANDS LÄN</t>
        </is>
      </c>
      <c r="E2476" t="inlineStr">
        <is>
          <t>SOLLEFTEÅ</t>
        </is>
      </c>
      <c r="F2476" t="inlineStr">
        <is>
          <t>SCA</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19048-2026</t>
        </is>
      </c>
      <c r="B2477" s="1" t="n">
        <v>46132.34466435185</v>
      </c>
      <c r="C2477" s="1" t="n">
        <v>46161</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31554-2024</t>
        </is>
      </c>
      <c r="B2478" s="1" t="n">
        <v>45505.96472222222</v>
      </c>
      <c r="C2478" s="1" t="n">
        <v>46161</v>
      </c>
      <c r="D2478" t="inlineStr">
        <is>
          <t>VÄSTERNORRLANDS LÄN</t>
        </is>
      </c>
      <c r="E2478" t="inlineStr">
        <is>
          <t>SOLLEFTEÅ</t>
        </is>
      </c>
      <c r="F2478" t="inlineStr">
        <is>
          <t>SCA</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47580-2022</t>
        </is>
      </c>
      <c r="B2479" s="1" t="n">
        <v>44853.95252314815</v>
      </c>
      <c r="C2479" s="1" t="n">
        <v>46161</v>
      </c>
      <c r="D2479" t="inlineStr">
        <is>
          <t>VÄSTERNORRLANDS LÄN</t>
        </is>
      </c>
      <c r="E2479" t="inlineStr">
        <is>
          <t>SOLLEFTEÅ</t>
        </is>
      </c>
      <c r="F2479" t="inlineStr">
        <is>
          <t>SCA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18888-2026</t>
        </is>
      </c>
      <c r="B2480" s="1" t="n">
        <v>46129.44924768519</v>
      </c>
      <c r="C2480" s="1" t="n">
        <v>46161</v>
      </c>
      <c r="D2480" t="inlineStr">
        <is>
          <t>VÄSTERNORRLANDS LÄN</t>
        </is>
      </c>
      <c r="E2480" t="inlineStr">
        <is>
          <t>SOLLEFTEÅ</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1082-2025</t>
        </is>
      </c>
      <c r="B2481" s="1" t="n">
        <v>45666.61646990741</v>
      </c>
      <c r="C2481" s="1" t="n">
        <v>46161</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19179-2026</t>
        </is>
      </c>
      <c r="B2482" s="1" t="n">
        <v>46132.59571759259</v>
      </c>
      <c r="C2482" s="1" t="n">
        <v>46161</v>
      </c>
      <c r="D2482" t="inlineStr">
        <is>
          <t>VÄSTERNORRLANDS LÄN</t>
        </is>
      </c>
      <c r="E2482" t="inlineStr">
        <is>
          <t>SOLLEFTEÅ</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12209-2026</t>
        </is>
      </c>
      <c r="B2483" s="1" t="n">
        <v>46087.34435185185</v>
      </c>
      <c r="C2483" s="1" t="n">
        <v>46161</v>
      </c>
      <c r="D2483" t="inlineStr">
        <is>
          <t>VÄSTERNORRLANDS LÄN</t>
        </is>
      </c>
      <c r="E2483" t="inlineStr">
        <is>
          <t>SOLLEFTEÅ</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3319-2025</t>
        </is>
      </c>
      <c r="B2484" s="1" t="n">
        <v>45679</v>
      </c>
      <c r="C2484" s="1" t="n">
        <v>46161</v>
      </c>
      <c r="D2484" t="inlineStr">
        <is>
          <t>VÄSTERNORRLANDS LÄN</t>
        </is>
      </c>
      <c r="E2484" t="inlineStr">
        <is>
          <t>SOLLEFTEÅ</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394-2024</t>
        </is>
      </c>
      <c r="B2485" s="1" t="n">
        <v>45296</v>
      </c>
      <c r="C2485" s="1" t="n">
        <v>46161</v>
      </c>
      <c r="D2485" t="inlineStr">
        <is>
          <t>VÄSTERNORRLANDS LÄN</t>
        </is>
      </c>
      <c r="E2485" t="inlineStr">
        <is>
          <t>SOLLEFTEÅ</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12210-2026</t>
        </is>
      </c>
      <c r="B2486" s="1" t="n">
        <v>46087.34452546296</v>
      </c>
      <c r="C2486" s="1" t="n">
        <v>46161</v>
      </c>
      <c r="D2486" t="inlineStr">
        <is>
          <t>VÄSTERNORRLANDS LÄN</t>
        </is>
      </c>
      <c r="E2486" t="inlineStr">
        <is>
          <t>SOLLEFTEÅ</t>
        </is>
      </c>
      <c r="F2486" t="inlineStr">
        <is>
          <t>Kyrkan</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44410-2023</t>
        </is>
      </c>
      <c r="B2487" s="1" t="n">
        <v>45188.94677083333</v>
      </c>
      <c r="C2487" s="1" t="n">
        <v>46161</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47181-2023</t>
        </is>
      </c>
      <c r="B2488" s="1" t="n">
        <v>45201.94876157407</v>
      </c>
      <c r="C2488" s="1" t="n">
        <v>46161</v>
      </c>
      <c r="D2488" t="inlineStr">
        <is>
          <t>VÄSTERNORRLANDS LÄN</t>
        </is>
      </c>
      <c r="E2488" t="inlineStr">
        <is>
          <t>SOLLEFTEÅ</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12762-2026</t>
        </is>
      </c>
      <c r="B2489" s="1" t="n">
        <v>46091.66050925926</v>
      </c>
      <c r="C2489" s="1" t="n">
        <v>46161</v>
      </c>
      <c r="D2489" t="inlineStr">
        <is>
          <t>VÄSTERNORRLANDS LÄN</t>
        </is>
      </c>
      <c r="E2489" t="inlineStr">
        <is>
          <t>SOLLEFTEÅ</t>
        </is>
      </c>
      <c r="F2489" t="inlineStr">
        <is>
          <t>SCA</t>
        </is>
      </c>
      <c r="G2489" t="n">
        <v>36.8</v>
      </c>
      <c r="H2489" t="n">
        <v>0</v>
      </c>
      <c r="I2489" t="n">
        <v>0</v>
      </c>
      <c r="J2489" t="n">
        <v>0</v>
      </c>
      <c r="K2489" t="n">
        <v>0</v>
      </c>
      <c r="L2489" t="n">
        <v>0</v>
      </c>
      <c r="M2489" t="n">
        <v>0</v>
      </c>
      <c r="N2489" t="n">
        <v>0</v>
      </c>
      <c r="O2489" t="n">
        <v>0</v>
      </c>
      <c r="P2489" t="n">
        <v>0</v>
      </c>
      <c r="Q2489" t="n">
        <v>0</v>
      </c>
      <c r="R2489" s="2" t="inlineStr"/>
    </row>
    <row r="2490" ht="15" customHeight="1">
      <c r="A2490" t="inlineStr">
        <is>
          <t>A 34313-2024</t>
        </is>
      </c>
      <c r="B2490" s="1" t="n">
        <v>45524</v>
      </c>
      <c r="C2490" s="1" t="n">
        <v>46161</v>
      </c>
      <c r="D2490" t="inlineStr">
        <is>
          <t>VÄSTERNORRLANDS LÄN</t>
        </is>
      </c>
      <c r="E2490" t="inlineStr">
        <is>
          <t>SOLLEFTEÅ</t>
        </is>
      </c>
      <c r="F2490" t="inlineStr">
        <is>
          <t>Övriga statliga verk och myndigheter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34318-2024</t>
        </is>
      </c>
      <c r="B2491" s="1" t="n">
        <v>45524</v>
      </c>
      <c r="C2491" s="1" t="n">
        <v>46161</v>
      </c>
      <c r="D2491" t="inlineStr">
        <is>
          <t>VÄSTERNORRLANDS LÄN</t>
        </is>
      </c>
      <c r="E2491" t="inlineStr">
        <is>
          <t>SOLLEFTEÅ</t>
        </is>
      </c>
      <c r="F2491" t="inlineStr">
        <is>
          <t>Övriga statliga verk och myndigheter</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19615-2026</t>
        </is>
      </c>
      <c r="B2492" s="1" t="n">
        <v>46134.51099537037</v>
      </c>
      <c r="C2492" s="1" t="n">
        <v>46161</v>
      </c>
      <c r="D2492" t="inlineStr">
        <is>
          <t>VÄSTERNORRLANDS LÄN</t>
        </is>
      </c>
      <c r="E2492" t="inlineStr">
        <is>
          <t>SOLLEFTEÅ</t>
        </is>
      </c>
      <c r="F2492" t="inlineStr">
        <is>
          <t>SCA</t>
        </is>
      </c>
      <c r="G2492" t="n">
        <v>13.7</v>
      </c>
      <c r="H2492" t="n">
        <v>0</v>
      </c>
      <c r="I2492" t="n">
        <v>0</v>
      </c>
      <c r="J2492" t="n">
        <v>0</v>
      </c>
      <c r="K2492" t="n">
        <v>0</v>
      </c>
      <c r="L2492" t="n">
        <v>0</v>
      </c>
      <c r="M2492" t="n">
        <v>0</v>
      </c>
      <c r="N2492" t="n">
        <v>0</v>
      </c>
      <c r="O2492" t="n">
        <v>0</v>
      </c>
      <c r="P2492" t="n">
        <v>0</v>
      </c>
      <c r="Q2492" t="n">
        <v>0</v>
      </c>
      <c r="R2492" s="2" t="inlineStr"/>
    </row>
    <row r="2493" ht="15" customHeight="1">
      <c r="A2493" t="inlineStr">
        <is>
          <t>A 53483-2024</t>
        </is>
      </c>
      <c r="B2493" s="1" t="n">
        <v>45611</v>
      </c>
      <c r="C2493" s="1" t="n">
        <v>46161</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19332-2026</t>
        </is>
      </c>
      <c r="B2494" s="1" t="n">
        <v>46133.4305787037</v>
      </c>
      <c r="C2494" s="1" t="n">
        <v>46161</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19379-2026</t>
        </is>
      </c>
      <c r="B2495" s="1" t="n">
        <v>46133.55253472222</v>
      </c>
      <c r="C2495" s="1" t="n">
        <v>46161</v>
      </c>
      <c r="D2495" t="inlineStr">
        <is>
          <t>VÄSTERNORRLANDS LÄN</t>
        </is>
      </c>
      <c r="E2495" t="inlineStr">
        <is>
          <t>SOLLEFTEÅ</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23730-2024</t>
        </is>
      </c>
      <c r="B2496" s="1" t="n">
        <v>45454.95877314815</v>
      </c>
      <c r="C2496" s="1" t="n">
        <v>46161</v>
      </c>
      <c r="D2496" t="inlineStr">
        <is>
          <t>VÄSTERNORRLANDS LÄN</t>
        </is>
      </c>
      <c r="E2496" t="inlineStr">
        <is>
          <t>SOLLEFTEÅ</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36771-2023</t>
        </is>
      </c>
      <c r="B2497" s="1" t="n">
        <v>45153</v>
      </c>
      <c r="C2497" s="1" t="n">
        <v>46161</v>
      </c>
      <c r="D2497" t="inlineStr">
        <is>
          <t>VÄSTERNORRLANDS LÄN</t>
        </is>
      </c>
      <c r="E2497" t="inlineStr">
        <is>
          <t>SOLLEFTEÅ</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20066-2024</t>
        </is>
      </c>
      <c r="B2498" s="1" t="n">
        <v>45434</v>
      </c>
      <c r="C2498" s="1" t="n">
        <v>46161</v>
      </c>
      <c r="D2498" t="inlineStr">
        <is>
          <t>VÄSTERNORRLANDS LÄN</t>
        </is>
      </c>
      <c r="E2498" t="inlineStr">
        <is>
          <t>SOLLEFTEÅ</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19429-2026</t>
        </is>
      </c>
      <c r="B2499" s="1" t="n">
        <v>46133.61697916667</v>
      </c>
      <c r="C2499" s="1" t="n">
        <v>46161</v>
      </c>
      <c r="D2499" t="inlineStr">
        <is>
          <t>VÄSTERNORRLANDS LÄN</t>
        </is>
      </c>
      <c r="E2499" t="inlineStr">
        <is>
          <t>SOLLEFTEÅ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19649-2026</t>
        </is>
      </c>
      <c r="B2500" s="1" t="n">
        <v>46134.59440972222</v>
      </c>
      <c r="C2500" s="1" t="n">
        <v>46161</v>
      </c>
      <c r="D2500" t="inlineStr">
        <is>
          <t>VÄSTERNORRLANDS LÄN</t>
        </is>
      </c>
      <c r="E2500" t="inlineStr">
        <is>
          <t>SOLLEFTEÅ</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42950-2024</t>
        </is>
      </c>
      <c r="B2501" s="1" t="n">
        <v>45567.36657407408</v>
      </c>
      <c r="C2501" s="1" t="n">
        <v>46161</v>
      </c>
      <c r="D2501" t="inlineStr">
        <is>
          <t>VÄSTERNORRLANDS LÄN</t>
        </is>
      </c>
      <c r="E2501" t="inlineStr">
        <is>
          <t>SOLLEFTEÅ</t>
        </is>
      </c>
      <c r="F2501" t="inlineStr">
        <is>
          <t>SCA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20515-2024</t>
        </is>
      </c>
      <c r="B2502" s="1" t="n">
        <v>45435</v>
      </c>
      <c r="C2502" s="1" t="n">
        <v>46161</v>
      </c>
      <c r="D2502" t="inlineStr">
        <is>
          <t>VÄSTERNORRLANDS LÄN</t>
        </is>
      </c>
      <c r="E2502" t="inlineStr">
        <is>
          <t>SOLLEFTEÅ</t>
        </is>
      </c>
      <c r="F2502" t="inlineStr">
        <is>
          <t>SCA</t>
        </is>
      </c>
      <c r="G2502" t="n">
        <v>18.8</v>
      </c>
      <c r="H2502" t="n">
        <v>0</v>
      </c>
      <c r="I2502" t="n">
        <v>0</v>
      </c>
      <c r="J2502" t="n">
        <v>0</v>
      </c>
      <c r="K2502" t="n">
        <v>0</v>
      </c>
      <c r="L2502" t="n">
        <v>0</v>
      </c>
      <c r="M2502" t="n">
        <v>0</v>
      </c>
      <c r="N2502" t="n">
        <v>0</v>
      </c>
      <c r="O2502" t="n">
        <v>0</v>
      </c>
      <c r="P2502" t="n">
        <v>0</v>
      </c>
      <c r="Q2502" t="n">
        <v>0</v>
      </c>
      <c r="R2502" s="2" t="inlineStr"/>
    </row>
    <row r="2503" ht="15" customHeight="1">
      <c r="A2503" t="inlineStr">
        <is>
          <t>A 52136-2023</t>
        </is>
      </c>
      <c r="B2503" s="1" t="n">
        <v>45223.96625</v>
      </c>
      <c r="C2503" s="1" t="n">
        <v>46161</v>
      </c>
      <c r="D2503" t="inlineStr">
        <is>
          <t>VÄSTERNORRLANDS LÄN</t>
        </is>
      </c>
      <c r="E2503" t="inlineStr">
        <is>
          <t>SOLLEFTEÅ</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29070-2023</t>
        </is>
      </c>
      <c r="B2504" s="1" t="n">
        <v>45104.94119212963</v>
      </c>
      <c r="C2504" s="1" t="n">
        <v>46161</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29197-2023</t>
        </is>
      </c>
      <c r="B2505" s="1" t="n">
        <v>45097</v>
      </c>
      <c r="C2505" s="1" t="n">
        <v>46161</v>
      </c>
      <c r="D2505" t="inlineStr">
        <is>
          <t>VÄSTERNORRLANDS LÄN</t>
        </is>
      </c>
      <c r="E2505" t="inlineStr">
        <is>
          <t>SOLLEFTEÅ</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19814-2022</t>
        </is>
      </c>
      <c r="B2506" s="1" t="n">
        <v>44694.93945601852</v>
      </c>
      <c r="C2506" s="1" t="n">
        <v>46161</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45973-2023</t>
        </is>
      </c>
      <c r="B2507" s="1" t="n">
        <v>45195</v>
      </c>
      <c r="C2507" s="1" t="n">
        <v>46161</v>
      </c>
      <c r="D2507" t="inlineStr">
        <is>
          <t>VÄSTERNORRLANDS LÄN</t>
        </is>
      </c>
      <c r="E2507" t="inlineStr">
        <is>
          <t>SOLLEFTEÅ</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59421-2024</t>
        </is>
      </c>
      <c r="B2508" s="1" t="n">
        <v>45638.41244212963</v>
      </c>
      <c r="C2508" s="1" t="n">
        <v>46161</v>
      </c>
      <c r="D2508" t="inlineStr">
        <is>
          <t>VÄSTERNORRLANDS LÄN</t>
        </is>
      </c>
      <c r="E2508" t="inlineStr">
        <is>
          <t>SOLLEFTEÅ</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55912-2023</t>
        </is>
      </c>
      <c r="B2509" s="1" t="n">
        <v>45239.92665509259</v>
      </c>
      <c r="C2509" s="1" t="n">
        <v>46161</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11125-2022</t>
        </is>
      </c>
      <c r="B2510" s="1" t="n">
        <v>44628</v>
      </c>
      <c r="C2510" s="1" t="n">
        <v>46161</v>
      </c>
      <c r="D2510" t="inlineStr">
        <is>
          <t>VÄSTERNORRLANDS LÄN</t>
        </is>
      </c>
      <c r="E2510" t="inlineStr">
        <is>
          <t>SOLLEFTEÅ</t>
        </is>
      </c>
      <c r="F2510" t="inlineStr">
        <is>
          <t>SCA</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12836-2026</t>
        </is>
      </c>
      <c r="B2511" s="1" t="n">
        <v>46092.42798611111</v>
      </c>
      <c r="C2511" s="1" t="n">
        <v>46161</v>
      </c>
      <c r="D2511" t="inlineStr">
        <is>
          <t>VÄSTERNORRLANDS LÄN</t>
        </is>
      </c>
      <c r="E2511" t="inlineStr">
        <is>
          <t>SOLLEFTEÅ</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22475-2024</t>
        </is>
      </c>
      <c r="B2512" s="1" t="n">
        <v>45446.95151620371</v>
      </c>
      <c r="C2512" s="1" t="n">
        <v>46161</v>
      </c>
      <c r="D2512" t="inlineStr">
        <is>
          <t>VÄSTERNORRLANDS LÄN</t>
        </is>
      </c>
      <c r="E2512" t="inlineStr">
        <is>
          <t>SOLLEFTEÅ</t>
        </is>
      </c>
      <c r="F2512" t="inlineStr">
        <is>
          <t>SCA</t>
        </is>
      </c>
      <c r="G2512" t="n">
        <v>18.5</v>
      </c>
      <c r="H2512" t="n">
        <v>0</v>
      </c>
      <c r="I2512" t="n">
        <v>0</v>
      </c>
      <c r="J2512" t="n">
        <v>0</v>
      </c>
      <c r="K2512" t="n">
        <v>0</v>
      </c>
      <c r="L2512" t="n">
        <v>0</v>
      </c>
      <c r="M2512" t="n">
        <v>0</v>
      </c>
      <c r="N2512" t="n">
        <v>0</v>
      </c>
      <c r="O2512" t="n">
        <v>0</v>
      </c>
      <c r="P2512" t="n">
        <v>0</v>
      </c>
      <c r="Q2512" t="n">
        <v>0</v>
      </c>
      <c r="R2512" s="2" t="inlineStr"/>
    </row>
    <row r="2513" ht="15" customHeight="1">
      <c r="A2513" t="inlineStr">
        <is>
          <t>A 37042-2021</t>
        </is>
      </c>
      <c r="B2513" s="1" t="n">
        <v>44393.93495370371</v>
      </c>
      <c r="C2513" s="1" t="n">
        <v>46161</v>
      </c>
      <c r="D2513" t="inlineStr">
        <is>
          <t>VÄSTERNORRLANDS LÄN</t>
        </is>
      </c>
      <c r="E2513" t="inlineStr">
        <is>
          <t>SOLLEFTEÅ</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12837-2026</t>
        </is>
      </c>
      <c r="B2514" s="1" t="n">
        <v>46092.42834490741</v>
      </c>
      <c r="C2514" s="1" t="n">
        <v>46161</v>
      </c>
      <c r="D2514" t="inlineStr">
        <is>
          <t>VÄSTERNORRLANDS LÄN</t>
        </is>
      </c>
      <c r="E2514" t="inlineStr">
        <is>
          <t>SOLLEFTEÅ</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58995-2024</t>
        </is>
      </c>
      <c r="B2515" s="1" t="n">
        <v>45636.63726851852</v>
      </c>
      <c r="C2515" s="1" t="n">
        <v>46161</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12835-2026</t>
        </is>
      </c>
      <c r="B2516" s="1" t="n">
        <v>46092.42777777778</v>
      </c>
      <c r="C2516" s="1" t="n">
        <v>46161</v>
      </c>
      <c r="D2516" t="inlineStr">
        <is>
          <t>VÄSTERNORRLANDS LÄN</t>
        </is>
      </c>
      <c r="E2516" t="inlineStr">
        <is>
          <t>SOLLEFTEÅ</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19308-2026</t>
        </is>
      </c>
      <c r="B2517" s="1" t="n">
        <v>46133.36505787037</v>
      </c>
      <c r="C2517" s="1" t="n">
        <v>46161</v>
      </c>
      <c r="D2517" t="inlineStr">
        <is>
          <t>VÄSTERNORRLANDS LÄN</t>
        </is>
      </c>
      <c r="E2517" t="inlineStr">
        <is>
          <t>SOLLEFTEÅ</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19334-2026</t>
        </is>
      </c>
      <c r="B2518" s="1" t="n">
        <v>46133.43344907407</v>
      </c>
      <c r="C2518" s="1" t="n">
        <v>46161</v>
      </c>
      <c r="D2518" t="inlineStr">
        <is>
          <t>VÄSTERNORRLANDS LÄN</t>
        </is>
      </c>
      <c r="E2518" t="inlineStr">
        <is>
          <t>SOLLEFTEÅ</t>
        </is>
      </c>
      <c r="G2518" t="n">
        <v>26.3</v>
      </c>
      <c r="H2518" t="n">
        <v>0</v>
      </c>
      <c r="I2518" t="n">
        <v>0</v>
      </c>
      <c r="J2518" t="n">
        <v>0</v>
      </c>
      <c r="K2518" t="n">
        <v>0</v>
      </c>
      <c r="L2518" t="n">
        <v>0</v>
      </c>
      <c r="M2518" t="n">
        <v>0</v>
      </c>
      <c r="N2518" t="n">
        <v>0</v>
      </c>
      <c r="O2518" t="n">
        <v>0</v>
      </c>
      <c r="P2518" t="n">
        <v>0</v>
      </c>
      <c r="Q2518" t="n">
        <v>0</v>
      </c>
      <c r="R2518" s="2" t="inlineStr"/>
    </row>
    <row r="2519" ht="15" customHeight="1">
      <c r="A2519" t="inlineStr">
        <is>
          <t>A 27377-2024</t>
        </is>
      </c>
      <c r="B2519" s="1" t="n">
        <v>45473.88317129629</v>
      </c>
      <c r="C2519" s="1" t="n">
        <v>46161</v>
      </c>
      <c r="D2519" t="inlineStr">
        <is>
          <t>VÄSTERNORRLANDS LÄN</t>
        </is>
      </c>
      <c r="E2519" t="inlineStr">
        <is>
          <t>SOLLEFTEÅ</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1114-2025</t>
        </is>
      </c>
      <c r="B2520" s="1" t="n">
        <v>45666.65664351852</v>
      </c>
      <c r="C2520" s="1" t="n">
        <v>46161</v>
      </c>
      <c r="D2520" t="inlineStr">
        <is>
          <t>VÄSTERNORRLANDS LÄN</t>
        </is>
      </c>
      <c r="E2520" t="inlineStr">
        <is>
          <t>SOLLEFTEÅ</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39799-2024</t>
        </is>
      </c>
      <c r="B2521" s="1" t="n">
        <v>45553.34415509259</v>
      </c>
      <c r="C2521" s="1" t="n">
        <v>46161</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39801-2024</t>
        </is>
      </c>
      <c r="B2522" s="1" t="n">
        <v>45553.34439814815</v>
      </c>
      <c r="C2522" s="1" t="n">
        <v>46161</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60168-2022</t>
        </is>
      </c>
      <c r="B2523" s="1" t="n">
        <v>44909</v>
      </c>
      <c r="C2523" s="1" t="n">
        <v>46161</v>
      </c>
      <c r="D2523" t="inlineStr">
        <is>
          <t>VÄSTERNORRLANDS LÄN</t>
        </is>
      </c>
      <c r="E2523" t="inlineStr">
        <is>
          <t>SOLLEFTEÅ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60171-2022</t>
        </is>
      </c>
      <c r="B2524" s="1" t="n">
        <v>44909</v>
      </c>
      <c r="C2524" s="1" t="n">
        <v>46161</v>
      </c>
      <c r="D2524" t="inlineStr">
        <is>
          <t>VÄSTERNORRLANDS LÄN</t>
        </is>
      </c>
      <c r="E2524" t="inlineStr">
        <is>
          <t>SOLLEFTEÅ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40429-2024</t>
        </is>
      </c>
      <c r="B2525" s="1" t="n">
        <v>45555</v>
      </c>
      <c r="C2525" s="1" t="n">
        <v>46161</v>
      </c>
      <c r="D2525" t="inlineStr">
        <is>
          <t>VÄSTERNORRLANDS LÄN</t>
        </is>
      </c>
      <c r="E2525" t="inlineStr">
        <is>
          <t>SOLLEFTEÅ</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41595-2024</t>
        </is>
      </c>
      <c r="B2526" s="1" t="n">
        <v>45560.57378472222</v>
      </c>
      <c r="C2526" s="1" t="n">
        <v>46161</v>
      </c>
      <c r="D2526" t="inlineStr">
        <is>
          <t>VÄSTERNORRLANDS LÄN</t>
        </is>
      </c>
      <c r="E2526" t="inlineStr">
        <is>
          <t>SOLLEFTEÅ</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1679-2024</t>
        </is>
      </c>
      <c r="B2527" s="1" t="n">
        <v>45306</v>
      </c>
      <c r="C2527" s="1" t="n">
        <v>46161</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13130-2026</t>
        </is>
      </c>
      <c r="B2528" s="1" t="n">
        <v>46093</v>
      </c>
      <c r="C2528" s="1" t="n">
        <v>46161</v>
      </c>
      <c r="D2528" t="inlineStr">
        <is>
          <t>VÄSTERNORRLANDS LÄN</t>
        </is>
      </c>
      <c r="E2528" t="inlineStr">
        <is>
          <t>SOLLEFTEÅ</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41146-2023</t>
        </is>
      </c>
      <c r="B2529" s="1" t="n">
        <v>45173.94277777777</v>
      </c>
      <c r="C2529" s="1" t="n">
        <v>46161</v>
      </c>
      <c r="D2529" t="inlineStr">
        <is>
          <t>VÄSTERNORRLANDS LÄN</t>
        </is>
      </c>
      <c r="E2529" t="inlineStr">
        <is>
          <t>SOLLEFTEÅ</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22462-2024</t>
        </is>
      </c>
      <c r="B2530" s="1" t="n">
        <v>45446</v>
      </c>
      <c r="C2530" s="1" t="n">
        <v>46161</v>
      </c>
      <c r="D2530" t="inlineStr">
        <is>
          <t>VÄSTERNORRLANDS LÄN</t>
        </is>
      </c>
      <c r="E2530" t="inlineStr">
        <is>
          <t>SOLLEFTEÅ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22468-2024</t>
        </is>
      </c>
      <c r="B2531" s="1" t="n">
        <v>45446.95068287037</v>
      </c>
      <c r="C2531" s="1" t="n">
        <v>46161</v>
      </c>
      <c r="D2531" t="inlineStr">
        <is>
          <t>VÄSTERNORRLANDS LÄN</t>
        </is>
      </c>
      <c r="E2531" t="inlineStr">
        <is>
          <t>SOLLEFTEÅ</t>
        </is>
      </c>
      <c r="F2531" t="inlineStr">
        <is>
          <t>SCA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31555-2024</t>
        </is>
      </c>
      <c r="B2532" s="1" t="n">
        <v>45505.96484953703</v>
      </c>
      <c r="C2532" s="1" t="n">
        <v>46161</v>
      </c>
      <c r="D2532" t="inlineStr">
        <is>
          <t>VÄSTERNORRLANDS LÄN</t>
        </is>
      </c>
      <c r="E2532" t="inlineStr">
        <is>
          <t>SOLLEFTEÅ</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20010-2026</t>
        </is>
      </c>
      <c r="B2533" s="1" t="n">
        <v>46136.48356481481</v>
      </c>
      <c r="C2533" s="1" t="n">
        <v>46161</v>
      </c>
      <c r="D2533" t="inlineStr">
        <is>
          <t>VÄSTERNORRLANDS LÄN</t>
        </is>
      </c>
      <c r="E2533" t="inlineStr">
        <is>
          <t>SOLLEFTEÅ</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18442-2025</t>
        </is>
      </c>
      <c r="B2534" s="1" t="n">
        <v>45762.65658564815</v>
      </c>
      <c r="C2534" s="1" t="n">
        <v>46161</v>
      </c>
      <c r="D2534" t="inlineStr">
        <is>
          <t>VÄSTERNORRLANDS LÄN</t>
        </is>
      </c>
      <c r="E2534" t="inlineStr">
        <is>
          <t>SOLLEFTEÅ</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20738-2022</t>
        </is>
      </c>
      <c r="B2535" s="1" t="n">
        <v>44700</v>
      </c>
      <c r="C2535" s="1" t="n">
        <v>46161</v>
      </c>
      <c r="D2535" t="inlineStr">
        <is>
          <t>VÄSTERNORRLANDS LÄN</t>
        </is>
      </c>
      <c r="E2535" t="inlineStr">
        <is>
          <t>SOLLEFTEÅ</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13312-2026</t>
        </is>
      </c>
      <c r="B2536" s="1" t="n">
        <v>46094.34451388889</v>
      </c>
      <c r="C2536" s="1" t="n">
        <v>46161</v>
      </c>
      <c r="D2536" t="inlineStr">
        <is>
          <t>VÄSTERNORRLANDS LÄN</t>
        </is>
      </c>
      <c r="E2536" t="inlineStr">
        <is>
          <t>SOLLEFTEÅ</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13313-2026</t>
        </is>
      </c>
      <c r="B2537" s="1" t="n">
        <v>46094.34469907408</v>
      </c>
      <c r="C2537" s="1" t="n">
        <v>46161</v>
      </c>
      <c r="D2537" t="inlineStr">
        <is>
          <t>VÄSTERNORRLANDS LÄN</t>
        </is>
      </c>
      <c r="E2537" t="inlineStr">
        <is>
          <t>SOLLEFTEÅ</t>
        </is>
      </c>
      <c r="F2537" t="inlineStr">
        <is>
          <t>SCA</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19846-2026</t>
        </is>
      </c>
      <c r="B2538" s="1" t="n">
        <v>46135.61607638889</v>
      </c>
      <c r="C2538" s="1" t="n">
        <v>46161</v>
      </c>
      <c r="D2538" t="inlineStr">
        <is>
          <t>VÄSTERNORRLANDS LÄN</t>
        </is>
      </c>
      <c r="E2538" t="inlineStr">
        <is>
          <t>SOLLEFTEÅ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13129-2026</t>
        </is>
      </c>
      <c r="B2539" s="1" t="n">
        <v>46093</v>
      </c>
      <c r="C2539" s="1" t="n">
        <v>46161</v>
      </c>
      <c r="D2539" t="inlineStr">
        <is>
          <t>VÄSTERNORRLANDS LÄN</t>
        </is>
      </c>
      <c r="E2539" t="inlineStr">
        <is>
          <t>SOLLEFTEÅ</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42482-2024</t>
        </is>
      </c>
      <c r="B2540" s="1" t="n">
        <v>45565</v>
      </c>
      <c r="C2540" s="1" t="n">
        <v>46161</v>
      </c>
      <c r="D2540" t="inlineStr">
        <is>
          <t>VÄSTERNORRLANDS LÄN</t>
        </is>
      </c>
      <c r="E2540" t="inlineStr">
        <is>
          <t>SOLLEFTEÅ</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25999-2021</t>
        </is>
      </c>
      <c r="B2541" s="1" t="n">
        <v>44344</v>
      </c>
      <c r="C2541" s="1" t="n">
        <v>46161</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13095-2026</t>
        </is>
      </c>
      <c r="B2542" s="1" t="n">
        <v>46093.40765046296</v>
      </c>
      <c r="C2542" s="1" t="n">
        <v>46161</v>
      </c>
      <c r="D2542" t="inlineStr">
        <is>
          <t>VÄSTERNORRLANDS LÄN</t>
        </is>
      </c>
      <c r="E2542" t="inlineStr">
        <is>
          <t>SOLLEFTEÅ</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19596-2026</t>
        </is>
      </c>
      <c r="B2543" s="1" t="n">
        <v>46132</v>
      </c>
      <c r="C2543" s="1" t="n">
        <v>46161</v>
      </c>
      <c r="D2543" t="inlineStr">
        <is>
          <t>VÄSTERNORRLANDS LÄN</t>
        </is>
      </c>
      <c r="E2543" t="inlineStr">
        <is>
          <t>SOLLEFTEÅ</t>
        </is>
      </c>
      <c r="F2543" t="inlineStr">
        <is>
          <t>Kommuner</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31680-2024</t>
        </is>
      </c>
      <c r="B2544" s="1" t="n">
        <v>45506.94894675926</v>
      </c>
      <c r="C2544" s="1" t="n">
        <v>46161</v>
      </c>
      <c r="D2544" t="inlineStr">
        <is>
          <t>VÄSTERNORRLANDS LÄN</t>
        </is>
      </c>
      <c r="E2544" t="inlineStr">
        <is>
          <t>SOLLEFTEÅ</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13251-2026</t>
        </is>
      </c>
      <c r="B2545" s="1" t="n">
        <v>46093.65733796296</v>
      </c>
      <c r="C2545" s="1" t="n">
        <v>46161</v>
      </c>
      <c r="D2545" t="inlineStr">
        <is>
          <t>VÄSTERNORRLANDS LÄN</t>
        </is>
      </c>
      <c r="E2545" t="inlineStr">
        <is>
          <t>SOLLEFTEÅ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10726-2025</t>
        </is>
      </c>
      <c r="B2546" s="1" t="n">
        <v>45722.38599537037</v>
      </c>
      <c r="C2546" s="1" t="n">
        <v>46161</v>
      </c>
      <c r="D2546" t="inlineStr">
        <is>
          <t>VÄSTERNORRLANDS LÄN</t>
        </is>
      </c>
      <c r="E2546" t="inlineStr">
        <is>
          <t>SOLLEFTEÅ</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20124-2026</t>
        </is>
      </c>
      <c r="B2547" s="1" t="n">
        <v>46136.66731481482</v>
      </c>
      <c r="C2547" s="1" t="n">
        <v>46161</v>
      </c>
      <c r="D2547" t="inlineStr">
        <is>
          <t>VÄSTERNORRLANDS LÄN</t>
        </is>
      </c>
      <c r="E2547" t="inlineStr">
        <is>
          <t>SOLLEFTEÅ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20122-2026</t>
        </is>
      </c>
      <c r="B2548" s="1" t="n">
        <v>46136.66071759259</v>
      </c>
      <c r="C2548" s="1" t="n">
        <v>46161</v>
      </c>
      <c r="D2548" t="inlineStr">
        <is>
          <t>VÄSTERNORRLANDS LÄN</t>
        </is>
      </c>
      <c r="E2548" t="inlineStr">
        <is>
          <t>SOLLEFTEÅ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19915-2026</t>
        </is>
      </c>
      <c r="B2549" s="1" t="n">
        <v>46136.3446875</v>
      </c>
      <c r="C2549" s="1" t="n">
        <v>46161</v>
      </c>
      <c r="D2549" t="inlineStr">
        <is>
          <t>VÄSTERNORRLANDS LÄN</t>
        </is>
      </c>
      <c r="E2549" t="inlineStr">
        <is>
          <t>SOLLEFTEÅ</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7257-2024</t>
        </is>
      </c>
      <c r="B2550" s="1" t="n">
        <v>45344.7371412037</v>
      </c>
      <c r="C2550" s="1" t="n">
        <v>46161</v>
      </c>
      <c r="D2550" t="inlineStr">
        <is>
          <t>VÄSTERNORRLANDS LÄN</t>
        </is>
      </c>
      <c r="E2550" t="inlineStr">
        <is>
          <t>SOLLEFTEÅ</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11108-2025</t>
        </is>
      </c>
      <c r="B2551" s="1" t="n">
        <v>45723.6150462963</v>
      </c>
      <c r="C2551" s="1" t="n">
        <v>46161</v>
      </c>
      <c r="D2551" t="inlineStr">
        <is>
          <t>VÄSTERNORRLANDS LÄN</t>
        </is>
      </c>
      <c r="E2551" t="inlineStr">
        <is>
          <t>SOLLEFTEÅ</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61847-2024</t>
        </is>
      </c>
      <c r="B2552" s="1" t="n">
        <v>45646</v>
      </c>
      <c r="C2552" s="1" t="n">
        <v>46161</v>
      </c>
      <c r="D2552" t="inlineStr">
        <is>
          <t>VÄSTERNORRLANDS LÄN</t>
        </is>
      </c>
      <c r="E2552" t="inlineStr">
        <is>
          <t>SOLLEFTEÅ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53831-2024</t>
        </is>
      </c>
      <c r="B2553" s="1" t="n">
        <v>45615.61575231481</v>
      </c>
      <c r="C2553" s="1" t="n">
        <v>46161</v>
      </c>
      <c r="D2553" t="inlineStr">
        <is>
          <t>VÄSTERNORRLANDS LÄN</t>
        </is>
      </c>
      <c r="E2553" t="inlineStr">
        <is>
          <t>SOLLEFTEÅ</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57010-2023</t>
        </is>
      </c>
      <c r="B2554" s="1" t="n">
        <v>45239</v>
      </c>
      <c r="C2554" s="1" t="n">
        <v>46161</v>
      </c>
      <c r="D2554" t="inlineStr">
        <is>
          <t>VÄSTERNORRLANDS LÄN</t>
        </is>
      </c>
      <c r="E2554" t="inlineStr">
        <is>
          <t>SOLLEFTEÅ</t>
        </is>
      </c>
      <c r="G2554" t="n">
        <v>1.6</v>
      </c>
      <c r="H2554" t="n">
        <v>0</v>
      </c>
      <c r="I2554" t="n">
        <v>0</v>
      </c>
      <c r="J2554" t="n">
        <v>0</v>
      </c>
      <c r="K2554" t="n">
        <v>0</v>
      </c>
      <c r="L2554" t="n">
        <v>0</v>
      </c>
      <c r="M2554" t="n">
        <v>0</v>
      </c>
      <c r="N2554" t="n">
        <v>0</v>
      </c>
      <c r="O2554" t="n">
        <v>0</v>
      </c>
      <c r="P2554" t="n">
        <v>0</v>
      </c>
      <c r="Q2554" t="n">
        <v>0</v>
      </c>
      <c r="R2554" s="2" t="inlineStr"/>
      <c r="U2554">
        <f>HYPERLINK("https://klasma.github.io/Logging_2283/knärot/A 57010-2023 karta knärot.png", "A 57010-2023")</f>
        <v/>
      </c>
      <c r="V2554">
        <f>HYPERLINK("https://klasma.github.io/Logging_2283/klagomål/A 57010-2023 FSC-klagomål.docx", "A 57010-2023")</f>
        <v/>
      </c>
      <c r="W2554">
        <f>HYPERLINK("https://klasma.github.io/Logging_2283/klagomålsmail/A 57010-2023 FSC-klagomål mail.docx", "A 57010-2023")</f>
        <v/>
      </c>
      <c r="X2554">
        <f>HYPERLINK("https://klasma.github.io/Logging_2283/tillsyn/A 57010-2023 tillsynsbegäran.docx", "A 57010-2023")</f>
        <v/>
      </c>
      <c r="Y2554">
        <f>HYPERLINK("https://klasma.github.io/Logging_2283/tillsynsmail/A 57010-2023 tillsynsbegäran mail.docx", "A 57010-2023")</f>
        <v/>
      </c>
    </row>
    <row r="2555" ht="15" customHeight="1">
      <c r="A2555" t="inlineStr">
        <is>
          <t>A 20117-2026</t>
        </is>
      </c>
      <c r="B2555" s="1" t="n">
        <v>46136.65696759259</v>
      </c>
      <c r="C2555" s="1" t="n">
        <v>46161</v>
      </c>
      <c r="D2555" t="inlineStr">
        <is>
          <t>VÄSTERNORRLANDS LÄN</t>
        </is>
      </c>
      <c r="E2555" t="inlineStr">
        <is>
          <t>SOLLEFTEÅ</t>
        </is>
      </c>
      <c r="F2555" t="inlineStr">
        <is>
          <t>SCA</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20094-2026</t>
        </is>
      </c>
      <c r="B2556" s="1" t="n">
        <v>46136.6290625</v>
      </c>
      <c r="C2556" s="1" t="n">
        <v>46161</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20105-2026</t>
        </is>
      </c>
      <c r="B2557" s="1" t="n">
        <v>46136.65170138889</v>
      </c>
      <c r="C2557" s="1" t="n">
        <v>46161</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20383-2026</t>
        </is>
      </c>
      <c r="B2558" s="1" t="n">
        <v>46139.69844907407</v>
      </c>
      <c r="C2558" s="1" t="n">
        <v>46161</v>
      </c>
      <c r="D2558" t="inlineStr">
        <is>
          <t>VÄSTERNORRLANDS LÄN</t>
        </is>
      </c>
      <c r="E2558" t="inlineStr">
        <is>
          <t>SOLLEFTEÅ</t>
        </is>
      </c>
      <c r="F2558" t="inlineStr">
        <is>
          <t>SCA</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14109-2023</t>
        </is>
      </c>
      <c r="B2559" s="1" t="n">
        <v>45008</v>
      </c>
      <c r="C2559" s="1" t="n">
        <v>46161</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58155-2023</t>
        </is>
      </c>
      <c r="B2560" s="1" t="n">
        <v>45250</v>
      </c>
      <c r="C2560" s="1" t="n">
        <v>46161</v>
      </c>
      <c r="D2560" t="inlineStr">
        <is>
          <t>VÄSTERNORRLANDS LÄN</t>
        </is>
      </c>
      <c r="E2560" t="inlineStr">
        <is>
          <t>SOLLEFTEÅ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20370-2026</t>
        </is>
      </c>
      <c r="B2561" s="1" t="n">
        <v>46139.67865740741</v>
      </c>
      <c r="C2561" s="1" t="n">
        <v>46161</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19053-2022</t>
        </is>
      </c>
      <c r="B2562" s="1" t="n">
        <v>44691.41626157407</v>
      </c>
      <c r="C2562" s="1" t="n">
        <v>46161</v>
      </c>
      <c r="D2562" t="inlineStr">
        <is>
          <t>VÄSTERNORRLANDS LÄN</t>
        </is>
      </c>
      <c r="E2562" t="inlineStr">
        <is>
          <t>SOLLEFTEÅ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54572-2024</t>
        </is>
      </c>
      <c r="B2563" s="1" t="n">
        <v>45617.65054398148</v>
      </c>
      <c r="C2563" s="1" t="n">
        <v>46161</v>
      </c>
      <c r="D2563" t="inlineStr">
        <is>
          <t>VÄSTERNORRLANDS LÄN</t>
        </is>
      </c>
      <c r="E2563" t="inlineStr">
        <is>
          <t>SOLLEFTEÅ</t>
        </is>
      </c>
      <c r="G2563" t="n">
        <v>28.2</v>
      </c>
      <c r="H2563" t="n">
        <v>0</v>
      </c>
      <c r="I2563" t="n">
        <v>0</v>
      </c>
      <c r="J2563" t="n">
        <v>0</v>
      </c>
      <c r="K2563" t="n">
        <v>0</v>
      </c>
      <c r="L2563" t="n">
        <v>0</v>
      </c>
      <c r="M2563" t="n">
        <v>0</v>
      </c>
      <c r="N2563" t="n">
        <v>0</v>
      </c>
      <c r="O2563" t="n">
        <v>0</v>
      </c>
      <c r="P2563" t="n">
        <v>0</v>
      </c>
      <c r="Q2563" t="n">
        <v>0</v>
      </c>
      <c r="R2563" s="2" t="inlineStr"/>
    </row>
    <row r="2564" ht="15" customHeight="1">
      <c r="A2564" t="inlineStr">
        <is>
          <t>A 13936-2026</t>
        </is>
      </c>
      <c r="B2564" s="1" t="n">
        <v>46098.51935185185</v>
      </c>
      <c r="C2564" s="1" t="n">
        <v>46161</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24731-2021</t>
        </is>
      </c>
      <c r="B2565" s="1" t="n">
        <v>44340</v>
      </c>
      <c r="C2565" s="1" t="n">
        <v>46161</v>
      </c>
      <c r="D2565" t="inlineStr">
        <is>
          <t>VÄSTERNORRLANDS LÄN</t>
        </is>
      </c>
      <c r="E2565" t="inlineStr">
        <is>
          <t>SOLLEFTEÅ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10093-2023</t>
        </is>
      </c>
      <c r="B2566" s="1" t="n">
        <v>44985</v>
      </c>
      <c r="C2566" s="1" t="n">
        <v>46161</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60856-2022</t>
        </is>
      </c>
      <c r="B2567" s="1" t="n">
        <v>44907</v>
      </c>
      <c r="C2567" s="1" t="n">
        <v>46161</v>
      </c>
      <c r="D2567" t="inlineStr">
        <is>
          <t>VÄSTERNORRLANDS LÄN</t>
        </is>
      </c>
      <c r="E2567" t="inlineStr">
        <is>
          <t>SOLLEFTEÅ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2536-2022</t>
        </is>
      </c>
      <c r="B2568" s="1" t="n">
        <v>44579</v>
      </c>
      <c r="C2568" s="1" t="n">
        <v>46161</v>
      </c>
      <c r="D2568" t="inlineStr">
        <is>
          <t>VÄSTERNORRLANDS LÄN</t>
        </is>
      </c>
      <c r="E2568" t="inlineStr">
        <is>
          <t>SOLLEFTEÅ</t>
        </is>
      </c>
      <c r="F2568" t="inlineStr">
        <is>
          <t>Övriga Aktiebolag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43585-2024</t>
        </is>
      </c>
      <c r="B2569" s="1" t="n">
        <v>45569.42770833334</v>
      </c>
      <c r="C2569" s="1" t="n">
        <v>46161</v>
      </c>
      <c r="D2569" t="inlineStr">
        <is>
          <t>VÄSTERNORRLANDS LÄN</t>
        </is>
      </c>
      <c r="E2569" t="inlineStr">
        <is>
          <t>SOLLEFTEÅ</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20338-2026</t>
        </is>
      </c>
      <c r="B2570" s="1" t="n">
        <v>46139.62092592593</v>
      </c>
      <c r="C2570" s="1" t="n">
        <v>46161</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54238-2024</t>
        </is>
      </c>
      <c r="B2571" s="1" t="n">
        <v>45616.67844907408</v>
      </c>
      <c r="C2571" s="1" t="n">
        <v>46161</v>
      </c>
      <c r="D2571" t="inlineStr">
        <is>
          <t>VÄSTERNORRLANDS LÄN</t>
        </is>
      </c>
      <c r="E2571" t="inlineStr">
        <is>
          <t>SOLLEFTEÅ</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8105-2025</t>
        </is>
      </c>
      <c r="B2572" s="1" t="n">
        <v>45707.6990625</v>
      </c>
      <c r="C2572" s="1" t="n">
        <v>46161</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20462-2026</t>
        </is>
      </c>
      <c r="B2573" s="1" t="n">
        <v>46140.44841435185</v>
      </c>
      <c r="C2573" s="1" t="n">
        <v>46161</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6376-2025</t>
        </is>
      </c>
      <c r="B2574" s="1" t="n">
        <v>45699</v>
      </c>
      <c r="C2574" s="1" t="n">
        <v>46161</v>
      </c>
      <c r="D2574" t="inlineStr">
        <is>
          <t>VÄSTERNORRLANDS LÄN</t>
        </is>
      </c>
      <c r="E2574" t="inlineStr">
        <is>
          <t>SOLLEFTEÅ</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1880-2024</t>
        </is>
      </c>
      <c r="B2575" s="1" t="n">
        <v>45307</v>
      </c>
      <c r="C2575" s="1" t="n">
        <v>46161</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53452-2023</t>
        </is>
      </c>
      <c r="B2576" s="1" t="n">
        <v>45229</v>
      </c>
      <c r="C2576" s="1" t="n">
        <v>46161</v>
      </c>
      <c r="D2576" t="inlineStr">
        <is>
          <t>VÄSTERNORRLANDS LÄN</t>
        </is>
      </c>
      <c r="E2576" t="inlineStr">
        <is>
          <t>SOLLEFTEÅ</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53453-2023</t>
        </is>
      </c>
      <c r="B2577" s="1" t="n">
        <v>45229.96586805556</v>
      </c>
      <c r="C2577" s="1" t="n">
        <v>46161</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20616-2026</t>
        </is>
      </c>
      <c r="B2578" s="1" t="n">
        <v>46140.81138888889</v>
      </c>
      <c r="C2578" s="1" t="n">
        <v>46161</v>
      </c>
      <c r="D2578" t="inlineStr">
        <is>
          <t>VÄSTERNORRLANDS LÄN</t>
        </is>
      </c>
      <c r="E2578" t="inlineStr">
        <is>
          <t>SOLLEFTEÅ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4129-2025</t>
        </is>
      </c>
      <c r="B2579" s="1" t="n">
        <v>45685.34425925926</v>
      </c>
      <c r="C2579" s="1" t="n">
        <v>46161</v>
      </c>
      <c r="D2579" t="inlineStr">
        <is>
          <t>VÄSTERNORRLANDS LÄN</t>
        </is>
      </c>
      <c r="E2579" t="inlineStr">
        <is>
          <t>SOLLEFTEÅ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4133-2025</t>
        </is>
      </c>
      <c r="B2580" s="1" t="n">
        <v>45685.34559027778</v>
      </c>
      <c r="C2580" s="1" t="n">
        <v>46161</v>
      </c>
      <c r="D2580" t="inlineStr">
        <is>
          <t>VÄSTERNORRLANDS LÄN</t>
        </is>
      </c>
      <c r="E2580" t="inlineStr">
        <is>
          <t>SOLLEFTEÅ</t>
        </is>
      </c>
      <c r="F2580" t="inlineStr">
        <is>
          <t>SCA</t>
        </is>
      </c>
      <c r="G2580" t="n">
        <v>37.2</v>
      </c>
      <c r="H2580" t="n">
        <v>0</v>
      </c>
      <c r="I2580" t="n">
        <v>0</v>
      </c>
      <c r="J2580" t="n">
        <v>0</v>
      </c>
      <c r="K2580" t="n">
        <v>0</v>
      </c>
      <c r="L2580" t="n">
        <v>0</v>
      </c>
      <c r="M2580" t="n">
        <v>0</v>
      </c>
      <c r="N2580" t="n">
        <v>0</v>
      </c>
      <c r="O2580" t="n">
        <v>0</v>
      </c>
      <c r="P2580" t="n">
        <v>0</v>
      </c>
      <c r="Q2580" t="n">
        <v>0</v>
      </c>
      <c r="R2580" s="2" t="inlineStr"/>
    </row>
    <row r="2581" ht="15" customHeight="1">
      <c r="A2581" t="inlineStr">
        <is>
          <t>A 20324-2026</t>
        </is>
      </c>
      <c r="B2581" s="1" t="n">
        <v>46136</v>
      </c>
      <c r="C2581" s="1" t="n">
        <v>46161</v>
      </c>
      <c r="D2581" t="inlineStr">
        <is>
          <t>VÄSTERNORRLANDS LÄN</t>
        </is>
      </c>
      <c r="E2581" t="inlineStr">
        <is>
          <t>SOLLEFTEÅ</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20554-2026</t>
        </is>
      </c>
      <c r="B2582" s="1" t="n">
        <v>46140.59479166667</v>
      </c>
      <c r="C2582" s="1" t="n">
        <v>46161</v>
      </c>
      <c r="D2582" t="inlineStr">
        <is>
          <t>VÄSTERNORRLANDS LÄN</t>
        </is>
      </c>
      <c r="E2582" t="inlineStr">
        <is>
          <t>SOLLEFTEÅ</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20424-2026</t>
        </is>
      </c>
      <c r="B2583" s="1" t="n">
        <v>46140.36515046296</v>
      </c>
      <c r="C2583" s="1" t="n">
        <v>46161</v>
      </c>
      <c r="D2583" t="inlineStr">
        <is>
          <t>VÄSTERNORRLANDS LÄN</t>
        </is>
      </c>
      <c r="E2583" t="inlineStr">
        <is>
          <t>SOLLEFTEÅ</t>
        </is>
      </c>
      <c r="F2583" t="inlineStr">
        <is>
          <t>SCA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13635-2026</t>
        </is>
      </c>
      <c r="B2584" s="1" t="n">
        <v>46097</v>
      </c>
      <c r="C2584" s="1" t="n">
        <v>46161</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20496-2026</t>
        </is>
      </c>
      <c r="B2585" s="1" t="n">
        <v>46140.50510416667</v>
      </c>
      <c r="C2585" s="1" t="n">
        <v>46161</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20365-2026</t>
        </is>
      </c>
      <c r="B2586" s="1" t="n">
        <v>46139.67778935185</v>
      </c>
      <c r="C2586" s="1" t="n">
        <v>46161</v>
      </c>
      <c r="D2586" t="inlineStr">
        <is>
          <t>VÄSTERNORRLANDS LÄN</t>
        </is>
      </c>
      <c r="E2586" t="inlineStr">
        <is>
          <t>SOLLEFTEÅ</t>
        </is>
      </c>
      <c r="F2586" t="inlineStr">
        <is>
          <t>SCA</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41532-2024</t>
        </is>
      </c>
      <c r="B2587" s="1" t="n">
        <v>45560.49050925926</v>
      </c>
      <c r="C2587" s="1" t="n">
        <v>46161</v>
      </c>
      <c r="D2587" t="inlineStr">
        <is>
          <t>VÄSTERNORRLANDS LÄN</t>
        </is>
      </c>
      <c r="E2587" t="inlineStr">
        <is>
          <t>SOLLEFTEÅ</t>
        </is>
      </c>
      <c r="F2587" t="inlineStr">
        <is>
          <t>SCA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20555-2026</t>
        </is>
      </c>
      <c r="B2588" s="1" t="n">
        <v>46140.59486111111</v>
      </c>
      <c r="C2588" s="1" t="n">
        <v>46161</v>
      </c>
      <c r="D2588" t="inlineStr">
        <is>
          <t>VÄSTERNORRLANDS LÄN</t>
        </is>
      </c>
      <c r="E2588" t="inlineStr">
        <is>
          <t>SOLLEFTEÅ</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54617-2023</t>
        </is>
      </c>
      <c r="B2589" s="1" t="n">
        <v>45233.95835648148</v>
      </c>
      <c r="C2589" s="1" t="n">
        <v>46161</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2408-2023</t>
        </is>
      </c>
      <c r="B2590" s="1" t="n">
        <v>44942</v>
      </c>
      <c r="C2590" s="1" t="n">
        <v>46161</v>
      </c>
      <c r="D2590" t="inlineStr">
        <is>
          <t>VÄSTERNORRLANDS LÄN</t>
        </is>
      </c>
      <c r="E2590" t="inlineStr">
        <is>
          <t>SOLLEFTEÅ</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20999-2026</t>
        </is>
      </c>
      <c r="B2591" s="1" t="n">
        <v>46142.63587962963</v>
      </c>
      <c r="C2591" s="1" t="n">
        <v>46161</v>
      </c>
      <c r="D2591" t="inlineStr">
        <is>
          <t>VÄSTERNORRLANDS LÄN</t>
        </is>
      </c>
      <c r="E2591" t="inlineStr">
        <is>
          <t>SOLLEFTEÅ</t>
        </is>
      </c>
      <c r="F2591" t="inlineStr">
        <is>
          <t>SCA</t>
        </is>
      </c>
      <c r="G2591" t="n">
        <v>13.4</v>
      </c>
      <c r="H2591" t="n">
        <v>0</v>
      </c>
      <c r="I2591" t="n">
        <v>0</v>
      </c>
      <c r="J2591" t="n">
        <v>0</v>
      </c>
      <c r="K2591" t="n">
        <v>0</v>
      </c>
      <c r="L2591" t="n">
        <v>0</v>
      </c>
      <c r="M2591" t="n">
        <v>0</v>
      </c>
      <c r="N2591" t="n">
        <v>0</v>
      </c>
      <c r="O2591" t="n">
        <v>0</v>
      </c>
      <c r="P2591" t="n">
        <v>0</v>
      </c>
      <c r="Q2591" t="n">
        <v>0</v>
      </c>
      <c r="R2591" s="2" t="inlineStr"/>
      <c r="U2591">
        <f>HYPERLINK("https://klasma.github.io/Logging_2283/knärot/A 20999-2026 karta knärot.png", "A 20999-2026")</f>
        <v/>
      </c>
      <c r="V2591">
        <f>HYPERLINK("https://klasma.github.io/Logging_2283/klagomål/A 20999-2026 FSC-klagomål.docx", "A 20999-2026")</f>
        <v/>
      </c>
      <c r="W2591">
        <f>HYPERLINK("https://klasma.github.io/Logging_2283/klagomålsmail/A 20999-2026 FSC-klagomål mail.docx", "A 20999-2026")</f>
        <v/>
      </c>
      <c r="X2591">
        <f>HYPERLINK("https://klasma.github.io/Logging_2283/tillsyn/A 20999-2026 tillsynsbegäran.docx", "A 20999-2026")</f>
        <v/>
      </c>
      <c r="Y2591">
        <f>HYPERLINK("https://klasma.github.io/Logging_2283/tillsynsmail/A 20999-2026 tillsynsbegäran mail.docx", "A 20999-2026")</f>
        <v/>
      </c>
    </row>
    <row r="2592" ht="15" customHeight="1">
      <c r="A2592" t="inlineStr">
        <is>
          <t>A 35469-2024</t>
        </is>
      </c>
      <c r="B2592" s="1" t="n">
        <v>45531</v>
      </c>
      <c r="C2592" s="1" t="n">
        <v>46161</v>
      </c>
      <c r="D2592" t="inlineStr">
        <is>
          <t>VÄSTERNORRLANDS LÄN</t>
        </is>
      </c>
      <c r="E2592" t="inlineStr">
        <is>
          <t>SOLLEFTEÅ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45336.89018518518</v>
      </c>
      <c r="C2593" s="1" t="n">
        <v>46161</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19416-2022</t>
        </is>
      </c>
      <c r="B2594" s="1" t="n">
        <v>44693</v>
      </c>
      <c r="C2594" s="1" t="n">
        <v>46161</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20631-2026</t>
        </is>
      </c>
      <c r="B2595" s="1" t="n">
        <v>46141.34439814815</v>
      </c>
      <c r="C2595" s="1" t="n">
        <v>46161</v>
      </c>
      <c r="D2595" t="inlineStr">
        <is>
          <t>VÄSTERNORRLANDS LÄN</t>
        </is>
      </c>
      <c r="E2595" t="inlineStr">
        <is>
          <t>SOLLEFTEÅ</t>
        </is>
      </c>
      <c r="F2595" t="inlineStr">
        <is>
          <t>SCA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14367-2026</t>
        </is>
      </c>
      <c r="B2596" s="1" t="n">
        <v>46100.36608796296</v>
      </c>
      <c r="C2596" s="1" t="n">
        <v>46161</v>
      </c>
      <c r="D2596" t="inlineStr">
        <is>
          <t>VÄSTERNORRLANDS LÄN</t>
        </is>
      </c>
      <c r="E2596" t="inlineStr">
        <is>
          <t>SOLLEFTEÅ</t>
        </is>
      </c>
      <c r="F2596" t="inlineStr">
        <is>
          <t>SCA</t>
        </is>
      </c>
      <c r="G2596" t="n">
        <v>20.9</v>
      </c>
      <c r="H2596" t="n">
        <v>0</v>
      </c>
      <c r="I2596" t="n">
        <v>0</v>
      </c>
      <c r="J2596" t="n">
        <v>0</v>
      </c>
      <c r="K2596" t="n">
        <v>0</v>
      </c>
      <c r="L2596" t="n">
        <v>0</v>
      </c>
      <c r="M2596" t="n">
        <v>0</v>
      </c>
      <c r="N2596" t="n">
        <v>0</v>
      </c>
      <c r="O2596" t="n">
        <v>0</v>
      </c>
      <c r="P2596" t="n">
        <v>0</v>
      </c>
      <c r="Q2596" t="n">
        <v>0</v>
      </c>
      <c r="R2596" s="2" t="inlineStr"/>
    </row>
    <row r="2597" ht="15" customHeight="1">
      <c r="A2597" t="inlineStr">
        <is>
          <t>A 63144-2023</t>
        </is>
      </c>
      <c r="B2597" s="1" t="n">
        <v>45272</v>
      </c>
      <c r="C2597" s="1" t="n">
        <v>46161</v>
      </c>
      <c r="D2597" t="inlineStr">
        <is>
          <t>VÄSTERNORRLANDS LÄN</t>
        </is>
      </c>
      <c r="E2597" t="inlineStr">
        <is>
          <t>SOLLEFTEÅ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62260-2022</t>
        </is>
      </c>
      <c r="B2598" s="1" t="n">
        <v>44922.94366898148</v>
      </c>
      <c r="C2598" s="1" t="n">
        <v>46161</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20894-2026</t>
        </is>
      </c>
      <c r="B2599" s="1" t="n">
        <v>46142.44847222222</v>
      </c>
      <c r="C2599" s="1" t="n">
        <v>46161</v>
      </c>
      <c r="D2599" t="inlineStr">
        <is>
          <t>VÄSTERNORRLANDS LÄN</t>
        </is>
      </c>
      <c r="E2599" t="inlineStr">
        <is>
          <t>SOLLEFTEÅ</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25989-2021</t>
        </is>
      </c>
      <c r="B2600" s="1" t="n">
        <v>44344</v>
      </c>
      <c r="C2600" s="1" t="n">
        <v>46161</v>
      </c>
      <c r="D2600" t="inlineStr">
        <is>
          <t>VÄSTERNORRLANDS LÄN</t>
        </is>
      </c>
      <c r="E2600" t="inlineStr">
        <is>
          <t>SOLLEFTEÅ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20929-2026</t>
        </is>
      </c>
      <c r="B2601" s="1" t="n">
        <v>46142.49005787037</v>
      </c>
      <c r="C2601" s="1" t="n">
        <v>46161</v>
      </c>
      <c r="D2601" t="inlineStr">
        <is>
          <t>VÄSTERNORRLANDS LÄN</t>
        </is>
      </c>
      <c r="E2601" t="inlineStr">
        <is>
          <t>SOLLEFTEÅ</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34804-2022</t>
        </is>
      </c>
      <c r="B2602" s="1" t="n">
        <v>44795.94761574074</v>
      </c>
      <c r="C2602" s="1" t="n">
        <v>46161</v>
      </c>
      <c r="D2602" t="inlineStr">
        <is>
          <t>VÄSTERNORRLANDS LÄN</t>
        </is>
      </c>
      <c r="E2602" t="inlineStr">
        <is>
          <t>SOLLEFTEÅ</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3556-2022</t>
        </is>
      </c>
      <c r="B2603" s="1" t="n">
        <v>44585</v>
      </c>
      <c r="C2603" s="1" t="n">
        <v>46161</v>
      </c>
      <c r="D2603" t="inlineStr">
        <is>
          <t>VÄSTERNORRLANDS LÄN</t>
        </is>
      </c>
      <c r="E2603" t="inlineStr">
        <is>
          <t>SOLLEFTEÅ</t>
        </is>
      </c>
      <c r="F2603" t="inlineStr">
        <is>
          <t>SCA</t>
        </is>
      </c>
      <c r="G2603" t="n">
        <v>18.2</v>
      </c>
      <c r="H2603" t="n">
        <v>0</v>
      </c>
      <c r="I2603" t="n">
        <v>0</v>
      </c>
      <c r="J2603" t="n">
        <v>0</v>
      </c>
      <c r="K2603" t="n">
        <v>0</v>
      </c>
      <c r="L2603" t="n">
        <v>0</v>
      </c>
      <c r="M2603" t="n">
        <v>0</v>
      </c>
      <c r="N2603" t="n">
        <v>0</v>
      </c>
      <c r="O2603" t="n">
        <v>0</v>
      </c>
      <c r="P2603" t="n">
        <v>0</v>
      </c>
      <c r="Q2603" t="n">
        <v>0</v>
      </c>
      <c r="R2603" s="2" t="inlineStr"/>
    </row>
    <row r="2604" ht="15" customHeight="1">
      <c r="A2604" t="inlineStr">
        <is>
          <t>A 5258-2025</t>
        </is>
      </c>
      <c r="B2604" s="1" t="n">
        <v>45692</v>
      </c>
      <c r="C2604" s="1" t="n">
        <v>46161</v>
      </c>
      <c r="D2604" t="inlineStr">
        <is>
          <t>VÄSTERNORRLANDS LÄN</t>
        </is>
      </c>
      <c r="E2604" t="inlineStr">
        <is>
          <t>SOLLEFTEÅ</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20861-2026</t>
        </is>
      </c>
      <c r="B2605" s="1" t="n">
        <v>46142.36534722222</v>
      </c>
      <c r="C2605" s="1" t="n">
        <v>46161</v>
      </c>
      <c r="D2605" t="inlineStr">
        <is>
          <t>VÄSTERNORRLANDS LÄN</t>
        </is>
      </c>
      <c r="E2605" t="inlineStr">
        <is>
          <t>SOLLEFTEÅ</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29869-2024</t>
        </is>
      </c>
      <c r="B2606" s="1" t="n">
        <v>45485.94493055555</v>
      </c>
      <c r="C2606" s="1" t="n">
        <v>46161</v>
      </c>
      <c r="D2606" t="inlineStr">
        <is>
          <t>VÄSTERNORRLANDS LÄN</t>
        </is>
      </c>
      <c r="E2606" t="inlineStr">
        <is>
          <t>SOLLEFTEÅ</t>
        </is>
      </c>
      <c r="F2606" t="inlineStr">
        <is>
          <t>SCA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29957-2023</t>
        </is>
      </c>
      <c r="B2607" s="1" t="n">
        <v>45107</v>
      </c>
      <c r="C2607" s="1" t="n">
        <v>46161</v>
      </c>
      <c r="D2607" t="inlineStr">
        <is>
          <t>VÄSTERNORRLANDS LÄN</t>
        </is>
      </c>
      <c r="E2607" t="inlineStr">
        <is>
          <t>SOLLEFTEÅ</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42771-2022</t>
        </is>
      </c>
      <c r="B2608" s="1" t="n">
        <v>44832</v>
      </c>
      <c r="C2608" s="1" t="n">
        <v>46161</v>
      </c>
      <c r="D2608" t="inlineStr">
        <is>
          <t>VÄSTERNORRLANDS LÄN</t>
        </is>
      </c>
      <c r="E2608" t="inlineStr">
        <is>
          <t>SOLLEFTEÅ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21004-2026</t>
        </is>
      </c>
      <c r="B2609" s="1" t="n">
        <v>46142.65670138889</v>
      </c>
      <c r="C2609" s="1" t="n">
        <v>46161</v>
      </c>
      <c r="D2609" t="inlineStr">
        <is>
          <t>VÄSTERNORRLANDS LÄN</t>
        </is>
      </c>
      <c r="E2609" t="inlineStr">
        <is>
          <t>SOLLEFTEÅ</t>
        </is>
      </c>
      <c r="F2609" t="inlineStr">
        <is>
          <t>SCA</t>
        </is>
      </c>
      <c r="G2609" t="n">
        <v>14.9</v>
      </c>
      <c r="H2609" t="n">
        <v>0</v>
      </c>
      <c r="I2609" t="n">
        <v>0</v>
      </c>
      <c r="J2609" t="n">
        <v>0</v>
      </c>
      <c r="K2609" t="n">
        <v>0</v>
      </c>
      <c r="L2609" t="n">
        <v>0</v>
      </c>
      <c r="M2609" t="n">
        <v>0</v>
      </c>
      <c r="N2609" t="n">
        <v>0</v>
      </c>
      <c r="O2609" t="n">
        <v>0</v>
      </c>
      <c r="P2609" t="n">
        <v>0</v>
      </c>
      <c r="Q2609" t="n">
        <v>0</v>
      </c>
      <c r="R2609" s="2" t="inlineStr"/>
    </row>
    <row r="2610" ht="15" customHeight="1">
      <c r="A2610" t="inlineStr">
        <is>
          <t>A 59593-2023</t>
        </is>
      </c>
      <c r="B2610" s="1" t="n">
        <v>45254.61885416666</v>
      </c>
      <c r="C2610" s="1" t="n">
        <v>46161</v>
      </c>
      <c r="D2610" t="inlineStr">
        <is>
          <t>VÄSTERNORRLANDS LÄN</t>
        </is>
      </c>
      <c r="E2610" t="inlineStr">
        <is>
          <t>SOLLEFTEÅ</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20683-2026</t>
        </is>
      </c>
      <c r="B2611" s="1" t="n">
        <v>46141.44934027778</v>
      </c>
      <c r="C2611" s="1" t="n">
        <v>46161</v>
      </c>
      <c r="D2611" t="inlineStr">
        <is>
          <t>VÄSTERNORRLANDS LÄN</t>
        </is>
      </c>
      <c r="E2611" t="inlineStr">
        <is>
          <t>SOLLEFTEÅ</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20632-2026</t>
        </is>
      </c>
      <c r="B2612" s="1" t="n">
        <v>46141.34459490741</v>
      </c>
      <c r="C2612" s="1" t="n">
        <v>46161</v>
      </c>
      <c r="D2612" t="inlineStr">
        <is>
          <t>VÄSTERNORRLANDS LÄN</t>
        </is>
      </c>
      <c r="E2612" t="inlineStr">
        <is>
          <t>SOLLEFTEÅ</t>
        </is>
      </c>
      <c r="F2612" t="inlineStr">
        <is>
          <t>SCA</t>
        </is>
      </c>
      <c r="G2612" t="n">
        <v>22.7</v>
      </c>
      <c r="H2612" t="n">
        <v>0</v>
      </c>
      <c r="I2612" t="n">
        <v>0</v>
      </c>
      <c r="J2612" t="n">
        <v>0</v>
      </c>
      <c r="K2612" t="n">
        <v>0</v>
      </c>
      <c r="L2612" t="n">
        <v>0</v>
      </c>
      <c r="M2612" t="n">
        <v>0</v>
      </c>
      <c r="N2612" t="n">
        <v>0</v>
      </c>
      <c r="O2612" t="n">
        <v>0</v>
      </c>
      <c r="P2612" t="n">
        <v>0</v>
      </c>
      <c r="Q2612" t="n">
        <v>0</v>
      </c>
      <c r="R2612" s="2" t="inlineStr"/>
    </row>
    <row r="2613" ht="15" customHeight="1">
      <c r="A2613" t="inlineStr">
        <is>
          <t>A 38234-2024</t>
        </is>
      </c>
      <c r="B2613" s="1" t="n">
        <v>45545.56025462963</v>
      </c>
      <c r="C2613" s="1" t="n">
        <v>46161</v>
      </c>
      <c r="D2613" t="inlineStr">
        <is>
          <t>VÄSTERNORRLANDS LÄN</t>
        </is>
      </c>
      <c r="E2613" t="inlineStr">
        <is>
          <t>SOLLEFTEÅ</t>
        </is>
      </c>
      <c r="F2613" t="inlineStr">
        <is>
          <t>Holmen skog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14364-2026</t>
        </is>
      </c>
      <c r="B2614" s="1" t="n">
        <v>46100.36547453704</v>
      </c>
      <c r="C2614" s="1" t="n">
        <v>46161</v>
      </c>
      <c r="D2614" t="inlineStr">
        <is>
          <t>VÄSTERNORRLANDS LÄN</t>
        </is>
      </c>
      <c r="E2614" t="inlineStr">
        <is>
          <t>SOLLEFTEÅ</t>
        </is>
      </c>
      <c r="F2614" t="inlineStr">
        <is>
          <t>SCA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14366-2026</t>
        </is>
      </c>
      <c r="B2615" s="1" t="n">
        <v>46100.36587962963</v>
      </c>
      <c r="C2615" s="1" t="n">
        <v>46161</v>
      </c>
      <c r="D2615" t="inlineStr">
        <is>
          <t>VÄSTERNORRLANDS LÄN</t>
        </is>
      </c>
      <c r="E2615" t="inlineStr">
        <is>
          <t>SOLLEFTEÅ</t>
        </is>
      </c>
      <c r="F2615" t="inlineStr">
        <is>
          <t>SCA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72244-2021</t>
        </is>
      </c>
      <c r="B2616" s="1" t="n">
        <v>44544.9390162037</v>
      </c>
      <c r="C2616" s="1" t="n">
        <v>46161</v>
      </c>
      <c r="D2616" t="inlineStr">
        <is>
          <t>VÄSTERNORRLANDS LÄN</t>
        </is>
      </c>
      <c r="E2616" t="inlineStr">
        <is>
          <t>SOLLEFTEÅ</t>
        </is>
      </c>
      <c r="F2616" t="inlineStr">
        <is>
          <t>SCA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18304-2022</t>
        </is>
      </c>
      <c r="B2617" s="1" t="n">
        <v>44685</v>
      </c>
      <c r="C2617" s="1" t="n">
        <v>46161</v>
      </c>
      <c r="D2617" t="inlineStr">
        <is>
          <t>VÄSTERNORRLANDS LÄN</t>
        </is>
      </c>
      <c r="E2617" t="inlineStr">
        <is>
          <t>SOLLEFTEÅ</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14369-2026</t>
        </is>
      </c>
      <c r="B2618" s="1" t="n">
        <v>46100.36651620371</v>
      </c>
      <c r="C2618" s="1" t="n">
        <v>46161</v>
      </c>
      <c r="D2618" t="inlineStr">
        <is>
          <t>VÄSTERNORRLANDS LÄN</t>
        </is>
      </c>
      <c r="E2618" t="inlineStr">
        <is>
          <t>SOLLEFTEÅ</t>
        </is>
      </c>
      <c r="F2618" t="inlineStr">
        <is>
          <t>SCA</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14673-2026</t>
        </is>
      </c>
      <c r="B2619" s="1" t="n">
        <v>46101.4640625</v>
      </c>
      <c r="C2619" s="1" t="n">
        <v>46161</v>
      </c>
      <c r="D2619" t="inlineStr">
        <is>
          <t>VÄSTERNORRLANDS LÄN</t>
        </is>
      </c>
      <c r="E2619" t="inlineStr">
        <is>
          <t>SOLLEFTEÅ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21181-2026</t>
        </is>
      </c>
      <c r="B2620" s="1" t="n">
        <v>46146.63381944445</v>
      </c>
      <c r="C2620" s="1" t="n">
        <v>46161</v>
      </c>
      <c r="D2620" t="inlineStr">
        <is>
          <t>VÄSTERNORRLANDS LÄN</t>
        </is>
      </c>
      <c r="E2620" t="inlineStr">
        <is>
          <t>SOLLEFTEÅ</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11727-2025</t>
        </is>
      </c>
      <c r="B2621" s="1" t="n">
        <v>45727.61512731481</v>
      </c>
      <c r="C2621" s="1" t="n">
        <v>46161</v>
      </c>
      <c r="D2621" t="inlineStr">
        <is>
          <t>VÄSTERNORRLANDS LÄN</t>
        </is>
      </c>
      <c r="E2621" t="inlineStr">
        <is>
          <t>SOLLEFTEÅ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21122-2026</t>
        </is>
      </c>
      <c r="B2622" s="1" t="n">
        <v>46146.531875</v>
      </c>
      <c r="C2622" s="1" t="n">
        <v>46161</v>
      </c>
      <c r="D2622" t="inlineStr">
        <is>
          <t>VÄSTERNORRLANDS LÄN</t>
        </is>
      </c>
      <c r="E2622" t="inlineStr">
        <is>
          <t>SOLLEFTEÅ</t>
        </is>
      </c>
      <c r="F2622" t="inlineStr">
        <is>
          <t>Holmen skog AB</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14828-2026</t>
        </is>
      </c>
      <c r="B2623" s="1" t="n">
        <v>46104.3653587963</v>
      </c>
      <c r="C2623" s="1" t="n">
        <v>46161</v>
      </c>
      <c r="D2623" t="inlineStr">
        <is>
          <t>VÄSTERNORRLANDS LÄN</t>
        </is>
      </c>
      <c r="E2623" t="inlineStr">
        <is>
          <t>SOLLEFTEÅ</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62363-2023</t>
        </is>
      </c>
      <c r="B2624" s="1" t="n">
        <v>45267</v>
      </c>
      <c r="C2624" s="1" t="n">
        <v>46161</v>
      </c>
      <c r="D2624" t="inlineStr">
        <is>
          <t>VÄSTERNORRLANDS LÄN</t>
        </is>
      </c>
      <c r="E2624" t="inlineStr">
        <is>
          <t>SOLLEFTEÅ</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38749-2024</t>
        </is>
      </c>
      <c r="B2625" s="1" t="n">
        <v>45547</v>
      </c>
      <c r="C2625" s="1" t="n">
        <v>46161</v>
      </c>
      <c r="D2625" t="inlineStr">
        <is>
          <t>VÄSTERNORRLANDS LÄN</t>
        </is>
      </c>
      <c r="E2625" t="inlineStr">
        <is>
          <t>SOLLEFTEÅ</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60583-2024</t>
        </is>
      </c>
      <c r="B2626" s="1" t="n">
        <v>45644</v>
      </c>
      <c r="C2626" s="1" t="n">
        <v>46161</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21198-2026</t>
        </is>
      </c>
      <c r="B2627" s="1" t="n">
        <v>46146.65680555555</v>
      </c>
      <c r="C2627" s="1" t="n">
        <v>46161</v>
      </c>
      <c r="D2627" t="inlineStr">
        <is>
          <t>VÄSTERNORRLANDS LÄN</t>
        </is>
      </c>
      <c r="E2627" t="inlineStr">
        <is>
          <t>SOLLEFTEÅ</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7721-2023</t>
        </is>
      </c>
      <c r="B2628" s="1" t="n">
        <v>44972.94123842593</v>
      </c>
      <c r="C2628" s="1" t="n">
        <v>46161</v>
      </c>
      <c r="D2628" t="inlineStr">
        <is>
          <t>VÄSTERNORRLANDS LÄN</t>
        </is>
      </c>
      <c r="E2628" t="inlineStr">
        <is>
          <t>SOLLEFTEÅ</t>
        </is>
      </c>
      <c r="F2628" t="inlineStr">
        <is>
          <t>SCA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21195-2023</t>
        </is>
      </c>
      <c r="B2629" s="1" t="n">
        <v>45057</v>
      </c>
      <c r="C2629" s="1" t="n">
        <v>46161</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21230-2023</t>
        </is>
      </c>
      <c r="B2630" s="1" t="n">
        <v>45057</v>
      </c>
      <c r="C2630" s="1" t="n">
        <v>46161</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10925-2022</t>
        </is>
      </c>
      <c r="B2631" s="1" t="n">
        <v>44627.9444212963</v>
      </c>
      <c r="C2631" s="1" t="n">
        <v>46161</v>
      </c>
      <c r="D2631" t="inlineStr">
        <is>
          <t>VÄSTERNORRLANDS LÄN</t>
        </is>
      </c>
      <c r="E2631" t="inlineStr">
        <is>
          <t>SOLLEFTEÅ</t>
        </is>
      </c>
      <c r="F2631" t="inlineStr">
        <is>
          <t>SCA</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31916-2023</t>
        </is>
      </c>
      <c r="B2632" s="1" t="n">
        <v>45118.93978009259</v>
      </c>
      <c r="C2632" s="1" t="n">
        <v>46161</v>
      </c>
      <c r="D2632" t="inlineStr">
        <is>
          <t>VÄSTERNORRLANDS LÄN</t>
        </is>
      </c>
      <c r="E2632" t="inlineStr">
        <is>
          <t>SOLLEFTEÅ</t>
        </is>
      </c>
      <c r="F2632" t="inlineStr">
        <is>
          <t>SCA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14683-2026</t>
        </is>
      </c>
      <c r="B2633" s="1" t="n">
        <v>46101.49011574074</v>
      </c>
      <c r="C2633" s="1" t="n">
        <v>46161</v>
      </c>
      <c r="D2633" t="inlineStr">
        <is>
          <t>VÄSTERNORRLANDS LÄN</t>
        </is>
      </c>
      <c r="E2633" t="inlineStr">
        <is>
          <t>SOLLEFTEÅ</t>
        </is>
      </c>
      <c r="F2633" t="inlineStr">
        <is>
          <t>SCA</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21160-2026</t>
        </is>
      </c>
      <c r="B2634" s="1" t="n">
        <v>46146.58471064815</v>
      </c>
      <c r="C2634" s="1" t="n">
        <v>46161</v>
      </c>
      <c r="D2634" t="inlineStr">
        <is>
          <t>VÄSTERNORRLANDS LÄN</t>
        </is>
      </c>
      <c r="E2634" t="inlineStr">
        <is>
          <t>SOLLEFTEÅ</t>
        </is>
      </c>
      <c r="F2634" t="inlineStr">
        <is>
          <t>Holmen skog AB</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31919-2023</t>
        </is>
      </c>
      <c r="B2635" s="1" t="n">
        <v>45118</v>
      </c>
      <c r="C2635" s="1" t="n">
        <v>46161</v>
      </c>
      <c r="D2635" t="inlineStr">
        <is>
          <t>VÄSTERNORRLANDS LÄN</t>
        </is>
      </c>
      <c r="E2635" t="inlineStr">
        <is>
          <t>SOLLEFTEÅ</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58085-2023</t>
        </is>
      </c>
      <c r="B2636" s="1" t="n">
        <v>45247</v>
      </c>
      <c r="C2636" s="1" t="n">
        <v>46161</v>
      </c>
      <c r="D2636" t="inlineStr">
        <is>
          <t>VÄSTERNORRLANDS LÄN</t>
        </is>
      </c>
      <c r="E2636" t="inlineStr">
        <is>
          <t>SOLLEFTEÅ</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21244-2026</t>
        </is>
      </c>
      <c r="B2637" s="1" t="n">
        <v>46147.36518518518</v>
      </c>
      <c r="C2637" s="1" t="n">
        <v>46161</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7569-2025</t>
        </is>
      </c>
      <c r="B2638" s="1" t="n">
        <v>45705.59442129629</v>
      </c>
      <c r="C2638" s="1" t="n">
        <v>46161</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19145-2025</t>
        </is>
      </c>
      <c r="B2639" s="1" t="n">
        <v>45769.34452546296</v>
      </c>
      <c r="C2639" s="1" t="n">
        <v>46161</v>
      </c>
      <c r="D2639" t="inlineStr">
        <is>
          <t>VÄSTERNORRLANDS LÄN</t>
        </is>
      </c>
      <c r="E2639" t="inlineStr">
        <is>
          <t>SOLLEFTEÅ</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54255-2022</t>
        </is>
      </c>
      <c r="B2640" s="1" t="n">
        <v>44881.95225694445</v>
      </c>
      <c r="C2640" s="1" t="n">
        <v>46161</v>
      </c>
      <c r="D2640" t="inlineStr">
        <is>
          <t>VÄSTERNORRLANDS LÄN</t>
        </is>
      </c>
      <c r="E2640" t="inlineStr">
        <is>
          <t>SOLLEFTEÅ</t>
        </is>
      </c>
      <c r="F2640" t="inlineStr">
        <is>
          <t>SCA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4061-2024</t>
        </is>
      </c>
      <c r="B2641" s="1" t="n">
        <v>45323</v>
      </c>
      <c r="C2641" s="1" t="n">
        <v>46161</v>
      </c>
      <c r="D2641" t="inlineStr">
        <is>
          <t>VÄSTERNORRLANDS LÄN</t>
        </is>
      </c>
      <c r="E2641" t="inlineStr">
        <is>
          <t>SOLLEFTEÅ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5034-2024</t>
        </is>
      </c>
      <c r="B2642" s="1" t="n">
        <v>45329.86893518519</v>
      </c>
      <c r="C2642" s="1" t="n">
        <v>46161</v>
      </c>
      <c r="D2642" t="inlineStr">
        <is>
          <t>VÄSTERNORRLANDS LÄN</t>
        </is>
      </c>
      <c r="E2642" t="inlineStr">
        <is>
          <t>SOLLEFTEÅ</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15444-2026</t>
        </is>
      </c>
      <c r="B2643" s="1" t="n">
        <v>46106.40668981482</v>
      </c>
      <c r="C2643" s="1" t="n">
        <v>46161</v>
      </c>
      <c r="D2643" t="inlineStr">
        <is>
          <t>VÄSTERNORRLANDS LÄN</t>
        </is>
      </c>
      <c r="E2643" t="inlineStr">
        <is>
          <t>SOLLEFTEÅ</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35417-2024</t>
        </is>
      </c>
      <c r="B2644" s="1" t="n">
        <v>45531.40851851852</v>
      </c>
      <c r="C2644" s="1" t="n">
        <v>46161</v>
      </c>
      <c r="D2644" t="inlineStr">
        <is>
          <t>VÄSTERNORRLANDS LÄN</t>
        </is>
      </c>
      <c r="E2644" t="inlineStr">
        <is>
          <t>SOLLEFTEÅ</t>
        </is>
      </c>
      <c r="F2644" t="inlineStr">
        <is>
          <t>SCA</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21535-2026</t>
        </is>
      </c>
      <c r="B2645" s="1" t="n">
        <v>46148.6362962963</v>
      </c>
      <c r="C2645" s="1" t="n">
        <v>46161</v>
      </c>
      <c r="D2645" t="inlineStr">
        <is>
          <t>VÄSTERNORRLANDS LÄN</t>
        </is>
      </c>
      <c r="E2645" t="inlineStr">
        <is>
          <t>SOLLEFTEÅ</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48999-2023</t>
        </is>
      </c>
      <c r="B2646" s="1" t="n">
        <v>45209.66075231481</v>
      </c>
      <c r="C2646" s="1" t="n">
        <v>46161</v>
      </c>
      <c r="D2646" t="inlineStr">
        <is>
          <t>VÄSTERNORRLANDS LÄN</t>
        </is>
      </c>
      <c r="E2646" t="inlineStr">
        <is>
          <t>SOLLEFTEÅ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21438-2026</t>
        </is>
      </c>
      <c r="B2647" s="1" t="n">
        <v>46148.40723379629</v>
      </c>
      <c r="C2647" s="1" t="n">
        <v>46161</v>
      </c>
      <c r="D2647" t="inlineStr">
        <is>
          <t>VÄSTERNORRLANDS LÄN</t>
        </is>
      </c>
      <c r="E2647" t="inlineStr">
        <is>
          <t>SOLLEFTEÅ</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15244-2026</t>
        </is>
      </c>
      <c r="B2648" s="1" t="n">
        <v>46105.56627314815</v>
      </c>
      <c r="C2648" s="1" t="n">
        <v>46161</v>
      </c>
      <c r="D2648" t="inlineStr">
        <is>
          <t>VÄSTERNORRLANDS LÄN</t>
        </is>
      </c>
      <c r="E2648" t="inlineStr">
        <is>
          <t>SOLLEFTEÅ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15308-2026</t>
        </is>
      </c>
      <c r="B2649" s="1" t="n">
        <v>46105.63982638889</v>
      </c>
      <c r="C2649" s="1" t="n">
        <v>46161</v>
      </c>
      <c r="D2649" t="inlineStr">
        <is>
          <t>VÄSTERNORRLANDS LÄN</t>
        </is>
      </c>
      <c r="E2649" t="inlineStr">
        <is>
          <t>SOLLEFTEÅ</t>
        </is>
      </c>
      <c r="G2649" t="n">
        <v>12.8</v>
      </c>
      <c r="H2649" t="n">
        <v>0</v>
      </c>
      <c r="I2649" t="n">
        <v>0</v>
      </c>
      <c r="J2649" t="n">
        <v>0</v>
      </c>
      <c r="K2649" t="n">
        <v>0</v>
      </c>
      <c r="L2649" t="n">
        <v>0</v>
      </c>
      <c r="M2649" t="n">
        <v>0</v>
      </c>
      <c r="N2649" t="n">
        <v>0</v>
      </c>
      <c r="O2649" t="n">
        <v>0</v>
      </c>
      <c r="P2649" t="n">
        <v>0</v>
      </c>
      <c r="Q2649" t="n">
        <v>0</v>
      </c>
      <c r="R2649" s="2" t="inlineStr"/>
    </row>
    <row r="2650" ht="15" customHeight="1">
      <c r="A2650" t="inlineStr">
        <is>
          <t>A 21281-2026</t>
        </is>
      </c>
      <c r="B2650" s="1" t="n">
        <v>46147.44849537037</v>
      </c>
      <c r="C2650" s="1" t="n">
        <v>46161</v>
      </c>
      <c r="D2650" t="inlineStr">
        <is>
          <t>VÄSTERNORRLANDS LÄN</t>
        </is>
      </c>
      <c r="E2650" t="inlineStr">
        <is>
          <t>SOLLEFTEÅ</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21494-2026</t>
        </is>
      </c>
      <c r="B2651" s="1" t="n">
        <v>46148.56604166667</v>
      </c>
      <c r="C2651" s="1" t="n">
        <v>46161</v>
      </c>
      <c r="D2651" t="inlineStr">
        <is>
          <t>VÄSTERNORRLANDS LÄN</t>
        </is>
      </c>
      <c r="E2651" t="inlineStr">
        <is>
          <t>SOLLEFTEÅ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15362-2026</t>
        </is>
      </c>
      <c r="B2652" s="1" t="n">
        <v>46105</v>
      </c>
      <c r="C2652" s="1" t="n">
        <v>46161</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21358-2026</t>
        </is>
      </c>
      <c r="B2653" s="1" t="n">
        <v>46147.63601851852</v>
      </c>
      <c r="C2653" s="1" t="n">
        <v>46161</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21372-2026</t>
        </is>
      </c>
      <c r="B2654" s="1" t="n">
        <v>46147.65688657408</v>
      </c>
      <c r="C2654" s="1" t="n">
        <v>46161</v>
      </c>
      <c r="D2654" t="inlineStr">
        <is>
          <t>VÄSTERNORRLANDS LÄN</t>
        </is>
      </c>
      <c r="E2654" t="inlineStr">
        <is>
          <t>SOLLEFTEÅ</t>
        </is>
      </c>
      <c r="F2654" t="inlineStr">
        <is>
          <t>SCA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14448-2022</t>
        </is>
      </c>
      <c r="B2655" s="1" t="n">
        <v>44652</v>
      </c>
      <c r="C2655" s="1" t="n">
        <v>46161</v>
      </c>
      <c r="D2655" t="inlineStr">
        <is>
          <t>VÄSTERNORRLANDS LÄN</t>
        </is>
      </c>
      <c r="E2655" t="inlineStr">
        <is>
          <t>SOLLEFTEÅ</t>
        </is>
      </c>
      <c r="F2655" t="inlineStr">
        <is>
          <t>SCA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26500-2024</t>
        </is>
      </c>
      <c r="B2656" s="1" t="n">
        <v>45469.57174768519</v>
      </c>
      <c r="C2656" s="1" t="n">
        <v>46161</v>
      </c>
      <c r="D2656" t="inlineStr">
        <is>
          <t>VÄSTERNORRLANDS LÄN</t>
        </is>
      </c>
      <c r="E2656" t="inlineStr">
        <is>
          <t>SOLLEFTEÅ</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21258-2026</t>
        </is>
      </c>
      <c r="B2657" s="1" t="n">
        <v>46147.39310185185</v>
      </c>
      <c r="C2657" s="1" t="n">
        <v>46161</v>
      </c>
      <c r="D2657" t="inlineStr">
        <is>
          <t>VÄSTERNORRLANDS LÄN</t>
        </is>
      </c>
      <c r="E2657" t="inlineStr">
        <is>
          <t>SOLLEFTEÅ</t>
        </is>
      </c>
      <c r="F2657" t="inlineStr">
        <is>
          <t>Holmen skog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38432-2022</t>
        </is>
      </c>
      <c r="B2658" s="1" t="n">
        <v>44812</v>
      </c>
      <c r="C2658" s="1" t="n">
        <v>46161</v>
      </c>
      <c r="D2658" t="inlineStr">
        <is>
          <t>VÄSTERNORRLANDS LÄN</t>
        </is>
      </c>
      <c r="E2658" t="inlineStr">
        <is>
          <t>SOLLEFTEÅ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15884-2026</t>
        </is>
      </c>
      <c r="B2659" s="1" t="n">
        <v>46107.6069212963</v>
      </c>
      <c r="C2659" s="1" t="n">
        <v>46161</v>
      </c>
      <c r="D2659" t="inlineStr">
        <is>
          <t>VÄSTERNORRLANDS LÄN</t>
        </is>
      </c>
      <c r="E2659" t="inlineStr">
        <is>
          <t>SOLLEFTEÅ</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21914-2026</t>
        </is>
      </c>
      <c r="B2660" s="1" t="n">
        <v>46150.6359837963</v>
      </c>
      <c r="C2660" s="1" t="n">
        <v>46161</v>
      </c>
      <c r="D2660" t="inlineStr">
        <is>
          <t>VÄSTERNORRLANDS LÄN</t>
        </is>
      </c>
      <c r="E2660" t="inlineStr">
        <is>
          <t>SOLLEFTEÅ</t>
        </is>
      </c>
      <c r="F2660" t="inlineStr">
        <is>
          <t>SCA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14169-2024</t>
        </is>
      </c>
      <c r="B2661" s="1" t="n">
        <v>45392.95831018518</v>
      </c>
      <c r="C2661" s="1" t="n">
        <v>46161</v>
      </c>
      <c r="D2661" t="inlineStr">
        <is>
          <t>VÄSTERNORRLANDS LÄN</t>
        </is>
      </c>
      <c r="E2661" t="inlineStr">
        <is>
          <t>SOLLEFTEÅ</t>
        </is>
      </c>
      <c r="F2661" t="inlineStr">
        <is>
          <t>SCA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48767-2023</t>
        </is>
      </c>
      <c r="B2662" s="1" t="n">
        <v>45208</v>
      </c>
      <c r="C2662" s="1" t="n">
        <v>46161</v>
      </c>
      <c r="D2662" t="inlineStr">
        <is>
          <t>VÄSTERNORRLANDS LÄN</t>
        </is>
      </c>
      <c r="E2662" t="inlineStr">
        <is>
          <t>SOLLEFTEÅ</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5035-2024</t>
        </is>
      </c>
      <c r="B2663" s="1" t="n">
        <v>45329.86893518519</v>
      </c>
      <c r="C2663" s="1" t="n">
        <v>46161</v>
      </c>
      <c r="D2663" t="inlineStr">
        <is>
          <t>VÄSTERNORRLANDS LÄN</t>
        </is>
      </c>
      <c r="E2663" t="inlineStr">
        <is>
          <t>SOLLEFTEÅ</t>
        </is>
      </c>
      <c r="F2663" t="inlineStr">
        <is>
          <t>Övriga Aktiebolag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5040-2024</t>
        </is>
      </c>
      <c r="B2664" s="1" t="n">
        <v>45329.88962962963</v>
      </c>
      <c r="C2664" s="1" t="n">
        <v>46161</v>
      </c>
      <c r="D2664" t="inlineStr">
        <is>
          <t>VÄSTERNORRLANDS LÄN</t>
        </is>
      </c>
      <c r="E2664" t="inlineStr">
        <is>
          <t>SOLLEFTEÅ</t>
        </is>
      </c>
      <c r="F2664" t="inlineStr">
        <is>
          <t>Övriga Aktiebolag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21867-2026</t>
        </is>
      </c>
      <c r="B2665" s="1" t="n">
        <v>46150.57362268519</v>
      </c>
      <c r="C2665" s="1" t="n">
        <v>46161</v>
      </c>
      <c r="D2665" t="inlineStr">
        <is>
          <t>VÄSTERNORRLANDS LÄN</t>
        </is>
      </c>
      <c r="E2665" t="inlineStr">
        <is>
          <t>SOLLEFTEÅ</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3537-2025</t>
        </is>
      </c>
      <c r="B2666" s="1" t="n">
        <v>45680</v>
      </c>
      <c r="C2666" s="1" t="n">
        <v>46161</v>
      </c>
      <c r="D2666" t="inlineStr">
        <is>
          <t>VÄSTERNORRLANDS LÄN</t>
        </is>
      </c>
      <c r="E2666" t="inlineStr">
        <is>
          <t>SOLLEFTEÅ</t>
        </is>
      </c>
      <c r="F2666" t="inlineStr">
        <is>
          <t>SCA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16237-2024</t>
        </is>
      </c>
      <c r="B2667" s="1" t="n">
        <v>45407.05681712963</v>
      </c>
      <c r="C2667" s="1" t="n">
        <v>46161</v>
      </c>
      <c r="D2667" t="inlineStr">
        <is>
          <t>VÄSTERNORRLANDS LÄN</t>
        </is>
      </c>
      <c r="E2667" t="inlineStr">
        <is>
          <t>SOLLEFTEÅ</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44662-2024</t>
        </is>
      </c>
      <c r="B2668" s="1" t="n">
        <v>45574.53189814815</v>
      </c>
      <c r="C2668" s="1" t="n">
        <v>46161</v>
      </c>
      <c r="D2668" t="inlineStr">
        <is>
          <t>VÄSTERNORRLANDS LÄN</t>
        </is>
      </c>
      <c r="E2668" t="inlineStr">
        <is>
          <t>SOLLEFTEÅ</t>
        </is>
      </c>
      <c r="F2668" t="inlineStr">
        <is>
          <t>SCA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38768-2024</t>
        </is>
      </c>
      <c r="B2669" s="1" t="n">
        <v>45547.44892361111</v>
      </c>
      <c r="C2669" s="1" t="n">
        <v>46161</v>
      </c>
      <c r="D2669" t="inlineStr">
        <is>
          <t>VÄSTERNORRLANDS LÄN</t>
        </is>
      </c>
      <c r="E2669" t="inlineStr">
        <is>
          <t>SOLLEFTEÅ</t>
        </is>
      </c>
      <c r="F2669" t="inlineStr">
        <is>
          <t>SCA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52034-2022</t>
        </is>
      </c>
      <c r="B2670" s="1" t="n">
        <v>44872</v>
      </c>
      <c r="C2670" s="1" t="n">
        <v>46161</v>
      </c>
      <c r="D2670" t="inlineStr">
        <is>
          <t>VÄSTERNORRLANDS LÄN</t>
        </is>
      </c>
      <c r="E2670" t="inlineStr">
        <is>
          <t>SOLLEFTEÅ</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15888-2026</t>
        </is>
      </c>
      <c r="B2671" s="1" t="n">
        <v>46107.61042824074</v>
      </c>
      <c r="C2671" s="1" t="n">
        <v>46161</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35673-2024</t>
        </is>
      </c>
      <c r="B2672" s="1" t="n">
        <v>45532.39119212963</v>
      </c>
      <c r="C2672" s="1" t="n">
        <v>46161</v>
      </c>
      <c r="D2672" t="inlineStr">
        <is>
          <t>VÄSTERNORRLANDS LÄN</t>
        </is>
      </c>
      <c r="E2672" t="inlineStr">
        <is>
          <t>SOLLEFTEÅ</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16021-2026</t>
        </is>
      </c>
      <c r="B2673" s="1" t="n">
        <v>46108.44847222222</v>
      </c>
      <c r="C2673" s="1" t="n">
        <v>46161</v>
      </c>
      <c r="D2673" t="inlineStr">
        <is>
          <t>VÄSTERNORRLANDS LÄN</t>
        </is>
      </c>
      <c r="E2673" t="inlineStr">
        <is>
          <t>SOLLEFTEÅ</t>
        </is>
      </c>
      <c r="F2673" t="inlineStr">
        <is>
          <t>SCA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15785-2026</t>
        </is>
      </c>
      <c r="B2674" s="1" t="n">
        <v>46107.47005787037</v>
      </c>
      <c r="C2674" s="1" t="n">
        <v>46161</v>
      </c>
      <c r="D2674" t="inlineStr">
        <is>
          <t>VÄSTERNORRLANDS LÄN</t>
        </is>
      </c>
      <c r="E2674" t="inlineStr">
        <is>
          <t>SOLLEFTEÅ</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13942-2024</t>
        </is>
      </c>
      <c r="B2675" s="1" t="n">
        <v>45391.9540162037</v>
      </c>
      <c r="C2675" s="1" t="n">
        <v>46161</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15944-2026</t>
        </is>
      </c>
      <c r="B2676" s="1" t="n">
        <v>46107.71927083333</v>
      </c>
      <c r="C2676" s="1" t="n">
        <v>46161</v>
      </c>
      <c r="D2676" t="inlineStr">
        <is>
          <t>VÄSTERNORRLANDS LÄN</t>
        </is>
      </c>
      <c r="E2676" t="inlineStr">
        <is>
          <t>SOLLEFTEÅ</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27972-2021</t>
        </is>
      </c>
      <c r="B2677" s="1" t="n">
        <v>44354.93622685185</v>
      </c>
      <c r="C2677" s="1" t="n">
        <v>46161</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45358.04099537037</v>
      </c>
      <c r="C2678" s="1" t="n">
        <v>46161</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57892-2024</t>
        </is>
      </c>
      <c r="B2679" s="1" t="n">
        <v>45631.46910879629</v>
      </c>
      <c r="C2679" s="1" t="n">
        <v>46161</v>
      </c>
      <c r="D2679" t="inlineStr">
        <is>
          <t>VÄSTERNORRLANDS LÄN</t>
        </is>
      </c>
      <c r="E2679" t="inlineStr">
        <is>
          <t>SOLLEFTEÅ</t>
        </is>
      </c>
      <c r="F2679" t="inlineStr">
        <is>
          <t>SCA</t>
        </is>
      </c>
      <c r="G2679" t="n">
        <v>13.8</v>
      </c>
      <c r="H2679" t="n">
        <v>0</v>
      </c>
      <c r="I2679" t="n">
        <v>0</v>
      </c>
      <c r="J2679" t="n">
        <v>0</v>
      </c>
      <c r="K2679" t="n">
        <v>0</v>
      </c>
      <c r="L2679" t="n">
        <v>0</v>
      </c>
      <c r="M2679" t="n">
        <v>0</v>
      </c>
      <c r="N2679" t="n">
        <v>0</v>
      </c>
      <c r="O2679" t="n">
        <v>0</v>
      </c>
      <c r="P2679" t="n">
        <v>0</v>
      </c>
      <c r="Q2679" t="n">
        <v>0</v>
      </c>
      <c r="R2679" s="2" t="inlineStr"/>
    </row>
    <row r="2680" ht="15" customHeight="1">
      <c r="A2680" t="inlineStr">
        <is>
          <t>A 21768-2026</t>
        </is>
      </c>
      <c r="B2680" s="1" t="n">
        <v>46150.34480324074</v>
      </c>
      <c r="C2680" s="1" t="n">
        <v>46161</v>
      </c>
      <c r="D2680" t="inlineStr">
        <is>
          <t>VÄSTERNORRLANDS LÄN</t>
        </is>
      </c>
      <c r="E2680" t="inlineStr">
        <is>
          <t>SOLLEFTEÅ</t>
        </is>
      </c>
      <c r="F2680" t="inlineStr">
        <is>
          <t>SCA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21804-2026</t>
        </is>
      </c>
      <c r="B2681" s="1" t="n">
        <v>46150.4485300926</v>
      </c>
      <c r="C2681" s="1" t="n">
        <v>46161</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62406-2022</t>
        </is>
      </c>
      <c r="B2682" s="1" t="n">
        <v>44923</v>
      </c>
      <c r="C2682" s="1" t="n">
        <v>46161</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60757-2021</t>
        </is>
      </c>
      <c r="B2683" s="1" t="n">
        <v>44496.92101851852</v>
      </c>
      <c r="C2683" s="1" t="n">
        <v>46161</v>
      </c>
      <c r="D2683" t="inlineStr">
        <is>
          <t>VÄSTERNORRLANDS LÄN</t>
        </is>
      </c>
      <c r="E2683" t="inlineStr">
        <is>
          <t>SOLLEFTEÅ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14982-2024</t>
        </is>
      </c>
      <c r="B2684" s="1" t="n">
        <v>45398.94193287037</v>
      </c>
      <c r="C2684" s="1" t="n">
        <v>46161</v>
      </c>
      <c r="D2684" t="inlineStr">
        <is>
          <t>VÄSTERNORRLANDS LÄN</t>
        </is>
      </c>
      <c r="E2684" t="inlineStr">
        <is>
          <t>SOLLEFTEÅ</t>
        </is>
      </c>
      <c r="F2684" t="inlineStr">
        <is>
          <t>SCA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3398-2026</t>
        </is>
      </c>
      <c r="B2685" s="1" t="n">
        <v>46042.38586805556</v>
      </c>
      <c r="C2685" s="1" t="n">
        <v>46161</v>
      </c>
      <c r="D2685" t="inlineStr">
        <is>
          <t>VÄSTERNORRLANDS LÄN</t>
        </is>
      </c>
      <c r="E2685" t="inlineStr">
        <is>
          <t>SOLLEFTEÅ</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36144-2024</t>
        </is>
      </c>
      <c r="B2686" s="1" t="n">
        <v>45534.36309027778</v>
      </c>
      <c r="C2686" s="1" t="n">
        <v>46161</v>
      </c>
      <c r="D2686" t="inlineStr">
        <is>
          <t>VÄSTERNORRLANDS LÄN</t>
        </is>
      </c>
      <c r="E2686" t="inlineStr">
        <is>
          <t>SOLLEFTEÅ</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23288-2023</t>
        </is>
      </c>
      <c r="B2687" s="1" t="n">
        <v>45075</v>
      </c>
      <c r="C2687" s="1" t="n">
        <v>46161</v>
      </c>
      <c r="D2687" t="inlineStr">
        <is>
          <t>VÄSTERNORRLANDS LÄN</t>
        </is>
      </c>
      <c r="E2687" t="inlineStr">
        <is>
          <t>SOLLEFTEÅ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23289-2023</t>
        </is>
      </c>
      <c r="B2688" s="1" t="n">
        <v>45075</v>
      </c>
      <c r="C2688" s="1" t="n">
        <v>46161</v>
      </c>
      <c r="D2688" t="inlineStr">
        <is>
          <t>VÄSTERNORRLANDS LÄN</t>
        </is>
      </c>
      <c r="E2688" t="inlineStr">
        <is>
          <t>SOLLEFTEÅ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59563-2024</t>
        </is>
      </c>
      <c r="B2689" s="1" t="n">
        <v>45638.63733796297</v>
      </c>
      <c r="C2689" s="1" t="n">
        <v>46161</v>
      </c>
      <c r="D2689" t="inlineStr">
        <is>
          <t>VÄSTERNORRLANDS LÄN</t>
        </is>
      </c>
      <c r="E2689" t="inlineStr">
        <is>
          <t>SOLLEFTEÅ</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21743-2026</t>
        </is>
      </c>
      <c r="B2690" s="1" t="n">
        <v>46149.65708333333</v>
      </c>
      <c r="C2690" s="1" t="n">
        <v>46161</v>
      </c>
      <c r="D2690" t="inlineStr">
        <is>
          <t>VÄSTERNORRLANDS LÄN</t>
        </is>
      </c>
      <c r="E2690" t="inlineStr">
        <is>
          <t>SOLLEFTEÅ</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21745-2026</t>
        </is>
      </c>
      <c r="B2691" s="1" t="n">
        <v>46147</v>
      </c>
      <c r="C2691" s="1" t="n">
        <v>46161</v>
      </c>
      <c r="D2691" t="inlineStr">
        <is>
          <t>VÄSTERNORRLANDS LÄN</t>
        </is>
      </c>
      <c r="E2691" t="inlineStr">
        <is>
          <t>SOLLEFTEÅ</t>
        </is>
      </c>
      <c r="F2691" t="inlineStr">
        <is>
          <t>Övriga Aktiebolag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22062-2026</t>
        </is>
      </c>
      <c r="B2692" s="1" t="n">
        <v>46149</v>
      </c>
      <c r="C2692" s="1" t="n">
        <v>46161</v>
      </c>
      <c r="D2692" t="inlineStr">
        <is>
          <t>VÄSTERNORRLANDS LÄN</t>
        </is>
      </c>
      <c r="E2692" t="inlineStr">
        <is>
          <t>SOLLEFTEÅ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16196-2026</t>
        </is>
      </c>
      <c r="B2693" s="1" t="n">
        <v>46111.38623842593</v>
      </c>
      <c r="C2693" s="1" t="n">
        <v>46161</v>
      </c>
      <c r="D2693" t="inlineStr">
        <is>
          <t>VÄSTERNORRLANDS LÄN</t>
        </is>
      </c>
      <c r="E2693" t="inlineStr">
        <is>
          <t>SOLLEFTEÅ</t>
        </is>
      </c>
      <c r="F2693" t="inlineStr">
        <is>
          <t>SCA</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21031-2024</t>
        </is>
      </c>
      <c r="B2694" s="1" t="n">
        <v>45439</v>
      </c>
      <c r="C2694" s="1" t="n">
        <v>46161</v>
      </c>
      <c r="D2694" t="inlineStr">
        <is>
          <t>VÄSTERNORRLANDS LÄN</t>
        </is>
      </c>
      <c r="E2694" t="inlineStr">
        <is>
          <t>SOLLEFTEÅ</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22215-2026</t>
        </is>
      </c>
      <c r="B2695" s="1" t="n">
        <v>46153.69864583333</v>
      </c>
      <c r="C2695" s="1" t="n">
        <v>46161</v>
      </c>
      <c r="D2695" t="inlineStr">
        <is>
          <t>VÄSTERNORRLANDS LÄN</t>
        </is>
      </c>
      <c r="E2695" t="inlineStr">
        <is>
          <t>SOLLEFTEÅ</t>
        </is>
      </c>
      <c r="F2695" t="inlineStr">
        <is>
          <t>SCA</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2883-2025</t>
        </is>
      </c>
      <c r="B2696" s="1" t="n">
        <v>45677</v>
      </c>
      <c r="C2696" s="1" t="n">
        <v>46161</v>
      </c>
      <c r="D2696" t="inlineStr">
        <is>
          <t>VÄSTERNORRLANDS LÄN</t>
        </is>
      </c>
      <c r="E2696" t="inlineStr">
        <is>
          <t>SOLLEFTEÅ</t>
        </is>
      </c>
      <c r="F2696" t="inlineStr">
        <is>
          <t>SCA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30329-2024</t>
        </is>
      </c>
      <c r="B2697" s="1" t="n">
        <v>45490.95304398148</v>
      </c>
      <c r="C2697" s="1" t="n">
        <v>46161</v>
      </c>
      <c r="D2697" t="inlineStr">
        <is>
          <t>VÄSTERNORRLANDS LÄN</t>
        </is>
      </c>
      <c r="E2697" t="inlineStr">
        <is>
          <t>SOLLEFTEÅ</t>
        </is>
      </c>
      <c r="F2697" t="inlineStr">
        <is>
          <t>SCA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16427-2026</t>
        </is>
      </c>
      <c r="B2698" s="1" t="n">
        <v>46111.69849537037</v>
      </c>
      <c r="C2698" s="1" t="n">
        <v>46161</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42963-2024</t>
        </is>
      </c>
      <c r="B2699" s="1" t="n">
        <v>45567.37240740741</v>
      </c>
      <c r="C2699" s="1" t="n">
        <v>46161</v>
      </c>
      <c r="D2699" t="inlineStr">
        <is>
          <t>VÄSTERNORRLANDS LÄN</t>
        </is>
      </c>
      <c r="E2699" t="inlineStr">
        <is>
          <t>SOLLEFTEÅ</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42979-2024</t>
        </is>
      </c>
      <c r="B2700" s="1" t="n">
        <v>45567.37438657408</v>
      </c>
      <c r="C2700" s="1" t="n">
        <v>46161</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16445-2026</t>
        </is>
      </c>
      <c r="B2701" s="1" t="n">
        <v>46111</v>
      </c>
      <c r="C2701" s="1" t="n">
        <v>46161</v>
      </c>
      <c r="D2701" t="inlineStr">
        <is>
          <t>VÄSTERNORRLANDS LÄN</t>
        </is>
      </c>
      <c r="E2701" t="inlineStr">
        <is>
          <t>SOLLEFTEÅ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22328-2026</t>
        </is>
      </c>
      <c r="B2702" s="1" t="n">
        <v>46154.55259259259</v>
      </c>
      <c r="C2702" s="1" t="n">
        <v>46161</v>
      </c>
      <c r="D2702" t="inlineStr">
        <is>
          <t>VÄSTERNORRLANDS LÄN</t>
        </is>
      </c>
      <c r="E2702" t="inlineStr">
        <is>
          <t>SOLLEFTEÅ</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31559-2024</t>
        </is>
      </c>
      <c r="B2703" s="1" t="n">
        <v>45505.96555555556</v>
      </c>
      <c r="C2703" s="1" t="n">
        <v>46161</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45958-2023</t>
        </is>
      </c>
      <c r="B2704" s="1" t="n">
        <v>45195</v>
      </c>
      <c r="C2704" s="1" t="n">
        <v>46161</v>
      </c>
      <c r="D2704" t="inlineStr">
        <is>
          <t>VÄSTERNORRLANDS LÄN</t>
        </is>
      </c>
      <c r="E2704" t="inlineStr">
        <is>
          <t>SOLLEFTEÅ</t>
        </is>
      </c>
      <c r="F2704" t="inlineStr">
        <is>
          <t>SCA</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9831-2024</t>
        </is>
      </c>
      <c r="B2705" s="1" t="n">
        <v>45363.04699074074</v>
      </c>
      <c r="C2705" s="1" t="n">
        <v>46161</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22151-2026</t>
        </is>
      </c>
      <c r="B2706" s="1" t="n">
        <v>46150</v>
      </c>
      <c r="C2706" s="1" t="n">
        <v>46161</v>
      </c>
      <c r="D2706" t="inlineStr">
        <is>
          <t>VÄSTERNORRLANDS LÄN</t>
        </is>
      </c>
      <c r="E2706" t="inlineStr">
        <is>
          <t>SOLLEFTEÅ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583-2025</t>
        </is>
      </c>
      <c r="B2707" s="1" t="n">
        <v>45664</v>
      </c>
      <c r="C2707" s="1" t="n">
        <v>46161</v>
      </c>
      <c r="D2707" t="inlineStr">
        <is>
          <t>VÄSTERNORRLANDS LÄN</t>
        </is>
      </c>
      <c r="E2707" t="inlineStr">
        <is>
          <t>SOLLEFTEÅ</t>
        </is>
      </c>
      <c r="G2707" t="n">
        <v>47.2</v>
      </c>
      <c r="H2707" t="n">
        <v>0</v>
      </c>
      <c r="I2707" t="n">
        <v>0</v>
      </c>
      <c r="J2707" t="n">
        <v>0</v>
      </c>
      <c r="K2707" t="n">
        <v>0</v>
      </c>
      <c r="L2707" t="n">
        <v>0</v>
      </c>
      <c r="M2707" t="n">
        <v>0</v>
      </c>
      <c r="N2707" t="n">
        <v>0</v>
      </c>
      <c r="O2707" t="n">
        <v>0</v>
      </c>
      <c r="P2707" t="n">
        <v>0</v>
      </c>
      <c r="Q2707" t="n">
        <v>0</v>
      </c>
      <c r="R2707" s="2" t="inlineStr"/>
    </row>
    <row r="2708" ht="15" customHeight="1">
      <c r="A2708" t="inlineStr">
        <is>
          <t>A 35513-2024</t>
        </is>
      </c>
      <c r="B2708" s="1" t="n">
        <v>45531</v>
      </c>
      <c r="C2708" s="1" t="n">
        <v>46161</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12764-2022</t>
        </is>
      </c>
      <c r="B2709" s="1" t="n">
        <v>44641.93445601852</v>
      </c>
      <c r="C2709" s="1" t="n">
        <v>46161</v>
      </c>
      <c r="D2709" t="inlineStr">
        <is>
          <t>VÄSTERNORRLANDS LÄN</t>
        </is>
      </c>
      <c r="E2709" t="inlineStr">
        <is>
          <t>SOLLEFTEÅ</t>
        </is>
      </c>
      <c r="F2709" t="inlineStr">
        <is>
          <t>SCA</t>
        </is>
      </c>
      <c r="G2709" t="n">
        <v>13.7</v>
      </c>
      <c r="H2709" t="n">
        <v>0</v>
      </c>
      <c r="I2709" t="n">
        <v>0</v>
      </c>
      <c r="J2709" t="n">
        <v>0</v>
      </c>
      <c r="K2709" t="n">
        <v>0</v>
      </c>
      <c r="L2709" t="n">
        <v>0</v>
      </c>
      <c r="M2709" t="n">
        <v>0</v>
      </c>
      <c r="N2709" t="n">
        <v>0</v>
      </c>
      <c r="O2709" t="n">
        <v>0</v>
      </c>
      <c r="P2709" t="n">
        <v>0</v>
      </c>
      <c r="Q2709" t="n">
        <v>0</v>
      </c>
      <c r="R2709" s="2" t="inlineStr"/>
    </row>
    <row r="2710" ht="15" customHeight="1">
      <c r="A2710" t="inlineStr">
        <is>
          <t>A 8195-2025</t>
        </is>
      </c>
      <c r="B2710" s="1" t="n">
        <v>45708</v>
      </c>
      <c r="C2710" s="1" t="n">
        <v>46161</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6271-2023</t>
        </is>
      </c>
      <c r="B2711" s="1" t="n">
        <v>44959</v>
      </c>
      <c r="C2711" s="1" t="n">
        <v>46161</v>
      </c>
      <c r="D2711" t="inlineStr">
        <is>
          <t>VÄSTERNORRLANDS LÄN</t>
        </is>
      </c>
      <c r="E2711" t="inlineStr">
        <is>
          <t>SOLLEFTEÅ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38275-2024</t>
        </is>
      </c>
      <c r="B2712" s="1" t="n">
        <v>45545</v>
      </c>
      <c r="C2712" s="1" t="n">
        <v>46161</v>
      </c>
      <c r="D2712" t="inlineStr">
        <is>
          <t>VÄSTERNORRLANDS LÄN</t>
        </is>
      </c>
      <c r="E2712" t="inlineStr">
        <is>
          <t>SOLLEFTEÅ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22077-2026</t>
        </is>
      </c>
      <c r="B2713" s="1" t="n">
        <v>46153.51212962963</v>
      </c>
      <c r="C2713" s="1" t="n">
        <v>46161</v>
      </c>
      <c r="D2713" t="inlineStr">
        <is>
          <t>VÄSTERNORRLANDS LÄN</t>
        </is>
      </c>
      <c r="E2713" t="inlineStr">
        <is>
          <t>SOLLEFTEÅ</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22265-2026</t>
        </is>
      </c>
      <c r="B2714" s="1" t="n">
        <v>46154.38590277778</v>
      </c>
      <c r="C2714" s="1" t="n">
        <v>46161</v>
      </c>
      <c r="D2714" t="inlineStr">
        <is>
          <t>VÄSTERNORRLANDS LÄN</t>
        </is>
      </c>
      <c r="E2714" t="inlineStr">
        <is>
          <t>SOLLEFTEÅ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48265-2024</t>
        </is>
      </c>
      <c r="B2715" s="1" t="n">
        <v>45590.42751157407</v>
      </c>
      <c r="C2715" s="1" t="n">
        <v>46161</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16525-2026</t>
        </is>
      </c>
      <c r="B2716" s="1" t="n">
        <v>46112.46954861111</v>
      </c>
      <c r="C2716" s="1" t="n">
        <v>46161</v>
      </c>
      <c r="D2716" t="inlineStr">
        <is>
          <t>VÄSTERNORRLANDS LÄN</t>
        </is>
      </c>
      <c r="E2716" t="inlineStr">
        <is>
          <t>SOLLEFTEÅ</t>
        </is>
      </c>
      <c r="F2716" t="inlineStr">
        <is>
          <t>SCA</t>
        </is>
      </c>
      <c r="G2716" t="n">
        <v>32.9</v>
      </c>
      <c r="H2716" t="n">
        <v>0</v>
      </c>
      <c r="I2716" t="n">
        <v>0</v>
      </c>
      <c r="J2716" t="n">
        <v>0</v>
      </c>
      <c r="K2716" t="n">
        <v>0</v>
      </c>
      <c r="L2716" t="n">
        <v>0</v>
      </c>
      <c r="M2716" t="n">
        <v>0</v>
      </c>
      <c r="N2716" t="n">
        <v>0</v>
      </c>
      <c r="O2716" t="n">
        <v>0</v>
      </c>
      <c r="P2716" t="n">
        <v>0</v>
      </c>
      <c r="Q2716" t="n">
        <v>0</v>
      </c>
      <c r="R2716" s="2" t="inlineStr"/>
    </row>
    <row r="2717" ht="15" customHeight="1">
      <c r="A2717" t="inlineStr">
        <is>
          <t>A 50226-2023</t>
        </is>
      </c>
      <c r="B2717" s="1" t="n">
        <v>45215.94767361111</v>
      </c>
      <c r="C2717" s="1" t="n">
        <v>46161</v>
      </c>
      <c r="D2717" t="inlineStr">
        <is>
          <t>VÄSTERNORRLANDS LÄN</t>
        </is>
      </c>
      <c r="E2717" t="inlineStr">
        <is>
          <t>SOLLEFTEÅ</t>
        </is>
      </c>
      <c r="F2717" t="inlineStr">
        <is>
          <t>SCA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1459-2024</t>
        </is>
      </c>
      <c r="B2718" s="1" t="n">
        <v>45303.9331712963</v>
      </c>
      <c r="C2718" s="1" t="n">
        <v>46161</v>
      </c>
      <c r="D2718" t="inlineStr">
        <is>
          <t>VÄSTERNORRLANDS LÄN</t>
        </is>
      </c>
      <c r="E2718" t="inlineStr">
        <is>
          <t>SOLLEFTEÅ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22103-2026</t>
        </is>
      </c>
      <c r="B2719" s="1" t="n">
        <v>46153.55303240741</v>
      </c>
      <c r="C2719" s="1" t="n">
        <v>46161</v>
      </c>
      <c r="D2719" t="inlineStr">
        <is>
          <t>VÄSTERNORRLANDS LÄN</t>
        </is>
      </c>
      <c r="E2719" t="inlineStr">
        <is>
          <t>SOLLEFTEÅ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44393-2023</t>
        </is>
      </c>
      <c r="B2720" s="1" t="n">
        <v>45188.94534722222</v>
      </c>
      <c r="C2720" s="1" t="n">
        <v>46161</v>
      </c>
      <c r="D2720" t="inlineStr">
        <is>
          <t>VÄSTERNORRLANDS LÄN</t>
        </is>
      </c>
      <c r="E2720" t="inlineStr">
        <is>
          <t>SOLLEFTEÅ</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22001-2026</t>
        </is>
      </c>
      <c r="B2721" s="1" t="n">
        <v>46153.36520833334</v>
      </c>
      <c r="C2721" s="1" t="n">
        <v>46161</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56176-2022</t>
        </is>
      </c>
      <c r="B2722" s="1" t="n">
        <v>44889.94862268519</v>
      </c>
      <c r="C2722" s="1" t="n">
        <v>46161</v>
      </c>
      <c r="D2722" t="inlineStr">
        <is>
          <t>VÄSTERNORRLANDS LÄN</t>
        </is>
      </c>
      <c r="E2722" t="inlineStr">
        <is>
          <t>SOLLEFTEÅ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22101-2026</t>
        </is>
      </c>
      <c r="B2723" s="1" t="n">
        <v>46153.55289351852</v>
      </c>
      <c r="C2723" s="1" t="n">
        <v>46161</v>
      </c>
      <c r="D2723" t="inlineStr">
        <is>
          <t>VÄSTERNORRLANDS LÄN</t>
        </is>
      </c>
      <c r="E2723" t="inlineStr">
        <is>
          <t>SOLLEFTEÅ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13584-2025</t>
        </is>
      </c>
      <c r="B2724" s="1" t="n">
        <v>45736.59193287037</v>
      </c>
      <c r="C2724" s="1" t="n">
        <v>46161</v>
      </c>
      <c r="D2724" t="inlineStr">
        <is>
          <t>VÄSTERNORRLANDS LÄN</t>
        </is>
      </c>
      <c r="E2724" t="inlineStr">
        <is>
          <t>SOLLEFTEÅ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16510-2026</t>
        </is>
      </c>
      <c r="B2725" s="1" t="n">
        <v>46112.44849537037</v>
      </c>
      <c r="C2725" s="1" t="n">
        <v>46161</v>
      </c>
      <c r="D2725" t="inlineStr">
        <is>
          <t>VÄSTERNORRLANDS LÄN</t>
        </is>
      </c>
      <c r="E2725" t="inlineStr">
        <is>
          <t>SOLLEFTEÅ</t>
        </is>
      </c>
      <c r="F2725" t="inlineStr">
        <is>
          <t>SCA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22340-2026</t>
        </is>
      </c>
      <c r="B2726" s="1" t="n">
        <v>46154.57362268519</v>
      </c>
      <c r="C2726" s="1" t="n">
        <v>46161</v>
      </c>
      <c r="D2726" t="inlineStr">
        <is>
          <t>VÄSTERNORRLANDS LÄN</t>
        </is>
      </c>
      <c r="E2726" t="inlineStr">
        <is>
          <t>SOLLEFTEÅ</t>
        </is>
      </c>
      <c r="F2726" t="inlineStr">
        <is>
          <t>SCA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6816-2024</t>
        </is>
      </c>
      <c r="B2727" s="1" t="n">
        <v>45342</v>
      </c>
      <c r="C2727" s="1" t="n">
        <v>46161</v>
      </c>
      <c r="D2727" t="inlineStr">
        <is>
          <t>VÄSTERNORRLANDS LÄN</t>
        </is>
      </c>
      <c r="E2727" t="inlineStr">
        <is>
          <t>SOLLEFTEÅ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22166-2026</t>
        </is>
      </c>
      <c r="B2728" s="1" t="n">
        <v>46153.63644675926</v>
      </c>
      <c r="C2728" s="1" t="n">
        <v>46161</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22194-2026</t>
        </is>
      </c>
      <c r="B2729" s="1" t="n">
        <v>46153.6568287037</v>
      </c>
      <c r="C2729" s="1" t="n">
        <v>46161</v>
      </c>
      <c r="D2729" t="inlineStr">
        <is>
          <t>VÄSTERNORRLANDS LÄN</t>
        </is>
      </c>
      <c r="E2729" t="inlineStr">
        <is>
          <t>SOLLEFTEÅ</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16693-2024</t>
        </is>
      </c>
      <c r="B2730" s="1" t="n">
        <v>45408</v>
      </c>
      <c r="C2730" s="1" t="n">
        <v>46161</v>
      </c>
      <c r="D2730" t="inlineStr">
        <is>
          <t>VÄSTERNORRLANDS LÄN</t>
        </is>
      </c>
      <c r="E2730" t="inlineStr">
        <is>
          <t>SOLLEFTEÅ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22102-2026</t>
        </is>
      </c>
      <c r="B2731" s="1" t="n">
        <v>46153.55300925926</v>
      </c>
      <c r="C2731" s="1" t="n">
        <v>46161</v>
      </c>
      <c r="D2731" t="inlineStr">
        <is>
          <t>VÄSTERNORRLANDS LÄN</t>
        </is>
      </c>
      <c r="E2731" t="inlineStr">
        <is>
          <t>SOLLEFTEÅ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18623-2024</t>
        </is>
      </c>
      <c r="B2732" s="1" t="n">
        <v>45425.96378472223</v>
      </c>
      <c r="C2732" s="1" t="n">
        <v>46161</v>
      </c>
      <c r="D2732" t="inlineStr">
        <is>
          <t>VÄSTERNORRLANDS LÄN</t>
        </is>
      </c>
      <c r="E2732" t="inlineStr">
        <is>
          <t>SOLLEFTEÅ</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41434-2024</t>
        </is>
      </c>
      <c r="B2733" s="1" t="n">
        <v>45560</v>
      </c>
      <c r="C2733" s="1" t="n">
        <v>46161</v>
      </c>
      <c r="D2733" t="inlineStr">
        <is>
          <t>VÄSTERNORRLANDS LÄN</t>
        </is>
      </c>
      <c r="E2733" t="inlineStr">
        <is>
          <t>SOLLEFTEÅ</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45334-2024</t>
        </is>
      </c>
      <c r="B2734" s="1" t="n">
        <v>45576</v>
      </c>
      <c r="C2734" s="1" t="n">
        <v>46161</v>
      </c>
      <c r="D2734" t="inlineStr">
        <is>
          <t>VÄSTERNORRLANDS LÄN</t>
        </is>
      </c>
      <c r="E2734" t="inlineStr">
        <is>
          <t>SOLLEFTEÅ</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21619-2026</t>
        </is>
      </c>
      <c r="B2735" s="1" t="n">
        <v>46149</v>
      </c>
      <c r="C2735" s="1" t="n">
        <v>46161</v>
      </c>
      <c r="D2735" t="inlineStr">
        <is>
          <t>VÄSTERNORRLANDS LÄN</t>
        </is>
      </c>
      <c r="E2735" t="inlineStr">
        <is>
          <t>SOLLEFTEÅ</t>
        </is>
      </c>
      <c r="F2735" t="inlineStr">
        <is>
          <t>SCA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21620-2026</t>
        </is>
      </c>
      <c r="B2736" s="1" t="n">
        <v>46149</v>
      </c>
      <c r="C2736" s="1" t="n">
        <v>46161</v>
      </c>
      <c r="D2736" t="inlineStr">
        <is>
          <t>VÄSTERNORRLANDS LÄN</t>
        </is>
      </c>
      <c r="E2736" t="inlineStr">
        <is>
          <t>SOLLEFTEÅ</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21651-2026</t>
        </is>
      </c>
      <c r="B2737" s="1" t="n">
        <v>46149</v>
      </c>
      <c r="C2737" s="1" t="n">
        <v>46161</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42229-2021</t>
        </is>
      </c>
      <c r="B2738" s="1" t="n">
        <v>44426.93474537037</v>
      </c>
      <c r="C2738" s="1" t="n">
        <v>46161</v>
      </c>
      <c r="D2738" t="inlineStr">
        <is>
          <t>VÄSTERNORRLANDS LÄN</t>
        </is>
      </c>
      <c r="E2738" t="inlineStr">
        <is>
          <t>SOLLEFTEÅ</t>
        </is>
      </c>
      <c r="F2738" t="inlineStr">
        <is>
          <t>SCA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22463-2026</t>
        </is>
      </c>
      <c r="B2739" s="1" t="n">
        <v>46155.36530092593</v>
      </c>
      <c r="C2739" s="1" t="n">
        <v>46161</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16961-2026</t>
        </is>
      </c>
      <c r="B2740" s="1" t="n">
        <v>46114.34569444445</v>
      </c>
      <c r="C2740" s="1" t="n">
        <v>46161</v>
      </c>
      <c r="D2740" t="inlineStr">
        <is>
          <t>VÄSTERNORRLANDS LÄN</t>
        </is>
      </c>
      <c r="E2740" t="inlineStr">
        <is>
          <t>SOLLEFTEÅ</t>
        </is>
      </c>
      <c r="F2740" t="inlineStr">
        <is>
          <t>SCA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21621-2026</t>
        </is>
      </c>
      <c r="B2741" s="1" t="n">
        <v>46149</v>
      </c>
      <c r="C2741" s="1" t="n">
        <v>46161</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21649-2026</t>
        </is>
      </c>
      <c r="B2742" s="1" t="n">
        <v>46149</v>
      </c>
      <c r="C2742" s="1" t="n">
        <v>46161</v>
      </c>
      <c r="D2742" t="inlineStr">
        <is>
          <t>VÄSTERNORRLANDS LÄN</t>
        </is>
      </c>
      <c r="E2742" t="inlineStr">
        <is>
          <t>SOLLEFTEÅ</t>
        </is>
      </c>
      <c r="F2742" t="inlineStr">
        <is>
          <t>SCA</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21650-2026</t>
        </is>
      </c>
      <c r="B2743" s="1" t="n">
        <v>46149</v>
      </c>
      <c r="C2743" s="1" t="n">
        <v>46161</v>
      </c>
      <c r="D2743" t="inlineStr">
        <is>
          <t>VÄSTERNORRLANDS LÄN</t>
        </is>
      </c>
      <c r="E2743" t="inlineStr">
        <is>
          <t>SOLLEFTEÅ</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22360-2026</t>
        </is>
      </c>
      <c r="B2744" s="1" t="n">
        <v>46154</v>
      </c>
      <c r="C2744" s="1" t="n">
        <v>46161</v>
      </c>
      <c r="D2744" t="inlineStr">
        <is>
          <t>VÄSTERNORRLANDS LÄN</t>
        </is>
      </c>
      <c r="E2744" t="inlineStr">
        <is>
          <t>SOLLEFTEÅ</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17029-2026</t>
        </is>
      </c>
      <c r="B2745" s="1" t="n">
        <v>46114.46924768519</v>
      </c>
      <c r="C2745" s="1" t="n">
        <v>46161</v>
      </c>
      <c r="D2745" t="inlineStr">
        <is>
          <t>VÄSTERNORRLANDS LÄN</t>
        </is>
      </c>
      <c r="E2745" t="inlineStr">
        <is>
          <t>SOLLEFTEÅ</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22441-2026</t>
        </is>
      </c>
      <c r="B2746" s="1" t="n">
        <v>46153</v>
      </c>
      <c r="C2746" s="1" t="n">
        <v>46161</v>
      </c>
      <c r="D2746" t="inlineStr">
        <is>
          <t>VÄSTERNORRLANDS LÄN</t>
        </is>
      </c>
      <c r="E2746" t="inlineStr">
        <is>
          <t>SOLLEFTEÅ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22446-2026</t>
        </is>
      </c>
      <c r="B2747" s="1" t="n">
        <v>46153</v>
      </c>
      <c r="C2747" s="1" t="n">
        <v>46161</v>
      </c>
      <c r="D2747" t="inlineStr">
        <is>
          <t>VÄSTERNORRLANDS LÄN</t>
        </is>
      </c>
      <c r="E2747" t="inlineStr">
        <is>
          <t>SOLLEFTEÅ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22450-2026</t>
        </is>
      </c>
      <c r="B2748" s="1" t="n">
        <v>46153</v>
      </c>
      <c r="C2748" s="1" t="n">
        <v>46161</v>
      </c>
      <c r="D2748" t="inlineStr">
        <is>
          <t>VÄSTERNORRLANDS LÄN</t>
        </is>
      </c>
      <c r="E2748" t="inlineStr">
        <is>
          <t>SOLLEFTEÅ</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16925-2026</t>
        </is>
      </c>
      <c r="B2749" s="1" t="n">
        <v>46113</v>
      </c>
      <c r="C2749" s="1" t="n">
        <v>46161</v>
      </c>
      <c r="D2749" t="inlineStr">
        <is>
          <t>VÄSTERNORRLANDS LÄN</t>
        </is>
      </c>
      <c r="E2749" t="inlineStr">
        <is>
          <t>SOLLEFTEÅ</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21604-2026</t>
        </is>
      </c>
      <c r="B2750" s="1" t="n">
        <v>46149</v>
      </c>
      <c r="C2750" s="1" t="n">
        <v>46161</v>
      </c>
      <c r="D2750" t="inlineStr">
        <is>
          <t>VÄSTERNORRLANDS LÄN</t>
        </is>
      </c>
      <c r="E2750" t="inlineStr">
        <is>
          <t>SOLLEFTEÅ</t>
        </is>
      </c>
      <c r="F2750" t="inlineStr">
        <is>
          <t>SCA</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21606-2026</t>
        </is>
      </c>
      <c r="B2751" s="1" t="n">
        <v>46149</v>
      </c>
      <c r="C2751" s="1" t="n">
        <v>46161</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17033-2026</t>
        </is>
      </c>
      <c r="B2752" s="1" t="n">
        <v>46114.46979166667</v>
      </c>
      <c r="C2752" s="1" t="n">
        <v>46161</v>
      </c>
      <c r="D2752" t="inlineStr">
        <is>
          <t>VÄSTERNORRLANDS LÄN</t>
        </is>
      </c>
      <c r="E2752" t="inlineStr">
        <is>
          <t>SOLLEFTEÅ</t>
        </is>
      </c>
      <c r="F2752" t="inlineStr">
        <is>
          <t>SCA</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17036-2026</t>
        </is>
      </c>
      <c r="B2753" s="1" t="n">
        <v>46114.47028935186</v>
      </c>
      <c r="C2753" s="1" t="n">
        <v>46161</v>
      </c>
      <c r="D2753" t="inlineStr">
        <is>
          <t>VÄSTERNORRLANDS LÄN</t>
        </is>
      </c>
      <c r="E2753" t="inlineStr">
        <is>
          <t>SOLLEFTEÅ</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17116-2026</t>
        </is>
      </c>
      <c r="B2754" s="1" t="n">
        <v>46114.65675925926</v>
      </c>
      <c r="C2754" s="1" t="n">
        <v>46161</v>
      </c>
      <c r="D2754" t="inlineStr">
        <is>
          <t>VÄSTERNORRLANDS LÄN</t>
        </is>
      </c>
      <c r="E2754" t="inlineStr">
        <is>
          <t>SOLLEFTEÅ</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35019-2022</t>
        </is>
      </c>
      <c r="B2755" s="1" t="n">
        <v>44796.94684027778</v>
      </c>
      <c r="C2755" s="1" t="n">
        <v>46161</v>
      </c>
      <c r="D2755" t="inlineStr">
        <is>
          <t>VÄSTERNORRLANDS LÄN</t>
        </is>
      </c>
      <c r="E2755" t="inlineStr">
        <is>
          <t>SOLLEFTEÅ</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56137-2023</t>
        </is>
      </c>
      <c r="B2756" s="1" t="n">
        <v>45240.59096064815</v>
      </c>
      <c r="C2756" s="1" t="n">
        <v>46161</v>
      </c>
      <c r="D2756" t="inlineStr">
        <is>
          <t>VÄSTERNORRLANDS LÄN</t>
        </is>
      </c>
      <c r="E2756" t="inlineStr">
        <is>
          <t>SOLLEFTEÅ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62262-2022</t>
        </is>
      </c>
      <c r="B2757" s="1" t="n">
        <v>44922.94387731481</v>
      </c>
      <c r="C2757" s="1" t="n">
        <v>46161</v>
      </c>
      <c r="D2757" t="inlineStr">
        <is>
          <t>VÄSTERNORRLANDS LÄN</t>
        </is>
      </c>
      <c r="E2757" t="inlineStr">
        <is>
          <t>SOLLEFTEÅ</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10738-2025</t>
        </is>
      </c>
      <c r="B2758" s="1" t="n">
        <v>45722.40704861111</v>
      </c>
      <c r="C2758" s="1" t="n">
        <v>46161</v>
      </c>
      <c r="D2758" t="inlineStr">
        <is>
          <t>VÄSTERNORRLANDS LÄN</t>
        </is>
      </c>
      <c r="E2758" t="inlineStr">
        <is>
          <t>SOLLEFTEÅ</t>
        </is>
      </c>
      <c r="F2758" t="inlineStr">
        <is>
          <t>SCA</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22655-2026</t>
        </is>
      </c>
      <c r="B2759" s="1" t="n">
        <v>46155.67818287037</v>
      </c>
      <c r="C2759" s="1" t="n">
        <v>46161</v>
      </c>
      <c r="D2759" t="inlineStr">
        <is>
          <t>VÄSTERNORRLANDS LÄN</t>
        </is>
      </c>
      <c r="E2759" t="inlineStr">
        <is>
          <t>SOLLEFTEÅ</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22454-2026</t>
        </is>
      </c>
      <c r="B2760" s="1" t="n">
        <v>46153</v>
      </c>
      <c r="C2760" s="1" t="n">
        <v>46161</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16805-2026</t>
        </is>
      </c>
      <c r="B2761" s="1" t="n">
        <v>46113.49008101852</v>
      </c>
      <c r="C2761" s="1" t="n">
        <v>46161</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22661-2026</t>
        </is>
      </c>
      <c r="B2762" s="1" t="n">
        <v>46155.69856481482</v>
      </c>
      <c r="C2762" s="1" t="n">
        <v>46161</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22442-2026</t>
        </is>
      </c>
      <c r="B2763" s="1" t="n">
        <v>46155.34434027778</v>
      </c>
      <c r="C2763" s="1" t="n">
        <v>46161</v>
      </c>
      <c r="D2763" t="inlineStr">
        <is>
          <t>VÄSTERNORRLANDS LÄN</t>
        </is>
      </c>
      <c r="E2763" t="inlineStr">
        <is>
          <t>SOLLEFTEÅ</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22458-2026</t>
        </is>
      </c>
      <c r="B2764" s="1" t="n">
        <v>46153</v>
      </c>
      <c r="C2764" s="1" t="n">
        <v>46161</v>
      </c>
      <c r="D2764" t="inlineStr">
        <is>
          <t>VÄSTERNORRLANDS LÄN</t>
        </is>
      </c>
      <c r="E2764" t="inlineStr">
        <is>
          <t>SOLLEFTEÅ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22462-2026</t>
        </is>
      </c>
      <c r="B2765" s="1" t="n">
        <v>46155.36511574074</v>
      </c>
      <c r="C2765" s="1" t="n">
        <v>46161</v>
      </c>
      <c r="D2765" t="inlineStr">
        <is>
          <t>VÄSTERNORRLANDS LÄN</t>
        </is>
      </c>
      <c r="E2765" t="inlineStr">
        <is>
          <t>SOLLEFTEÅ</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51193-2024</t>
        </is>
      </c>
      <c r="B2766" s="1" t="n">
        <v>45603.61511574074</v>
      </c>
      <c r="C2766" s="1" t="n">
        <v>46161</v>
      </c>
      <c r="D2766" t="inlineStr">
        <is>
          <t>VÄSTERNORRLANDS LÄN</t>
        </is>
      </c>
      <c r="E2766" t="inlineStr">
        <is>
          <t>SOLLEFTEÅ</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3689-2023</t>
        </is>
      </c>
      <c r="B2767" s="1" t="n">
        <v>44950</v>
      </c>
      <c r="C2767" s="1" t="n">
        <v>46161</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16889-2026</t>
        </is>
      </c>
      <c r="B2768" s="1" t="n">
        <v>46113.61520833334</v>
      </c>
      <c r="C2768" s="1" t="n">
        <v>46161</v>
      </c>
      <c r="D2768" t="inlineStr">
        <is>
          <t>VÄSTERNORRLANDS LÄN</t>
        </is>
      </c>
      <c r="E2768" t="inlineStr">
        <is>
          <t>SOLLEFTEÅ</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57395-2023</t>
        </is>
      </c>
      <c r="B2769" s="1" t="n">
        <v>45245.9678125</v>
      </c>
      <c r="C2769" s="1" t="n">
        <v>46161</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22681-2026</t>
        </is>
      </c>
      <c r="B2770" s="1" t="n">
        <v>46156.42768518518</v>
      </c>
      <c r="C2770" s="1" t="n">
        <v>46161</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12752-2023</t>
        </is>
      </c>
      <c r="B2771" s="1" t="n">
        <v>45000.94854166666</v>
      </c>
      <c r="C2771" s="1" t="n">
        <v>46161</v>
      </c>
      <c r="D2771" t="inlineStr">
        <is>
          <t>VÄSTERNORRLANDS LÄN</t>
        </is>
      </c>
      <c r="E2771" t="inlineStr">
        <is>
          <t>SOLLEFTEÅ</t>
        </is>
      </c>
      <c r="F2771" t="inlineStr">
        <is>
          <t>SCA</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1416-2025</t>
        </is>
      </c>
      <c r="B2772" s="1" t="n">
        <v>45668</v>
      </c>
      <c r="C2772" s="1" t="n">
        <v>46161</v>
      </c>
      <c r="D2772" t="inlineStr">
        <is>
          <t>VÄSTERNORRLANDS LÄN</t>
        </is>
      </c>
      <c r="E2772" t="inlineStr">
        <is>
          <t>SOLLEFTEÅ</t>
        </is>
      </c>
      <c r="G2772" t="n">
        <v>21.3</v>
      </c>
      <c r="H2772" t="n">
        <v>0</v>
      </c>
      <c r="I2772" t="n">
        <v>0</v>
      </c>
      <c r="J2772" t="n">
        <v>0</v>
      </c>
      <c r="K2772" t="n">
        <v>0</v>
      </c>
      <c r="L2772" t="n">
        <v>0</v>
      </c>
      <c r="M2772" t="n">
        <v>0</v>
      </c>
      <c r="N2772" t="n">
        <v>0</v>
      </c>
      <c r="O2772" t="n">
        <v>0</v>
      </c>
      <c r="P2772" t="n">
        <v>0</v>
      </c>
      <c r="Q2772" t="n">
        <v>0</v>
      </c>
      <c r="R2772" s="2" t="inlineStr"/>
    </row>
    <row r="2773" ht="15" customHeight="1">
      <c r="A2773" t="inlineStr">
        <is>
          <t>A 22885-2026</t>
        </is>
      </c>
      <c r="B2773" s="1" t="n">
        <v>46160.47446759259</v>
      </c>
      <c r="C2773" s="1" t="n">
        <v>46161</v>
      </c>
      <c r="D2773" t="inlineStr">
        <is>
          <t>VÄSTERNORRLANDS LÄN</t>
        </is>
      </c>
      <c r="E2773" t="inlineStr">
        <is>
          <t>SOLLEFTEÅ</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31481-2024</t>
        </is>
      </c>
      <c r="B2774" s="1" t="n">
        <v>45505</v>
      </c>
      <c r="C2774" s="1" t="n">
        <v>46161</v>
      </c>
      <c r="D2774" t="inlineStr">
        <is>
          <t>VÄSTERNORRLANDS LÄN</t>
        </is>
      </c>
      <c r="E2774" t="inlineStr">
        <is>
          <t>SOLLEFTEÅ</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18453-2026</t>
        </is>
      </c>
      <c r="B2775" s="1" t="n">
        <v>46127</v>
      </c>
      <c r="C2775" s="1" t="n">
        <v>46161</v>
      </c>
      <c r="D2775" t="inlineStr">
        <is>
          <t>VÄSTERNORRLANDS LÄN</t>
        </is>
      </c>
      <c r="E2775" t="inlineStr">
        <is>
          <t>SOLLEFTEÅ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29290-2022</t>
        </is>
      </c>
      <c r="B2776" s="1" t="n">
        <v>44750</v>
      </c>
      <c r="C2776" s="1" t="n">
        <v>46161</v>
      </c>
      <c r="D2776" t="inlineStr">
        <is>
          <t>VÄSTERNORRLANDS LÄN</t>
        </is>
      </c>
      <c r="E2776" t="inlineStr">
        <is>
          <t>SOLLEFTEÅ</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22976-2026</t>
        </is>
      </c>
      <c r="B2777" s="1" t="n">
        <v>46160.63596064815</v>
      </c>
      <c r="C2777" s="1" t="n">
        <v>46161</v>
      </c>
      <c r="D2777" t="inlineStr">
        <is>
          <t>VÄSTERNORRLANDS LÄN</t>
        </is>
      </c>
      <c r="E2777" t="inlineStr">
        <is>
          <t>SOLLEFTEÅ</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22994-2026</t>
        </is>
      </c>
      <c r="B2778" s="1" t="n">
        <v>46160.67791666667</v>
      </c>
      <c r="C2778" s="1" t="n">
        <v>46161</v>
      </c>
      <c r="D2778" t="inlineStr">
        <is>
          <t>VÄSTERNORRLANDS LÄN</t>
        </is>
      </c>
      <c r="E2778" t="inlineStr">
        <is>
          <t>SOLLEFTEÅ</t>
        </is>
      </c>
      <c r="F2778" t="inlineStr">
        <is>
          <t>SCA</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29693-2024</t>
        </is>
      </c>
      <c r="B2779" s="1" t="n">
        <v>45484.94490740741</v>
      </c>
      <c r="C2779" s="1" t="n">
        <v>46161</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9632-2025</t>
        </is>
      </c>
      <c r="B2780" s="1" t="n">
        <v>45715.71921296296</v>
      </c>
      <c r="C2780" s="1" t="n">
        <v>46161</v>
      </c>
      <c r="D2780" t="inlineStr">
        <is>
          <t>VÄSTERNORRLANDS LÄN</t>
        </is>
      </c>
      <c r="E2780" t="inlineStr">
        <is>
          <t>SOLLEFTEÅ</t>
        </is>
      </c>
      <c r="F2780" t="inlineStr">
        <is>
          <t>SCA</t>
        </is>
      </c>
      <c r="G2780" t="n">
        <v>21.6</v>
      </c>
      <c r="H2780" t="n">
        <v>0</v>
      </c>
      <c r="I2780" t="n">
        <v>0</v>
      </c>
      <c r="J2780" t="n">
        <v>0</v>
      </c>
      <c r="K2780" t="n">
        <v>0</v>
      </c>
      <c r="L2780" t="n">
        <v>0</v>
      </c>
      <c r="M2780" t="n">
        <v>0</v>
      </c>
      <c r="N2780" t="n">
        <v>0</v>
      </c>
      <c r="O2780" t="n">
        <v>0</v>
      </c>
      <c r="P2780" t="n">
        <v>0</v>
      </c>
      <c r="Q2780" t="n">
        <v>0</v>
      </c>
      <c r="R2780" s="2" t="inlineStr"/>
    </row>
    <row r="2781" ht="15" customHeight="1">
      <c r="A2781" t="inlineStr">
        <is>
          <t>A 22734-2026</t>
        </is>
      </c>
      <c r="B2781" s="1" t="n">
        <v>46157.38590277778</v>
      </c>
      <c r="C2781" s="1" t="n">
        <v>46161</v>
      </c>
      <c r="D2781" t="inlineStr">
        <is>
          <t>VÄSTERNORRLANDS LÄN</t>
        </is>
      </c>
      <c r="E2781" t="inlineStr">
        <is>
          <t>SOLLEFTEÅ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22943-2026</t>
        </is>
      </c>
      <c r="B2782" s="1" t="n">
        <v>46160.57356481482</v>
      </c>
      <c r="C2782" s="1" t="n">
        <v>46161</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22988-2026</t>
        </is>
      </c>
      <c r="B2783" s="1" t="n">
        <v>46160.65699074074</v>
      </c>
      <c r="C2783" s="1" t="n">
        <v>46161</v>
      </c>
      <c r="D2783" t="inlineStr">
        <is>
          <t>VÄSTERNORRLANDS LÄN</t>
        </is>
      </c>
      <c r="E2783" t="inlineStr">
        <is>
          <t>SOLLEFTEÅ</t>
        </is>
      </c>
      <c r="F2783" t="inlineStr">
        <is>
          <t>SCA</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22993-2026</t>
        </is>
      </c>
      <c r="B2784" s="1" t="n">
        <v>46160.67783564814</v>
      </c>
      <c r="C2784" s="1" t="n">
        <v>46161</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47631-2024</t>
        </is>
      </c>
      <c r="B2785" s="1" t="n">
        <v>45588.34465277778</v>
      </c>
      <c r="C2785" s="1" t="n">
        <v>46161</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22902-2026</t>
        </is>
      </c>
      <c r="B2786" s="1" t="n">
        <v>46160.49009259259</v>
      </c>
      <c r="C2786" s="1" t="n">
        <v>46161</v>
      </c>
      <c r="D2786" t="inlineStr">
        <is>
          <t>VÄSTERNORRLANDS LÄN</t>
        </is>
      </c>
      <c r="E2786" t="inlineStr">
        <is>
          <t>SOLLEFTEÅ</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21605-2026</t>
        </is>
      </c>
      <c r="B2787" s="1" t="n">
        <v>46149</v>
      </c>
      <c r="C2787" s="1" t="n">
        <v>46161</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22919-2026</t>
        </is>
      </c>
      <c r="B2788" s="1" t="n">
        <v>46160.53192129629</v>
      </c>
      <c r="C2788" s="1" t="n">
        <v>46161</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22977-2026</t>
        </is>
      </c>
      <c r="B2789" s="1" t="n">
        <v>46160.63614583333</v>
      </c>
      <c r="C2789" s="1" t="n">
        <v>46161</v>
      </c>
      <c r="D2789" t="inlineStr">
        <is>
          <t>VÄSTERNORRLANDS LÄN</t>
        </is>
      </c>
      <c r="E2789" t="inlineStr">
        <is>
          <t>SOLLEFTEÅ</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60827-2024</t>
        </is>
      </c>
      <c r="B2790" s="1" t="n">
        <v>45644.63590277778</v>
      </c>
      <c r="C2790" s="1" t="n">
        <v>46161</v>
      </c>
      <c r="D2790" t="inlineStr">
        <is>
          <t>VÄSTERNORRLANDS LÄN</t>
        </is>
      </c>
      <c r="E2790" t="inlineStr">
        <is>
          <t>SOLLEFTEÅ</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22853-2026</t>
        </is>
      </c>
      <c r="B2791" s="1" t="n">
        <v>46160</v>
      </c>
      <c r="C2791" s="1" t="n">
        <v>46161</v>
      </c>
      <c r="D2791" t="inlineStr">
        <is>
          <t>VÄSTERNORRLANDS LÄN</t>
        </is>
      </c>
      <c r="E2791" t="inlineStr">
        <is>
          <t>SOLLEFTEÅ</t>
        </is>
      </c>
      <c r="F2791" t="inlineStr">
        <is>
          <t>Kyrkan</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22840-2026</t>
        </is>
      </c>
      <c r="B2792" s="1" t="n">
        <v>46160.38585648148</v>
      </c>
      <c r="C2792" s="1" t="n">
        <v>46161</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22854-2026</t>
        </is>
      </c>
      <c r="B2793" s="1" t="n">
        <v>46160</v>
      </c>
      <c r="C2793" s="1" t="n">
        <v>46161</v>
      </c>
      <c r="D2793" t="inlineStr">
        <is>
          <t>VÄSTERNORRLANDS LÄN</t>
        </is>
      </c>
      <c r="E2793" t="inlineStr">
        <is>
          <t>SOLLEFTEÅ</t>
        </is>
      </c>
      <c r="F2793" t="inlineStr">
        <is>
          <t>Kyrkan</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22781-2026</t>
        </is>
      </c>
      <c r="B2794" s="1" t="n">
        <v>46157.59427083333</v>
      </c>
      <c r="C2794" s="1" t="n">
        <v>46161</v>
      </c>
      <c r="D2794" t="inlineStr">
        <is>
          <t>VÄSTERNORRLANDS LÄN</t>
        </is>
      </c>
      <c r="E2794" t="inlineStr">
        <is>
          <t>SOLLEFTEÅ</t>
        </is>
      </c>
      <c r="F2794" t="inlineStr">
        <is>
          <t>SCA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6236-2023</t>
        </is>
      </c>
      <c r="B2795" s="1" t="n">
        <v>44964</v>
      </c>
      <c r="C2795" s="1" t="n">
        <v>46161</v>
      </c>
      <c r="D2795" t="inlineStr">
        <is>
          <t>VÄSTERNORRLANDS LÄN</t>
        </is>
      </c>
      <c r="E2795" t="inlineStr">
        <is>
          <t>SOLLEFTEÅ</t>
        </is>
      </c>
      <c r="F2795" t="inlineStr">
        <is>
          <t>SCA</t>
        </is>
      </c>
      <c r="G2795" t="n">
        <v>0.1</v>
      </c>
      <c r="H2795" t="n">
        <v>0</v>
      </c>
      <c r="I2795" t="n">
        <v>0</v>
      </c>
      <c r="J2795" t="n">
        <v>0</v>
      </c>
      <c r="K2795" t="n">
        <v>0</v>
      </c>
      <c r="L2795" t="n">
        <v>0</v>
      </c>
      <c r="M2795" t="n">
        <v>0</v>
      </c>
      <c r="N2795" t="n">
        <v>0</v>
      </c>
      <c r="O2795" t="n">
        <v>0</v>
      </c>
      <c r="P2795" t="n">
        <v>0</v>
      </c>
      <c r="Q2795" t="n">
        <v>0</v>
      </c>
      <c r="R2795" s="2" t="inlineStr"/>
      <c r="U2795">
        <f>HYPERLINK("https://klasma.github.io/Logging_2283/knärot/A 6236-2023 karta knärot.png", "A 6236-2023")</f>
        <v/>
      </c>
      <c r="V2795">
        <f>HYPERLINK("https://klasma.github.io/Logging_2283/klagomål/A 6236-2023 FSC-klagomål.docx", "A 6236-2023")</f>
        <v/>
      </c>
      <c r="W2795">
        <f>HYPERLINK("https://klasma.github.io/Logging_2283/klagomålsmail/A 6236-2023 FSC-klagomål mail.docx", "A 6236-2023")</f>
        <v/>
      </c>
      <c r="X2795">
        <f>HYPERLINK("https://klasma.github.io/Logging_2283/tillsyn/A 6236-2023 tillsynsbegäran.docx", "A 6236-2023")</f>
        <v/>
      </c>
      <c r="Y2795">
        <f>HYPERLINK("https://klasma.github.io/Logging_2283/tillsynsmail/A 6236-2023 tillsynsbegäran mail.docx", "A 6236-2023")</f>
        <v/>
      </c>
    </row>
    <row r="2796" ht="15" customHeight="1">
      <c r="A2796" t="inlineStr">
        <is>
          <t>A 73564-2021</t>
        </is>
      </c>
      <c r="B2796" s="1" t="n">
        <v>44551.9409375</v>
      </c>
      <c r="C2796" s="1" t="n">
        <v>46161</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10618-2024</t>
        </is>
      </c>
      <c r="B2797" s="1" t="n">
        <v>45367</v>
      </c>
      <c r="C2797" s="1" t="n">
        <v>46161</v>
      </c>
      <c r="D2797" t="inlineStr">
        <is>
          <t>VÄSTERNORRLANDS LÄN</t>
        </is>
      </c>
      <c r="E2797" t="inlineStr">
        <is>
          <t>SOLLEFTEÅ</t>
        </is>
      </c>
      <c r="F2797" t="inlineStr">
        <is>
          <t>SCA</t>
        </is>
      </c>
      <c r="G2797" t="n">
        <v>21.1</v>
      </c>
      <c r="H2797" t="n">
        <v>0</v>
      </c>
      <c r="I2797" t="n">
        <v>0</v>
      </c>
      <c r="J2797" t="n">
        <v>0</v>
      </c>
      <c r="K2797" t="n">
        <v>0</v>
      </c>
      <c r="L2797" t="n">
        <v>0</v>
      </c>
      <c r="M2797" t="n">
        <v>0</v>
      </c>
      <c r="N2797" t="n">
        <v>0</v>
      </c>
      <c r="O2797" t="n">
        <v>0</v>
      </c>
      <c r="P2797" t="n">
        <v>0</v>
      </c>
      <c r="Q2797" t="n">
        <v>0</v>
      </c>
      <c r="R2797" s="2" t="inlineStr"/>
    </row>
    <row r="2798" ht="15" customHeight="1">
      <c r="A2798" t="inlineStr">
        <is>
          <t>A 22995-2026</t>
        </is>
      </c>
      <c r="B2798" s="1" t="n">
        <v>46160.67796296296</v>
      </c>
      <c r="C2798" s="1" t="n">
        <v>46161</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13150-2025</t>
        </is>
      </c>
      <c r="B2799" s="1" t="n">
        <v>45735.34439814815</v>
      </c>
      <c r="C2799" s="1" t="n">
        <v>46161</v>
      </c>
      <c r="D2799" t="inlineStr">
        <is>
          <t>VÄSTERNORRLANDS LÄN</t>
        </is>
      </c>
      <c r="E2799" t="inlineStr">
        <is>
          <t>SOLLEFTEÅ</t>
        </is>
      </c>
      <c r="F2799" t="inlineStr">
        <is>
          <t>SCA</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25314-2023</t>
        </is>
      </c>
      <c r="B2800" s="1" t="n">
        <v>45086</v>
      </c>
      <c r="C2800" s="1" t="n">
        <v>46161</v>
      </c>
      <c r="D2800" t="inlineStr">
        <is>
          <t>VÄSTERNORRLANDS LÄN</t>
        </is>
      </c>
      <c r="E2800" t="inlineStr">
        <is>
          <t>SOLLEFTEÅ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16795-2025</t>
        </is>
      </c>
      <c r="B2801" s="1" t="n">
        <v>45754.61487268518</v>
      </c>
      <c r="C2801" s="1" t="n">
        <v>46161</v>
      </c>
      <c r="D2801" t="inlineStr">
        <is>
          <t>VÄSTERNORRLANDS LÄN</t>
        </is>
      </c>
      <c r="E2801" t="inlineStr">
        <is>
          <t>SOLLEFTEÅ</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56262-2023</t>
        </is>
      </c>
      <c r="B2802" s="1" t="n">
        <v>45240</v>
      </c>
      <c r="C2802" s="1" t="n">
        <v>46161</v>
      </c>
      <c r="D2802" t="inlineStr">
        <is>
          <t>VÄSTERNORRLANDS LÄN</t>
        </is>
      </c>
      <c r="E2802" t="inlineStr">
        <is>
          <t>SOLLEFTEÅ</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1997-2022</t>
        </is>
      </c>
      <c r="B2803" s="1" t="n">
        <v>44575</v>
      </c>
      <c r="C2803" s="1" t="n">
        <v>46161</v>
      </c>
      <c r="D2803" t="inlineStr">
        <is>
          <t>VÄSTERNORRLANDS LÄN</t>
        </is>
      </c>
      <c r="E2803" t="inlineStr">
        <is>
          <t>SOLLEFTEÅ</t>
        </is>
      </c>
      <c r="G2803" t="n">
        <v>8.800000000000001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7942-2025</t>
        </is>
      </c>
      <c r="B2804" s="1" t="n">
        <v>45707</v>
      </c>
      <c r="C2804" s="1" t="n">
        <v>46161</v>
      </c>
      <c r="D2804" t="inlineStr">
        <is>
          <t>VÄSTERNORRLANDS LÄN</t>
        </is>
      </c>
      <c r="E2804" t="inlineStr">
        <is>
          <t>SOLLEFTEÅ</t>
        </is>
      </c>
      <c r="F2804" t="inlineStr">
        <is>
          <t>SCA</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32812-2024</t>
        </is>
      </c>
      <c r="B2805" s="1" t="n">
        <v>45516</v>
      </c>
      <c r="C2805" s="1" t="n">
        <v>46161</v>
      </c>
      <c r="D2805" t="inlineStr">
        <is>
          <t>VÄSTERNORRLANDS LÄN</t>
        </is>
      </c>
      <c r="E2805" t="inlineStr">
        <is>
          <t>SOLLEFTEÅ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48083-2023</t>
        </is>
      </c>
      <c r="B2806" s="1" t="n">
        <v>45204</v>
      </c>
      <c r="C2806" s="1" t="n">
        <v>46161</v>
      </c>
      <c r="D2806" t="inlineStr">
        <is>
          <t>VÄSTERNORRLANDS LÄN</t>
        </is>
      </c>
      <c r="E2806" t="inlineStr">
        <is>
          <t>SOLLEFTEÅ</t>
        </is>
      </c>
      <c r="F2806" t="inlineStr">
        <is>
          <t>SCA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4261-2025</t>
        </is>
      </c>
      <c r="B2807" s="1" t="n">
        <v>45685.61785879629</v>
      </c>
      <c r="C2807" s="1" t="n">
        <v>46161</v>
      </c>
      <c r="D2807" t="inlineStr">
        <is>
          <t>VÄSTERNORRLANDS LÄN</t>
        </is>
      </c>
      <c r="E2807" t="inlineStr">
        <is>
          <t>SOLLEFTEÅ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41834-2024</t>
        </is>
      </c>
      <c r="B2808" s="1" t="n">
        <v>45561.4084375</v>
      </c>
      <c r="C2808" s="1" t="n">
        <v>46161</v>
      </c>
      <c r="D2808" t="inlineStr">
        <is>
          <t>VÄSTERNORRLANDS LÄN</t>
        </is>
      </c>
      <c r="E2808" t="inlineStr">
        <is>
          <t>SOLLEFTEÅ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41975-2024</t>
        </is>
      </c>
      <c r="B2809" s="1" t="n">
        <v>45561</v>
      </c>
      <c r="C2809" s="1" t="n">
        <v>46161</v>
      </c>
      <c r="D2809" t="inlineStr">
        <is>
          <t>VÄSTERNORRLANDS LÄN</t>
        </is>
      </c>
      <c r="E2809" t="inlineStr">
        <is>
          <t>SOLLEFTEÅ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58845-2024</t>
        </is>
      </c>
      <c r="B2810" s="1" t="n">
        <v>45636.3862037037</v>
      </c>
      <c r="C2810" s="1" t="n">
        <v>46161</v>
      </c>
      <c r="D2810" t="inlineStr">
        <is>
          <t>VÄSTERNORRLANDS LÄN</t>
        </is>
      </c>
      <c r="E2810" t="inlineStr">
        <is>
          <t>SOLLEFTEÅ</t>
        </is>
      </c>
      <c r="F2810" t="inlineStr">
        <is>
          <t>SCA</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56388-2024</t>
        </is>
      </c>
      <c r="B2811" s="1" t="n">
        <v>45625.34449074074</v>
      </c>
      <c r="C2811" s="1" t="n">
        <v>46161</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53939-2023</t>
        </is>
      </c>
      <c r="B2812" s="1" t="n">
        <v>45224</v>
      </c>
      <c r="C2812" s="1" t="n">
        <v>46161</v>
      </c>
      <c r="D2812" t="inlineStr">
        <is>
          <t>VÄSTERNORRLANDS LÄN</t>
        </is>
      </c>
      <c r="E2812" t="inlineStr">
        <is>
          <t>SOLLEFTEÅ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41924-2023</t>
        </is>
      </c>
      <c r="B2813" s="1" t="n">
        <v>45176</v>
      </c>
      <c r="C2813" s="1" t="n">
        <v>46161</v>
      </c>
      <c r="D2813" t="inlineStr">
        <is>
          <t>VÄSTERNORRLANDS LÄN</t>
        </is>
      </c>
      <c r="E2813" t="inlineStr">
        <is>
          <t>SOLLEFTEÅ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35872-2024</t>
        </is>
      </c>
      <c r="B2814" s="1" t="n">
        <v>45533</v>
      </c>
      <c r="C2814" s="1" t="n">
        <v>46161</v>
      </c>
      <c r="D2814" t="inlineStr">
        <is>
          <t>VÄSTERNORRLANDS LÄN</t>
        </is>
      </c>
      <c r="E2814" t="inlineStr">
        <is>
          <t>SOLLEFTEÅ</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21582-2022</t>
        </is>
      </c>
      <c r="B2815" s="1" t="n">
        <v>44706</v>
      </c>
      <c r="C2815" s="1" t="n">
        <v>46161</v>
      </c>
      <c r="D2815" t="inlineStr">
        <is>
          <t>VÄSTERNORRLANDS LÄN</t>
        </is>
      </c>
      <c r="E2815" t="inlineStr">
        <is>
          <t>SOLLEFTEÅ</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13858-2025</t>
        </is>
      </c>
      <c r="B2816" s="1" t="n">
        <v>45737.57341435185</v>
      </c>
      <c r="C2816" s="1" t="n">
        <v>46161</v>
      </c>
      <c r="D2816" t="inlineStr">
        <is>
          <t>VÄSTERNORRLANDS LÄN</t>
        </is>
      </c>
      <c r="E2816" t="inlineStr">
        <is>
          <t>SOLLEFTEÅ</t>
        </is>
      </c>
      <c r="F2816" t="inlineStr">
        <is>
          <t>SCA</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16312-2025</t>
        </is>
      </c>
      <c r="B2817" s="1" t="n">
        <v>45751.3474074074</v>
      </c>
      <c r="C2817" s="1" t="n">
        <v>46161</v>
      </c>
      <c r="D2817" t="inlineStr">
        <is>
          <t>VÄSTERNORRLANDS LÄN</t>
        </is>
      </c>
      <c r="E2817" t="inlineStr">
        <is>
          <t>SOLLEFTEÅ</t>
        </is>
      </c>
      <c r="F2817" t="inlineStr">
        <is>
          <t>SCA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12683-2025</t>
        </is>
      </c>
      <c r="B2818" s="1" t="n">
        <v>45733.44483796296</v>
      </c>
      <c r="C2818" s="1" t="n">
        <v>46161</v>
      </c>
      <c r="D2818" t="inlineStr">
        <is>
          <t>VÄSTERNORRLANDS LÄN</t>
        </is>
      </c>
      <c r="E2818" t="inlineStr">
        <is>
          <t>SOLLEFTEÅ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58478-2021</t>
        </is>
      </c>
      <c r="B2819" s="1" t="n">
        <v>44488</v>
      </c>
      <c r="C2819" s="1" t="n">
        <v>46161</v>
      </c>
      <c r="D2819" t="inlineStr">
        <is>
          <t>VÄSTERNORRLANDS LÄN</t>
        </is>
      </c>
      <c r="E2819" t="inlineStr">
        <is>
          <t>SOLLEFTEÅ</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46161</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35217-2024</t>
        </is>
      </c>
      <c r="B2821" s="1" t="n">
        <v>45530</v>
      </c>
      <c r="C2821" s="1" t="n">
        <v>46161</v>
      </c>
      <c r="D2821" t="inlineStr">
        <is>
          <t>VÄSTERNORRLANDS LÄN</t>
        </is>
      </c>
      <c r="E2821" t="inlineStr">
        <is>
          <t>SOLLEFTEÅ</t>
        </is>
      </c>
      <c r="F2821" t="inlineStr">
        <is>
          <t>Kommuner</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49771-2024</t>
        </is>
      </c>
      <c r="B2822" s="1" t="n">
        <v>45597.34481481482</v>
      </c>
      <c r="C2822" s="1" t="n">
        <v>46161</v>
      </c>
      <c r="D2822" t="inlineStr">
        <is>
          <t>VÄSTERNORRLANDS LÄN</t>
        </is>
      </c>
      <c r="E2822" t="inlineStr">
        <is>
          <t>SOLLEFTEÅ</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49772-2024</t>
        </is>
      </c>
      <c r="B2823" s="1" t="n">
        <v>45597.34483796296</v>
      </c>
      <c r="C2823" s="1" t="n">
        <v>46161</v>
      </c>
      <c r="D2823" t="inlineStr">
        <is>
          <t>VÄSTERNORRLANDS LÄN</t>
        </is>
      </c>
      <c r="E2823" t="inlineStr">
        <is>
          <t>SOLLEFTEÅ</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71580-2021</t>
        </is>
      </c>
      <c r="B2824" s="1" t="n">
        <v>44540</v>
      </c>
      <c r="C2824" s="1" t="n">
        <v>46161</v>
      </c>
      <c r="D2824" t="inlineStr">
        <is>
          <t>VÄSTERNORRLANDS LÄN</t>
        </is>
      </c>
      <c r="E2824" t="inlineStr">
        <is>
          <t>SOLLEFTEÅ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13315-2025</t>
        </is>
      </c>
      <c r="B2825" s="1" t="n">
        <v>45735.59418981482</v>
      </c>
      <c r="C2825" s="1" t="n">
        <v>46161</v>
      </c>
      <c r="D2825" t="inlineStr">
        <is>
          <t>VÄSTERNORRLANDS LÄN</t>
        </is>
      </c>
      <c r="E2825" t="inlineStr">
        <is>
          <t>SOLLEFTEÅ</t>
        </is>
      </c>
      <c r="F2825" t="inlineStr">
        <is>
          <t>SCA</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47179-2024</t>
        </is>
      </c>
      <c r="B2826" s="1" t="n">
        <v>45586.61634259259</v>
      </c>
      <c r="C2826" s="1" t="n">
        <v>46161</v>
      </c>
      <c r="D2826" t="inlineStr">
        <is>
          <t>VÄSTERNORRLANDS LÄN</t>
        </is>
      </c>
      <c r="E2826" t="inlineStr">
        <is>
          <t>SOLLEFTEÅ</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15260-2025</t>
        </is>
      </c>
      <c r="B2827" s="1" t="n">
        <v>45744.65659722222</v>
      </c>
      <c r="C2827" s="1" t="n">
        <v>46161</v>
      </c>
      <c r="D2827" t="inlineStr">
        <is>
          <t>VÄSTERNORRLANDS LÄN</t>
        </is>
      </c>
      <c r="E2827" t="inlineStr">
        <is>
          <t>SOLLEFTEÅ</t>
        </is>
      </c>
      <c r="F2827" t="inlineStr">
        <is>
          <t>SCA</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57080-2023</t>
        </is>
      </c>
      <c r="B2828" s="1" t="n">
        <v>45244</v>
      </c>
      <c r="C2828" s="1" t="n">
        <v>46161</v>
      </c>
      <c r="D2828" t="inlineStr">
        <is>
          <t>VÄSTERNORRLANDS LÄN</t>
        </is>
      </c>
      <c r="E2828" t="inlineStr">
        <is>
          <t>SOLLEFTEÅ</t>
        </is>
      </c>
      <c r="F2828" t="inlineStr">
        <is>
          <t>SCA</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1848-2024</t>
        </is>
      </c>
      <c r="B2829" s="1" t="n">
        <v>45307</v>
      </c>
      <c r="C2829" s="1" t="n">
        <v>46161</v>
      </c>
      <c r="D2829" t="inlineStr">
        <is>
          <t>VÄSTERNORRLANDS LÄN</t>
        </is>
      </c>
      <c r="E2829" t="inlineStr">
        <is>
          <t>SOLLEFTEÅ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53212-2024</t>
        </is>
      </c>
      <c r="B2830" s="1" t="n">
        <v>45612.63576388889</v>
      </c>
      <c r="C2830" s="1" t="n">
        <v>46161</v>
      </c>
      <c r="D2830" t="inlineStr">
        <is>
          <t>VÄSTERNORRLANDS LÄN</t>
        </is>
      </c>
      <c r="E2830" t="inlineStr">
        <is>
          <t>SOLLEFTEÅ</t>
        </is>
      </c>
      <c r="F2830" t="inlineStr">
        <is>
          <t>SCA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9124-2022</t>
        </is>
      </c>
      <c r="B2831" s="1" t="n">
        <v>44615.58287037037</v>
      </c>
      <c r="C2831" s="1" t="n">
        <v>46161</v>
      </c>
      <c r="D2831" t="inlineStr">
        <is>
          <t>VÄSTERNORRLANDS LÄN</t>
        </is>
      </c>
      <c r="E2831" t="inlineStr">
        <is>
          <t>SOLLEFTEÅ</t>
        </is>
      </c>
      <c r="G2831" t="n">
        <v>20.2</v>
      </c>
      <c r="H2831" t="n">
        <v>0</v>
      </c>
      <c r="I2831" t="n">
        <v>0</v>
      </c>
      <c r="J2831" t="n">
        <v>0</v>
      </c>
      <c r="K2831" t="n">
        <v>0</v>
      </c>
      <c r="L2831" t="n">
        <v>0</v>
      </c>
      <c r="M2831" t="n">
        <v>0</v>
      </c>
      <c r="N2831" t="n">
        <v>0</v>
      </c>
      <c r="O2831" t="n">
        <v>0</v>
      </c>
      <c r="P2831" t="n">
        <v>0</v>
      </c>
      <c r="Q2831" t="n">
        <v>0</v>
      </c>
      <c r="R2831" s="2" t="inlineStr"/>
    </row>
    <row r="2832" ht="15" customHeight="1">
      <c r="A2832" t="inlineStr">
        <is>
          <t>A 9253-2025</t>
        </is>
      </c>
      <c r="B2832" s="1" t="n">
        <v>45714.59430555555</v>
      </c>
      <c r="C2832" s="1" t="n">
        <v>46161</v>
      </c>
      <c r="D2832" t="inlineStr">
        <is>
          <t>VÄSTERNORRLANDS LÄN</t>
        </is>
      </c>
      <c r="E2832" t="inlineStr">
        <is>
          <t>SOLLEFTEÅ</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20799-2024</t>
        </is>
      </c>
      <c r="B2833" s="1" t="n">
        <v>45438</v>
      </c>
      <c r="C2833" s="1" t="n">
        <v>46161</v>
      </c>
      <c r="D2833" t="inlineStr">
        <is>
          <t>VÄSTERNORRLANDS LÄN</t>
        </is>
      </c>
      <c r="E2833" t="inlineStr">
        <is>
          <t>SOLLEFTEÅ</t>
        </is>
      </c>
      <c r="F2833" t="inlineStr">
        <is>
          <t>SCA</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2583-2025</t>
        </is>
      </c>
      <c r="B2834" s="1" t="n">
        <v>45674.67803240741</v>
      </c>
      <c r="C2834" s="1" t="n">
        <v>46161</v>
      </c>
      <c r="D2834" t="inlineStr">
        <is>
          <t>VÄSTERNORRLANDS LÄN</t>
        </is>
      </c>
      <c r="E2834" t="inlineStr">
        <is>
          <t>SOLLEFTEÅ</t>
        </is>
      </c>
      <c r="F2834" t="inlineStr">
        <is>
          <t>SCA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14036-2025</t>
        </is>
      </c>
      <c r="B2835" s="1" t="n">
        <v>45740.36508101852</v>
      </c>
      <c r="C2835" s="1" t="n">
        <v>46161</v>
      </c>
      <c r="D2835" t="inlineStr">
        <is>
          <t>VÄSTERNORRLANDS LÄN</t>
        </is>
      </c>
      <c r="E2835" t="inlineStr">
        <is>
          <t>SOLLEFTEÅ</t>
        </is>
      </c>
      <c r="F2835" t="inlineStr">
        <is>
          <t>SCA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59564-2024</t>
        </is>
      </c>
      <c r="B2836" s="1" t="n">
        <v>45638.6375</v>
      </c>
      <c r="C2836" s="1" t="n">
        <v>46161</v>
      </c>
      <c r="D2836" t="inlineStr">
        <is>
          <t>VÄSTERNORRLANDS LÄN</t>
        </is>
      </c>
      <c r="E2836" t="inlineStr">
        <is>
          <t>SOLLEFTEÅ</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49036-2023</t>
        </is>
      </c>
      <c r="B2837" s="1" t="n">
        <v>45209.95693287037</v>
      </c>
      <c r="C2837" s="1" t="n">
        <v>46161</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7009-2023</t>
        </is>
      </c>
      <c r="B2838" s="1" t="n">
        <v>44967.92959490741</v>
      </c>
      <c r="C2838" s="1" t="n">
        <v>46161</v>
      </c>
      <c r="D2838" t="inlineStr">
        <is>
          <t>VÄSTERNORRLANDS LÄN</t>
        </is>
      </c>
      <c r="E2838" t="inlineStr">
        <is>
          <t>SOLLEFTEÅ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6736-2025</t>
        </is>
      </c>
      <c r="B2839" s="1" t="n">
        <v>45700.59442129629</v>
      </c>
      <c r="C2839" s="1" t="n">
        <v>46161</v>
      </c>
      <c r="D2839" t="inlineStr">
        <is>
          <t>VÄSTERNORRLANDS LÄN</t>
        </is>
      </c>
      <c r="E2839" t="inlineStr">
        <is>
          <t>SOLLEFTEÅ</t>
        </is>
      </c>
      <c r="F2839" t="inlineStr">
        <is>
          <t>SCA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49156-2024</t>
        </is>
      </c>
      <c r="B2840" s="1" t="n">
        <v>45594.834375</v>
      </c>
      <c r="C2840" s="1" t="n">
        <v>46161</v>
      </c>
      <c r="D2840" t="inlineStr">
        <is>
          <t>VÄSTERNORRLANDS LÄN</t>
        </is>
      </c>
      <c r="E2840" t="inlineStr">
        <is>
          <t>SOLLEFTEÅ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17049-2022</t>
        </is>
      </c>
      <c r="B2841" s="1" t="n">
        <v>44676</v>
      </c>
      <c r="C2841" s="1" t="n">
        <v>46161</v>
      </c>
      <c r="D2841" t="inlineStr">
        <is>
          <t>VÄSTERNORRLANDS LÄN</t>
        </is>
      </c>
      <c r="E2841" t="inlineStr">
        <is>
          <t>SOLLEFTEÅ</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HYPERLINK("https://klasma.github.io/Logging_2283/knärot/A 17049-2022 karta knärot.png", "A 17049-2022")</f>
        <v/>
      </c>
      <c r="V2841">
        <f>HYPERLINK("https://klasma.github.io/Logging_2283/klagomål/A 17049-2022 FSC-klagomål.docx", "A 17049-2022")</f>
        <v/>
      </c>
      <c r="W2841">
        <f>HYPERLINK("https://klasma.github.io/Logging_2283/klagomålsmail/A 17049-2022 FSC-klagomål mail.docx", "A 17049-2022")</f>
        <v/>
      </c>
      <c r="X2841">
        <f>HYPERLINK("https://klasma.github.io/Logging_2283/tillsyn/A 17049-2022 tillsynsbegäran.docx", "A 17049-2022")</f>
        <v/>
      </c>
      <c r="Y2841">
        <f>HYPERLINK("https://klasma.github.io/Logging_2283/tillsynsmail/A 17049-2022 tillsynsbegäran mail.docx", "A 17049-2022")</f>
        <v/>
      </c>
    </row>
    <row r="2842" ht="15" customHeight="1">
      <c r="A2842" t="inlineStr">
        <is>
          <t>A 2580-2025</t>
        </is>
      </c>
      <c r="B2842" s="1" t="n">
        <v>45674</v>
      </c>
      <c r="C2842" s="1" t="n">
        <v>46161</v>
      </c>
      <c r="D2842" t="inlineStr">
        <is>
          <t>VÄSTERNORRLANDS LÄN</t>
        </is>
      </c>
      <c r="E2842" t="inlineStr">
        <is>
          <t>SOLLEFTEÅ</t>
        </is>
      </c>
      <c r="F2842" t="inlineStr">
        <is>
          <t>SCA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56134-2023</t>
        </is>
      </c>
      <c r="B2843" s="1" t="n">
        <v>45240</v>
      </c>
      <c r="C2843" s="1" t="n">
        <v>46161</v>
      </c>
      <c r="D2843" t="inlineStr">
        <is>
          <t>VÄSTERNORRLANDS LÄN</t>
        </is>
      </c>
      <c r="E2843" t="inlineStr">
        <is>
          <t>SOLLEFTEÅ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2345-2025</t>
        </is>
      </c>
      <c r="B2844" s="1" t="n">
        <v>45673.67747685185</v>
      </c>
      <c r="C2844" s="1" t="n">
        <v>46161</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6735-2025</t>
        </is>
      </c>
      <c r="B2845" s="1" t="n">
        <v>45700.59434027778</v>
      </c>
      <c r="C2845" s="1" t="n">
        <v>46161</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6737-2025</t>
        </is>
      </c>
      <c r="B2846" s="1" t="n">
        <v>45700.59450231482</v>
      </c>
      <c r="C2846" s="1" t="n">
        <v>46161</v>
      </c>
      <c r="D2846" t="inlineStr">
        <is>
          <t>VÄSTERNORRLANDS LÄN</t>
        </is>
      </c>
      <c r="E2846" t="inlineStr">
        <is>
          <t>SOLLEFTEÅ</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31556-2024</t>
        </is>
      </c>
      <c r="B2847" s="1" t="n">
        <v>45505</v>
      </c>
      <c r="C2847" s="1" t="n">
        <v>46161</v>
      </c>
      <c r="D2847" t="inlineStr">
        <is>
          <t>VÄSTERNORRLANDS LÄN</t>
        </is>
      </c>
      <c r="E2847" t="inlineStr">
        <is>
          <t>SOLLEFTEÅ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54978-2023</t>
        </is>
      </c>
      <c r="B2848" s="1" t="n">
        <v>45236.96600694444</v>
      </c>
      <c r="C2848" s="1" t="n">
        <v>46161</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55650-2023</t>
        </is>
      </c>
      <c r="B2849" s="1" t="n">
        <v>45238.96600694444</v>
      </c>
      <c r="C2849" s="1" t="n">
        <v>46161</v>
      </c>
      <c r="D2849" t="inlineStr">
        <is>
          <t>VÄSTERNORRLANDS LÄN</t>
        </is>
      </c>
      <c r="E2849" t="inlineStr">
        <is>
          <t>SOLLEFTEÅ</t>
        </is>
      </c>
      <c r="F2849" t="inlineStr">
        <is>
          <t>SCA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9557-2024</t>
        </is>
      </c>
      <c r="B2850" s="1" t="n">
        <v>45360</v>
      </c>
      <c r="C2850" s="1" t="n">
        <v>46161</v>
      </c>
      <c r="D2850" t="inlineStr">
        <is>
          <t>VÄSTERNORRLANDS LÄN</t>
        </is>
      </c>
      <c r="E2850" t="inlineStr">
        <is>
          <t>SOLLEFTEÅ</t>
        </is>
      </c>
      <c r="F2850" t="inlineStr">
        <is>
          <t>SCA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49665-2022</t>
        </is>
      </c>
      <c r="B2851" s="1" t="n">
        <v>44862</v>
      </c>
      <c r="C2851" s="1" t="n">
        <v>46161</v>
      </c>
      <c r="D2851" t="inlineStr">
        <is>
          <t>VÄSTERNORRLANDS LÄN</t>
        </is>
      </c>
      <c r="E2851" t="inlineStr">
        <is>
          <t>SOLLEFTEÅ</t>
        </is>
      </c>
      <c r="F2851" t="inlineStr">
        <is>
          <t>Holmen skog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56398-2024</t>
        </is>
      </c>
      <c r="B2852" s="1" t="n">
        <v>45625.35395833333</v>
      </c>
      <c r="C2852" s="1" t="n">
        <v>46161</v>
      </c>
      <c r="D2852" t="inlineStr">
        <is>
          <t>VÄSTERNORRLANDS LÄN</t>
        </is>
      </c>
      <c r="E2852" t="inlineStr">
        <is>
          <t>SOLLEFTEÅ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8712-2025</t>
        </is>
      </c>
      <c r="B2853" s="1" t="n">
        <v>45712.49872685185</v>
      </c>
      <c r="C2853" s="1" t="n">
        <v>46161</v>
      </c>
      <c r="D2853" t="inlineStr">
        <is>
          <t>VÄSTERNORRLANDS LÄN</t>
        </is>
      </c>
      <c r="E2853" t="inlineStr">
        <is>
          <t>SOLLEFTEÅ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3548-2022</t>
        </is>
      </c>
      <c r="B2854" s="1" t="n">
        <v>44585.93784722222</v>
      </c>
      <c r="C2854" s="1" t="n">
        <v>46161</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7036-2025</t>
        </is>
      </c>
      <c r="B2855" s="1" t="n">
        <v>45701.63597222222</v>
      </c>
      <c r="C2855" s="1" t="n">
        <v>46161</v>
      </c>
      <c r="D2855" t="inlineStr">
        <is>
          <t>VÄSTERNORRLANDS LÄN</t>
        </is>
      </c>
      <c r="E2855" t="inlineStr">
        <is>
          <t>SOLLEFTEÅ</t>
        </is>
      </c>
      <c r="F2855" t="inlineStr">
        <is>
          <t>SCA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34638-2024</t>
        </is>
      </c>
      <c r="B2856" s="1" t="n">
        <v>45526</v>
      </c>
      <c r="C2856" s="1" t="n">
        <v>46161</v>
      </c>
      <c r="D2856" t="inlineStr">
        <is>
          <t>VÄSTERNORRLANDS LÄN</t>
        </is>
      </c>
      <c r="E2856" t="inlineStr">
        <is>
          <t>SOLLEFTEÅ</t>
        </is>
      </c>
      <c r="F2856" t="inlineStr">
        <is>
          <t>SCA</t>
        </is>
      </c>
      <c r="G2856" t="n">
        <v>3.3</v>
      </c>
      <c r="H2856" t="n">
        <v>0</v>
      </c>
      <c r="I2856" t="n">
        <v>0</v>
      </c>
      <c r="J2856" t="n">
        <v>0</v>
      </c>
      <c r="K2856" t="n">
        <v>0</v>
      </c>
      <c r="L2856" t="n">
        <v>0</v>
      </c>
      <c r="M2856" t="n">
        <v>0</v>
      </c>
      <c r="N2856" t="n">
        <v>0</v>
      </c>
      <c r="O2856" t="n">
        <v>0</v>
      </c>
      <c r="P2856" t="n">
        <v>0</v>
      </c>
      <c r="Q2856" t="n">
        <v>0</v>
      </c>
      <c r="R2856" s="2" t="inlineStr"/>
      <c r="U2856">
        <f>HYPERLINK("https://klasma.github.io/Logging_2283/knärot/A 34638-2024 karta knärot.png", "A 34638-2024")</f>
        <v/>
      </c>
      <c r="V2856">
        <f>HYPERLINK("https://klasma.github.io/Logging_2283/klagomål/A 34638-2024 FSC-klagomål.docx", "A 34638-2024")</f>
        <v/>
      </c>
      <c r="W2856">
        <f>HYPERLINK("https://klasma.github.io/Logging_2283/klagomålsmail/A 34638-2024 FSC-klagomål mail.docx", "A 34638-2024")</f>
        <v/>
      </c>
      <c r="X2856">
        <f>HYPERLINK("https://klasma.github.io/Logging_2283/tillsyn/A 34638-2024 tillsynsbegäran.docx", "A 34638-2024")</f>
        <v/>
      </c>
      <c r="Y2856">
        <f>HYPERLINK("https://klasma.github.io/Logging_2283/tillsynsmail/A 34638-2024 tillsynsbegäran mail.docx", "A 34638-2024")</f>
        <v/>
      </c>
    </row>
    <row r="2857" ht="15" customHeight="1">
      <c r="A2857" t="inlineStr">
        <is>
          <t>A 29337-2023</t>
        </is>
      </c>
      <c r="B2857" s="1" t="n">
        <v>45105</v>
      </c>
      <c r="C2857" s="1" t="n">
        <v>46161</v>
      </c>
      <c r="D2857" t="inlineStr">
        <is>
          <t>VÄSTERNORRLANDS LÄN</t>
        </is>
      </c>
      <c r="E2857" t="inlineStr">
        <is>
          <t>SOLLEFTEÅ</t>
        </is>
      </c>
      <c r="F2857" t="inlineStr">
        <is>
          <t>SCA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17258-2025</t>
        </is>
      </c>
      <c r="B2858" s="1" t="n">
        <v>45756.53278935186</v>
      </c>
      <c r="C2858" s="1" t="n">
        <v>46161</v>
      </c>
      <c r="D2858" t="inlineStr">
        <is>
          <t>VÄSTERNORRLANDS LÄN</t>
        </is>
      </c>
      <c r="E2858" t="inlineStr">
        <is>
          <t>SOLLEFTEÅ</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19051-2022</t>
        </is>
      </c>
      <c r="B2859" s="1" t="n">
        <v>44691.41167824074</v>
      </c>
      <c r="C2859" s="1" t="n">
        <v>46161</v>
      </c>
      <c r="D2859" t="inlineStr">
        <is>
          <t>VÄSTERNORRLANDS LÄN</t>
        </is>
      </c>
      <c r="E2859" t="inlineStr">
        <is>
          <t>SOLLEFTEÅ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11539-2024</t>
        </is>
      </c>
      <c r="B2860" s="1" t="n">
        <v>45372.9560300926</v>
      </c>
      <c r="C2860" s="1" t="n">
        <v>46161</v>
      </c>
      <c r="D2860" t="inlineStr">
        <is>
          <t>VÄSTERNORRLANDS LÄN</t>
        </is>
      </c>
      <c r="E2860" t="inlineStr">
        <is>
          <t>SOLLEFTEÅ</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22668-2024</t>
        </is>
      </c>
      <c r="B2861" s="1" t="n">
        <v>45447.94453703704</v>
      </c>
      <c r="C2861" s="1" t="n">
        <v>46161</v>
      </c>
      <c r="D2861" t="inlineStr">
        <is>
          <t>VÄSTERNORRLANDS LÄN</t>
        </is>
      </c>
      <c r="E2861" t="inlineStr">
        <is>
          <t>SOLLEFTEÅ</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49673-2024</t>
        </is>
      </c>
      <c r="B2862" s="1" t="n">
        <v>45596.65657407408</v>
      </c>
      <c r="C2862" s="1" t="n">
        <v>46161</v>
      </c>
      <c r="D2862" t="inlineStr">
        <is>
          <t>VÄSTERNORRLANDS LÄN</t>
        </is>
      </c>
      <c r="E2862" t="inlineStr">
        <is>
          <t>SOLLEFTEÅ</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58463-2024</t>
        </is>
      </c>
      <c r="B2863" s="1" t="n">
        <v>45635.36650462963</v>
      </c>
      <c r="C2863" s="1" t="n">
        <v>46161</v>
      </c>
      <c r="D2863" t="inlineStr">
        <is>
          <t>VÄSTERNORRLANDS LÄN</t>
        </is>
      </c>
      <c r="E2863" t="inlineStr">
        <is>
          <t>SOLLEFTEÅ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13008-2023</t>
        </is>
      </c>
      <c r="B2864" s="1" t="n">
        <v>45002</v>
      </c>
      <c r="C2864" s="1" t="n">
        <v>46161</v>
      </c>
      <c r="D2864" t="inlineStr">
        <is>
          <t>VÄSTERNORRLANDS LÄN</t>
        </is>
      </c>
      <c r="E2864" t="inlineStr">
        <is>
          <t>SOLLEFTEÅ</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45404.99732638889</v>
      </c>
      <c r="C2865" s="1" t="n">
        <v>46161</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42228-2021</t>
        </is>
      </c>
      <c r="B2866" s="1" t="n">
        <v>44426</v>
      </c>
      <c r="C2866" s="1" t="n">
        <v>46161</v>
      </c>
      <c r="D2866" t="inlineStr">
        <is>
          <t>VÄSTERNORRLANDS LÄN</t>
        </is>
      </c>
      <c r="E2866" t="inlineStr">
        <is>
          <t>SOLLEFTEÅ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51440-2021</t>
        </is>
      </c>
      <c r="B2867" s="1" t="n">
        <v>44461</v>
      </c>
      <c r="C2867" s="1" t="n">
        <v>46161</v>
      </c>
      <c r="D2867" t="inlineStr">
        <is>
          <t>VÄSTERNORRLANDS LÄN</t>
        </is>
      </c>
      <c r="E2867" t="inlineStr">
        <is>
          <t>SOLLEFTEÅ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17481-2025</t>
        </is>
      </c>
      <c r="B2868" s="1" t="n">
        <v>45757.48979166667</v>
      </c>
      <c r="C2868" s="1" t="n">
        <v>46161</v>
      </c>
      <c r="D2868" t="inlineStr">
        <is>
          <t>VÄSTERNORRLANDS LÄN</t>
        </is>
      </c>
      <c r="E2868" t="inlineStr">
        <is>
          <t>SOLLEFTEÅ</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21095-2024</t>
        </is>
      </c>
      <c r="B2869" s="1" t="n">
        <v>45439.95034722222</v>
      </c>
      <c r="C2869" s="1" t="n">
        <v>46161</v>
      </c>
      <c r="D2869" t="inlineStr">
        <is>
          <t>VÄSTERNORRLANDS LÄN</t>
        </is>
      </c>
      <c r="E2869" t="inlineStr">
        <is>
          <t>SOLLEFTEÅ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34328-2023</t>
        </is>
      </c>
      <c r="B2870" s="1" t="n">
        <v>45138.9499074074</v>
      </c>
      <c r="C2870" s="1" t="n">
        <v>46161</v>
      </c>
      <c r="D2870" t="inlineStr">
        <is>
          <t>VÄSTERNORRLANDS LÄN</t>
        </is>
      </c>
      <c r="E2870" t="inlineStr">
        <is>
          <t>SOLLEFTEÅ</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34330-2023</t>
        </is>
      </c>
      <c r="B2871" s="1" t="n">
        <v>45138</v>
      </c>
      <c r="C2871" s="1" t="n">
        <v>46161</v>
      </c>
      <c r="D2871" t="inlineStr">
        <is>
          <t>VÄSTERNORRLANDS LÄN</t>
        </is>
      </c>
      <c r="E2871" t="inlineStr">
        <is>
          <t>SOLLEFTEÅ</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3234-2024</t>
        </is>
      </c>
      <c r="B2872" s="1" t="n">
        <v>45316.94708333333</v>
      </c>
      <c r="C2872" s="1" t="n">
        <v>46161</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3231-2024</t>
        </is>
      </c>
      <c r="B2873" s="1" t="n">
        <v>45316</v>
      </c>
      <c r="C2873" s="1" t="n">
        <v>46161</v>
      </c>
      <c r="D2873" t="inlineStr">
        <is>
          <t>VÄSTERNORRLANDS LÄN</t>
        </is>
      </c>
      <c r="E2873" t="inlineStr">
        <is>
          <t>SOLLEFTEÅ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3252-2024</t>
        </is>
      </c>
      <c r="B2874" s="1" t="n">
        <v>45316</v>
      </c>
      <c r="C2874" s="1" t="n">
        <v>46161</v>
      </c>
      <c r="D2874" t="inlineStr">
        <is>
          <t>VÄSTERNORRLANDS LÄN</t>
        </is>
      </c>
      <c r="E2874" t="inlineStr">
        <is>
          <t>SOLLEFTEÅ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50007-2024</t>
        </is>
      </c>
      <c r="B2875" s="1" t="n">
        <v>45598.57574074074</v>
      </c>
      <c r="C2875" s="1" t="n">
        <v>46161</v>
      </c>
      <c r="D2875" t="inlineStr">
        <is>
          <t>VÄSTERNORRLANDS LÄN</t>
        </is>
      </c>
      <c r="E2875" t="inlineStr">
        <is>
          <t>SOLLEFTEÅ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59473-2024</t>
        </is>
      </c>
      <c r="B2876" s="1" t="n">
        <v>45638.50436342593</v>
      </c>
      <c r="C2876" s="1" t="n">
        <v>46161</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3750-2025</t>
        </is>
      </c>
      <c r="B2877" s="1" t="n">
        <v>45681.580625</v>
      </c>
      <c r="C2877" s="1" t="n">
        <v>46161</v>
      </c>
      <c r="D2877" t="inlineStr">
        <is>
          <t>VÄSTERNORRLANDS LÄN</t>
        </is>
      </c>
      <c r="E2877" t="inlineStr">
        <is>
          <t>SOLLEFTEÅ</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34388-2024</t>
        </is>
      </c>
      <c r="B2878" s="1" t="n">
        <v>45525</v>
      </c>
      <c r="C2878" s="1" t="n">
        <v>46161</v>
      </c>
      <c r="D2878" t="inlineStr">
        <is>
          <t>VÄSTERNORRLANDS LÄN</t>
        </is>
      </c>
      <c r="E2878" t="inlineStr">
        <is>
          <t>SOLLEFTEÅ</t>
        </is>
      </c>
      <c r="F2878" t="inlineStr">
        <is>
          <t>SCA</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55338-2023</t>
        </is>
      </c>
      <c r="B2879" s="1" t="n">
        <v>45237.97476851852</v>
      </c>
      <c r="C2879" s="1" t="n">
        <v>46161</v>
      </c>
      <c r="D2879" t="inlineStr">
        <is>
          <t>VÄSTERNORRLANDS LÄN</t>
        </is>
      </c>
      <c r="E2879" t="inlineStr">
        <is>
          <t>SOLLEFTEÅ</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17889-2025</t>
        </is>
      </c>
      <c r="B2880" s="1" t="n">
        <v>45758.67746527777</v>
      </c>
      <c r="C2880" s="1" t="n">
        <v>46161</v>
      </c>
      <c r="D2880" t="inlineStr">
        <is>
          <t>VÄSTERNORRLANDS LÄN</t>
        </is>
      </c>
      <c r="E2880" t="inlineStr">
        <is>
          <t>SOLLEFTEÅ</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32754-2024</t>
        </is>
      </c>
      <c r="B2881" s="1" t="n">
        <v>45516.46685185185</v>
      </c>
      <c r="C2881" s="1" t="n">
        <v>46161</v>
      </c>
      <c r="D2881" t="inlineStr">
        <is>
          <t>VÄSTERNORRLANDS LÄN</t>
        </is>
      </c>
      <c r="E2881" t="inlineStr">
        <is>
          <t>SOLLEFTEÅ</t>
        </is>
      </c>
      <c r="F2881" t="inlineStr">
        <is>
          <t>Holmen skog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50615-2023</t>
        </is>
      </c>
      <c r="B2882" s="1" t="n">
        <v>45217</v>
      </c>
      <c r="C2882" s="1" t="n">
        <v>46161</v>
      </c>
      <c r="D2882" t="inlineStr">
        <is>
          <t>VÄSTERNORRLANDS LÄN</t>
        </is>
      </c>
      <c r="E2882" t="inlineStr">
        <is>
          <t>SOLLEFTEÅ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6733-2025</t>
        </is>
      </c>
      <c r="B2883" s="1" t="n">
        <v>45700.59425925926</v>
      </c>
      <c r="C2883" s="1" t="n">
        <v>46161</v>
      </c>
      <c r="D2883" t="inlineStr">
        <is>
          <t>VÄSTERNORRLANDS LÄN</t>
        </is>
      </c>
      <c r="E2883" t="inlineStr">
        <is>
          <t>SOLLEFTEÅ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4857-2024</t>
        </is>
      </c>
      <c r="B2884" s="1" t="n">
        <v>45329</v>
      </c>
      <c r="C2884" s="1" t="n">
        <v>46161</v>
      </c>
      <c r="D2884" t="inlineStr">
        <is>
          <t>VÄSTERNORRLANDS LÄN</t>
        </is>
      </c>
      <c r="E2884" t="inlineStr">
        <is>
          <t>SOLLEFTEÅ</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59583-2023</t>
        </is>
      </c>
      <c r="B2885" s="1" t="n">
        <v>45254.60587962963</v>
      </c>
      <c r="C2885" s="1" t="n">
        <v>46161</v>
      </c>
      <c r="D2885" t="inlineStr">
        <is>
          <t>VÄSTERNORRLANDS LÄN</t>
        </is>
      </c>
      <c r="E2885" t="inlineStr">
        <is>
          <t>SOLLEFTEÅ</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21852-2024</t>
        </is>
      </c>
      <c r="B2886" s="1" t="n">
        <v>45442.9628125</v>
      </c>
      <c r="C2886" s="1" t="n">
        <v>46161</v>
      </c>
      <c r="D2886" t="inlineStr">
        <is>
          <t>VÄSTERNORRLANDS LÄN</t>
        </is>
      </c>
      <c r="E2886" t="inlineStr">
        <is>
          <t>SOLLEFTEÅ</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22672-2024</t>
        </is>
      </c>
      <c r="B2887" s="1" t="n">
        <v>45447.94486111111</v>
      </c>
      <c r="C2887" s="1" t="n">
        <v>46161</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31965-2022</t>
        </is>
      </c>
      <c r="B2888" s="1" t="n">
        <v>44777.95460648148</v>
      </c>
      <c r="C2888" s="1" t="n">
        <v>46161</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28366-2023</t>
        </is>
      </c>
      <c r="B2889" s="1" t="n">
        <v>45099</v>
      </c>
      <c r="C2889" s="1" t="n">
        <v>46161</v>
      </c>
      <c r="D2889" t="inlineStr">
        <is>
          <t>VÄSTERNORRLANDS LÄN</t>
        </is>
      </c>
      <c r="E2889" t="inlineStr">
        <is>
          <t>SOLLEFTEÅ</t>
        </is>
      </c>
      <c r="F2889" t="inlineStr">
        <is>
          <t>SCA</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46161</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22675-2024</t>
        </is>
      </c>
      <c r="B2891" s="1" t="n">
        <v>45447.94508101852</v>
      </c>
      <c r="C2891" s="1" t="n">
        <v>46161</v>
      </c>
      <c r="D2891" t="inlineStr">
        <is>
          <t>VÄSTERNORRLANDS LÄN</t>
        </is>
      </c>
      <c r="E2891" t="inlineStr">
        <is>
          <t>SOLLEFTEÅ</t>
        </is>
      </c>
      <c r="F2891" t="inlineStr">
        <is>
          <t>SCA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57273-2022</t>
        </is>
      </c>
      <c r="B2892" s="1" t="n">
        <v>44895.9487962963</v>
      </c>
      <c r="C2892" s="1" t="n">
        <v>46161</v>
      </c>
      <c r="D2892" t="inlineStr">
        <is>
          <t>VÄSTERNORRLANDS LÄN</t>
        </is>
      </c>
      <c r="E2892" t="inlineStr">
        <is>
          <t>SOLLEFTEÅ</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54806-2024</t>
        </is>
      </c>
      <c r="B2893" s="1" t="n">
        <v>45618.51133101852</v>
      </c>
      <c r="C2893" s="1" t="n">
        <v>46161</v>
      </c>
      <c r="D2893" t="inlineStr">
        <is>
          <t>VÄSTERNORRLANDS LÄN</t>
        </is>
      </c>
      <c r="E2893" t="inlineStr">
        <is>
          <t>SOLLEFTEÅ</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43487-2023</t>
        </is>
      </c>
      <c r="B2894" s="1" t="n">
        <v>45181</v>
      </c>
      <c r="C2894" s="1" t="n">
        <v>46161</v>
      </c>
      <c r="D2894" t="inlineStr">
        <is>
          <t>VÄSTERNORRLANDS LÄN</t>
        </is>
      </c>
      <c r="E2894" t="inlineStr">
        <is>
          <t>SOLLEFTEÅ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20437-2025</t>
        </is>
      </c>
      <c r="B2895" s="1" t="n">
        <v>45775</v>
      </c>
      <c r="C2895" s="1" t="n">
        <v>46161</v>
      </c>
      <c r="D2895" t="inlineStr">
        <is>
          <t>VÄSTERNORRLANDS LÄN</t>
        </is>
      </c>
      <c r="E2895" t="inlineStr">
        <is>
          <t>SOLLEFTEÅ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12644-2025</t>
        </is>
      </c>
      <c r="B2896" s="1" t="n">
        <v>45733.38726851852</v>
      </c>
      <c r="C2896" s="1" t="n">
        <v>46161</v>
      </c>
      <c r="D2896" t="inlineStr">
        <is>
          <t>VÄSTERNORRLANDS LÄN</t>
        </is>
      </c>
      <c r="E2896" t="inlineStr">
        <is>
          <t>SOLLEFTEÅ</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50716-2023</t>
        </is>
      </c>
      <c r="B2897" s="1" t="n">
        <v>45210</v>
      </c>
      <c r="C2897" s="1" t="n">
        <v>46161</v>
      </c>
      <c r="D2897" t="inlineStr">
        <is>
          <t>VÄSTERNORRLANDS LÄN</t>
        </is>
      </c>
      <c r="E2897" t="inlineStr">
        <is>
          <t>SOLLEFTEÅ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44762-2022</t>
        </is>
      </c>
      <c r="B2898" s="1" t="n">
        <v>44840</v>
      </c>
      <c r="C2898" s="1" t="n">
        <v>46161</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61485-2024</t>
        </is>
      </c>
      <c r="B2899" s="1" t="n">
        <v>45646.53175925926</v>
      </c>
      <c r="C2899" s="1" t="n">
        <v>46161</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40098-2023</t>
        </is>
      </c>
      <c r="B2900" s="1" t="n">
        <v>45168.93726851852</v>
      </c>
      <c r="C2900" s="1" t="n">
        <v>46161</v>
      </c>
      <c r="D2900" t="inlineStr">
        <is>
          <t>VÄSTERNORRLANDS LÄN</t>
        </is>
      </c>
      <c r="E2900" t="inlineStr">
        <is>
          <t>SOLLEFTEÅ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20335-2025</t>
        </is>
      </c>
      <c r="B2901" s="1" t="n">
        <v>45775.36510416667</v>
      </c>
      <c r="C2901" s="1" t="n">
        <v>46161</v>
      </c>
      <c r="D2901" t="inlineStr">
        <is>
          <t>VÄSTERNORRLANDS LÄN</t>
        </is>
      </c>
      <c r="E2901" t="inlineStr">
        <is>
          <t>SOLLEFTEÅ</t>
        </is>
      </c>
      <c r="F2901" t="inlineStr">
        <is>
          <t>SCA</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14889-2025</t>
        </is>
      </c>
      <c r="B2902" s="1" t="n">
        <v>45743.46898148148</v>
      </c>
      <c r="C2902" s="1" t="n">
        <v>46161</v>
      </c>
      <c r="D2902" t="inlineStr">
        <is>
          <t>VÄSTERNORRLANDS LÄN</t>
        </is>
      </c>
      <c r="E2902" t="inlineStr">
        <is>
          <t>SOLLEFTEÅ</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20628-2023</t>
        </is>
      </c>
      <c r="B2903" s="1" t="n">
        <v>45057.94373842593</v>
      </c>
      <c r="C2903" s="1" t="n">
        <v>46161</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51006-2022</t>
        </is>
      </c>
      <c r="B2904" s="1" t="n">
        <v>44867</v>
      </c>
      <c r="C2904" s="1" t="n">
        <v>46161</v>
      </c>
      <c r="D2904" t="inlineStr">
        <is>
          <t>VÄSTERNORRLANDS LÄN</t>
        </is>
      </c>
      <c r="E2904" t="inlineStr">
        <is>
          <t>SOLLEFTEÅ</t>
        </is>
      </c>
      <c r="F2904" t="inlineStr">
        <is>
          <t>SCA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55440-2024</t>
        </is>
      </c>
      <c r="B2905" s="1" t="n">
        <v>45622.40679398148</v>
      </c>
      <c r="C2905" s="1" t="n">
        <v>46161</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60861-2023</t>
        </is>
      </c>
      <c r="B2906" s="1" t="n">
        <v>45260</v>
      </c>
      <c r="C2906" s="1" t="n">
        <v>46161</v>
      </c>
      <c r="D2906" t="inlineStr">
        <is>
          <t>VÄSTERNORRLANDS LÄN</t>
        </is>
      </c>
      <c r="E2906" t="inlineStr">
        <is>
          <t>SOLLEFTEÅ</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5108-2022</t>
        </is>
      </c>
      <c r="B2907" s="1" t="n">
        <v>44593.92135416667</v>
      </c>
      <c r="C2907" s="1" t="n">
        <v>46161</v>
      </c>
      <c r="D2907" t="inlineStr">
        <is>
          <t>VÄSTERNORRLANDS LÄN</t>
        </is>
      </c>
      <c r="E2907" t="inlineStr">
        <is>
          <t>SOLLEFTEÅ</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5134-2022</t>
        </is>
      </c>
      <c r="B2908" s="1" t="n">
        <v>44594</v>
      </c>
      <c r="C2908" s="1" t="n">
        <v>46161</v>
      </c>
      <c r="D2908" t="inlineStr">
        <is>
          <t>VÄSTERNORRLANDS LÄN</t>
        </is>
      </c>
      <c r="E2908" t="inlineStr">
        <is>
          <t>SOLLEFTEÅ</t>
        </is>
      </c>
      <c r="G2908" t="n">
        <v>20.4</v>
      </c>
      <c r="H2908" t="n">
        <v>0</v>
      </c>
      <c r="I2908" t="n">
        <v>0</v>
      </c>
      <c r="J2908" t="n">
        <v>0</v>
      </c>
      <c r="K2908" t="n">
        <v>0</v>
      </c>
      <c r="L2908" t="n">
        <v>0</v>
      </c>
      <c r="M2908" t="n">
        <v>0</v>
      </c>
      <c r="N2908" t="n">
        <v>0</v>
      </c>
      <c r="O2908" t="n">
        <v>0</v>
      </c>
      <c r="P2908" t="n">
        <v>0</v>
      </c>
      <c r="Q2908" t="n">
        <v>0</v>
      </c>
      <c r="R2908" s="2" t="inlineStr"/>
    </row>
    <row r="2909" ht="15" customHeight="1">
      <c r="A2909" t="inlineStr">
        <is>
          <t>A 55872-2024</t>
        </is>
      </c>
      <c r="B2909" s="1" t="n">
        <v>45623</v>
      </c>
      <c r="C2909" s="1" t="n">
        <v>46161</v>
      </c>
      <c r="D2909" t="inlineStr">
        <is>
          <t>VÄSTERNORRLANDS LÄN</t>
        </is>
      </c>
      <c r="E2909" t="inlineStr">
        <is>
          <t>SOLLEFTEÅ</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35905-2024</t>
        </is>
      </c>
      <c r="B2910" s="1" t="n">
        <v>45533.40674768519</v>
      </c>
      <c r="C2910" s="1" t="n">
        <v>46161</v>
      </c>
      <c r="D2910" t="inlineStr">
        <is>
          <t>VÄSTERNORRLANDS LÄN</t>
        </is>
      </c>
      <c r="E2910" t="inlineStr">
        <is>
          <t>SOLLEFTEÅ</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62750-2022</t>
        </is>
      </c>
      <c r="B2911" s="1" t="n">
        <v>44925.93922453704</v>
      </c>
      <c r="C2911" s="1" t="n">
        <v>46161</v>
      </c>
      <c r="D2911" t="inlineStr">
        <is>
          <t>VÄSTERNORRLANDS LÄN</t>
        </is>
      </c>
      <c r="E2911" t="inlineStr">
        <is>
          <t>SOLLEFTEÅ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12627-2025</t>
        </is>
      </c>
      <c r="B2912" s="1" t="n">
        <v>45733.36728009259</v>
      </c>
      <c r="C2912" s="1" t="n">
        <v>46161</v>
      </c>
      <c r="D2912" t="inlineStr">
        <is>
          <t>VÄSTERNORRLANDS LÄN</t>
        </is>
      </c>
      <c r="E2912" t="inlineStr">
        <is>
          <t>SOLLEFTEÅ</t>
        </is>
      </c>
      <c r="G2912" t="n">
        <v>12.9</v>
      </c>
      <c r="H2912" t="n">
        <v>0</v>
      </c>
      <c r="I2912" t="n">
        <v>0</v>
      </c>
      <c r="J2912" t="n">
        <v>0</v>
      </c>
      <c r="K2912" t="n">
        <v>0</v>
      </c>
      <c r="L2912" t="n">
        <v>0</v>
      </c>
      <c r="M2912" t="n">
        <v>0</v>
      </c>
      <c r="N2912" t="n">
        <v>0</v>
      </c>
      <c r="O2912" t="n">
        <v>0</v>
      </c>
      <c r="P2912" t="n">
        <v>0</v>
      </c>
      <c r="Q2912" t="n">
        <v>0</v>
      </c>
      <c r="R2912" s="2" t="inlineStr"/>
    </row>
    <row r="2913" ht="15" customHeight="1">
      <c r="A2913" t="inlineStr">
        <is>
          <t>A 62827-2023</t>
        </is>
      </c>
      <c r="B2913" s="1" t="n">
        <v>45271.92690972222</v>
      </c>
      <c r="C2913" s="1" t="n">
        <v>46161</v>
      </c>
      <c r="D2913" t="inlineStr">
        <is>
          <t>VÄSTERNORRLANDS LÄN</t>
        </is>
      </c>
      <c r="E2913" t="inlineStr">
        <is>
          <t>SOLLEFTEÅ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31646-2022</t>
        </is>
      </c>
      <c r="B2914" s="1" t="n">
        <v>44775.94166666667</v>
      </c>
      <c r="C2914" s="1" t="n">
        <v>46161</v>
      </c>
      <c r="D2914" t="inlineStr">
        <is>
          <t>VÄSTERNORRLANDS LÄN</t>
        </is>
      </c>
      <c r="E2914" t="inlineStr">
        <is>
          <t>SOLLEFTEÅ</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5548-2025</t>
        </is>
      </c>
      <c r="B2915" s="1" t="n">
        <v>45693.46940972222</v>
      </c>
      <c r="C2915" s="1" t="n">
        <v>46161</v>
      </c>
      <c r="D2915" t="inlineStr">
        <is>
          <t>VÄSTERNORRLANDS LÄN</t>
        </is>
      </c>
      <c r="E2915" t="inlineStr">
        <is>
          <t>SOLLEFTEÅ</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13138-2024</t>
        </is>
      </c>
      <c r="B2916" s="1" t="n">
        <v>45386</v>
      </c>
      <c r="C2916" s="1" t="n">
        <v>46161</v>
      </c>
      <c r="D2916" t="inlineStr">
        <is>
          <t>VÄSTERNORRLANDS LÄN</t>
        </is>
      </c>
      <c r="E2916" t="inlineStr">
        <is>
          <t>SOLLEFTEÅ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62507-2022</t>
        </is>
      </c>
      <c r="B2917" s="1" t="n">
        <v>44924</v>
      </c>
      <c r="C2917" s="1" t="n">
        <v>46161</v>
      </c>
      <c r="D2917" t="inlineStr">
        <is>
          <t>VÄSTERNORRLANDS LÄN</t>
        </is>
      </c>
      <c r="E2917" t="inlineStr">
        <is>
          <t>SOLLEFTEÅ</t>
        </is>
      </c>
      <c r="F2917" t="inlineStr">
        <is>
          <t>Holmen skog AB</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30822-2023</t>
        </is>
      </c>
      <c r="B2918" s="1" t="n">
        <v>45112.94289351852</v>
      </c>
      <c r="C2918" s="1" t="n">
        <v>46161</v>
      </c>
      <c r="D2918" t="inlineStr">
        <is>
          <t>VÄSTERNORRLANDS LÄN</t>
        </is>
      </c>
      <c r="E2918" t="inlineStr">
        <is>
          <t>SOLLEFTEÅ</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8895-2025</t>
        </is>
      </c>
      <c r="B2919" s="1" t="n">
        <v>45713.40670138889</v>
      </c>
      <c r="C2919" s="1" t="n">
        <v>46161</v>
      </c>
      <c r="D2919" t="inlineStr">
        <is>
          <t>VÄSTERNORRLANDS LÄN</t>
        </is>
      </c>
      <c r="E2919" t="inlineStr">
        <is>
          <t>SOLLEFTEÅ</t>
        </is>
      </c>
      <c r="G2919" t="n">
        <v>5.6</v>
      </c>
      <c r="H2919" t="n">
        <v>0</v>
      </c>
      <c r="I2919" t="n">
        <v>0</v>
      </c>
      <c r="J2919" t="n">
        <v>0</v>
      </c>
      <c r="K2919" t="n">
        <v>0</v>
      </c>
      <c r="L2919" t="n">
        <v>0</v>
      </c>
      <c r="M2919" t="n">
        <v>0</v>
      </c>
      <c r="N2919" t="n">
        <v>0</v>
      </c>
      <c r="O2919" t="n">
        <v>0</v>
      </c>
      <c r="P2919" t="n">
        <v>0</v>
      </c>
      <c r="Q2919" t="n">
        <v>0</v>
      </c>
      <c r="R2919" s="2" t="inlineStr"/>
    </row>
    <row r="2920">
      <c r="A2920" t="inlineStr">
        <is>
          <t>A 8914-2025</t>
        </is>
      </c>
      <c r="B2920" s="1" t="n">
        <v>45713.42743055556</v>
      </c>
      <c r="C2920" s="1" t="n">
        <v>46161</v>
      </c>
      <c r="D2920" t="inlineStr">
        <is>
          <t>VÄSTERNORRLANDS LÄN</t>
        </is>
      </c>
      <c r="E2920" t="inlineStr">
        <is>
          <t>SOLLEFTEÅ</t>
        </is>
      </c>
      <c r="G2920" t="n">
        <v>4.2</v>
      </c>
      <c r="H2920" t="n">
        <v>0</v>
      </c>
      <c r="I2920" t="n">
        <v>0</v>
      </c>
      <c r="J2920" t="n">
        <v>0</v>
      </c>
      <c r="K2920" t="n">
        <v>0</v>
      </c>
      <c r="L2920" t="n">
        <v>0</v>
      </c>
      <c r="M2920" t="n">
        <v>0</v>
      </c>
      <c r="N2920" t="n">
        <v>0</v>
      </c>
      <c r="O2920" t="n">
        <v>0</v>
      </c>
      <c r="P2920" t="n">
        <v>0</v>
      </c>
      <c r="Q2920" t="n">
        <v>0</v>
      </c>
      <c r="R2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2026-05-19T10:59:37Z</dcterms:created>
  <dcterms:modified xmlns:dcterms="http://purl.org/dc/terms/" xmlns:xsi="http://www.w3.org/2001/XMLSchema-instance" xsi:type="dcterms:W3CDTF">2026-05-19T10:59:39Z</dcterms:modified>
</cp:coreProperties>
</file>