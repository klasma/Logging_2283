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46060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46060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46060</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46060</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46060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46060</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46060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46060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46060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46060</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46060</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46060</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46060</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46060</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46060</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46060</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46060</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46060</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1963-2025</t>
        </is>
      </c>
      <c r="B33" s="1" t="n">
        <v>45672</v>
      </c>
      <c r="C33" s="1" t="n">
        <v>46060</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Leptoporus mollis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46060</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27590-2025</t>
        </is>
      </c>
      <c r="B35" s="1" t="n">
        <v>45813</v>
      </c>
      <c r="C35" s="1" t="n">
        <v>46060</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39172-2022</t>
        </is>
      </c>
      <c r="B36" s="1" t="n">
        <v>44817</v>
      </c>
      <c r="C36" s="1" t="n">
        <v>46060</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46060</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46060</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46060</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44372-2024</t>
        </is>
      </c>
      <c r="B40" s="1" t="n">
        <v>45573</v>
      </c>
      <c r="C40" s="1" t="n">
        <v>46060</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46060</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46060</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22209-2025</t>
        </is>
      </c>
      <c r="B43" s="1" t="n">
        <v>45785.65732638889</v>
      </c>
      <c r="C43" s="1" t="n">
        <v>46060</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46060</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48181-2025</t>
        </is>
      </c>
      <c r="B45" s="1" t="n">
        <v>45933.45269675926</v>
      </c>
      <c r="C45" s="1" t="n">
        <v>46060</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46060</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46060</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46060</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3325-2025</t>
        </is>
      </c>
      <c r="B49" s="1" t="n">
        <v>45679</v>
      </c>
      <c r="C49" s="1" t="n">
        <v>46060</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39198-2025</t>
        </is>
      </c>
      <c r="B50" s="1" t="n">
        <v>45888</v>
      </c>
      <c r="C50" s="1" t="n">
        <v>46060</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4839-2025</t>
        </is>
      </c>
      <c r="B51" s="1" t="n">
        <v>45688</v>
      </c>
      <c r="C51" s="1" t="n">
        <v>46060</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32460-2024</t>
        </is>
      </c>
      <c r="B52" s="1" t="n">
        <v>45512</v>
      </c>
      <c r="C52" s="1" t="n">
        <v>46060</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46060</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46060</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46060</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61326-2024</t>
        </is>
      </c>
      <c r="B56" s="1" t="n">
        <v>45646</v>
      </c>
      <c r="C56" s="1" t="n">
        <v>46060</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11491-2022</t>
        </is>
      </c>
      <c r="B57" s="1" t="n">
        <v>44630</v>
      </c>
      <c r="C57" s="1" t="n">
        <v>46060</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46060</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747-2022</t>
        </is>
      </c>
      <c r="B59" s="1" t="n">
        <v>44568</v>
      </c>
      <c r="C59" s="1" t="n">
        <v>46060</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46060</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46060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46060</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46060</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46060</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46060</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62975-2025</t>
        </is>
      </c>
      <c r="B66" s="1" t="n">
        <v>46009.46949074074</v>
      </c>
      <c r="C66" s="1" t="n">
        <v>46060</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3367-2026</t>
        </is>
      </c>
      <c r="B67" s="1" t="n">
        <v>46042</v>
      </c>
      <c r="C67" s="1" t="n">
        <v>46060</v>
      </c>
      <c r="D67" t="inlineStr">
        <is>
          <t>VÄSTERNORRLANDS LÄN</t>
        </is>
      </c>
      <c r="E67" t="inlineStr">
        <is>
          <t>SOLLEFTEÅ</t>
        </is>
      </c>
      <c r="F67" t="inlineStr">
        <is>
          <t>SCA</t>
        </is>
      </c>
      <c r="G67" t="n">
        <v>12.1</v>
      </c>
      <c r="H67" t="n">
        <v>5</v>
      </c>
      <c r="I67" t="n">
        <v>1</v>
      </c>
      <c r="J67" t="n">
        <v>8</v>
      </c>
      <c r="K67" t="n">
        <v>1</v>
      </c>
      <c r="L67" t="n">
        <v>0</v>
      </c>
      <c r="M67" t="n">
        <v>0</v>
      </c>
      <c r="N67" t="n">
        <v>0</v>
      </c>
      <c r="O67" t="n">
        <v>9</v>
      </c>
      <c r="P67" t="n">
        <v>1</v>
      </c>
      <c r="Q67" t="n">
        <v>10</v>
      </c>
      <c r="R67" s="2" t="inlineStr">
        <is>
          <t>Knärot
Gammelgransskål
Granticka
Järpe
Koralltaggsvamp
Lunglav
Svartvit flugsnappare
Tretåig hackspett
Ullticka
Lappranunkel</t>
        </is>
      </c>
      <c r="S67">
        <f>HYPERLINK("https://klasma.github.io/Logging_2283/artfynd/A 3367-2026 artfynd.xlsx", "A 3367-2026")</f>
        <v/>
      </c>
      <c r="T67">
        <f>HYPERLINK("https://klasma.github.io/Logging_2283/kartor/A 3367-2026 karta.png", "A 3367-2026")</f>
        <v/>
      </c>
      <c r="U67">
        <f>HYPERLINK("https://klasma.github.io/Logging_2283/knärot/A 3367-2026 karta knärot.png", "A 3367-2026")</f>
        <v/>
      </c>
      <c r="V67">
        <f>HYPERLINK("https://klasma.github.io/Logging_2283/klagomål/A 3367-2026 FSC-klagomål.docx", "A 3367-2026")</f>
        <v/>
      </c>
      <c r="W67">
        <f>HYPERLINK("https://klasma.github.io/Logging_2283/klagomålsmail/A 3367-2026 FSC-klagomål mail.docx", "A 3367-2026")</f>
        <v/>
      </c>
      <c r="X67">
        <f>HYPERLINK("https://klasma.github.io/Logging_2283/tillsyn/A 3367-2026 tillsynsbegäran.docx", "A 3367-2026")</f>
        <v/>
      </c>
      <c r="Y67">
        <f>HYPERLINK("https://klasma.github.io/Logging_2283/tillsynsmail/A 3367-2026 tillsynsbegäran mail.docx", "A 3367-2026")</f>
        <v/>
      </c>
      <c r="Z67">
        <f>HYPERLINK("https://klasma.github.io/Logging_2283/fåglar/A 3367-2026 prioriterade fågelarter.docx", "A 3367-2026")</f>
        <v/>
      </c>
    </row>
    <row r="68" ht="15" customHeight="1">
      <c r="A68" t="inlineStr">
        <is>
          <t>A 37488-2023</t>
        </is>
      </c>
      <c r="B68" s="1" t="n">
        <v>45156</v>
      </c>
      <c r="C68" s="1" t="n">
        <v>46060</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46060</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46060</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46060</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46060</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46060</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46060</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46060</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46060</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46060</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46060</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46060</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46060</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46060</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46060</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46060</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46060</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25941-2025</t>
        </is>
      </c>
      <c r="B85" s="1" t="n">
        <v>45804</v>
      </c>
      <c r="C85" s="1" t="n">
        <v>46060</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60499-2025</t>
        </is>
      </c>
      <c r="B86" s="1" t="n">
        <v>45995.61760416667</v>
      </c>
      <c r="C86" s="1" t="n">
        <v>46060</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4930-2025</t>
        </is>
      </c>
      <c r="B87" s="1" t="n">
        <v>45688</v>
      </c>
      <c r="C87" s="1" t="n">
        <v>46060</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11132-2025</t>
        </is>
      </c>
      <c r="B88" s="1" t="n">
        <v>45723.64934027778</v>
      </c>
      <c r="C88" s="1" t="n">
        <v>46060</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64131-2023</t>
        </is>
      </c>
      <c r="B89" s="1" t="n">
        <v>45279</v>
      </c>
      <c r="C89" s="1" t="n">
        <v>46060</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46060</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44424-2025</t>
        </is>
      </c>
      <c r="B91" s="1" t="n">
        <v>45916</v>
      </c>
      <c r="C91" s="1" t="n">
        <v>46060</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44441-2025</t>
        </is>
      </c>
      <c r="B92" s="1" t="n">
        <v>45916</v>
      </c>
      <c r="C92" s="1" t="n">
        <v>46060</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32200-2023</t>
        </is>
      </c>
      <c r="B93" s="1" t="n">
        <v>45119</v>
      </c>
      <c r="C93" s="1" t="n">
        <v>46060</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26655-2022</t>
        </is>
      </c>
      <c r="B94" s="1" t="n">
        <v>44739</v>
      </c>
      <c r="C94" s="1" t="n">
        <v>46060</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46060</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22215-2025</t>
        </is>
      </c>
      <c r="B96" s="1" t="n">
        <v>45785.65803240741</v>
      </c>
      <c r="C96" s="1" t="n">
        <v>46060</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18014-2022</t>
        </is>
      </c>
      <c r="B97" s="1" t="n">
        <v>44683</v>
      </c>
      <c r="C97" s="1" t="n">
        <v>46060</v>
      </c>
      <c r="D97" t="inlineStr">
        <is>
          <t>VÄSTERNORRLANDS LÄN</t>
        </is>
      </c>
      <c r="E97" t="inlineStr">
        <is>
          <t>SOLLEFTEÅ</t>
        </is>
      </c>
      <c r="F97" t="inlineStr">
        <is>
          <t>SCA</t>
        </is>
      </c>
      <c r="G97" t="n">
        <v>2.5</v>
      </c>
      <c r="H97" t="n">
        <v>2</v>
      </c>
      <c r="I97" t="n">
        <v>0</v>
      </c>
      <c r="J97" t="n">
        <v>5</v>
      </c>
      <c r="K97" t="n">
        <v>2</v>
      </c>
      <c r="L97" t="n">
        <v>0</v>
      </c>
      <c r="M97" t="n">
        <v>0</v>
      </c>
      <c r="N97" t="n">
        <v>0</v>
      </c>
      <c r="O97" t="n">
        <v>7</v>
      </c>
      <c r="P97" t="n">
        <v>2</v>
      </c>
      <c r="Q97" t="n">
        <v>7</v>
      </c>
      <c r="R97" s="2" t="inlineStr">
        <is>
          <t>Goliatmusseron
Läderdoftande fingersvamp
Granticka
Gultoppig fingersvamp
Svart taggsvamp
Talltita
Tretåig hackspett</t>
        </is>
      </c>
      <c r="S97">
        <f>HYPERLINK("https://klasma.github.io/Logging_2283/artfynd/A 18014-2022 artfynd.xlsx", "A 18014-2022")</f>
        <v/>
      </c>
      <c r="T97">
        <f>HYPERLINK("https://klasma.github.io/Logging_2283/kartor/A 18014-2022 karta.png", "A 18014-2022")</f>
        <v/>
      </c>
      <c r="U97">
        <f>HYPERLINK("https://klasma.github.io/Logging_2283/knärot/A 18014-2022 karta knärot.png", "A 18014-2022")</f>
        <v/>
      </c>
      <c r="V97">
        <f>HYPERLINK("https://klasma.github.io/Logging_2283/klagomål/A 18014-2022 FSC-klagomål.docx", "A 18014-2022")</f>
        <v/>
      </c>
      <c r="W97">
        <f>HYPERLINK("https://klasma.github.io/Logging_2283/klagomålsmail/A 18014-2022 FSC-klagomål mail.docx", "A 18014-2022")</f>
        <v/>
      </c>
      <c r="X97">
        <f>HYPERLINK("https://klasma.github.io/Logging_2283/tillsyn/A 18014-2022 tillsynsbegäran.docx", "A 18014-2022")</f>
        <v/>
      </c>
      <c r="Y97">
        <f>HYPERLINK("https://klasma.github.io/Logging_2283/tillsynsmail/A 18014-2022 tillsynsbegäran mail.docx", "A 18014-2022")</f>
        <v/>
      </c>
      <c r="Z97">
        <f>HYPERLINK("https://klasma.github.io/Logging_2283/fåglar/A 18014-2022 prioriterade fågelarter.docx", "A 18014-2022")</f>
        <v/>
      </c>
    </row>
    <row r="98" ht="15" customHeight="1">
      <c r="A98" t="inlineStr">
        <is>
          <t>A 12174-2025</t>
        </is>
      </c>
      <c r="B98" s="1" t="n">
        <v>45729</v>
      </c>
      <c r="C98" s="1" t="n">
        <v>46060</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26654-2024</t>
        </is>
      </c>
      <c r="B99" s="1" t="n">
        <v>45469</v>
      </c>
      <c r="C99" s="1" t="n">
        <v>46060</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28997-2025</t>
        </is>
      </c>
      <c r="B100" s="1" t="n">
        <v>45821.38616898148</v>
      </c>
      <c r="C100" s="1" t="n">
        <v>46060</v>
      </c>
      <c r="D100" t="inlineStr">
        <is>
          <t>VÄSTERNORRLANDS LÄN</t>
        </is>
      </c>
      <c r="E100" t="inlineStr">
        <is>
          <t>SOLLEFTEÅ</t>
        </is>
      </c>
      <c r="F100" t="inlineStr">
        <is>
          <t>SCA</t>
        </is>
      </c>
      <c r="G100" t="n">
        <v>4.2</v>
      </c>
      <c r="H100" t="n">
        <v>0</v>
      </c>
      <c r="I100" t="n">
        <v>3</v>
      </c>
      <c r="J100" t="n">
        <v>4</v>
      </c>
      <c r="K100" t="n">
        <v>0</v>
      </c>
      <c r="L100" t="n">
        <v>0</v>
      </c>
      <c r="M100" t="n">
        <v>0</v>
      </c>
      <c r="N100" t="n">
        <v>0</v>
      </c>
      <c r="O100" t="n">
        <v>4</v>
      </c>
      <c r="P100" t="n">
        <v>0</v>
      </c>
      <c r="Q100" t="n">
        <v>7</v>
      </c>
      <c r="R100" s="2" t="inlineStr">
        <is>
          <t>Dvärgbägarlav
Garnlav
Vaddporing
Vedtrappmossa
Bollvitmossa
Norrlandslav
Skuggblåslav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21253-2025</t>
        </is>
      </c>
      <c r="B101" s="1" t="n">
        <v>45779</v>
      </c>
      <c r="C101" s="1" t="n">
        <v>46060</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54049-2023</t>
        </is>
      </c>
      <c r="B102" s="1" t="n">
        <v>45231</v>
      </c>
      <c r="C102" s="1" t="n">
        <v>46060</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38157-2025</t>
        </is>
      </c>
      <c r="B103" s="1" t="n">
        <v>45882.61505787037</v>
      </c>
      <c r="C103" s="1" t="n">
        <v>46060</v>
      </c>
      <c r="D103" t="inlineStr">
        <is>
          <t>VÄSTERNORRLANDS LÄN</t>
        </is>
      </c>
      <c r="E103" t="inlineStr">
        <is>
          <t>SOLLEFTEÅ</t>
        </is>
      </c>
      <c r="F103" t="inlineStr">
        <is>
          <t>SCA</t>
        </is>
      </c>
      <c r="G103" t="n">
        <v>14.9</v>
      </c>
      <c r="H103" t="n">
        <v>0</v>
      </c>
      <c r="I103" t="n">
        <v>0</v>
      </c>
      <c r="J103" t="n">
        <v>4</v>
      </c>
      <c r="K103" t="n">
        <v>3</v>
      </c>
      <c r="L103" t="n">
        <v>0</v>
      </c>
      <c r="M103" t="n">
        <v>0</v>
      </c>
      <c r="N103" t="n">
        <v>0</v>
      </c>
      <c r="O103" t="n">
        <v>7</v>
      </c>
      <c r="P103" t="n">
        <v>3</v>
      </c>
      <c r="Q103" t="n">
        <v>7</v>
      </c>
      <c r="R103" s="2" t="inlineStr">
        <is>
          <t>Fläckporing
Smalfotad taggsvamp
Tajgataggsvamp
Blå taggsvamp
Dvärgbägarlav
Lunglav
Vedskivlav</t>
        </is>
      </c>
      <c r="S103">
        <f>HYPERLINK("https://klasma.github.io/Logging_2283/artfynd/A 38157-2025 artfynd.xlsx", "A 38157-2025")</f>
        <v/>
      </c>
      <c r="T103">
        <f>HYPERLINK("https://klasma.github.io/Logging_2283/kartor/A 38157-2025 karta.png", "A 38157-2025")</f>
        <v/>
      </c>
      <c r="V103">
        <f>HYPERLINK("https://klasma.github.io/Logging_2283/klagomål/A 38157-2025 FSC-klagomål.docx", "A 38157-2025")</f>
        <v/>
      </c>
      <c r="W103">
        <f>HYPERLINK("https://klasma.github.io/Logging_2283/klagomålsmail/A 38157-2025 FSC-klagomål mail.docx", "A 38157-2025")</f>
        <v/>
      </c>
      <c r="X103">
        <f>HYPERLINK("https://klasma.github.io/Logging_2283/tillsyn/A 38157-2025 tillsynsbegäran.docx", "A 38157-2025")</f>
        <v/>
      </c>
      <c r="Y103">
        <f>HYPERLINK("https://klasma.github.io/Logging_2283/tillsynsmail/A 38157-2025 tillsynsbegäran mail.docx", "A 38157-2025")</f>
        <v/>
      </c>
    </row>
    <row r="104" ht="15" customHeight="1">
      <c r="A104" t="inlineStr">
        <is>
          <t>A 55334-2025</t>
        </is>
      </c>
      <c r="B104" s="1" t="n">
        <v>45971.34430555555</v>
      </c>
      <c r="C104" s="1" t="n">
        <v>46060</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55334-2025 artfynd.xlsx", "A 55334-2025")</f>
        <v/>
      </c>
      <c r="T104">
        <f>HYPERLINK("https://klasma.github.io/Logging_2283/kartor/A 55334-2025 karta.png", "A 55334-2025")</f>
        <v/>
      </c>
      <c r="V104">
        <f>HYPERLINK("https://klasma.github.io/Logging_2283/klagomål/A 55334-2025 FSC-klagomål.docx", "A 55334-2025")</f>
        <v/>
      </c>
      <c r="W104">
        <f>HYPERLINK("https://klasma.github.io/Logging_2283/klagomålsmail/A 55334-2025 FSC-klagomål mail.docx", "A 55334-2025")</f>
        <v/>
      </c>
      <c r="X104">
        <f>HYPERLINK("https://klasma.github.io/Logging_2283/tillsyn/A 55334-2025 tillsynsbegäran.docx", "A 55334-2025")</f>
        <v/>
      </c>
      <c r="Y104">
        <f>HYPERLINK("https://klasma.github.io/Logging_2283/tillsynsmail/A 55334-2025 tillsynsbegäran mail.docx", "A 55334-2025")</f>
        <v/>
      </c>
      <c r="Z104">
        <f>HYPERLINK("https://klasma.github.io/Logging_2283/fåglar/A 55334-2025 prioriterade fågelarter.docx", "A 55334-2025")</f>
        <v/>
      </c>
    </row>
    <row r="105" ht="15" customHeight="1">
      <c r="A105" t="inlineStr">
        <is>
          <t>A 62992-2023</t>
        </is>
      </c>
      <c r="B105" s="1" t="n">
        <v>45272</v>
      </c>
      <c r="C105" s="1" t="n">
        <v>46060</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53121-2022</t>
        </is>
      </c>
      <c r="B106" s="1" t="n">
        <v>44873</v>
      </c>
      <c r="C106" s="1" t="n">
        <v>46060</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46060</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14580-2024</t>
        </is>
      </c>
      <c r="B108" s="1" t="n">
        <v>45394</v>
      </c>
      <c r="C108" s="1" t="n">
        <v>46060</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47647-2022</t>
        </is>
      </c>
      <c r="B109" s="1" t="n">
        <v>44852</v>
      </c>
      <c r="C109" s="1" t="n">
        <v>46060</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55422-2024</t>
        </is>
      </c>
      <c r="B110" s="1" t="n">
        <v>45622.38619212963</v>
      </c>
      <c r="C110" s="1" t="n">
        <v>46060</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715-2023</t>
        </is>
      </c>
      <c r="B111" s="1" t="n">
        <v>44930</v>
      </c>
      <c r="C111" s="1" t="n">
        <v>46060</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22783-2025</t>
        </is>
      </c>
      <c r="B112" s="1" t="n">
        <v>45789</v>
      </c>
      <c r="C112" s="1" t="n">
        <v>46060</v>
      </c>
      <c r="D112" t="inlineStr">
        <is>
          <t>VÄSTERNORRLANDS LÄN</t>
        </is>
      </c>
      <c r="E112" t="inlineStr">
        <is>
          <t>SOLLEFTEÅ</t>
        </is>
      </c>
      <c r="G112" t="n">
        <v>27.7</v>
      </c>
      <c r="H112" t="n">
        <v>3</v>
      </c>
      <c r="I112" t="n">
        <v>2</v>
      </c>
      <c r="J112" t="n">
        <v>3</v>
      </c>
      <c r="K112" t="n">
        <v>0</v>
      </c>
      <c r="L112" t="n">
        <v>0</v>
      </c>
      <c r="M112" t="n">
        <v>0</v>
      </c>
      <c r="N112" t="n">
        <v>0</v>
      </c>
      <c r="O112" t="n">
        <v>3</v>
      </c>
      <c r="P112" t="n">
        <v>0</v>
      </c>
      <c r="Q112" t="n">
        <v>7</v>
      </c>
      <c r="R112" s="2" t="inlineStr">
        <is>
          <t>Lunglav
Nordfladdermus
Skrovellav
Bårdlav
Stuplav
Lavskrika
Vattenfladdermus</t>
        </is>
      </c>
      <c r="S112">
        <f>HYPERLINK("https://klasma.github.io/Logging_2283/artfynd/A 22783-2025 artfynd.xlsx", "A 22783-2025")</f>
        <v/>
      </c>
      <c r="T112">
        <f>HYPERLINK("https://klasma.github.io/Logging_2283/kartor/A 22783-2025 karta.png", "A 22783-2025")</f>
        <v/>
      </c>
      <c r="V112">
        <f>HYPERLINK("https://klasma.github.io/Logging_2283/klagomål/A 22783-2025 FSC-klagomål.docx", "A 22783-2025")</f>
        <v/>
      </c>
      <c r="W112">
        <f>HYPERLINK("https://klasma.github.io/Logging_2283/klagomålsmail/A 22783-2025 FSC-klagomål mail.docx", "A 22783-2025")</f>
        <v/>
      </c>
      <c r="X112">
        <f>HYPERLINK("https://klasma.github.io/Logging_2283/tillsyn/A 22783-2025 tillsynsbegäran.docx", "A 22783-2025")</f>
        <v/>
      </c>
      <c r="Y112">
        <f>HYPERLINK("https://klasma.github.io/Logging_2283/tillsynsmail/A 22783-2025 tillsynsbegäran mail.docx", "A 22783-2025")</f>
        <v/>
      </c>
      <c r="Z112">
        <f>HYPERLINK("https://klasma.github.io/Logging_2283/fåglar/A 22783-2025 prioriterade fågelarter.docx", "A 22783-2025")</f>
        <v/>
      </c>
    </row>
    <row r="113" ht="15" customHeight="1">
      <c r="A113" t="inlineStr">
        <is>
          <t>A 41666-2024</t>
        </is>
      </c>
      <c r="B113" s="1" t="n">
        <v>45560.65010416666</v>
      </c>
      <c r="C113" s="1" t="n">
        <v>46060</v>
      </c>
      <c r="D113" t="inlineStr">
        <is>
          <t>VÄSTERNORRLANDS LÄN</t>
        </is>
      </c>
      <c r="E113" t="inlineStr">
        <is>
          <t>SOLLEFTEÅ</t>
        </is>
      </c>
      <c r="G113" t="n">
        <v>1</v>
      </c>
      <c r="H113" t="n">
        <v>1</v>
      </c>
      <c r="I113" t="n">
        <v>1</v>
      </c>
      <c r="J113" t="n">
        <v>4</v>
      </c>
      <c r="K113" t="n">
        <v>1</v>
      </c>
      <c r="L113" t="n">
        <v>0</v>
      </c>
      <c r="M113" t="n">
        <v>0</v>
      </c>
      <c r="N113" t="n">
        <v>0</v>
      </c>
      <c r="O113" t="n">
        <v>5</v>
      </c>
      <c r="P113" t="n">
        <v>1</v>
      </c>
      <c r="Q113" t="n">
        <v>7</v>
      </c>
      <c r="R113" s="2" t="inlineStr">
        <is>
          <t>Rynkskinn
Granticka
Lunglav
Rosenticka
Vedtrappmossa
Stor aspticka
Revlummer</t>
        </is>
      </c>
      <c r="S113">
        <f>HYPERLINK("https://klasma.github.io/Logging_2283/artfynd/A 41666-2024 artfynd.xlsx", "A 41666-2024")</f>
        <v/>
      </c>
      <c r="T113">
        <f>HYPERLINK("https://klasma.github.io/Logging_2283/kartor/A 41666-2024 karta.png", "A 41666-2024")</f>
        <v/>
      </c>
      <c r="V113">
        <f>HYPERLINK("https://klasma.github.io/Logging_2283/klagomål/A 41666-2024 FSC-klagomål.docx", "A 41666-2024")</f>
        <v/>
      </c>
      <c r="W113">
        <f>HYPERLINK("https://klasma.github.io/Logging_2283/klagomålsmail/A 41666-2024 FSC-klagomål mail.docx", "A 41666-2024")</f>
        <v/>
      </c>
      <c r="X113">
        <f>HYPERLINK("https://klasma.github.io/Logging_2283/tillsyn/A 41666-2024 tillsynsbegäran.docx", "A 41666-2024")</f>
        <v/>
      </c>
      <c r="Y113">
        <f>HYPERLINK("https://klasma.github.io/Logging_2283/tillsynsmail/A 41666-2024 tillsynsbegäran mail.docx", "A 41666-2024")</f>
        <v/>
      </c>
    </row>
    <row r="114" ht="15" customHeight="1">
      <c r="A114" t="inlineStr">
        <is>
          <t>A 16087-2022</t>
        </is>
      </c>
      <c r="B114" s="1" t="n">
        <v>44665</v>
      </c>
      <c r="C114" s="1" t="n">
        <v>46060</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4528-2022</t>
        </is>
      </c>
      <c r="B115" s="1" t="n">
        <v>44589.93622685185</v>
      </c>
      <c r="C115" s="1" t="n">
        <v>46060</v>
      </c>
      <c r="D115" t="inlineStr">
        <is>
          <t>VÄSTERNORRLANDS LÄN</t>
        </is>
      </c>
      <c r="E115" t="inlineStr">
        <is>
          <t>SOLLEFTEÅ</t>
        </is>
      </c>
      <c r="G115" t="n">
        <v>2.6</v>
      </c>
      <c r="H115" t="n">
        <v>2</v>
      </c>
      <c r="I115" t="n">
        <v>1</v>
      </c>
      <c r="J115" t="n">
        <v>4</v>
      </c>
      <c r="K115" t="n">
        <v>0</v>
      </c>
      <c r="L115" t="n">
        <v>0</v>
      </c>
      <c r="M115" t="n">
        <v>0</v>
      </c>
      <c r="N115" t="n">
        <v>0</v>
      </c>
      <c r="O115" t="n">
        <v>4</v>
      </c>
      <c r="P115" t="n">
        <v>0</v>
      </c>
      <c r="Q115" t="n">
        <v>6</v>
      </c>
      <c r="R115" s="2" t="inlineStr">
        <is>
          <t>Garnlav
Tallticka
Tretåig hackspett
Ullticka
Vedticka
Revlummer</t>
        </is>
      </c>
      <c r="S115">
        <f>HYPERLINK("https://klasma.github.io/Logging_2283/artfynd/A 4528-2022 artfynd.xlsx", "A 4528-2022")</f>
        <v/>
      </c>
      <c r="T115">
        <f>HYPERLINK("https://klasma.github.io/Logging_2283/kartor/A 4528-2022 karta.png", "A 4528-2022")</f>
        <v/>
      </c>
      <c r="V115">
        <f>HYPERLINK("https://klasma.github.io/Logging_2283/klagomål/A 4528-2022 FSC-klagomål.docx", "A 4528-2022")</f>
        <v/>
      </c>
      <c r="W115">
        <f>HYPERLINK("https://klasma.github.io/Logging_2283/klagomålsmail/A 4528-2022 FSC-klagomål mail.docx", "A 4528-2022")</f>
        <v/>
      </c>
      <c r="X115">
        <f>HYPERLINK("https://klasma.github.io/Logging_2283/tillsyn/A 4528-2022 tillsynsbegäran.docx", "A 4528-2022")</f>
        <v/>
      </c>
      <c r="Y115">
        <f>HYPERLINK("https://klasma.github.io/Logging_2283/tillsynsmail/A 4528-2022 tillsynsbegäran mail.docx", "A 4528-2022")</f>
        <v/>
      </c>
      <c r="Z115">
        <f>HYPERLINK("https://klasma.github.io/Logging_2283/fåglar/A 4528-2022 prioriterade fågelarter.docx", "A 4528-2022")</f>
        <v/>
      </c>
    </row>
    <row r="116" ht="15" customHeight="1">
      <c r="A116" t="inlineStr">
        <is>
          <t>A 35406-2024</t>
        </is>
      </c>
      <c r="B116" s="1" t="n">
        <v>45531.40607638889</v>
      </c>
      <c r="C116" s="1" t="n">
        <v>46060</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61323-2024</t>
        </is>
      </c>
      <c r="B117" s="1" t="n">
        <v>45646</v>
      </c>
      <c r="C117" s="1" t="n">
        <v>46060</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13250-2025</t>
        </is>
      </c>
      <c r="B118" s="1" t="n">
        <v>45735.49013888889</v>
      </c>
      <c r="C118" s="1" t="n">
        <v>46060</v>
      </c>
      <c r="D118" t="inlineStr">
        <is>
          <t>VÄSTERNORRLANDS LÄN</t>
        </is>
      </c>
      <c r="E118" t="inlineStr">
        <is>
          <t>SOLLEFTEÅ</t>
        </is>
      </c>
      <c r="F118" t="inlineStr">
        <is>
          <t>SCA</t>
        </is>
      </c>
      <c r="G118" t="n">
        <v>1.4</v>
      </c>
      <c r="H118" t="n">
        <v>3</v>
      </c>
      <c r="I118" t="n">
        <v>1</v>
      </c>
      <c r="J118" t="n">
        <v>4</v>
      </c>
      <c r="K118" t="n">
        <v>0</v>
      </c>
      <c r="L118" t="n">
        <v>0</v>
      </c>
      <c r="M118" t="n">
        <v>0</v>
      </c>
      <c r="N118" t="n">
        <v>0</v>
      </c>
      <c r="O118" t="n">
        <v>4</v>
      </c>
      <c r="P118" t="n">
        <v>0</v>
      </c>
      <c r="Q118" t="n">
        <v>6</v>
      </c>
      <c r="R118" s="2" t="inlineStr">
        <is>
          <t>Lunglav
Spillkråka
Tretåig hackspett
Ullticka
Vedticka
Tjäder</t>
        </is>
      </c>
      <c r="S118">
        <f>HYPERLINK("https://klasma.github.io/Logging_2283/artfynd/A 13250-2025 artfynd.xlsx", "A 13250-2025")</f>
        <v/>
      </c>
      <c r="T118">
        <f>HYPERLINK("https://klasma.github.io/Logging_2283/kartor/A 13250-2025 karta.png", "A 13250-2025")</f>
        <v/>
      </c>
      <c r="V118">
        <f>HYPERLINK("https://klasma.github.io/Logging_2283/klagomål/A 13250-2025 FSC-klagomål.docx", "A 13250-2025")</f>
        <v/>
      </c>
      <c r="W118">
        <f>HYPERLINK("https://klasma.github.io/Logging_2283/klagomålsmail/A 13250-2025 FSC-klagomål mail.docx", "A 13250-2025")</f>
        <v/>
      </c>
      <c r="X118">
        <f>HYPERLINK("https://klasma.github.io/Logging_2283/tillsyn/A 13250-2025 tillsynsbegäran.docx", "A 13250-2025")</f>
        <v/>
      </c>
      <c r="Y118">
        <f>HYPERLINK("https://klasma.github.io/Logging_2283/tillsynsmail/A 13250-2025 tillsynsbegäran mail.docx", "A 13250-2025")</f>
        <v/>
      </c>
      <c r="Z118">
        <f>HYPERLINK("https://klasma.github.io/Logging_2283/fåglar/A 13250-2025 prioriterade fågelarter.docx", "A 13250-2025")</f>
        <v/>
      </c>
    </row>
    <row r="119" ht="15" customHeight="1">
      <c r="A119" t="inlineStr">
        <is>
          <t>A 45692-2025</t>
        </is>
      </c>
      <c r="B119" s="1" t="n">
        <v>45923</v>
      </c>
      <c r="C119" s="1" t="n">
        <v>46060</v>
      </c>
      <c r="D119" t="inlineStr">
        <is>
          <t>VÄSTERNORRLANDS LÄN</t>
        </is>
      </c>
      <c r="E119" t="inlineStr">
        <is>
          <t>SOLLEFTEÅ</t>
        </is>
      </c>
      <c r="F119" t="inlineStr">
        <is>
          <t>SCA</t>
        </is>
      </c>
      <c r="G119" t="n">
        <v>4.9</v>
      </c>
      <c r="H119" t="n">
        <v>2</v>
      </c>
      <c r="I119" t="n">
        <v>1</v>
      </c>
      <c r="J119" t="n">
        <v>4</v>
      </c>
      <c r="K119" t="n">
        <v>1</v>
      </c>
      <c r="L119" t="n">
        <v>0</v>
      </c>
      <c r="M119" t="n">
        <v>0</v>
      </c>
      <c r="N119" t="n">
        <v>0</v>
      </c>
      <c r="O119" t="n">
        <v>5</v>
      </c>
      <c r="P119" t="n">
        <v>1</v>
      </c>
      <c r="Q119" t="n">
        <v>6</v>
      </c>
      <c r="R119" s="2" t="inlineStr">
        <is>
          <t>Knärot
Granticka
Rosenticka
Tretåig hackspett
Ullticka
Vedticka</t>
        </is>
      </c>
      <c r="S119">
        <f>HYPERLINK("https://klasma.github.io/Logging_2283/artfynd/A 45692-2025 artfynd.xlsx", "A 45692-2025")</f>
        <v/>
      </c>
      <c r="T119">
        <f>HYPERLINK("https://klasma.github.io/Logging_2283/kartor/A 45692-2025 karta.png", "A 45692-2025")</f>
        <v/>
      </c>
      <c r="U119">
        <f>HYPERLINK("https://klasma.github.io/Logging_2283/knärot/A 45692-2025 karta knärot.png", "A 45692-2025")</f>
        <v/>
      </c>
      <c r="V119">
        <f>HYPERLINK("https://klasma.github.io/Logging_2283/klagomål/A 45692-2025 FSC-klagomål.docx", "A 45692-2025")</f>
        <v/>
      </c>
      <c r="W119">
        <f>HYPERLINK("https://klasma.github.io/Logging_2283/klagomålsmail/A 45692-2025 FSC-klagomål mail.docx", "A 45692-2025")</f>
        <v/>
      </c>
      <c r="X119">
        <f>HYPERLINK("https://klasma.github.io/Logging_2283/tillsyn/A 45692-2025 tillsynsbegäran.docx", "A 45692-2025")</f>
        <v/>
      </c>
      <c r="Y119">
        <f>HYPERLINK("https://klasma.github.io/Logging_2283/tillsynsmail/A 45692-2025 tillsynsbegäran mail.docx", "A 45692-2025")</f>
        <v/>
      </c>
      <c r="Z119">
        <f>HYPERLINK("https://klasma.github.io/Logging_2283/fåglar/A 45692-2025 prioriterade fågelarter.docx", "A 45692-2025")</f>
        <v/>
      </c>
    </row>
    <row r="120" ht="15" customHeight="1">
      <c r="A120" t="inlineStr">
        <is>
          <t>A 33321-2025</t>
        </is>
      </c>
      <c r="B120" s="1" t="n">
        <v>45841.34490740741</v>
      </c>
      <c r="C120" s="1" t="n">
        <v>46060</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15666-2025</t>
        </is>
      </c>
      <c r="B121" s="1" t="n">
        <v>45748.4315625</v>
      </c>
      <c r="C121" s="1" t="n">
        <v>46060</v>
      </c>
      <c r="D121" t="inlineStr">
        <is>
          <t>VÄSTERNORRLANDS LÄN</t>
        </is>
      </c>
      <c r="E121" t="inlineStr">
        <is>
          <t>SOLLEFTEÅ</t>
        </is>
      </c>
      <c r="G121" t="n">
        <v>3.9</v>
      </c>
      <c r="H121" t="n">
        <v>1</v>
      </c>
      <c r="I121" t="n">
        <v>2</v>
      </c>
      <c r="J121" t="n">
        <v>3</v>
      </c>
      <c r="K121" t="n">
        <v>1</v>
      </c>
      <c r="L121" t="n">
        <v>0</v>
      </c>
      <c r="M121" t="n">
        <v>0</v>
      </c>
      <c r="N121" t="n">
        <v>0</v>
      </c>
      <c r="O121" t="n">
        <v>4</v>
      </c>
      <c r="P121" t="n">
        <v>1</v>
      </c>
      <c r="Q121" t="n">
        <v>6</v>
      </c>
      <c r="R121" s="2" t="inlineStr">
        <is>
          <t>Knärot
Garnlav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49747-2025</t>
        </is>
      </c>
      <c r="B122" s="1" t="n">
        <v>45940.34461805555</v>
      </c>
      <c r="C122" s="1" t="n">
        <v>46060</v>
      </c>
      <c r="D122" t="inlineStr">
        <is>
          <t>VÄSTERNORRLANDS LÄN</t>
        </is>
      </c>
      <c r="E122" t="inlineStr">
        <is>
          <t>SOLLEFTEÅ</t>
        </is>
      </c>
      <c r="F122" t="inlineStr">
        <is>
          <t>SCA</t>
        </is>
      </c>
      <c r="G122" t="n">
        <v>3.9</v>
      </c>
      <c r="H122" t="n">
        <v>2</v>
      </c>
      <c r="I122" t="n">
        <v>4</v>
      </c>
      <c r="J122" t="n">
        <v>2</v>
      </c>
      <c r="K122" t="n">
        <v>0</v>
      </c>
      <c r="L122" t="n">
        <v>0</v>
      </c>
      <c r="M122" t="n">
        <v>0</v>
      </c>
      <c r="N122" t="n">
        <v>0</v>
      </c>
      <c r="O122" t="n">
        <v>2</v>
      </c>
      <c r="P122" t="n">
        <v>0</v>
      </c>
      <c r="Q122" t="n">
        <v>6</v>
      </c>
      <c r="R122" s="2" t="inlineStr">
        <is>
          <t>Garnlav
Spillkråka
Bollvitmossa
Lappranunkel
Norrlandslav
Vedticka</t>
        </is>
      </c>
      <c r="S122">
        <f>HYPERLINK("https://klasma.github.io/Logging_2283/artfynd/A 49747-2025 artfynd.xlsx", "A 49747-2025")</f>
        <v/>
      </c>
      <c r="T122">
        <f>HYPERLINK("https://klasma.github.io/Logging_2283/kartor/A 49747-2025 karta.png", "A 49747-2025")</f>
        <v/>
      </c>
      <c r="V122">
        <f>HYPERLINK("https://klasma.github.io/Logging_2283/klagomål/A 49747-2025 FSC-klagomål.docx", "A 49747-2025")</f>
        <v/>
      </c>
      <c r="W122">
        <f>HYPERLINK("https://klasma.github.io/Logging_2283/klagomålsmail/A 49747-2025 FSC-klagomål mail.docx", "A 49747-2025")</f>
        <v/>
      </c>
      <c r="X122">
        <f>HYPERLINK("https://klasma.github.io/Logging_2283/tillsyn/A 49747-2025 tillsynsbegäran.docx", "A 49747-2025")</f>
        <v/>
      </c>
      <c r="Y122">
        <f>HYPERLINK("https://klasma.github.io/Logging_2283/tillsynsmail/A 49747-2025 tillsynsbegäran mail.docx", "A 49747-2025")</f>
        <v/>
      </c>
      <c r="Z122">
        <f>HYPERLINK("https://klasma.github.io/Logging_2283/fåglar/A 49747-2025 prioriterade fågelarter.docx", "A 49747-2025")</f>
        <v/>
      </c>
    </row>
    <row r="123" ht="15" customHeight="1">
      <c r="A123" t="inlineStr">
        <is>
          <t>A 35632-2025</t>
        </is>
      </c>
      <c r="B123" s="1" t="n">
        <v>45859.44893518519</v>
      </c>
      <c r="C123" s="1" t="n">
        <v>46060</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40420-2023</t>
        </is>
      </c>
      <c r="B124" s="1" t="n">
        <v>45169</v>
      </c>
      <c r="C124" s="1" t="n">
        <v>46060</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56141-2025</t>
        </is>
      </c>
      <c r="B125" s="1" t="n">
        <v>45974</v>
      </c>
      <c r="C125" s="1" t="n">
        <v>46060</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36470-2024</t>
        </is>
      </c>
      <c r="B126" s="1" t="n">
        <v>45537</v>
      </c>
      <c r="C126" s="1" t="n">
        <v>46060</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4827-2025</t>
        </is>
      </c>
      <c r="B127" s="1" t="n">
        <v>45688</v>
      </c>
      <c r="C127" s="1" t="n">
        <v>46060</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14860-2023</t>
        </is>
      </c>
      <c r="B128" s="1" t="n">
        <v>45015.07157407407</v>
      </c>
      <c r="C128" s="1" t="n">
        <v>46060</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26594-2022</t>
        </is>
      </c>
      <c r="B129" s="1" t="n">
        <v>44739</v>
      </c>
      <c r="C129" s="1" t="n">
        <v>46060</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31885-2024</t>
        </is>
      </c>
      <c r="B130" s="1" t="n">
        <v>45509.95769675926</v>
      </c>
      <c r="C130" s="1" t="n">
        <v>46060</v>
      </c>
      <c r="D130" t="inlineStr">
        <is>
          <t>VÄSTERNORRLANDS LÄN</t>
        </is>
      </c>
      <c r="E130" t="inlineStr">
        <is>
          <t>SOLLEFTEÅ</t>
        </is>
      </c>
      <c r="F130" t="inlineStr">
        <is>
          <t>SCA</t>
        </is>
      </c>
      <c r="G130" t="n">
        <v>4.1</v>
      </c>
      <c r="H130" t="n">
        <v>3</v>
      </c>
      <c r="I130" t="n">
        <v>1</v>
      </c>
      <c r="J130" t="n">
        <v>4</v>
      </c>
      <c r="K130" t="n">
        <v>1</v>
      </c>
      <c r="L130" t="n">
        <v>0</v>
      </c>
      <c r="M130" t="n">
        <v>0</v>
      </c>
      <c r="N130" t="n">
        <v>0</v>
      </c>
      <c r="O130" t="n">
        <v>5</v>
      </c>
      <c r="P130" t="n">
        <v>1</v>
      </c>
      <c r="Q130" t="n">
        <v>6</v>
      </c>
      <c r="R130" s="2" t="inlineStr">
        <is>
          <t>Knärot
Garnlav
Lunglav
Spillkråka
Talltita
Luddlav</t>
        </is>
      </c>
      <c r="S130">
        <f>HYPERLINK("https://klasma.github.io/Logging_2283/artfynd/A 31885-2024 artfynd.xlsx", "A 31885-2024")</f>
        <v/>
      </c>
      <c r="T130">
        <f>HYPERLINK("https://klasma.github.io/Logging_2283/kartor/A 31885-2024 karta.png", "A 31885-2024")</f>
        <v/>
      </c>
      <c r="U130">
        <f>HYPERLINK("https://klasma.github.io/Logging_2283/knärot/A 31885-2024 karta knärot.png", "A 31885-2024")</f>
        <v/>
      </c>
      <c r="V130">
        <f>HYPERLINK("https://klasma.github.io/Logging_2283/klagomål/A 31885-2024 FSC-klagomål.docx", "A 31885-2024")</f>
        <v/>
      </c>
      <c r="W130">
        <f>HYPERLINK("https://klasma.github.io/Logging_2283/klagomålsmail/A 31885-2024 FSC-klagomål mail.docx", "A 31885-2024")</f>
        <v/>
      </c>
      <c r="X130">
        <f>HYPERLINK("https://klasma.github.io/Logging_2283/tillsyn/A 31885-2024 tillsynsbegäran.docx", "A 31885-2024")</f>
        <v/>
      </c>
      <c r="Y130">
        <f>HYPERLINK("https://klasma.github.io/Logging_2283/tillsynsmail/A 31885-2024 tillsynsbegäran mail.docx", "A 31885-2024")</f>
        <v/>
      </c>
      <c r="Z130">
        <f>HYPERLINK("https://klasma.github.io/Logging_2283/fåglar/A 31885-2024 prioriterade fågelarter.docx", "A 31885-2024")</f>
        <v/>
      </c>
    </row>
    <row r="131" ht="15" customHeight="1">
      <c r="A131" t="inlineStr">
        <is>
          <t>A 3056-2025</t>
        </is>
      </c>
      <c r="B131" s="1" t="n">
        <v>45678.61554398148</v>
      </c>
      <c r="C131" s="1" t="n">
        <v>46060</v>
      </c>
      <c r="D131" t="inlineStr">
        <is>
          <t>VÄSTERNORRLANDS LÄN</t>
        </is>
      </c>
      <c r="E131" t="inlineStr">
        <is>
          <t>SOLLEFTEÅ</t>
        </is>
      </c>
      <c r="F131" t="inlineStr">
        <is>
          <t>SCA</t>
        </is>
      </c>
      <c r="G131" t="n">
        <v>9.800000000000001</v>
      </c>
      <c r="H131" t="n">
        <v>3</v>
      </c>
      <c r="I131" t="n">
        <v>0</v>
      </c>
      <c r="J131" t="n">
        <v>5</v>
      </c>
      <c r="K131" t="n">
        <v>0</v>
      </c>
      <c r="L131" t="n">
        <v>0</v>
      </c>
      <c r="M131" t="n">
        <v>0</v>
      </c>
      <c r="N131" t="n">
        <v>0</v>
      </c>
      <c r="O131" t="n">
        <v>5</v>
      </c>
      <c r="P131" t="n">
        <v>0</v>
      </c>
      <c r="Q131" t="n">
        <v>6</v>
      </c>
      <c r="R131" s="2" t="inlineStr">
        <is>
          <t>Garnlav
Granticka
Lunglav
Talltita
Tretåig hackspett
Tjäder</t>
        </is>
      </c>
      <c r="S131">
        <f>HYPERLINK("https://klasma.github.io/Logging_2283/artfynd/A 3056-2025 artfynd.xlsx", "A 3056-2025")</f>
        <v/>
      </c>
      <c r="T131">
        <f>HYPERLINK("https://klasma.github.io/Logging_2283/kartor/A 3056-2025 karta.png", "A 3056-2025")</f>
        <v/>
      </c>
      <c r="V131">
        <f>HYPERLINK("https://klasma.github.io/Logging_2283/klagomål/A 3056-2025 FSC-klagomål.docx", "A 3056-2025")</f>
        <v/>
      </c>
      <c r="W131">
        <f>HYPERLINK("https://klasma.github.io/Logging_2283/klagomålsmail/A 3056-2025 FSC-klagomål mail.docx", "A 3056-2025")</f>
        <v/>
      </c>
      <c r="X131">
        <f>HYPERLINK("https://klasma.github.io/Logging_2283/tillsyn/A 3056-2025 tillsynsbegäran.docx", "A 3056-2025")</f>
        <v/>
      </c>
      <c r="Y131">
        <f>HYPERLINK("https://klasma.github.io/Logging_2283/tillsynsmail/A 3056-2025 tillsynsbegäran mail.docx", "A 3056-2025")</f>
        <v/>
      </c>
      <c r="Z131">
        <f>HYPERLINK("https://klasma.github.io/Logging_2283/fåglar/A 3056-2025 prioriterade fågelarter.docx", "A 3056-2025")</f>
        <v/>
      </c>
    </row>
    <row r="132" ht="15" customHeight="1">
      <c r="A132" t="inlineStr">
        <is>
          <t>A 20205-2025</t>
        </is>
      </c>
      <c r="B132" s="1" t="n">
        <v>45772.61548611111</v>
      </c>
      <c r="C132" s="1" t="n">
        <v>46060</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53829-2024</t>
        </is>
      </c>
      <c r="B133" s="1" t="n">
        <v>45615.6153125</v>
      </c>
      <c r="C133" s="1" t="n">
        <v>46060</v>
      </c>
      <c r="D133" t="inlineStr">
        <is>
          <t>VÄSTERNORRLANDS LÄN</t>
        </is>
      </c>
      <c r="E133" t="inlineStr">
        <is>
          <t>SOLLEFTEÅ</t>
        </is>
      </c>
      <c r="F133" t="inlineStr">
        <is>
          <t>SCA</t>
        </is>
      </c>
      <c r="G133" t="n">
        <v>12</v>
      </c>
      <c r="H133" t="n">
        <v>0</v>
      </c>
      <c r="I133" t="n">
        <v>1</v>
      </c>
      <c r="J133" t="n">
        <v>5</v>
      </c>
      <c r="K133" t="n">
        <v>0</v>
      </c>
      <c r="L133" t="n">
        <v>0</v>
      </c>
      <c r="M133" t="n">
        <v>0</v>
      </c>
      <c r="N133" t="n">
        <v>0</v>
      </c>
      <c r="O133" t="n">
        <v>5</v>
      </c>
      <c r="P133" t="n">
        <v>0</v>
      </c>
      <c r="Q133" t="n">
        <v>6</v>
      </c>
      <c r="R133" s="2" t="inlineStr">
        <is>
          <t>Blå taggsvamp
Granticka
Lunglav
Orange taggsvamp
Tallticka
Dropptaggsvamp</t>
        </is>
      </c>
      <c r="S133">
        <f>HYPERLINK("https://klasma.github.io/Logging_2283/artfynd/A 53829-2024 artfynd.xlsx", "A 53829-2024")</f>
        <v/>
      </c>
      <c r="T133">
        <f>HYPERLINK("https://klasma.github.io/Logging_2283/kartor/A 53829-2024 karta.png", "A 53829-2024")</f>
        <v/>
      </c>
      <c r="V133">
        <f>HYPERLINK("https://klasma.github.io/Logging_2283/klagomål/A 53829-2024 FSC-klagomål.docx", "A 53829-2024")</f>
        <v/>
      </c>
      <c r="W133">
        <f>HYPERLINK("https://klasma.github.io/Logging_2283/klagomålsmail/A 53829-2024 FSC-klagomål mail.docx", "A 53829-2024")</f>
        <v/>
      </c>
      <c r="X133">
        <f>HYPERLINK("https://klasma.github.io/Logging_2283/tillsyn/A 53829-2024 tillsynsbegäran.docx", "A 53829-2024")</f>
        <v/>
      </c>
      <c r="Y133">
        <f>HYPERLINK("https://klasma.github.io/Logging_2283/tillsynsmail/A 53829-2024 tillsynsbegäran mail.docx", "A 53829-2024")</f>
        <v/>
      </c>
    </row>
    <row r="134" ht="15" customHeight="1">
      <c r="A134" t="inlineStr">
        <is>
          <t>A 24887-2022</t>
        </is>
      </c>
      <c r="B134" s="1" t="n">
        <v>44728</v>
      </c>
      <c r="C134" s="1" t="n">
        <v>46060</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11552-2024</t>
        </is>
      </c>
      <c r="B135" s="1" t="n">
        <v>45372</v>
      </c>
      <c r="C135" s="1" t="n">
        <v>46060</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18100-2025</t>
        </is>
      </c>
      <c r="B136" s="1" t="n">
        <v>45761.55240740741</v>
      </c>
      <c r="C136" s="1" t="n">
        <v>46060</v>
      </c>
      <c r="D136" t="inlineStr">
        <is>
          <t>VÄSTERNORRLANDS LÄN</t>
        </is>
      </c>
      <c r="E136" t="inlineStr">
        <is>
          <t>SOLLEFTEÅ</t>
        </is>
      </c>
      <c r="F136" t="inlineStr">
        <is>
          <t>SCA</t>
        </is>
      </c>
      <c r="G136" t="n">
        <v>3.6</v>
      </c>
      <c r="H136" t="n">
        <v>1</v>
      </c>
      <c r="I136" t="n">
        <v>0</v>
      </c>
      <c r="J136" t="n">
        <v>3</v>
      </c>
      <c r="K136" t="n">
        <v>3</v>
      </c>
      <c r="L136" t="n">
        <v>0</v>
      </c>
      <c r="M136" t="n">
        <v>0</v>
      </c>
      <c r="N136" t="n">
        <v>0</v>
      </c>
      <c r="O136" t="n">
        <v>6</v>
      </c>
      <c r="P136" t="n">
        <v>3</v>
      </c>
      <c r="Q136" t="n">
        <v>6</v>
      </c>
      <c r="R136" s="2" t="inlineStr">
        <is>
          <t>Knärot
Lappticka
Rynkskinn
Granticka
Lunglav
Ullticka</t>
        </is>
      </c>
      <c r="S136">
        <f>HYPERLINK("https://klasma.github.io/Logging_2283/artfynd/A 18100-2025 artfynd.xlsx", "A 18100-2025")</f>
        <v/>
      </c>
      <c r="T136">
        <f>HYPERLINK("https://klasma.github.io/Logging_2283/kartor/A 18100-2025 karta.png", "A 18100-2025")</f>
        <v/>
      </c>
      <c r="U136">
        <f>HYPERLINK("https://klasma.github.io/Logging_2283/knärot/A 18100-2025 karta knärot.png", "A 18100-2025")</f>
        <v/>
      </c>
      <c r="V136">
        <f>HYPERLINK("https://klasma.github.io/Logging_2283/klagomål/A 18100-2025 FSC-klagomål.docx", "A 18100-2025")</f>
        <v/>
      </c>
      <c r="W136">
        <f>HYPERLINK("https://klasma.github.io/Logging_2283/klagomålsmail/A 18100-2025 FSC-klagomål mail.docx", "A 18100-2025")</f>
        <v/>
      </c>
      <c r="X136">
        <f>HYPERLINK("https://klasma.github.io/Logging_2283/tillsyn/A 18100-2025 tillsynsbegäran.docx", "A 18100-2025")</f>
        <v/>
      </c>
      <c r="Y136">
        <f>HYPERLINK("https://klasma.github.io/Logging_2283/tillsynsmail/A 18100-2025 tillsynsbegäran mail.docx", "A 18100-2025")</f>
        <v/>
      </c>
    </row>
    <row r="137" ht="15" customHeight="1">
      <c r="A137" t="inlineStr">
        <is>
          <t>A 29871-2024</t>
        </is>
      </c>
      <c r="B137" s="1" t="n">
        <v>45485.94521990741</v>
      </c>
      <c r="C137" s="1" t="n">
        <v>46060</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61541-2024</t>
        </is>
      </c>
      <c r="B138" s="1" t="n">
        <v>45646</v>
      </c>
      <c r="C138" s="1" t="n">
        <v>46060</v>
      </c>
      <c r="D138" t="inlineStr">
        <is>
          <t>VÄSTERNORRLANDS LÄN</t>
        </is>
      </c>
      <c r="E138" t="inlineStr">
        <is>
          <t>SOLLEFTEÅ</t>
        </is>
      </c>
      <c r="F138" t="inlineStr">
        <is>
          <t>SCA</t>
        </is>
      </c>
      <c r="G138" t="n">
        <v>6.8</v>
      </c>
      <c r="H138" t="n">
        <v>1</v>
      </c>
      <c r="I138" t="n">
        <v>0</v>
      </c>
      <c r="J138" t="n">
        <v>6</v>
      </c>
      <c r="K138" t="n">
        <v>0</v>
      </c>
      <c r="L138" t="n">
        <v>0</v>
      </c>
      <c r="M138" t="n">
        <v>0</v>
      </c>
      <c r="N138" t="n">
        <v>0</v>
      </c>
      <c r="O138" t="n">
        <v>6</v>
      </c>
      <c r="P138" t="n">
        <v>0</v>
      </c>
      <c r="Q138" t="n">
        <v>6</v>
      </c>
      <c r="R138" s="2" t="inlineStr">
        <is>
          <t>Gammelgransskål
Garnlav
Skogshare
Tretåig hackspett
Ullticka
Vitgrynig nållav</t>
        </is>
      </c>
      <c r="S138">
        <f>HYPERLINK("https://klasma.github.io/Logging_2283/artfynd/A 61541-2024 artfynd.xlsx", "A 61541-2024")</f>
        <v/>
      </c>
      <c r="T138">
        <f>HYPERLINK("https://klasma.github.io/Logging_2283/kartor/A 61541-2024 karta.png", "A 61541-2024")</f>
        <v/>
      </c>
      <c r="V138">
        <f>HYPERLINK("https://klasma.github.io/Logging_2283/klagomål/A 61541-2024 FSC-klagomål.docx", "A 61541-2024")</f>
        <v/>
      </c>
      <c r="W138">
        <f>HYPERLINK("https://klasma.github.io/Logging_2283/klagomålsmail/A 61541-2024 FSC-klagomål mail.docx", "A 61541-2024")</f>
        <v/>
      </c>
      <c r="X138">
        <f>HYPERLINK("https://klasma.github.io/Logging_2283/tillsyn/A 61541-2024 tillsynsbegäran.docx", "A 61541-2024")</f>
        <v/>
      </c>
      <c r="Y138">
        <f>HYPERLINK("https://klasma.github.io/Logging_2283/tillsynsmail/A 61541-2024 tillsynsbegäran mail.docx", "A 61541-2024")</f>
        <v/>
      </c>
      <c r="Z138">
        <f>HYPERLINK("https://klasma.github.io/Logging_2283/fåglar/A 61541-2024 prioriterade fågelarter.docx", "A 61541-2024")</f>
        <v/>
      </c>
    </row>
    <row r="139" ht="15" customHeight="1">
      <c r="A139" t="inlineStr">
        <is>
          <t>A 7334-2025</t>
        </is>
      </c>
      <c r="B139" s="1" t="n">
        <v>45703.35998842592</v>
      </c>
      <c r="C139" s="1" t="n">
        <v>46060</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20949-2022</t>
        </is>
      </c>
      <c r="B140" s="1" t="n">
        <v>44701.93967592593</v>
      </c>
      <c r="C140" s="1" t="n">
        <v>46060</v>
      </c>
      <c r="D140" t="inlineStr">
        <is>
          <t>VÄSTERNORRLANDS LÄN</t>
        </is>
      </c>
      <c r="E140" t="inlineStr">
        <is>
          <t>SOLLEFTEÅ</t>
        </is>
      </c>
      <c r="F140" t="inlineStr">
        <is>
          <t>SCA</t>
        </is>
      </c>
      <c r="G140" t="n">
        <v>2.2</v>
      </c>
      <c r="H140" t="n">
        <v>1</v>
      </c>
      <c r="I140" t="n">
        <v>0</v>
      </c>
      <c r="J140" t="n">
        <v>5</v>
      </c>
      <c r="K140" t="n">
        <v>0</v>
      </c>
      <c r="L140" t="n">
        <v>0</v>
      </c>
      <c r="M140" t="n">
        <v>0</v>
      </c>
      <c r="N140" t="n">
        <v>0</v>
      </c>
      <c r="O140" t="n">
        <v>5</v>
      </c>
      <c r="P140" t="n">
        <v>0</v>
      </c>
      <c r="Q140" t="n">
        <v>5</v>
      </c>
      <c r="R140" s="2" t="inlineStr">
        <is>
          <t>Garnlav
Kolflarnlav
Lunglav
Tretåig hackspett
Vedskivlav</t>
        </is>
      </c>
      <c r="S140">
        <f>HYPERLINK("https://klasma.github.io/Logging_2283/artfynd/A 20949-2022 artfynd.xlsx", "A 20949-2022")</f>
        <v/>
      </c>
      <c r="T140">
        <f>HYPERLINK("https://klasma.github.io/Logging_2283/kartor/A 20949-2022 karta.png", "A 20949-2022")</f>
        <v/>
      </c>
      <c r="V140">
        <f>HYPERLINK("https://klasma.github.io/Logging_2283/klagomål/A 20949-2022 FSC-klagomål.docx", "A 20949-2022")</f>
        <v/>
      </c>
      <c r="W140">
        <f>HYPERLINK("https://klasma.github.io/Logging_2283/klagomålsmail/A 20949-2022 FSC-klagomål mail.docx", "A 20949-2022")</f>
        <v/>
      </c>
      <c r="X140">
        <f>HYPERLINK("https://klasma.github.io/Logging_2283/tillsyn/A 20949-2022 tillsynsbegäran.docx", "A 20949-2022")</f>
        <v/>
      </c>
      <c r="Y140">
        <f>HYPERLINK("https://klasma.github.io/Logging_2283/tillsynsmail/A 20949-2022 tillsynsbegäran mail.docx", "A 20949-2022")</f>
        <v/>
      </c>
      <c r="Z140">
        <f>HYPERLINK("https://klasma.github.io/Logging_2283/fåglar/A 20949-2022 prioriterade fågelarter.docx", "A 20949-2022")</f>
        <v/>
      </c>
    </row>
    <row r="141" ht="15" customHeight="1">
      <c r="A141" t="inlineStr">
        <is>
          <t>A 11490-2022</t>
        </is>
      </c>
      <c r="B141" s="1" t="n">
        <v>44630.93877314815</v>
      </c>
      <c r="C141" s="1" t="n">
        <v>46060</v>
      </c>
      <c r="D141" t="inlineStr">
        <is>
          <t>VÄSTERNORRLANDS LÄN</t>
        </is>
      </c>
      <c r="E141" t="inlineStr">
        <is>
          <t>SOLLEFTEÅ</t>
        </is>
      </c>
      <c r="F141" t="inlineStr">
        <is>
          <t>SCA</t>
        </is>
      </c>
      <c r="G141" t="n">
        <v>2</v>
      </c>
      <c r="H141" t="n">
        <v>2</v>
      </c>
      <c r="I141" t="n">
        <v>0</v>
      </c>
      <c r="J141" t="n">
        <v>5</v>
      </c>
      <c r="K141" t="n">
        <v>0</v>
      </c>
      <c r="L141" t="n">
        <v>0</v>
      </c>
      <c r="M141" t="n">
        <v>0</v>
      </c>
      <c r="N141" t="n">
        <v>0</v>
      </c>
      <c r="O141" t="n">
        <v>5</v>
      </c>
      <c r="P141" t="n">
        <v>0</v>
      </c>
      <c r="Q141" t="n">
        <v>5</v>
      </c>
      <c r="R141" s="2" t="inlineStr">
        <is>
          <t>Garnlav
Lunglav
Spillkråka
Tretåig hackspett
Ullticka</t>
        </is>
      </c>
      <c r="S141">
        <f>HYPERLINK("https://klasma.github.io/Logging_2283/artfynd/A 11490-2022 artfynd.xlsx", "A 11490-2022")</f>
        <v/>
      </c>
      <c r="T141">
        <f>HYPERLINK("https://klasma.github.io/Logging_2283/kartor/A 11490-2022 karta.png", "A 11490-2022")</f>
        <v/>
      </c>
      <c r="V141">
        <f>HYPERLINK("https://klasma.github.io/Logging_2283/klagomål/A 11490-2022 FSC-klagomål.docx", "A 11490-2022")</f>
        <v/>
      </c>
      <c r="W141">
        <f>HYPERLINK("https://klasma.github.io/Logging_2283/klagomålsmail/A 11490-2022 FSC-klagomål mail.docx", "A 11490-2022")</f>
        <v/>
      </c>
      <c r="X141">
        <f>HYPERLINK("https://klasma.github.io/Logging_2283/tillsyn/A 11490-2022 tillsynsbegäran.docx", "A 11490-2022")</f>
        <v/>
      </c>
      <c r="Y141">
        <f>HYPERLINK("https://klasma.github.io/Logging_2283/tillsynsmail/A 11490-2022 tillsynsbegäran mail.docx", "A 11490-2022")</f>
        <v/>
      </c>
      <c r="Z141">
        <f>HYPERLINK("https://klasma.github.io/Logging_2283/fåglar/A 11490-2022 prioriterade fågelarter.docx", "A 11490-2022")</f>
        <v/>
      </c>
    </row>
    <row r="142" ht="15" customHeight="1">
      <c r="A142" t="inlineStr">
        <is>
          <t>A 2438-2025</t>
        </is>
      </c>
      <c r="B142" s="1" t="n">
        <v>45674.41815972222</v>
      </c>
      <c r="C142" s="1" t="n">
        <v>46060</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4552-2022</t>
        </is>
      </c>
      <c r="B143" s="1" t="n">
        <v>44590</v>
      </c>
      <c r="C143" s="1" t="n">
        <v>46060</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23319-2025</t>
        </is>
      </c>
      <c r="B144" s="1" t="n">
        <v>45791.61511574074</v>
      </c>
      <c r="C144" s="1" t="n">
        <v>46060</v>
      </c>
      <c r="D144" t="inlineStr">
        <is>
          <t>VÄSTERNORRLANDS LÄN</t>
        </is>
      </c>
      <c r="E144" t="inlineStr">
        <is>
          <t>SOLLEFTEÅ</t>
        </is>
      </c>
      <c r="F144" t="inlineStr">
        <is>
          <t>SCA</t>
        </is>
      </c>
      <c r="G144" t="n">
        <v>5.3</v>
      </c>
      <c r="H144" t="n">
        <v>2</v>
      </c>
      <c r="I144" t="n">
        <v>3</v>
      </c>
      <c r="J144" t="n">
        <v>1</v>
      </c>
      <c r="K144" t="n">
        <v>0</v>
      </c>
      <c r="L144" t="n">
        <v>0</v>
      </c>
      <c r="M144" t="n">
        <v>0</v>
      </c>
      <c r="N144" t="n">
        <v>0</v>
      </c>
      <c r="O144" t="n">
        <v>1</v>
      </c>
      <c r="P144" t="n">
        <v>0</v>
      </c>
      <c r="Q144" t="n">
        <v>5</v>
      </c>
      <c r="R144" s="2" t="inlineStr">
        <is>
          <t>Lunglav
Plattlummer
Skinnlav
Stor aspticka
Revlummer</t>
        </is>
      </c>
      <c r="S144">
        <f>HYPERLINK("https://klasma.github.io/Logging_2283/artfynd/A 23319-2025 artfynd.xlsx", "A 23319-2025")</f>
        <v/>
      </c>
      <c r="T144">
        <f>HYPERLINK("https://klasma.github.io/Logging_2283/kartor/A 23319-2025 karta.png", "A 23319-2025")</f>
        <v/>
      </c>
      <c r="V144">
        <f>HYPERLINK("https://klasma.github.io/Logging_2283/klagomål/A 23319-2025 FSC-klagomål.docx", "A 23319-2025")</f>
        <v/>
      </c>
      <c r="W144">
        <f>HYPERLINK("https://klasma.github.io/Logging_2283/klagomålsmail/A 23319-2025 FSC-klagomål mail.docx", "A 23319-2025")</f>
        <v/>
      </c>
      <c r="X144">
        <f>HYPERLINK("https://klasma.github.io/Logging_2283/tillsyn/A 23319-2025 tillsynsbegäran.docx", "A 23319-2025")</f>
        <v/>
      </c>
      <c r="Y144">
        <f>HYPERLINK("https://klasma.github.io/Logging_2283/tillsynsmail/A 23319-2025 tillsynsbegäran mail.docx", "A 23319-2025")</f>
        <v/>
      </c>
    </row>
    <row r="145" ht="15" customHeight="1">
      <c r="A145" t="inlineStr">
        <is>
          <t>A 50418-2024</t>
        </is>
      </c>
      <c r="B145" s="1" t="n">
        <v>45601.38575231482</v>
      </c>
      <c r="C145" s="1" t="n">
        <v>46060</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44407-2025</t>
        </is>
      </c>
      <c r="B146" s="1" t="n">
        <v>45916.52679398148</v>
      </c>
      <c r="C146" s="1" t="n">
        <v>46060</v>
      </c>
      <c r="D146" t="inlineStr">
        <is>
          <t>VÄSTERNORRLANDS LÄN</t>
        </is>
      </c>
      <c r="E146" t="inlineStr">
        <is>
          <t>SOLLEFTEÅ</t>
        </is>
      </c>
      <c r="G146" t="n">
        <v>4.1</v>
      </c>
      <c r="H146" t="n">
        <v>1</v>
      </c>
      <c r="I146" t="n">
        <v>3</v>
      </c>
      <c r="J146" t="n">
        <v>1</v>
      </c>
      <c r="K146" t="n">
        <v>0</v>
      </c>
      <c r="L146" t="n">
        <v>0</v>
      </c>
      <c r="M146" t="n">
        <v>0</v>
      </c>
      <c r="N146" t="n">
        <v>0</v>
      </c>
      <c r="O146" t="n">
        <v>1</v>
      </c>
      <c r="P146" t="n">
        <v>0</v>
      </c>
      <c r="Q146" t="n">
        <v>5</v>
      </c>
      <c r="R146" s="2" t="inlineStr">
        <is>
          <t>Granticka
Dvärghäxört
Luddlav
Stuplav
Revlummer</t>
        </is>
      </c>
      <c r="S146">
        <f>HYPERLINK("https://klasma.github.io/Logging_2283/artfynd/A 44407-2025 artfynd.xlsx", "A 44407-2025")</f>
        <v/>
      </c>
      <c r="T146">
        <f>HYPERLINK("https://klasma.github.io/Logging_2283/kartor/A 44407-2025 karta.png", "A 44407-2025")</f>
        <v/>
      </c>
      <c r="V146">
        <f>HYPERLINK("https://klasma.github.io/Logging_2283/klagomål/A 44407-2025 FSC-klagomål.docx", "A 44407-2025")</f>
        <v/>
      </c>
      <c r="W146">
        <f>HYPERLINK("https://klasma.github.io/Logging_2283/klagomålsmail/A 44407-2025 FSC-klagomål mail.docx", "A 44407-2025")</f>
        <v/>
      </c>
      <c r="X146">
        <f>HYPERLINK("https://klasma.github.io/Logging_2283/tillsyn/A 44407-2025 tillsynsbegäran.docx", "A 44407-2025")</f>
        <v/>
      </c>
      <c r="Y146">
        <f>HYPERLINK("https://klasma.github.io/Logging_2283/tillsynsmail/A 44407-2025 tillsynsbegäran mail.docx", "A 44407-2025")</f>
        <v/>
      </c>
    </row>
    <row r="147" ht="15" customHeight="1">
      <c r="A147" t="inlineStr">
        <is>
          <t>A 44797-2025</t>
        </is>
      </c>
      <c r="B147" s="1" t="n">
        <v>45918.34486111111</v>
      </c>
      <c r="C147" s="1" t="n">
        <v>46060</v>
      </c>
      <c r="D147" t="inlineStr">
        <is>
          <t>VÄSTERNORRLANDS LÄN</t>
        </is>
      </c>
      <c r="E147" t="inlineStr">
        <is>
          <t>SOLLEFTEÅ</t>
        </is>
      </c>
      <c r="F147" t="inlineStr">
        <is>
          <t>SCA</t>
        </is>
      </c>
      <c r="G147" t="n">
        <v>2.4</v>
      </c>
      <c r="H147" t="n">
        <v>0</v>
      </c>
      <c r="I147" t="n">
        <v>1</v>
      </c>
      <c r="J147" t="n">
        <v>3</v>
      </c>
      <c r="K147" t="n">
        <v>1</v>
      </c>
      <c r="L147" t="n">
        <v>0</v>
      </c>
      <c r="M147" t="n">
        <v>0</v>
      </c>
      <c r="N147" t="n">
        <v>0</v>
      </c>
      <c r="O147" t="n">
        <v>4</v>
      </c>
      <c r="P147" t="n">
        <v>1</v>
      </c>
      <c r="Q147" t="n">
        <v>5</v>
      </c>
      <c r="R147" s="2" t="inlineStr">
        <is>
          <t>Goliatmusseron
Dvärgbägarlav
Orange taggsvamp
Skrovlig taggsvamp
Skarp dropptaggsvamp</t>
        </is>
      </c>
      <c r="S147">
        <f>HYPERLINK("https://klasma.github.io/Logging_2283/artfynd/A 44797-2025 artfynd.xlsx", "A 44797-2025")</f>
        <v/>
      </c>
      <c r="T147">
        <f>HYPERLINK("https://klasma.github.io/Logging_2283/kartor/A 44797-2025 karta.png", "A 44797-2025")</f>
        <v/>
      </c>
      <c r="V147">
        <f>HYPERLINK("https://klasma.github.io/Logging_2283/klagomål/A 44797-2025 FSC-klagomål.docx", "A 44797-2025")</f>
        <v/>
      </c>
      <c r="W147">
        <f>HYPERLINK("https://klasma.github.io/Logging_2283/klagomålsmail/A 44797-2025 FSC-klagomål mail.docx", "A 44797-2025")</f>
        <v/>
      </c>
      <c r="X147">
        <f>HYPERLINK("https://klasma.github.io/Logging_2283/tillsyn/A 44797-2025 tillsynsbegäran.docx", "A 44797-2025")</f>
        <v/>
      </c>
      <c r="Y147">
        <f>HYPERLINK("https://klasma.github.io/Logging_2283/tillsynsmail/A 44797-2025 tillsynsbegäran mail.docx", "A 44797-2025")</f>
        <v/>
      </c>
    </row>
    <row r="148" ht="15" customHeight="1">
      <c r="A148" t="inlineStr">
        <is>
          <t>A 29249-2024</t>
        </is>
      </c>
      <c r="B148" s="1" t="n">
        <v>45482</v>
      </c>
      <c r="C148" s="1" t="n">
        <v>46060</v>
      </c>
      <c r="D148" t="inlineStr">
        <is>
          <t>VÄSTERNORRLANDS LÄN</t>
        </is>
      </c>
      <c r="E148" t="inlineStr">
        <is>
          <t>SOLLEFTEÅ</t>
        </is>
      </c>
      <c r="F148" t="inlineStr">
        <is>
          <t>SCA</t>
        </is>
      </c>
      <c r="G148" t="n">
        <v>7.3</v>
      </c>
      <c r="H148" t="n">
        <v>3</v>
      </c>
      <c r="I148" t="n">
        <v>1</v>
      </c>
      <c r="J148" t="n">
        <v>3</v>
      </c>
      <c r="K148" t="n">
        <v>1</v>
      </c>
      <c r="L148" t="n">
        <v>0</v>
      </c>
      <c r="M148" t="n">
        <v>0</v>
      </c>
      <c r="N148" t="n">
        <v>0</v>
      </c>
      <c r="O148" t="n">
        <v>4</v>
      </c>
      <c r="P148" t="n">
        <v>1</v>
      </c>
      <c r="Q148" t="n">
        <v>5</v>
      </c>
      <c r="R148" s="2" t="inlineStr">
        <is>
          <t>Knärot
Harticka
Talltita
Tretåig hackspett
Stuplav</t>
        </is>
      </c>
      <c r="S148">
        <f>HYPERLINK("https://klasma.github.io/Logging_2283/artfynd/A 29249-2024 artfynd.xlsx", "A 29249-2024")</f>
        <v/>
      </c>
      <c r="T148">
        <f>HYPERLINK("https://klasma.github.io/Logging_2283/kartor/A 29249-2024 karta.png", "A 29249-2024")</f>
        <v/>
      </c>
      <c r="U148">
        <f>HYPERLINK("https://klasma.github.io/Logging_2283/knärot/A 29249-2024 karta knärot.png", "A 29249-2024")</f>
        <v/>
      </c>
      <c r="V148">
        <f>HYPERLINK("https://klasma.github.io/Logging_2283/klagomål/A 29249-2024 FSC-klagomål.docx", "A 29249-2024")</f>
        <v/>
      </c>
      <c r="W148">
        <f>HYPERLINK("https://klasma.github.io/Logging_2283/klagomålsmail/A 29249-2024 FSC-klagomål mail.docx", "A 29249-2024")</f>
        <v/>
      </c>
      <c r="X148">
        <f>HYPERLINK("https://klasma.github.io/Logging_2283/tillsyn/A 29249-2024 tillsynsbegäran.docx", "A 29249-2024")</f>
        <v/>
      </c>
      <c r="Y148">
        <f>HYPERLINK("https://klasma.github.io/Logging_2283/tillsynsmail/A 29249-2024 tillsynsbegäran mail.docx", "A 29249-2024")</f>
        <v/>
      </c>
      <c r="Z148">
        <f>HYPERLINK("https://klasma.github.io/Logging_2283/fåglar/A 29249-2024 prioriterade fågelarter.docx", "A 29249-2024")</f>
        <v/>
      </c>
    </row>
    <row r="149" ht="15" customHeight="1">
      <c r="A149" t="inlineStr">
        <is>
          <t>A 51341-2025</t>
        </is>
      </c>
      <c r="B149" s="1" t="n">
        <v>45950.42761574074</v>
      </c>
      <c r="C149" s="1" t="n">
        <v>46060</v>
      </c>
      <c r="D149" t="inlineStr">
        <is>
          <t>VÄSTERNORRLANDS LÄN</t>
        </is>
      </c>
      <c r="E149" t="inlineStr">
        <is>
          <t>SOLLEFTEÅ</t>
        </is>
      </c>
      <c r="F149" t="inlineStr">
        <is>
          <t>SCA</t>
        </is>
      </c>
      <c r="G149" t="n">
        <v>5.3</v>
      </c>
      <c r="H149" t="n">
        <v>0</v>
      </c>
      <c r="I149" t="n">
        <v>2</v>
      </c>
      <c r="J149" t="n">
        <v>3</v>
      </c>
      <c r="K149" t="n">
        <v>0</v>
      </c>
      <c r="L149" t="n">
        <v>0</v>
      </c>
      <c r="M149" t="n">
        <v>0</v>
      </c>
      <c r="N149" t="n">
        <v>0</v>
      </c>
      <c r="O149" t="n">
        <v>3</v>
      </c>
      <c r="P149" t="n">
        <v>0</v>
      </c>
      <c r="Q149" t="n">
        <v>5</v>
      </c>
      <c r="R149" s="2" t="inlineStr">
        <is>
          <t>Garnlav
Mörk kolflarnlav
Rosenticka
Dropptaggsvamp
Vedticka</t>
        </is>
      </c>
      <c r="S149">
        <f>HYPERLINK("https://klasma.github.io/Logging_2283/artfynd/A 51341-2025 artfynd.xlsx", "A 51341-2025")</f>
        <v/>
      </c>
      <c r="T149">
        <f>HYPERLINK("https://klasma.github.io/Logging_2283/kartor/A 51341-2025 karta.png", "A 51341-2025")</f>
        <v/>
      </c>
      <c r="V149">
        <f>HYPERLINK("https://klasma.github.io/Logging_2283/klagomål/A 51341-2025 FSC-klagomål.docx", "A 51341-2025")</f>
        <v/>
      </c>
      <c r="W149">
        <f>HYPERLINK("https://klasma.github.io/Logging_2283/klagomålsmail/A 51341-2025 FSC-klagomål mail.docx", "A 51341-2025")</f>
        <v/>
      </c>
      <c r="X149">
        <f>HYPERLINK("https://klasma.github.io/Logging_2283/tillsyn/A 51341-2025 tillsynsbegäran.docx", "A 51341-2025")</f>
        <v/>
      </c>
      <c r="Y149">
        <f>HYPERLINK("https://klasma.github.io/Logging_2283/tillsynsmail/A 51341-2025 tillsynsbegäran mail.docx", "A 51341-2025")</f>
        <v/>
      </c>
    </row>
    <row r="150" ht="15" customHeight="1">
      <c r="A150" t="inlineStr">
        <is>
          <t>A 27910-2024</t>
        </is>
      </c>
      <c r="B150" s="1" t="n">
        <v>45475</v>
      </c>
      <c r="C150" s="1" t="n">
        <v>46060</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57655-2023</t>
        </is>
      </c>
      <c r="B151" s="1" t="n">
        <v>45246</v>
      </c>
      <c r="C151" s="1" t="n">
        <v>46060</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59662-2023</t>
        </is>
      </c>
      <c r="B152" s="1" t="n">
        <v>45254.96438657407</v>
      </c>
      <c r="C152" s="1" t="n">
        <v>46060</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58362-2025</t>
        </is>
      </c>
      <c r="B153" s="1" t="n">
        <v>45982</v>
      </c>
      <c r="C153" s="1" t="n">
        <v>46060</v>
      </c>
      <c r="D153" t="inlineStr">
        <is>
          <t>VÄSTERNORRLANDS LÄN</t>
        </is>
      </c>
      <c r="E153" t="inlineStr">
        <is>
          <t>SOLLEFTEÅ</t>
        </is>
      </c>
      <c r="G153" t="n">
        <v>11.3</v>
      </c>
      <c r="H153" t="n">
        <v>2</v>
      </c>
      <c r="I153" t="n">
        <v>3</v>
      </c>
      <c r="J153" t="n">
        <v>1</v>
      </c>
      <c r="K153" t="n">
        <v>0</v>
      </c>
      <c r="L153" t="n">
        <v>0</v>
      </c>
      <c r="M153" t="n">
        <v>0</v>
      </c>
      <c r="N153" t="n">
        <v>0</v>
      </c>
      <c r="O153" t="n">
        <v>1</v>
      </c>
      <c r="P153" t="n">
        <v>0</v>
      </c>
      <c r="Q153" t="n">
        <v>5</v>
      </c>
      <c r="R153" s="2" t="inlineStr">
        <is>
          <t>Lunglav
Bårdlav
Spindelblomster
Stuplav
Fläcknycklar</t>
        </is>
      </c>
      <c r="S153">
        <f>HYPERLINK("https://klasma.github.io/Logging_2283/artfynd/A 58362-2025 artfynd.xlsx", "A 58362-2025")</f>
        <v/>
      </c>
      <c r="T153">
        <f>HYPERLINK("https://klasma.github.io/Logging_2283/kartor/A 58362-2025 karta.png", "A 58362-2025")</f>
        <v/>
      </c>
      <c r="V153">
        <f>HYPERLINK("https://klasma.github.io/Logging_2283/klagomål/A 58362-2025 FSC-klagomål.docx", "A 58362-2025")</f>
        <v/>
      </c>
      <c r="W153">
        <f>HYPERLINK("https://klasma.github.io/Logging_2283/klagomålsmail/A 58362-2025 FSC-klagomål mail.docx", "A 58362-2025")</f>
        <v/>
      </c>
      <c r="X153">
        <f>HYPERLINK("https://klasma.github.io/Logging_2283/tillsyn/A 58362-2025 tillsynsbegäran.docx", "A 58362-2025")</f>
        <v/>
      </c>
      <c r="Y153">
        <f>HYPERLINK("https://klasma.github.io/Logging_2283/tillsynsmail/A 58362-2025 tillsynsbegäran mail.docx", "A 58362-2025")</f>
        <v/>
      </c>
    </row>
    <row r="154" ht="15" customHeight="1">
      <c r="A154" t="inlineStr">
        <is>
          <t>A 27675-2023</t>
        </is>
      </c>
      <c r="B154" s="1" t="n">
        <v>45097</v>
      </c>
      <c r="C154" s="1" t="n">
        <v>46060</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56420-2025</t>
        </is>
      </c>
      <c r="B155" s="1" t="n">
        <v>45975</v>
      </c>
      <c r="C155" s="1" t="n">
        <v>46060</v>
      </c>
      <c r="D155" t="inlineStr">
        <is>
          <t>VÄSTERNORRLANDS LÄN</t>
        </is>
      </c>
      <c r="E155" t="inlineStr">
        <is>
          <t>SOLLEFTEÅ</t>
        </is>
      </c>
      <c r="F155" t="inlineStr">
        <is>
          <t>SCA</t>
        </is>
      </c>
      <c r="G155" t="n">
        <v>3.7</v>
      </c>
      <c r="H155" t="n">
        <v>1</v>
      </c>
      <c r="I155" t="n">
        <v>1</v>
      </c>
      <c r="J155" t="n">
        <v>4</v>
      </c>
      <c r="K155" t="n">
        <v>0</v>
      </c>
      <c r="L155" t="n">
        <v>0</v>
      </c>
      <c r="M155" t="n">
        <v>0</v>
      </c>
      <c r="N155" t="n">
        <v>0</v>
      </c>
      <c r="O155" t="n">
        <v>4</v>
      </c>
      <c r="P155" t="n">
        <v>0</v>
      </c>
      <c r="Q155" t="n">
        <v>5</v>
      </c>
      <c r="R155" s="2" t="inlineStr">
        <is>
          <t>Garnlav
Kolflarnlav
Tretåig hackspett
Vedskivlav
Dropptaggsvamp</t>
        </is>
      </c>
      <c r="S155">
        <f>HYPERLINK("https://klasma.github.io/Logging_2283/artfynd/A 56420-2025 artfynd.xlsx", "A 56420-2025")</f>
        <v/>
      </c>
      <c r="T155">
        <f>HYPERLINK("https://klasma.github.io/Logging_2283/kartor/A 56420-2025 karta.png", "A 56420-2025")</f>
        <v/>
      </c>
      <c r="V155">
        <f>HYPERLINK("https://klasma.github.io/Logging_2283/klagomål/A 56420-2025 FSC-klagomål.docx", "A 56420-2025")</f>
        <v/>
      </c>
      <c r="W155">
        <f>HYPERLINK("https://klasma.github.io/Logging_2283/klagomålsmail/A 56420-2025 FSC-klagomål mail.docx", "A 56420-2025")</f>
        <v/>
      </c>
      <c r="X155">
        <f>HYPERLINK("https://klasma.github.io/Logging_2283/tillsyn/A 56420-2025 tillsynsbegäran.docx", "A 56420-2025")</f>
        <v/>
      </c>
      <c r="Y155">
        <f>HYPERLINK("https://klasma.github.io/Logging_2283/tillsynsmail/A 56420-2025 tillsynsbegäran mail.docx", "A 56420-2025")</f>
        <v/>
      </c>
      <c r="Z155">
        <f>HYPERLINK("https://klasma.github.io/Logging_2283/fåglar/A 56420-2025 prioriterade fågelarter.docx", "A 56420-2025")</f>
        <v/>
      </c>
    </row>
    <row r="156" ht="15" customHeight="1">
      <c r="A156" t="inlineStr">
        <is>
          <t>A 3575-2026</t>
        </is>
      </c>
      <c r="B156" s="1" t="n">
        <v>46042.71269675926</v>
      </c>
      <c r="C156" s="1" t="n">
        <v>46060</v>
      </c>
      <c r="D156" t="inlineStr">
        <is>
          <t>VÄSTERNORRLANDS LÄN</t>
        </is>
      </c>
      <c r="E156" t="inlineStr">
        <is>
          <t>SOLLEFTEÅ</t>
        </is>
      </c>
      <c r="G156" t="n">
        <v>4.7</v>
      </c>
      <c r="H156" t="n">
        <v>0</v>
      </c>
      <c r="I156" t="n">
        <v>1</v>
      </c>
      <c r="J156" t="n">
        <v>4</v>
      </c>
      <c r="K156" t="n">
        <v>0</v>
      </c>
      <c r="L156" t="n">
        <v>0</v>
      </c>
      <c r="M156" t="n">
        <v>0</v>
      </c>
      <c r="N156" t="n">
        <v>0</v>
      </c>
      <c r="O156" t="n">
        <v>4</v>
      </c>
      <c r="P156" t="n">
        <v>0</v>
      </c>
      <c r="Q156" t="n">
        <v>5</v>
      </c>
      <c r="R156" s="2" t="inlineStr">
        <is>
          <t>Garnlav
Rosenticka
Stjärntagging
Ullticka
Vedticka</t>
        </is>
      </c>
      <c r="S156">
        <f>HYPERLINK("https://klasma.github.io/Logging_2283/artfynd/A 3575-2026 artfynd.xlsx", "A 3575-2026")</f>
        <v/>
      </c>
      <c r="T156">
        <f>HYPERLINK("https://klasma.github.io/Logging_2283/kartor/A 3575-2026 karta.png", "A 3575-2026")</f>
        <v/>
      </c>
      <c r="V156">
        <f>HYPERLINK("https://klasma.github.io/Logging_2283/klagomål/A 3575-2026 FSC-klagomål.docx", "A 3575-2026")</f>
        <v/>
      </c>
      <c r="W156">
        <f>HYPERLINK("https://klasma.github.io/Logging_2283/klagomålsmail/A 3575-2026 FSC-klagomål mail.docx", "A 3575-2026")</f>
        <v/>
      </c>
      <c r="X156">
        <f>HYPERLINK("https://klasma.github.io/Logging_2283/tillsyn/A 3575-2026 tillsynsbegäran.docx", "A 3575-2026")</f>
        <v/>
      </c>
      <c r="Y156">
        <f>HYPERLINK("https://klasma.github.io/Logging_2283/tillsynsmail/A 3575-2026 tillsynsbegäran mail.docx", "A 3575-2026")</f>
        <v/>
      </c>
    </row>
    <row r="157" ht="15" customHeight="1">
      <c r="A157" t="inlineStr">
        <is>
          <t>A 33519-2024</t>
        </is>
      </c>
      <c r="B157" s="1" t="n">
        <v>45519</v>
      </c>
      <c r="C157" s="1" t="n">
        <v>46060</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46060</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46060</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46060</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16314-2025</t>
        </is>
      </c>
      <c r="B161" s="1" t="n">
        <v>45751.34763888889</v>
      </c>
      <c r="C161" s="1" t="n">
        <v>46060</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19081-2024</t>
        </is>
      </c>
      <c r="B162" s="1" t="n">
        <v>45428</v>
      </c>
      <c r="C162" s="1" t="n">
        <v>46060</v>
      </c>
      <c r="D162" t="inlineStr">
        <is>
          <t>VÄSTERNORRLANDS LÄN</t>
        </is>
      </c>
      <c r="E162" t="inlineStr">
        <is>
          <t>SOLLEFTEÅ</t>
        </is>
      </c>
      <c r="F162" t="inlineStr">
        <is>
          <t>SCA</t>
        </is>
      </c>
      <c r="G162" t="n">
        <v>21.5</v>
      </c>
      <c r="H162" t="n">
        <v>2</v>
      </c>
      <c r="I162" t="n">
        <v>0</v>
      </c>
      <c r="J162" t="n">
        <v>4</v>
      </c>
      <c r="K162" t="n">
        <v>0</v>
      </c>
      <c r="L162" t="n">
        <v>0</v>
      </c>
      <c r="M162" t="n">
        <v>0</v>
      </c>
      <c r="N162" t="n">
        <v>0</v>
      </c>
      <c r="O162" t="n">
        <v>4</v>
      </c>
      <c r="P162" t="n">
        <v>0</v>
      </c>
      <c r="Q162" t="n">
        <v>5</v>
      </c>
      <c r="R162" s="2" t="inlineStr">
        <is>
          <t>Garnlav
Granticka
Järpe
Ullticka
Fläcknycklar</t>
        </is>
      </c>
      <c r="S162">
        <f>HYPERLINK("https://klasma.github.io/Logging_2283/artfynd/A 19081-2024 artfynd.xlsx", "A 19081-2024")</f>
        <v/>
      </c>
      <c r="T162">
        <f>HYPERLINK("https://klasma.github.io/Logging_2283/kartor/A 19081-2024 karta.png", "A 19081-2024")</f>
        <v/>
      </c>
      <c r="V162">
        <f>HYPERLINK("https://klasma.github.io/Logging_2283/klagomål/A 19081-2024 FSC-klagomål.docx", "A 19081-2024")</f>
        <v/>
      </c>
      <c r="W162">
        <f>HYPERLINK("https://klasma.github.io/Logging_2283/klagomålsmail/A 19081-2024 FSC-klagomål mail.docx", "A 19081-2024")</f>
        <v/>
      </c>
      <c r="X162">
        <f>HYPERLINK("https://klasma.github.io/Logging_2283/tillsyn/A 19081-2024 tillsynsbegäran.docx", "A 19081-2024")</f>
        <v/>
      </c>
      <c r="Y162">
        <f>HYPERLINK("https://klasma.github.io/Logging_2283/tillsynsmail/A 19081-2024 tillsynsbegäran mail.docx", "A 19081-2024")</f>
        <v/>
      </c>
      <c r="Z162">
        <f>HYPERLINK("https://klasma.github.io/Logging_2283/fåglar/A 19081-2024 prioriterade fågelarter.docx", "A 19081-2024")</f>
        <v/>
      </c>
    </row>
    <row r="163" ht="15" customHeight="1">
      <c r="A163" t="inlineStr">
        <is>
          <t>A 11547-2025</t>
        </is>
      </c>
      <c r="B163" s="1" t="n">
        <v>45727.34447916667</v>
      </c>
      <c r="C163" s="1" t="n">
        <v>46060</v>
      </c>
      <c r="D163" t="inlineStr">
        <is>
          <t>VÄSTERNORRLANDS LÄN</t>
        </is>
      </c>
      <c r="E163" t="inlineStr">
        <is>
          <t>SOLLEFTEÅ</t>
        </is>
      </c>
      <c r="F163" t="inlineStr">
        <is>
          <t>SCA</t>
        </is>
      </c>
      <c r="G163" t="n">
        <v>2.9</v>
      </c>
      <c r="H163" t="n">
        <v>2</v>
      </c>
      <c r="I163" t="n">
        <v>0</v>
      </c>
      <c r="J163" t="n">
        <v>5</v>
      </c>
      <c r="K163" t="n">
        <v>0</v>
      </c>
      <c r="L163" t="n">
        <v>0</v>
      </c>
      <c r="M163" t="n">
        <v>0</v>
      </c>
      <c r="N163" t="n">
        <v>0</v>
      </c>
      <c r="O163" t="n">
        <v>5</v>
      </c>
      <c r="P163" t="n">
        <v>0</v>
      </c>
      <c r="Q163" t="n">
        <v>5</v>
      </c>
      <c r="R163" s="2" t="inlineStr">
        <is>
          <t>Garnlav
Järpe
Lunglav
Tretåig hackspett
Ullticka</t>
        </is>
      </c>
      <c r="S163">
        <f>HYPERLINK("https://klasma.github.io/Logging_2283/artfynd/A 11547-2025 artfynd.xlsx", "A 11547-2025")</f>
        <v/>
      </c>
      <c r="T163">
        <f>HYPERLINK("https://klasma.github.io/Logging_2283/kartor/A 11547-2025 karta.png", "A 11547-2025")</f>
        <v/>
      </c>
      <c r="V163">
        <f>HYPERLINK("https://klasma.github.io/Logging_2283/klagomål/A 11547-2025 FSC-klagomål.docx", "A 11547-2025")</f>
        <v/>
      </c>
      <c r="W163">
        <f>HYPERLINK("https://klasma.github.io/Logging_2283/klagomålsmail/A 11547-2025 FSC-klagomål mail.docx", "A 11547-2025")</f>
        <v/>
      </c>
      <c r="X163">
        <f>HYPERLINK("https://klasma.github.io/Logging_2283/tillsyn/A 11547-2025 tillsynsbegäran.docx", "A 11547-2025")</f>
        <v/>
      </c>
      <c r="Y163">
        <f>HYPERLINK("https://klasma.github.io/Logging_2283/tillsynsmail/A 11547-2025 tillsynsbegäran mail.docx", "A 11547-2025")</f>
        <v/>
      </c>
      <c r="Z163">
        <f>HYPERLINK("https://klasma.github.io/Logging_2283/fåglar/A 11547-2025 prioriterade fågelarter.docx", "A 11547-2025")</f>
        <v/>
      </c>
    </row>
    <row r="164" ht="15" customHeight="1">
      <c r="A164" t="inlineStr">
        <is>
          <t>A 32216-2023</t>
        </is>
      </c>
      <c r="B164" s="1" t="n">
        <v>45119</v>
      </c>
      <c r="C164" s="1" t="n">
        <v>46060</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21002-2025</t>
        </is>
      </c>
      <c r="B165" s="1" t="n">
        <v>45777.48998842593</v>
      </c>
      <c r="C165" s="1" t="n">
        <v>46060</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Granticka
Tretåig hackspett
Ullticka
Norrlandslav
Vedticka</t>
        </is>
      </c>
      <c r="S165">
        <f>HYPERLINK("https://klasma.github.io/Logging_2283/artfynd/A 21002-2025 artfynd.xlsx", "A 21002-2025")</f>
        <v/>
      </c>
      <c r="T165">
        <f>HYPERLINK("https://klasma.github.io/Logging_2283/kartor/A 21002-2025 karta.png", "A 21002-2025")</f>
        <v/>
      </c>
      <c r="V165">
        <f>HYPERLINK("https://klasma.github.io/Logging_2283/klagomål/A 21002-2025 FSC-klagomål.docx", "A 21002-2025")</f>
        <v/>
      </c>
      <c r="W165">
        <f>HYPERLINK("https://klasma.github.io/Logging_2283/klagomålsmail/A 21002-2025 FSC-klagomål mail.docx", "A 21002-2025")</f>
        <v/>
      </c>
      <c r="X165">
        <f>HYPERLINK("https://klasma.github.io/Logging_2283/tillsyn/A 21002-2025 tillsynsbegäran.docx", "A 21002-2025")</f>
        <v/>
      </c>
      <c r="Y165">
        <f>HYPERLINK("https://klasma.github.io/Logging_2283/tillsynsmail/A 21002-2025 tillsynsbegäran mail.docx", "A 21002-2025")</f>
        <v/>
      </c>
      <c r="Z165">
        <f>HYPERLINK("https://klasma.github.io/Logging_2283/fåglar/A 21002-2025 prioriterade fågelarter.docx", "A 21002-2025")</f>
        <v/>
      </c>
    </row>
    <row r="166" ht="15" customHeight="1">
      <c r="A166" t="inlineStr">
        <is>
          <t>A 30235-2022</t>
        </is>
      </c>
      <c r="B166" s="1" t="n">
        <v>44757</v>
      </c>
      <c r="C166" s="1" t="n">
        <v>46060</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22797-2025</t>
        </is>
      </c>
      <c r="B167" s="1" t="n">
        <v>45789</v>
      </c>
      <c r="C167" s="1" t="n">
        <v>46060</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3795-2022</t>
        </is>
      </c>
      <c r="B168" s="1" t="n">
        <v>44586</v>
      </c>
      <c r="C168" s="1" t="n">
        <v>46060</v>
      </c>
      <c r="D168" t="inlineStr">
        <is>
          <t>VÄSTERNORRLANDS LÄN</t>
        </is>
      </c>
      <c r="E168" t="inlineStr">
        <is>
          <t>SOLLEFTEÅ</t>
        </is>
      </c>
      <c r="F168" t="inlineStr">
        <is>
          <t>SCA</t>
        </is>
      </c>
      <c r="G168" t="n">
        <v>1.3</v>
      </c>
      <c r="H168" t="n">
        <v>3</v>
      </c>
      <c r="I168" t="n">
        <v>0</v>
      </c>
      <c r="J168" t="n">
        <v>3</v>
      </c>
      <c r="K168" t="n">
        <v>1</v>
      </c>
      <c r="L168" t="n">
        <v>0</v>
      </c>
      <c r="M168" t="n">
        <v>0</v>
      </c>
      <c r="N168" t="n">
        <v>0</v>
      </c>
      <c r="O168" t="n">
        <v>4</v>
      </c>
      <c r="P168" t="n">
        <v>1</v>
      </c>
      <c r="Q168" t="n">
        <v>4</v>
      </c>
      <c r="R168" s="2" t="inlineStr">
        <is>
          <t>Knärot
Garnlav
Talltita
Tretåig hackspett</t>
        </is>
      </c>
      <c r="S168">
        <f>HYPERLINK("https://klasma.github.io/Logging_2283/artfynd/A 3795-2022 artfynd.xlsx", "A 3795-2022")</f>
        <v/>
      </c>
      <c r="T168">
        <f>HYPERLINK("https://klasma.github.io/Logging_2283/kartor/A 3795-2022 karta.png", "A 3795-2022")</f>
        <v/>
      </c>
      <c r="U168">
        <f>HYPERLINK("https://klasma.github.io/Logging_2283/knärot/A 3795-2022 karta knärot.png", "A 3795-2022")</f>
        <v/>
      </c>
      <c r="V168">
        <f>HYPERLINK("https://klasma.github.io/Logging_2283/klagomål/A 3795-2022 FSC-klagomål.docx", "A 3795-2022")</f>
        <v/>
      </c>
      <c r="W168">
        <f>HYPERLINK("https://klasma.github.io/Logging_2283/klagomålsmail/A 3795-2022 FSC-klagomål mail.docx", "A 3795-2022")</f>
        <v/>
      </c>
      <c r="X168">
        <f>HYPERLINK("https://klasma.github.io/Logging_2283/tillsyn/A 3795-2022 tillsynsbegäran.docx", "A 3795-2022")</f>
        <v/>
      </c>
      <c r="Y168">
        <f>HYPERLINK("https://klasma.github.io/Logging_2283/tillsynsmail/A 3795-2022 tillsynsbegäran mail.docx", "A 3795-2022")</f>
        <v/>
      </c>
      <c r="Z168">
        <f>HYPERLINK("https://klasma.github.io/Logging_2283/fåglar/A 3795-2022 prioriterade fågelarter.docx", "A 3795-2022")</f>
        <v/>
      </c>
    </row>
    <row r="169" ht="15" customHeight="1">
      <c r="A169" t="inlineStr">
        <is>
          <t>A 48061-2022</t>
        </is>
      </c>
      <c r="B169" s="1" t="n">
        <v>44855</v>
      </c>
      <c r="C169" s="1" t="n">
        <v>46060</v>
      </c>
      <c r="D169" t="inlineStr">
        <is>
          <t>VÄSTERNORRLANDS LÄN</t>
        </is>
      </c>
      <c r="E169" t="inlineStr">
        <is>
          <t>SOLLEFTEÅ</t>
        </is>
      </c>
      <c r="F169" t="inlineStr">
        <is>
          <t>SCA</t>
        </is>
      </c>
      <c r="G169" t="n">
        <v>4.1</v>
      </c>
      <c r="H169" t="n">
        <v>0</v>
      </c>
      <c r="I169" t="n">
        <v>1</v>
      </c>
      <c r="J169" t="n">
        <v>2</v>
      </c>
      <c r="K169" t="n">
        <v>1</v>
      </c>
      <c r="L169" t="n">
        <v>0</v>
      </c>
      <c r="M169" t="n">
        <v>0</v>
      </c>
      <c r="N169" t="n">
        <v>0</v>
      </c>
      <c r="O169" t="n">
        <v>3</v>
      </c>
      <c r="P169" t="n">
        <v>1</v>
      </c>
      <c r="Q169" t="n">
        <v>4</v>
      </c>
      <c r="R169" s="2" t="inlineStr">
        <is>
          <t>Rynkskinn
Rosenticka
Ullticka
Trådticka</t>
        </is>
      </c>
      <c r="S169">
        <f>HYPERLINK("https://klasma.github.io/Logging_2283/artfynd/A 48061-2022 artfynd.xlsx", "A 48061-2022")</f>
        <v/>
      </c>
      <c r="T169">
        <f>HYPERLINK("https://klasma.github.io/Logging_2283/kartor/A 48061-2022 karta.png", "A 48061-2022")</f>
        <v/>
      </c>
      <c r="V169">
        <f>HYPERLINK("https://klasma.github.io/Logging_2283/klagomål/A 48061-2022 FSC-klagomål.docx", "A 48061-2022")</f>
        <v/>
      </c>
      <c r="W169">
        <f>HYPERLINK("https://klasma.github.io/Logging_2283/klagomålsmail/A 48061-2022 FSC-klagomål mail.docx", "A 48061-2022")</f>
        <v/>
      </c>
      <c r="X169">
        <f>HYPERLINK("https://klasma.github.io/Logging_2283/tillsyn/A 48061-2022 tillsynsbegäran.docx", "A 48061-2022")</f>
        <v/>
      </c>
      <c r="Y169">
        <f>HYPERLINK("https://klasma.github.io/Logging_2283/tillsynsmail/A 48061-2022 tillsynsbegäran mail.docx", "A 48061-2022")</f>
        <v/>
      </c>
    </row>
    <row r="170" ht="15" customHeight="1">
      <c r="A170" t="inlineStr">
        <is>
          <t>A 13342-2024</t>
        </is>
      </c>
      <c r="B170" s="1" t="n">
        <v>45386</v>
      </c>
      <c r="C170" s="1" t="n">
        <v>46060</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51192-2024</t>
        </is>
      </c>
      <c r="B171" s="1" t="n">
        <v>45603.61493055556</v>
      </c>
      <c r="C171" s="1" t="n">
        <v>46060</v>
      </c>
      <c r="D171" t="inlineStr">
        <is>
          <t>VÄSTERNORRLANDS LÄN</t>
        </is>
      </c>
      <c r="E171" t="inlineStr">
        <is>
          <t>SOLLEFTEÅ</t>
        </is>
      </c>
      <c r="F171" t="inlineStr">
        <is>
          <t>SCA</t>
        </is>
      </c>
      <c r="G171" t="n">
        <v>3.9</v>
      </c>
      <c r="H171" t="n">
        <v>1</v>
      </c>
      <c r="I171" t="n">
        <v>0</v>
      </c>
      <c r="J171" t="n">
        <v>3</v>
      </c>
      <c r="K171" t="n">
        <v>1</v>
      </c>
      <c r="L171" t="n">
        <v>0</v>
      </c>
      <c r="M171" t="n">
        <v>0</v>
      </c>
      <c r="N171" t="n">
        <v>0</v>
      </c>
      <c r="O171" t="n">
        <v>4</v>
      </c>
      <c r="P171" t="n">
        <v>1</v>
      </c>
      <c r="Q171" t="n">
        <v>4</v>
      </c>
      <c r="R171" s="2" t="inlineStr">
        <is>
          <t>Rynkskinn
Garnlav
Lunglav
Talltita</t>
        </is>
      </c>
      <c r="S171">
        <f>HYPERLINK("https://klasma.github.io/Logging_2283/artfynd/A 51192-2024 artfynd.xlsx", "A 51192-2024")</f>
        <v/>
      </c>
      <c r="T171">
        <f>HYPERLINK("https://klasma.github.io/Logging_2283/kartor/A 51192-2024 karta.png", "A 51192-2024")</f>
        <v/>
      </c>
      <c r="V171">
        <f>HYPERLINK("https://klasma.github.io/Logging_2283/klagomål/A 51192-2024 FSC-klagomål.docx", "A 51192-2024")</f>
        <v/>
      </c>
      <c r="W171">
        <f>HYPERLINK("https://klasma.github.io/Logging_2283/klagomålsmail/A 51192-2024 FSC-klagomål mail.docx", "A 51192-2024")</f>
        <v/>
      </c>
      <c r="X171">
        <f>HYPERLINK("https://klasma.github.io/Logging_2283/tillsyn/A 51192-2024 tillsynsbegäran.docx", "A 51192-2024")</f>
        <v/>
      </c>
      <c r="Y171">
        <f>HYPERLINK("https://klasma.github.io/Logging_2283/tillsynsmail/A 51192-2024 tillsynsbegäran mail.docx", "A 51192-2024")</f>
        <v/>
      </c>
      <c r="Z171">
        <f>HYPERLINK("https://klasma.github.io/Logging_2283/fåglar/A 51192-2024 prioriterade fågelarter.docx", "A 51192-2024")</f>
        <v/>
      </c>
    </row>
    <row r="172" ht="15" customHeight="1">
      <c r="A172" t="inlineStr">
        <is>
          <t>A 37270-2023</t>
        </is>
      </c>
      <c r="B172" s="1" t="n">
        <v>45155</v>
      </c>
      <c r="C172" s="1" t="n">
        <v>46060</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40740-2025</t>
        </is>
      </c>
      <c r="B173" s="1" t="n">
        <v>45897.36840277778</v>
      </c>
      <c r="C173" s="1" t="n">
        <v>46060</v>
      </c>
      <c r="D173" t="inlineStr">
        <is>
          <t>VÄSTERNORRLANDS LÄN</t>
        </is>
      </c>
      <c r="E173" t="inlineStr">
        <is>
          <t>SOLLEFTEÅ</t>
        </is>
      </c>
      <c r="G173" t="n">
        <v>6.3</v>
      </c>
      <c r="H173" t="n">
        <v>0</v>
      </c>
      <c r="I173" t="n">
        <v>0</v>
      </c>
      <c r="J173" t="n">
        <v>4</v>
      </c>
      <c r="K173" t="n">
        <v>0</v>
      </c>
      <c r="L173" t="n">
        <v>0</v>
      </c>
      <c r="M173" t="n">
        <v>0</v>
      </c>
      <c r="N173" t="n">
        <v>0</v>
      </c>
      <c r="O173" t="n">
        <v>4</v>
      </c>
      <c r="P173" t="n">
        <v>0</v>
      </c>
      <c r="Q173" t="n">
        <v>4</v>
      </c>
      <c r="R173" s="2" t="inlineStr">
        <is>
          <t>Garnlav
Kolflarnlav
Vedflamlav
Vedskivlav</t>
        </is>
      </c>
      <c r="S173">
        <f>HYPERLINK("https://klasma.github.io/Logging_2283/artfynd/A 40740-2025 artfynd.xlsx", "A 40740-2025")</f>
        <v/>
      </c>
      <c r="T173">
        <f>HYPERLINK("https://klasma.github.io/Logging_2283/kartor/A 40740-2025 karta.png", "A 40740-2025")</f>
        <v/>
      </c>
      <c r="V173">
        <f>HYPERLINK("https://klasma.github.io/Logging_2283/klagomål/A 40740-2025 FSC-klagomål.docx", "A 40740-2025")</f>
        <v/>
      </c>
      <c r="W173">
        <f>HYPERLINK("https://klasma.github.io/Logging_2283/klagomålsmail/A 40740-2025 FSC-klagomål mail.docx", "A 40740-2025")</f>
        <v/>
      </c>
      <c r="X173">
        <f>HYPERLINK("https://klasma.github.io/Logging_2283/tillsyn/A 40740-2025 tillsynsbegäran.docx", "A 40740-2025")</f>
        <v/>
      </c>
      <c r="Y173">
        <f>HYPERLINK("https://klasma.github.io/Logging_2283/tillsynsmail/A 40740-2025 tillsynsbegäran mail.docx", "A 40740-2025")</f>
        <v/>
      </c>
    </row>
    <row r="174" ht="15" customHeight="1">
      <c r="A174" t="inlineStr">
        <is>
          <t>A 47527-2024</t>
        </is>
      </c>
      <c r="B174" s="1" t="n">
        <v>45587.63574074074</v>
      </c>
      <c r="C174" s="1" t="n">
        <v>46060</v>
      </c>
      <c r="D174" t="inlineStr">
        <is>
          <t>VÄSTERNORRLANDS LÄN</t>
        </is>
      </c>
      <c r="E174" t="inlineStr">
        <is>
          <t>SOLLEFTEÅ</t>
        </is>
      </c>
      <c r="F174" t="inlineStr">
        <is>
          <t>SCA</t>
        </is>
      </c>
      <c r="G174" t="n">
        <v>3.6</v>
      </c>
      <c r="H174" t="n">
        <v>1</v>
      </c>
      <c r="I174" t="n">
        <v>1</v>
      </c>
      <c r="J174" t="n">
        <v>3</v>
      </c>
      <c r="K174" t="n">
        <v>0</v>
      </c>
      <c r="L174" t="n">
        <v>0</v>
      </c>
      <c r="M174" t="n">
        <v>0</v>
      </c>
      <c r="N174" t="n">
        <v>0</v>
      </c>
      <c r="O174" t="n">
        <v>3</v>
      </c>
      <c r="P174" t="n">
        <v>0</v>
      </c>
      <c r="Q174" t="n">
        <v>4</v>
      </c>
      <c r="R174" s="2" t="inlineStr">
        <is>
          <t>Garnlav
Lunglav
Ullticka
Lappranunkel</t>
        </is>
      </c>
      <c r="S174">
        <f>HYPERLINK("https://klasma.github.io/Logging_2283/artfynd/A 47527-2024 artfynd.xlsx", "A 47527-2024")</f>
        <v/>
      </c>
      <c r="T174">
        <f>HYPERLINK("https://klasma.github.io/Logging_2283/kartor/A 47527-2024 karta.png", "A 47527-2024")</f>
        <v/>
      </c>
      <c r="V174">
        <f>HYPERLINK("https://klasma.github.io/Logging_2283/klagomål/A 47527-2024 FSC-klagomål.docx", "A 47527-2024")</f>
        <v/>
      </c>
      <c r="W174">
        <f>HYPERLINK("https://klasma.github.io/Logging_2283/klagomålsmail/A 47527-2024 FSC-klagomål mail.docx", "A 47527-2024")</f>
        <v/>
      </c>
      <c r="X174">
        <f>HYPERLINK("https://klasma.github.io/Logging_2283/tillsyn/A 47527-2024 tillsynsbegäran.docx", "A 47527-2024")</f>
        <v/>
      </c>
      <c r="Y174">
        <f>HYPERLINK("https://klasma.github.io/Logging_2283/tillsynsmail/A 47527-2024 tillsynsbegäran mail.docx", "A 47527-2024")</f>
        <v/>
      </c>
    </row>
    <row r="175" ht="15" customHeight="1">
      <c r="A175" t="inlineStr">
        <is>
          <t>A 2349-2025</t>
        </is>
      </c>
      <c r="B175" s="1" t="n">
        <v>45673.67807870371</v>
      </c>
      <c r="C175" s="1" t="n">
        <v>46060</v>
      </c>
      <c r="D175" t="inlineStr">
        <is>
          <t>VÄSTERNORRLANDS LÄN</t>
        </is>
      </c>
      <c r="E175" t="inlineStr">
        <is>
          <t>SOLLEFTEÅ</t>
        </is>
      </c>
      <c r="F175" t="inlineStr">
        <is>
          <t>SCA</t>
        </is>
      </c>
      <c r="G175" t="n">
        <v>3.5</v>
      </c>
      <c r="H175" t="n">
        <v>2</v>
      </c>
      <c r="I175" t="n">
        <v>0</v>
      </c>
      <c r="J175" t="n">
        <v>3</v>
      </c>
      <c r="K175" t="n">
        <v>0</v>
      </c>
      <c r="L175" t="n">
        <v>0</v>
      </c>
      <c r="M175" t="n">
        <v>0</v>
      </c>
      <c r="N175" t="n">
        <v>0</v>
      </c>
      <c r="O175" t="n">
        <v>3</v>
      </c>
      <c r="P175" t="n">
        <v>0</v>
      </c>
      <c r="Q175" t="n">
        <v>4</v>
      </c>
      <c r="R175" s="2" t="inlineStr">
        <is>
          <t>Garnlav
Spillkråka
Ullticka
Tjäder</t>
        </is>
      </c>
      <c r="S175">
        <f>HYPERLINK("https://klasma.github.io/Logging_2283/artfynd/A 2349-2025 artfynd.xlsx", "A 2349-2025")</f>
        <v/>
      </c>
      <c r="T175">
        <f>HYPERLINK("https://klasma.github.io/Logging_2283/kartor/A 2349-2025 karta.png", "A 2349-2025")</f>
        <v/>
      </c>
      <c r="V175">
        <f>HYPERLINK("https://klasma.github.io/Logging_2283/klagomål/A 2349-2025 FSC-klagomål.docx", "A 2349-2025")</f>
        <v/>
      </c>
      <c r="W175">
        <f>HYPERLINK("https://klasma.github.io/Logging_2283/klagomålsmail/A 2349-2025 FSC-klagomål mail.docx", "A 2349-2025")</f>
        <v/>
      </c>
      <c r="X175">
        <f>HYPERLINK("https://klasma.github.io/Logging_2283/tillsyn/A 2349-2025 tillsynsbegäran.docx", "A 2349-2025")</f>
        <v/>
      </c>
      <c r="Y175">
        <f>HYPERLINK("https://klasma.github.io/Logging_2283/tillsynsmail/A 2349-2025 tillsynsbegäran mail.docx", "A 2349-2025")</f>
        <v/>
      </c>
      <c r="Z175">
        <f>HYPERLINK("https://klasma.github.io/Logging_2283/fåglar/A 2349-2025 prioriterade fågelarter.docx", "A 2349-2025")</f>
        <v/>
      </c>
    </row>
    <row r="176" ht="15" customHeight="1">
      <c r="A176" t="inlineStr">
        <is>
          <t>A 29561-2025</t>
        </is>
      </c>
      <c r="B176" s="1" t="n">
        <v>45825.36510416667</v>
      </c>
      <c r="C176" s="1" t="n">
        <v>46060</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45030-2025</t>
        </is>
      </c>
      <c r="B177" s="1" t="n">
        <v>45918.69851851852</v>
      </c>
      <c r="C177" s="1" t="n">
        <v>46060</v>
      </c>
      <c r="D177" t="inlineStr">
        <is>
          <t>VÄSTERNORRLANDS LÄN</t>
        </is>
      </c>
      <c r="E177" t="inlineStr">
        <is>
          <t>SOLLEFTEÅ</t>
        </is>
      </c>
      <c r="F177" t="inlineStr">
        <is>
          <t>SCA</t>
        </is>
      </c>
      <c r="G177" t="n">
        <v>8.1</v>
      </c>
      <c r="H177" t="n">
        <v>3</v>
      </c>
      <c r="I177" t="n">
        <v>1</v>
      </c>
      <c r="J177" t="n">
        <v>2</v>
      </c>
      <c r="K177" t="n">
        <v>0</v>
      </c>
      <c r="L177" t="n">
        <v>0</v>
      </c>
      <c r="M177" t="n">
        <v>0</v>
      </c>
      <c r="N177" t="n">
        <v>0</v>
      </c>
      <c r="O177" t="n">
        <v>2</v>
      </c>
      <c r="P177" t="n">
        <v>0</v>
      </c>
      <c r="Q177" t="n">
        <v>4</v>
      </c>
      <c r="R177" s="2" t="inlineStr">
        <is>
          <t>Garnlav
Talltita
Korallrot
Revlummer</t>
        </is>
      </c>
      <c r="S177">
        <f>HYPERLINK("https://klasma.github.io/Logging_2283/artfynd/A 45030-2025 artfynd.xlsx", "A 45030-2025")</f>
        <v/>
      </c>
      <c r="T177">
        <f>HYPERLINK("https://klasma.github.io/Logging_2283/kartor/A 45030-2025 karta.png", "A 45030-2025")</f>
        <v/>
      </c>
      <c r="V177">
        <f>HYPERLINK("https://klasma.github.io/Logging_2283/klagomål/A 45030-2025 FSC-klagomål.docx", "A 45030-2025")</f>
        <v/>
      </c>
      <c r="W177">
        <f>HYPERLINK("https://klasma.github.io/Logging_2283/klagomålsmail/A 45030-2025 FSC-klagomål mail.docx", "A 45030-2025")</f>
        <v/>
      </c>
      <c r="X177">
        <f>HYPERLINK("https://klasma.github.io/Logging_2283/tillsyn/A 45030-2025 tillsynsbegäran.docx", "A 45030-2025")</f>
        <v/>
      </c>
      <c r="Y177">
        <f>HYPERLINK("https://klasma.github.io/Logging_2283/tillsynsmail/A 45030-2025 tillsynsbegäran mail.docx", "A 45030-2025")</f>
        <v/>
      </c>
      <c r="Z177">
        <f>HYPERLINK("https://klasma.github.io/Logging_2283/fåglar/A 45030-2025 prioriterade fågelarter.docx", "A 45030-2025")</f>
        <v/>
      </c>
    </row>
    <row r="178" ht="15" customHeight="1">
      <c r="A178" t="inlineStr">
        <is>
          <t>A 5018-2025</t>
        </is>
      </c>
      <c r="B178" s="1" t="n">
        <v>45691</v>
      </c>
      <c r="C178" s="1" t="n">
        <v>46060</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50839-2023</t>
        </is>
      </c>
      <c r="B179" s="1" t="n">
        <v>45217</v>
      </c>
      <c r="C179" s="1" t="n">
        <v>46060</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26338-2025</t>
        </is>
      </c>
      <c r="B180" s="1" t="n">
        <v>45805.69841435185</v>
      </c>
      <c r="C180" s="1" t="n">
        <v>46060</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59381-2024</t>
        </is>
      </c>
      <c r="B181" s="1" t="n">
        <v>45638</v>
      </c>
      <c r="C181" s="1" t="n">
        <v>46060</v>
      </c>
      <c r="D181" t="inlineStr">
        <is>
          <t>VÄSTERNORRLANDS LÄN</t>
        </is>
      </c>
      <c r="E181" t="inlineStr">
        <is>
          <t>SOLLEFTEÅ</t>
        </is>
      </c>
      <c r="G181" t="n">
        <v>5.4</v>
      </c>
      <c r="H181" t="n">
        <v>2</v>
      </c>
      <c r="I181" t="n">
        <v>0</v>
      </c>
      <c r="J181" t="n">
        <v>3</v>
      </c>
      <c r="K181" t="n">
        <v>0</v>
      </c>
      <c r="L181" t="n">
        <v>0</v>
      </c>
      <c r="M181" t="n">
        <v>0</v>
      </c>
      <c r="N181" t="n">
        <v>0</v>
      </c>
      <c r="O181" t="n">
        <v>3</v>
      </c>
      <c r="P181" t="n">
        <v>0</v>
      </c>
      <c r="Q181" t="n">
        <v>4</v>
      </c>
      <c r="R181" s="2" t="inlineStr">
        <is>
          <t>Rosenticka
Talltita
Ullticka
Fläcknycklar</t>
        </is>
      </c>
      <c r="S181">
        <f>HYPERLINK("https://klasma.github.io/Logging_2283/artfynd/A 59381-2024 artfynd.xlsx", "A 59381-2024")</f>
        <v/>
      </c>
      <c r="T181">
        <f>HYPERLINK("https://klasma.github.io/Logging_2283/kartor/A 59381-2024 karta.png", "A 59381-2024")</f>
        <v/>
      </c>
      <c r="U181">
        <f>HYPERLINK("https://klasma.github.io/Logging_2283/knärot/A 59381-2024 karta knärot.png", "A 59381-2024")</f>
        <v/>
      </c>
      <c r="V181">
        <f>HYPERLINK("https://klasma.github.io/Logging_2283/klagomål/A 59381-2024 FSC-klagomål.docx", "A 59381-2024")</f>
        <v/>
      </c>
      <c r="W181">
        <f>HYPERLINK("https://klasma.github.io/Logging_2283/klagomålsmail/A 59381-2024 FSC-klagomål mail.docx", "A 59381-2024")</f>
        <v/>
      </c>
      <c r="X181">
        <f>HYPERLINK("https://klasma.github.io/Logging_2283/tillsyn/A 59381-2024 tillsynsbegäran.docx", "A 59381-2024")</f>
        <v/>
      </c>
      <c r="Y181">
        <f>HYPERLINK("https://klasma.github.io/Logging_2283/tillsynsmail/A 59381-2024 tillsynsbegäran mail.docx", "A 59381-2024")</f>
        <v/>
      </c>
      <c r="Z181">
        <f>HYPERLINK("https://klasma.github.io/Logging_2283/fåglar/A 59381-2024 prioriterade fågelarter.docx", "A 59381-2024")</f>
        <v/>
      </c>
    </row>
    <row r="182" ht="15" customHeight="1">
      <c r="A182" t="inlineStr">
        <is>
          <t>A 25954-2025</t>
        </is>
      </c>
      <c r="B182" s="1" t="n">
        <v>45804</v>
      </c>
      <c r="C182" s="1" t="n">
        <v>46060</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19898-2025</t>
        </is>
      </c>
      <c r="B183" s="1" t="n">
        <v>45771.58626157408</v>
      </c>
      <c r="C183" s="1" t="n">
        <v>46060</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36943-2025</t>
        </is>
      </c>
      <c r="B184" s="1" t="n">
        <v>45874.59422453704</v>
      </c>
      <c r="C184" s="1" t="n">
        <v>46060</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56248-2023</t>
        </is>
      </c>
      <c r="B185" s="1" t="n">
        <v>45240</v>
      </c>
      <c r="C185" s="1" t="n">
        <v>46060</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8885-2024</t>
        </is>
      </c>
      <c r="B186" s="1" t="n">
        <v>45357</v>
      </c>
      <c r="C186" s="1" t="n">
        <v>46060</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54093-2024</t>
        </is>
      </c>
      <c r="B187" s="1" t="n">
        <v>45616.51100694444</v>
      </c>
      <c r="C187" s="1" t="n">
        <v>46060</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62638-2022</t>
        </is>
      </c>
      <c r="B188" s="1" t="n">
        <v>44925</v>
      </c>
      <c r="C188" s="1" t="n">
        <v>46060</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60260-2025</t>
        </is>
      </c>
      <c r="B189" s="1" t="n">
        <v>45994.61025462963</v>
      </c>
      <c r="C189" s="1" t="n">
        <v>46060</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57081-2024</t>
        </is>
      </c>
      <c r="B190" s="1" t="n">
        <v>45629</v>
      </c>
      <c r="C190" s="1" t="n">
        <v>46060</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58155-2025</t>
        </is>
      </c>
      <c r="B191" s="1" t="n">
        <v>45982</v>
      </c>
      <c r="C191" s="1" t="n">
        <v>46060</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2409-2023</t>
        </is>
      </c>
      <c r="B192" s="1" t="n">
        <v>44942</v>
      </c>
      <c r="C192" s="1" t="n">
        <v>46060</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20572-2025</t>
        </is>
      </c>
      <c r="B193" s="1" t="n">
        <v>45775.67054398148</v>
      </c>
      <c r="C193" s="1" t="n">
        <v>46060</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39095-2025</t>
        </is>
      </c>
      <c r="B194" s="1" t="n">
        <v>45888</v>
      </c>
      <c r="C194" s="1" t="n">
        <v>46060</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26467-2024</t>
        </is>
      </c>
      <c r="B195" s="1" t="n">
        <v>45469</v>
      </c>
      <c r="C195" s="1" t="n">
        <v>46060</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53898-2024</t>
        </is>
      </c>
      <c r="B196" s="1" t="n">
        <v>45615.69824074074</v>
      </c>
      <c r="C196" s="1" t="n">
        <v>46060</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32218-2023</t>
        </is>
      </c>
      <c r="B197" s="1" t="n">
        <v>45119</v>
      </c>
      <c r="C197" s="1" t="n">
        <v>46060</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53130-2022</t>
        </is>
      </c>
      <c r="B198" s="1" t="n">
        <v>44873</v>
      </c>
      <c r="C198" s="1" t="n">
        <v>46060</v>
      </c>
      <c r="D198" t="inlineStr">
        <is>
          <t>VÄSTERNORRLANDS LÄN</t>
        </is>
      </c>
      <c r="E198" t="inlineStr">
        <is>
          <t>SOLLEFTEÅ</t>
        </is>
      </c>
      <c r="G198" t="n">
        <v>19.8</v>
      </c>
      <c r="H198" t="n">
        <v>2</v>
      </c>
      <c r="I198" t="n">
        <v>1</v>
      </c>
      <c r="J198" t="n">
        <v>2</v>
      </c>
      <c r="K198" t="n">
        <v>0</v>
      </c>
      <c r="L198" t="n">
        <v>0</v>
      </c>
      <c r="M198" t="n">
        <v>0</v>
      </c>
      <c r="N198" t="n">
        <v>0</v>
      </c>
      <c r="O198" t="n">
        <v>2</v>
      </c>
      <c r="P198" t="n">
        <v>0</v>
      </c>
      <c r="Q198" t="n">
        <v>4</v>
      </c>
      <c r="R198" s="2" t="inlineStr">
        <is>
          <t>Lunglav
Myrbräcka
Bårdlav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62364-2023</t>
        </is>
      </c>
      <c r="B199" s="1" t="n">
        <v>45267.95166666667</v>
      </c>
      <c r="C199" s="1" t="n">
        <v>46060</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31560-2024</t>
        </is>
      </c>
      <c r="B200" s="1" t="n">
        <v>45505</v>
      </c>
      <c r="C200" s="1" t="n">
        <v>46060</v>
      </c>
      <c r="D200" t="inlineStr">
        <is>
          <t>VÄSTERNORRLANDS LÄN</t>
        </is>
      </c>
      <c r="E200" t="inlineStr">
        <is>
          <t>SOLLEFTEÅ</t>
        </is>
      </c>
      <c r="F200" t="inlineStr">
        <is>
          <t>SCA</t>
        </is>
      </c>
      <c r="G200" t="n">
        <v>6</v>
      </c>
      <c r="H200" t="n">
        <v>0</v>
      </c>
      <c r="I200" t="n">
        <v>0</v>
      </c>
      <c r="J200" t="n">
        <v>2</v>
      </c>
      <c r="K200" t="n">
        <v>2</v>
      </c>
      <c r="L200" t="n">
        <v>0</v>
      </c>
      <c r="M200" t="n">
        <v>0</v>
      </c>
      <c r="N200" t="n">
        <v>0</v>
      </c>
      <c r="O200" t="n">
        <v>4</v>
      </c>
      <c r="P200" t="n">
        <v>2</v>
      </c>
      <c r="Q200" t="n">
        <v>4</v>
      </c>
      <c r="R200" s="2" t="inlineStr">
        <is>
          <t>Lappticka
Rynkskinn
Rosenticka
Ullticka</t>
        </is>
      </c>
      <c r="S200">
        <f>HYPERLINK("https://klasma.github.io/Logging_2283/artfynd/A 31560-2024 artfynd.xlsx", "A 31560-2024")</f>
        <v/>
      </c>
      <c r="T200">
        <f>HYPERLINK("https://klasma.github.io/Logging_2283/kartor/A 31560-2024 karta.png", "A 31560-2024")</f>
        <v/>
      </c>
      <c r="V200">
        <f>HYPERLINK("https://klasma.github.io/Logging_2283/klagomål/A 31560-2024 FSC-klagomål.docx", "A 31560-2024")</f>
        <v/>
      </c>
      <c r="W200">
        <f>HYPERLINK("https://klasma.github.io/Logging_2283/klagomålsmail/A 31560-2024 FSC-klagomål mail.docx", "A 31560-2024")</f>
        <v/>
      </c>
      <c r="X200">
        <f>HYPERLINK("https://klasma.github.io/Logging_2283/tillsyn/A 31560-2024 tillsynsbegäran.docx", "A 31560-2024")</f>
        <v/>
      </c>
      <c r="Y200">
        <f>HYPERLINK("https://klasma.github.io/Logging_2283/tillsynsmail/A 31560-2024 tillsynsbegäran mail.docx", "A 31560-2024")</f>
        <v/>
      </c>
    </row>
    <row r="201" ht="15" customHeight="1">
      <c r="A201" t="inlineStr">
        <is>
          <t>A 62632-2022</t>
        </is>
      </c>
      <c r="B201" s="1" t="n">
        <v>44925</v>
      </c>
      <c r="C201" s="1" t="n">
        <v>46060</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20933-2025</t>
        </is>
      </c>
      <c r="B202" s="1" t="n">
        <v>45777.42752314815</v>
      </c>
      <c r="C202" s="1" t="n">
        <v>46060</v>
      </c>
      <c r="D202" t="inlineStr">
        <is>
          <t>VÄSTERNORRLANDS LÄN</t>
        </is>
      </c>
      <c r="E202" t="inlineStr">
        <is>
          <t>SOLLEFTEÅ</t>
        </is>
      </c>
      <c r="F202" t="inlineStr">
        <is>
          <t>SCA</t>
        </is>
      </c>
      <c r="G202" t="n">
        <v>5.9</v>
      </c>
      <c r="H202" t="n">
        <v>0</v>
      </c>
      <c r="I202" t="n">
        <v>1</v>
      </c>
      <c r="J202" t="n">
        <v>3</v>
      </c>
      <c r="K202" t="n">
        <v>0</v>
      </c>
      <c r="L202" t="n">
        <v>0</v>
      </c>
      <c r="M202" t="n">
        <v>0</v>
      </c>
      <c r="N202" t="n">
        <v>0</v>
      </c>
      <c r="O202" t="n">
        <v>3</v>
      </c>
      <c r="P202" t="n">
        <v>0</v>
      </c>
      <c r="Q202" t="n">
        <v>4</v>
      </c>
      <c r="R202" s="2" t="inlineStr">
        <is>
          <t>Orange taggsvamp
Skrovlig taggsvamp
Vitgrynig nållav
Dropptaggsvamp</t>
        </is>
      </c>
      <c r="S202">
        <f>HYPERLINK("https://klasma.github.io/Logging_2283/artfynd/A 20933-2025 artfynd.xlsx", "A 20933-2025")</f>
        <v/>
      </c>
      <c r="T202">
        <f>HYPERLINK("https://klasma.github.io/Logging_2283/kartor/A 20933-2025 karta.png", "A 20933-2025")</f>
        <v/>
      </c>
      <c r="V202">
        <f>HYPERLINK("https://klasma.github.io/Logging_2283/klagomål/A 20933-2025 FSC-klagomål.docx", "A 20933-2025")</f>
        <v/>
      </c>
      <c r="W202">
        <f>HYPERLINK("https://klasma.github.io/Logging_2283/klagomålsmail/A 20933-2025 FSC-klagomål mail.docx", "A 20933-2025")</f>
        <v/>
      </c>
      <c r="X202">
        <f>HYPERLINK("https://klasma.github.io/Logging_2283/tillsyn/A 20933-2025 tillsynsbegäran.docx", "A 20933-2025")</f>
        <v/>
      </c>
      <c r="Y202">
        <f>HYPERLINK("https://klasma.github.io/Logging_2283/tillsynsmail/A 20933-2025 tillsynsbegäran mail.docx", "A 20933-2025")</f>
        <v/>
      </c>
    </row>
    <row r="203" ht="15" customHeight="1">
      <c r="A203" t="inlineStr">
        <is>
          <t>A 9819-2024</t>
        </is>
      </c>
      <c r="B203" s="1" t="n">
        <v>45363</v>
      </c>
      <c r="C203" s="1" t="n">
        <v>46060</v>
      </c>
      <c r="D203" t="inlineStr">
        <is>
          <t>VÄSTERNORRLANDS LÄN</t>
        </is>
      </c>
      <c r="E203" t="inlineStr">
        <is>
          <t>SOLLEFTEÅ</t>
        </is>
      </c>
      <c r="F203" t="inlineStr">
        <is>
          <t>SCA</t>
        </is>
      </c>
      <c r="G203" t="n">
        <v>6.8</v>
      </c>
      <c r="H203" t="n">
        <v>1</v>
      </c>
      <c r="I203" t="n">
        <v>1</v>
      </c>
      <c r="J203" t="n">
        <v>2</v>
      </c>
      <c r="K203" t="n">
        <v>1</v>
      </c>
      <c r="L203" t="n">
        <v>0</v>
      </c>
      <c r="M203" t="n">
        <v>0</v>
      </c>
      <c r="N203" t="n">
        <v>0</v>
      </c>
      <c r="O203" t="n">
        <v>3</v>
      </c>
      <c r="P203" t="n">
        <v>1</v>
      </c>
      <c r="Q203" t="n">
        <v>4</v>
      </c>
      <c r="R203" s="2" t="inlineStr">
        <is>
          <t>Knärot
Motaggsvamp
Vitgrynig nållav
Dropptaggsvamp</t>
        </is>
      </c>
      <c r="S203">
        <f>HYPERLINK("https://klasma.github.io/Logging_2283/artfynd/A 9819-2024 artfynd.xlsx", "A 9819-2024")</f>
        <v/>
      </c>
      <c r="T203">
        <f>HYPERLINK("https://klasma.github.io/Logging_2283/kartor/A 9819-2024 karta.png", "A 9819-2024")</f>
        <v/>
      </c>
      <c r="U203">
        <f>HYPERLINK("https://klasma.github.io/Logging_2283/knärot/A 9819-2024 karta knärot.png", "A 9819-2024")</f>
        <v/>
      </c>
      <c r="V203">
        <f>HYPERLINK("https://klasma.github.io/Logging_2283/klagomål/A 9819-2024 FSC-klagomål.docx", "A 9819-2024")</f>
        <v/>
      </c>
      <c r="W203">
        <f>HYPERLINK("https://klasma.github.io/Logging_2283/klagomålsmail/A 9819-2024 FSC-klagomål mail.docx", "A 9819-2024")</f>
        <v/>
      </c>
      <c r="X203">
        <f>HYPERLINK("https://klasma.github.io/Logging_2283/tillsyn/A 9819-2024 tillsynsbegäran.docx", "A 9819-2024")</f>
        <v/>
      </c>
      <c r="Y203">
        <f>HYPERLINK("https://klasma.github.io/Logging_2283/tillsynsmail/A 9819-2024 tillsynsbegäran mail.docx", "A 9819-2024")</f>
        <v/>
      </c>
    </row>
    <row r="204" ht="15" customHeight="1">
      <c r="A204" t="inlineStr">
        <is>
          <t>A 44599-2021</t>
        </is>
      </c>
      <c r="B204" s="1" t="n">
        <v>44435.94106481481</v>
      </c>
      <c r="C204" s="1" t="n">
        <v>46060</v>
      </c>
      <c r="D204" t="inlineStr">
        <is>
          <t>VÄSTERNORRLANDS LÄN</t>
        </is>
      </c>
      <c r="E204" t="inlineStr">
        <is>
          <t>SOLLEFTEÅ</t>
        </is>
      </c>
      <c r="F204" t="inlineStr">
        <is>
          <t>SCA</t>
        </is>
      </c>
      <c r="G204" t="n">
        <v>6.1</v>
      </c>
      <c r="H204" t="n">
        <v>0</v>
      </c>
      <c r="I204" t="n">
        <v>2</v>
      </c>
      <c r="J204" t="n">
        <v>1</v>
      </c>
      <c r="K204" t="n">
        <v>0</v>
      </c>
      <c r="L204" t="n">
        <v>0</v>
      </c>
      <c r="M204" t="n">
        <v>0</v>
      </c>
      <c r="N204" t="n">
        <v>0</v>
      </c>
      <c r="O204" t="n">
        <v>1</v>
      </c>
      <c r="P204" t="n">
        <v>0</v>
      </c>
      <c r="Q204" t="n">
        <v>3</v>
      </c>
      <c r="R204" s="2" t="inlineStr">
        <is>
          <t>Rosenticka
Strutbräken
Stuplav</t>
        </is>
      </c>
      <c r="S204">
        <f>HYPERLINK("https://klasma.github.io/Logging_2283/artfynd/A 44599-2021 artfynd.xlsx", "A 44599-2021")</f>
        <v/>
      </c>
      <c r="T204">
        <f>HYPERLINK("https://klasma.github.io/Logging_2283/kartor/A 44599-2021 karta.png", "A 44599-2021")</f>
        <v/>
      </c>
      <c r="V204">
        <f>HYPERLINK("https://klasma.github.io/Logging_2283/klagomål/A 44599-2021 FSC-klagomål.docx", "A 44599-2021")</f>
        <v/>
      </c>
      <c r="W204">
        <f>HYPERLINK("https://klasma.github.io/Logging_2283/klagomålsmail/A 44599-2021 FSC-klagomål mail.docx", "A 44599-2021")</f>
        <v/>
      </c>
      <c r="X204">
        <f>HYPERLINK("https://klasma.github.io/Logging_2283/tillsyn/A 44599-2021 tillsynsbegäran.docx", "A 44599-2021")</f>
        <v/>
      </c>
      <c r="Y204">
        <f>HYPERLINK("https://klasma.github.io/Logging_2283/tillsynsmail/A 44599-2021 tillsynsbegäran mail.docx", "A 44599-2021")</f>
        <v/>
      </c>
    </row>
    <row r="205" ht="15" customHeight="1">
      <c r="A205" t="inlineStr">
        <is>
          <t>A 31354-2021</t>
        </is>
      </c>
      <c r="B205" s="1" t="n">
        <v>44368.93938657407</v>
      </c>
      <c r="C205" s="1" t="n">
        <v>46060</v>
      </c>
      <c r="D205" t="inlineStr">
        <is>
          <t>VÄSTERNORRLANDS LÄN</t>
        </is>
      </c>
      <c r="E205" t="inlineStr">
        <is>
          <t>SOLLEFTEÅ</t>
        </is>
      </c>
      <c r="F205" t="inlineStr">
        <is>
          <t>SCA</t>
        </is>
      </c>
      <c r="G205" t="n">
        <v>1.5</v>
      </c>
      <c r="H205" t="n">
        <v>1</v>
      </c>
      <c r="I205" t="n">
        <v>1</v>
      </c>
      <c r="J205" t="n">
        <v>1</v>
      </c>
      <c r="K205" t="n">
        <v>1</v>
      </c>
      <c r="L205" t="n">
        <v>0</v>
      </c>
      <c r="M205" t="n">
        <v>0</v>
      </c>
      <c r="N205" t="n">
        <v>0</v>
      </c>
      <c r="O205" t="n">
        <v>2</v>
      </c>
      <c r="P205" t="n">
        <v>1</v>
      </c>
      <c r="Q205" t="n">
        <v>3</v>
      </c>
      <c r="R205" s="2" t="inlineStr">
        <is>
          <t>Knärot
Garnlav
Norrlandslav</t>
        </is>
      </c>
      <c r="S205">
        <f>HYPERLINK("https://klasma.github.io/Logging_2283/artfynd/A 31354-2021 artfynd.xlsx", "A 31354-2021")</f>
        <v/>
      </c>
      <c r="T205">
        <f>HYPERLINK("https://klasma.github.io/Logging_2283/kartor/A 31354-2021 karta.png", "A 31354-2021")</f>
        <v/>
      </c>
      <c r="U205">
        <f>HYPERLINK("https://klasma.github.io/Logging_2283/knärot/A 31354-2021 karta knärot.png", "A 31354-2021")</f>
        <v/>
      </c>
      <c r="V205">
        <f>HYPERLINK("https://klasma.github.io/Logging_2283/klagomål/A 31354-2021 FSC-klagomål.docx", "A 31354-2021")</f>
        <v/>
      </c>
      <c r="W205">
        <f>HYPERLINK("https://klasma.github.io/Logging_2283/klagomålsmail/A 31354-2021 FSC-klagomål mail.docx", "A 31354-2021")</f>
        <v/>
      </c>
      <c r="X205">
        <f>HYPERLINK("https://klasma.github.io/Logging_2283/tillsyn/A 31354-2021 tillsynsbegäran.docx", "A 31354-2021")</f>
        <v/>
      </c>
      <c r="Y205">
        <f>HYPERLINK("https://klasma.github.io/Logging_2283/tillsynsmail/A 31354-2021 tillsynsbegäran mail.docx", "A 31354-2021")</f>
        <v/>
      </c>
    </row>
    <row r="206" ht="15" customHeight="1">
      <c r="A206" t="inlineStr">
        <is>
          <t>A 42301-2022</t>
        </is>
      </c>
      <c r="B206" s="1" t="n">
        <v>44830.95461805556</v>
      </c>
      <c r="C206" s="1" t="n">
        <v>46060</v>
      </c>
      <c r="D206" t="inlineStr">
        <is>
          <t>VÄSTERNORRLANDS LÄN</t>
        </is>
      </c>
      <c r="E206" t="inlineStr">
        <is>
          <t>SOLLEFTEÅ</t>
        </is>
      </c>
      <c r="F206" t="inlineStr">
        <is>
          <t>SCA</t>
        </is>
      </c>
      <c r="G206" t="n">
        <v>0.8</v>
      </c>
      <c r="H206" t="n">
        <v>1</v>
      </c>
      <c r="I206" t="n">
        <v>0</v>
      </c>
      <c r="J206" t="n">
        <v>3</v>
      </c>
      <c r="K206" t="n">
        <v>0</v>
      </c>
      <c r="L206" t="n">
        <v>0</v>
      </c>
      <c r="M206" t="n">
        <v>0</v>
      </c>
      <c r="N206" t="n">
        <v>0</v>
      </c>
      <c r="O206" t="n">
        <v>3</v>
      </c>
      <c r="P206" t="n">
        <v>0</v>
      </c>
      <c r="Q206" t="n">
        <v>3</v>
      </c>
      <c r="R206" s="2" t="inlineStr">
        <is>
          <t>Gammelgransskål
Harticka
Tretåig hackspett</t>
        </is>
      </c>
      <c r="S206">
        <f>HYPERLINK("https://klasma.github.io/Logging_2283/artfynd/A 42301-2022 artfynd.xlsx", "A 42301-2022")</f>
        <v/>
      </c>
      <c r="T206">
        <f>HYPERLINK("https://klasma.github.io/Logging_2283/kartor/A 42301-2022 karta.png", "A 42301-2022")</f>
        <v/>
      </c>
      <c r="V206">
        <f>HYPERLINK("https://klasma.github.io/Logging_2283/klagomål/A 42301-2022 FSC-klagomål.docx", "A 42301-2022")</f>
        <v/>
      </c>
      <c r="W206">
        <f>HYPERLINK("https://klasma.github.io/Logging_2283/klagomålsmail/A 42301-2022 FSC-klagomål mail.docx", "A 42301-2022")</f>
        <v/>
      </c>
      <c r="X206">
        <f>HYPERLINK("https://klasma.github.io/Logging_2283/tillsyn/A 42301-2022 tillsynsbegäran.docx", "A 42301-2022")</f>
        <v/>
      </c>
      <c r="Y206">
        <f>HYPERLINK("https://klasma.github.io/Logging_2283/tillsynsmail/A 42301-2022 tillsynsbegäran mail.docx", "A 42301-2022")</f>
        <v/>
      </c>
      <c r="Z206">
        <f>HYPERLINK("https://klasma.github.io/Logging_2283/fåglar/A 42301-2022 prioriterade fågelarter.docx", "A 42301-2022")</f>
        <v/>
      </c>
    </row>
    <row r="207" ht="15" customHeight="1">
      <c r="A207" t="inlineStr">
        <is>
          <t>A 15098-2021</t>
        </is>
      </c>
      <c r="B207" s="1" t="n">
        <v>44281</v>
      </c>
      <c r="C207" s="1" t="n">
        <v>46060</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59046-2022</t>
        </is>
      </c>
      <c r="B208" s="1" t="n">
        <v>44903</v>
      </c>
      <c r="C208" s="1" t="n">
        <v>46060</v>
      </c>
      <c r="D208" t="inlineStr">
        <is>
          <t>VÄSTERNORRLANDS LÄN</t>
        </is>
      </c>
      <c r="E208" t="inlineStr">
        <is>
          <t>SOLLEFTEÅ</t>
        </is>
      </c>
      <c r="F208" t="inlineStr">
        <is>
          <t>SCA</t>
        </is>
      </c>
      <c r="G208" t="n">
        <v>10.3</v>
      </c>
      <c r="H208" t="n">
        <v>1</v>
      </c>
      <c r="I208" t="n">
        <v>0</v>
      </c>
      <c r="J208" t="n">
        <v>3</v>
      </c>
      <c r="K208" t="n">
        <v>0</v>
      </c>
      <c r="L208" t="n">
        <v>0</v>
      </c>
      <c r="M208" t="n">
        <v>0</v>
      </c>
      <c r="N208" t="n">
        <v>0</v>
      </c>
      <c r="O208" t="n">
        <v>3</v>
      </c>
      <c r="P208" t="n">
        <v>0</v>
      </c>
      <c r="Q208" t="n">
        <v>3</v>
      </c>
      <c r="R208" s="2" t="inlineStr">
        <is>
          <t>Lunglav
Orange taggsvamp
Tretåig hackspett</t>
        </is>
      </c>
      <c r="S208">
        <f>HYPERLINK("https://klasma.github.io/Logging_2283/artfynd/A 59046-2022 artfynd.xlsx", "A 59046-2022")</f>
        <v/>
      </c>
      <c r="T208">
        <f>HYPERLINK("https://klasma.github.io/Logging_2283/kartor/A 59046-2022 karta.png", "A 59046-2022")</f>
        <v/>
      </c>
      <c r="V208">
        <f>HYPERLINK("https://klasma.github.io/Logging_2283/klagomål/A 59046-2022 FSC-klagomål.docx", "A 59046-2022")</f>
        <v/>
      </c>
      <c r="W208">
        <f>HYPERLINK("https://klasma.github.io/Logging_2283/klagomålsmail/A 59046-2022 FSC-klagomål mail.docx", "A 59046-2022")</f>
        <v/>
      </c>
      <c r="X208">
        <f>HYPERLINK("https://klasma.github.io/Logging_2283/tillsyn/A 59046-2022 tillsynsbegäran.docx", "A 59046-2022")</f>
        <v/>
      </c>
      <c r="Y208">
        <f>HYPERLINK("https://klasma.github.io/Logging_2283/tillsynsmail/A 59046-2022 tillsynsbegäran mail.docx", "A 59046-2022")</f>
        <v/>
      </c>
      <c r="Z208">
        <f>HYPERLINK("https://klasma.github.io/Logging_2283/fåglar/A 59046-2022 prioriterade fågelarter.docx", "A 59046-2022")</f>
        <v/>
      </c>
    </row>
    <row r="209" ht="15" customHeight="1">
      <c r="A209" t="inlineStr">
        <is>
          <t>A 20781-2023</t>
        </is>
      </c>
      <c r="B209" s="1" t="n">
        <v>45058</v>
      </c>
      <c r="C209" s="1" t="n">
        <v>46060</v>
      </c>
      <c r="D209" t="inlineStr">
        <is>
          <t>VÄSTERNORRLANDS LÄN</t>
        </is>
      </c>
      <c r="E209" t="inlineStr">
        <is>
          <t>SOLLEFTEÅ</t>
        </is>
      </c>
      <c r="F209" t="inlineStr">
        <is>
          <t>Kyrkan</t>
        </is>
      </c>
      <c r="G209" t="n">
        <v>11.1</v>
      </c>
      <c r="H209" t="n">
        <v>1</v>
      </c>
      <c r="I209" t="n">
        <v>0</v>
      </c>
      <c r="J209" t="n">
        <v>2</v>
      </c>
      <c r="K209" t="n">
        <v>1</v>
      </c>
      <c r="L209" t="n">
        <v>0</v>
      </c>
      <c r="M209" t="n">
        <v>0</v>
      </c>
      <c r="N209" t="n">
        <v>0</v>
      </c>
      <c r="O209" t="n">
        <v>3</v>
      </c>
      <c r="P209" t="n">
        <v>1</v>
      </c>
      <c r="Q209" t="n">
        <v>3</v>
      </c>
      <c r="R209" s="2" t="inlineStr">
        <is>
          <t>Knärot
Garnlav
Ullticka</t>
        </is>
      </c>
      <c r="S209">
        <f>HYPERLINK("https://klasma.github.io/Logging_2283/artfynd/A 20781-2023 artfynd.xlsx", "A 20781-2023")</f>
        <v/>
      </c>
      <c r="T209">
        <f>HYPERLINK("https://klasma.github.io/Logging_2283/kartor/A 20781-2023 karta.png", "A 20781-2023")</f>
        <v/>
      </c>
      <c r="U209">
        <f>HYPERLINK("https://klasma.github.io/Logging_2283/knärot/A 20781-2023 karta knärot.png", "A 20781-2023")</f>
        <v/>
      </c>
      <c r="V209">
        <f>HYPERLINK("https://klasma.github.io/Logging_2283/klagomål/A 20781-2023 FSC-klagomål.docx", "A 20781-2023")</f>
        <v/>
      </c>
      <c r="W209">
        <f>HYPERLINK("https://klasma.github.io/Logging_2283/klagomålsmail/A 20781-2023 FSC-klagomål mail.docx", "A 20781-2023")</f>
        <v/>
      </c>
      <c r="X209">
        <f>HYPERLINK("https://klasma.github.io/Logging_2283/tillsyn/A 20781-2023 tillsynsbegäran.docx", "A 20781-2023")</f>
        <v/>
      </c>
      <c r="Y209">
        <f>HYPERLINK("https://klasma.github.io/Logging_2283/tillsynsmail/A 20781-2023 tillsynsbegäran mail.docx", "A 20781-2023")</f>
        <v/>
      </c>
    </row>
    <row r="210" ht="15" customHeight="1">
      <c r="A210" t="inlineStr">
        <is>
          <t>A 5121-2025</t>
        </is>
      </c>
      <c r="B210" s="1" t="n">
        <v>45691</v>
      </c>
      <c r="C210" s="1" t="n">
        <v>46060</v>
      </c>
      <c r="D210" t="inlineStr">
        <is>
          <t>VÄSTERNORRLANDS LÄN</t>
        </is>
      </c>
      <c r="E210" t="inlineStr">
        <is>
          <t>SOLLEFTEÅ</t>
        </is>
      </c>
      <c r="G210" t="n">
        <v>3.4</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HYPERLINK("https://klasma.github.io/Logging_2283/artfynd/A 5121-2025 artfynd.xlsx", "A 5121-2025")</f>
        <v/>
      </c>
      <c r="T210">
        <f>HYPERLINK("https://klasma.github.io/Logging_2283/kartor/A 5121-2025 karta.png", "A 5121-2025")</f>
        <v/>
      </c>
      <c r="V210">
        <f>HYPERLINK("https://klasma.github.io/Logging_2283/klagomål/A 5121-2025 FSC-klagomål.docx", "A 5121-2025")</f>
        <v/>
      </c>
      <c r="W210">
        <f>HYPERLINK("https://klasma.github.io/Logging_2283/klagomålsmail/A 5121-2025 FSC-klagomål mail.docx", "A 5121-2025")</f>
        <v/>
      </c>
      <c r="X210">
        <f>HYPERLINK("https://klasma.github.io/Logging_2283/tillsyn/A 5121-2025 tillsynsbegäran.docx", "A 5121-2025")</f>
        <v/>
      </c>
      <c r="Y210">
        <f>HYPERLINK("https://klasma.github.io/Logging_2283/tillsynsmail/A 5121-2025 tillsynsbegäran mail.docx", "A 5121-2025")</f>
        <v/>
      </c>
      <c r="Z210">
        <f>HYPERLINK("https://klasma.github.io/Logging_2283/fåglar/A 5121-2025 prioriterade fågelarter.docx", "A 5121-2025")</f>
        <v/>
      </c>
    </row>
    <row r="211" ht="15" customHeight="1">
      <c r="A211" t="inlineStr">
        <is>
          <t>A 25707-2025</t>
        </is>
      </c>
      <c r="B211" s="1" t="n">
        <v>45803.67806712963</v>
      </c>
      <c r="C211" s="1" t="n">
        <v>46060</v>
      </c>
      <c r="D211" t="inlineStr">
        <is>
          <t>VÄSTERNORRLANDS LÄN</t>
        </is>
      </c>
      <c r="E211" t="inlineStr">
        <is>
          <t>SOLLEFTEÅ</t>
        </is>
      </c>
      <c r="F211" t="inlineStr">
        <is>
          <t>SCA</t>
        </is>
      </c>
      <c r="G211" t="n">
        <v>2.6</v>
      </c>
      <c r="H211" t="n">
        <v>1</v>
      </c>
      <c r="I211" t="n">
        <v>1</v>
      </c>
      <c r="J211" t="n">
        <v>2</v>
      </c>
      <c r="K211" t="n">
        <v>0</v>
      </c>
      <c r="L211" t="n">
        <v>0</v>
      </c>
      <c r="M211" t="n">
        <v>0</v>
      </c>
      <c r="N211" t="n">
        <v>0</v>
      </c>
      <c r="O211" t="n">
        <v>2</v>
      </c>
      <c r="P211" t="n">
        <v>0</v>
      </c>
      <c r="Q211" t="n">
        <v>3</v>
      </c>
      <c r="R211" s="2" t="inlineStr">
        <is>
          <t>Kolflarnlav
Talltita
Norrlandslav</t>
        </is>
      </c>
      <c r="S211">
        <f>HYPERLINK("https://klasma.github.io/Logging_2283/artfynd/A 25707-2025 artfynd.xlsx", "A 25707-2025")</f>
        <v/>
      </c>
      <c r="T211">
        <f>HYPERLINK("https://klasma.github.io/Logging_2283/kartor/A 25707-2025 karta.png", "A 25707-2025")</f>
        <v/>
      </c>
      <c r="V211">
        <f>HYPERLINK("https://klasma.github.io/Logging_2283/klagomål/A 25707-2025 FSC-klagomål.docx", "A 25707-2025")</f>
        <v/>
      </c>
      <c r="W211">
        <f>HYPERLINK("https://klasma.github.io/Logging_2283/klagomålsmail/A 25707-2025 FSC-klagomål mail.docx", "A 25707-2025")</f>
        <v/>
      </c>
      <c r="X211">
        <f>HYPERLINK("https://klasma.github.io/Logging_2283/tillsyn/A 25707-2025 tillsynsbegäran.docx", "A 25707-2025")</f>
        <v/>
      </c>
      <c r="Y211">
        <f>HYPERLINK("https://klasma.github.io/Logging_2283/tillsynsmail/A 25707-2025 tillsynsbegäran mail.docx", "A 25707-2025")</f>
        <v/>
      </c>
      <c r="Z211">
        <f>HYPERLINK("https://klasma.github.io/Logging_2283/fåglar/A 25707-2025 prioriterade fågelarter.docx", "A 25707-2025")</f>
        <v/>
      </c>
    </row>
    <row r="212" ht="15" customHeight="1">
      <c r="A212" t="inlineStr">
        <is>
          <t>A 51212-2022</t>
        </is>
      </c>
      <c r="B212" s="1" t="n">
        <v>44868.62265046296</v>
      </c>
      <c r="C212" s="1" t="n">
        <v>46060</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32256-2024</t>
        </is>
      </c>
      <c r="B213" s="1" t="n">
        <v>45511</v>
      </c>
      <c r="C213" s="1" t="n">
        <v>46060</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43279-2025</t>
        </is>
      </c>
      <c r="B214" s="1" t="n">
        <v>45910.59446759259</v>
      </c>
      <c r="C214" s="1" t="n">
        <v>46060</v>
      </c>
      <c r="D214" t="inlineStr">
        <is>
          <t>VÄSTERNORRLANDS LÄN</t>
        </is>
      </c>
      <c r="E214" t="inlineStr">
        <is>
          <t>SOLLEFTEÅ</t>
        </is>
      </c>
      <c r="F214" t="inlineStr">
        <is>
          <t>SCA</t>
        </is>
      </c>
      <c r="G214" t="n">
        <v>1.7</v>
      </c>
      <c r="H214" t="n">
        <v>0</v>
      </c>
      <c r="I214" t="n">
        <v>1</v>
      </c>
      <c r="J214" t="n">
        <v>2</v>
      </c>
      <c r="K214" t="n">
        <v>0</v>
      </c>
      <c r="L214" t="n">
        <v>0</v>
      </c>
      <c r="M214" t="n">
        <v>0</v>
      </c>
      <c r="N214" t="n">
        <v>0</v>
      </c>
      <c r="O214" t="n">
        <v>2</v>
      </c>
      <c r="P214" t="n">
        <v>0</v>
      </c>
      <c r="Q214" t="n">
        <v>3</v>
      </c>
      <c r="R214" s="2" t="inlineStr">
        <is>
          <t>Garnlav
Orange taggsvamp
Dropptaggsvamp</t>
        </is>
      </c>
      <c r="S214">
        <f>HYPERLINK("https://klasma.github.io/Logging_2283/artfynd/A 43279-2025 artfynd.xlsx", "A 43279-2025")</f>
        <v/>
      </c>
      <c r="T214">
        <f>HYPERLINK("https://klasma.github.io/Logging_2283/kartor/A 43279-2025 karta.png", "A 43279-2025")</f>
        <v/>
      </c>
      <c r="V214">
        <f>HYPERLINK("https://klasma.github.io/Logging_2283/klagomål/A 43279-2025 FSC-klagomål.docx", "A 43279-2025")</f>
        <v/>
      </c>
      <c r="W214">
        <f>HYPERLINK("https://klasma.github.io/Logging_2283/klagomålsmail/A 43279-2025 FSC-klagomål mail.docx", "A 43279-2025")</f>
        <v/>
      </c>
      <c r="X214">
        <f>HYPERLINK("https://klasma.github.io/Logging_2283/tillsyn/A 43279-2025 tillsynsbegäran.docx", "A 43279-2025")</f>
        <v/>
      </c>
      <c r="Y214">
        <f>HYPERLINK("https://klasma.github.io/Logging_2283/tillsynsmail/A 43279-2025 tillsynsbegäran mail.docx", "A 43279-2025")</f>
        <v/>
      </c>
    </row>
    <row r="215" ht="15" customHeight="1">
      <c r="A215" t="inlineStr">
        <is>
          <t>A 48489-2023</t>
        </is>
      </c>
      <c r="B215" s="1" t="n">
        <v>45206</v>
      </c>
      <c r="C215" s="1" t="n">
        <v>46060</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32070-2025</t>
        </is>
      </c>
      <c r="B216" s="1" t="n">
        <v>45835.44885416667</v>
      </c>
      <c r="C216" s="1" t="n">
        <v>46060</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50838-2023</t>
        </is>
      </c>
      <c r="B217" s="1" t="n">
        <v>45217</v>
      </c>
      <c r="C217" s="1" t="n">
        <v>46060</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26341-2025</t>
        </is>
      </c>
      <c r="B218" s="1" t="n">
        <v>45805.69878472222</v>
      </c>
      <c r="C218" s="1" t="n">
        <v>46060</v>
      </c>
      <c r="D218" t="inlineStr">
        <is>
          <t>VÄSTERNORRLANDS LÄN</t>
        </is>
      </c>
      <c r="E218" t="inlineStr">
        <is>
          <t>SOLLEFTEÅ</t>
        </is>
      </c>
      <c r="F218" t="inlineStr">
        <is>
          <t>SCA</t>
        </is>
      </c>
      <c r="G218" t="n">
        <v>3.2</v>
      </c>
      <c r="H218" t="n">
        <v>3</v>
      </c>
      <c r="I218" t="n">
        <v>0</v>
      </c>
      <c r="J218" t="n">
        <v>2</v>
      </c>
      <c r="K218" t="n">
        <v>0</v>
      </c>
      <c r="L218" t="n">
        <v>0</v>
      </c>
      <c r="M218" t="n">
        <v>0</v>
      </c>
      <c r="N218" t="n">
        <v>0</v>
      </c>
      <c r="O218" t="n">
        <v>2</v>
      </c>
      <c r="P218" t="n">
        <v>0</v>
      </c>
      <c r="Q218" t="n">
        <v>3</v>
      </c>
      <c r="R218" s="2" t="inlineStr">
        <is>
          <t>Talltita
Tretåig hackspett
Lavskrika</t>
        </is>
      </c>
      <c r="S218">
        <f>HYPERLINK("https://klasma.github.io/Logging_2283/artfynd/A 26341-2025 artfynd.xlsx", "A 26341-2025")</f>
        <v/>
      </c>
      <c r="T218">
        <f>HYPERLINK("https://klasma.github.io/Logging_2283/kartor/A 26341-2025 karta.png", "A 26341-2025")</f>
        <v/>
      </c>
      <c r="V218">
        <f>HYPERLINK("https://klasma.github.io/Logging_2283/klagomål/A 26341-2025 FSC-klagomål.docx", "A 26341-2025")</f>
        <v/>
      </c>
      <c r="W218">
        <f>HYPERLINK("https://klasma.github.io/Logging_2283/klagomålsmail/A 26341-2025 FSC-klagomål mail.docx", "A 26341-2025")</f>
        <v/>
      </c>
      <c r="X218">
        <f>HYPERLINK("https://klasma.github.io/Logging_2283/tillsyn/A 26341-2025 tillsynsbegäran.docx", "A 26341-2025")</f>
        <v/>
      </c>
      <c r="Y218">
        <f>HYPERLINK("https://klasma.github.io/Logging_2283/tillsynsmail/A 26341-2025 tillsynsbegäran mail.docx", "A 26341-2025")</f>
        <v/>
      </c>
      <c r="Z218">
        <f>HYPERLINK("https://klasma.github.io/Logging_2283/fåglar/A 26341-2025 prioriterade fågelarter.docx", "A 26341-2025")</f>
        <v/>
      </c>
    </row>
    <row r="219" ht="15" customHeight="1">
      <c r="A219" t="inlineStr">
        <is>
          <t>A 25919-2025</t>
        </is>
      </c>
      <c r="B219" s="1" t="n">
        <v>45804</v>
      </c>
      <c r="C219" s="1" t="n">
        <v>46060</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40866-2023</t>
        </is>
      </c>
      <c r="B220" s="1" t="n">
        <v>45173</v>
      </c>
      <c r="C220" s="1" t="n">
        <v>46060</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18012-2022</t>
        </is>
      </c>
      <c r="B221" s="1" t="n">
        <v>44683</v>
      </c>
      <c r="C221" s="1" t="n">
        <v>46060</v>
      </c>
      <c r="D221" t="inlineStr">
        <is>
          <t>VÄSTERNORRLANDS LÄN</t>
        </is>
      </c>
      <c r="E221" t="inlineStr">
        <is>
          <t>SOLLEFTEÅ</t>
        </is>
      </c>
      <c r="F221" t="inlineStr">
        <is>
          <t>SCA</t>
        </is>
      </c>
      <c r="G221" t="n">
        <v>1.7</v>
      </c>
      <c r="H221" t="n">
        <v>2</v>
      </c>
      <c r="I221" t="n">
        <v>0</v>
      </c>
      <c r="J221" t="n">
        <v>2</v>
      </c>
      <c r="K221" t="n">
        <v>1</v>
      </c>
      <c r="L221" t="n">
        <v>0</v>
      </c>
      <c r="M221" t="n">
        <v>0</v>
      </c>
      <c r="N221" t="n">
        <v>0</v>
      </c>
      <c r="O221" t="n">
        <v>3</v>
      </c>
      <c r="P221" t="n">
        <v>1</v>
      </c>
      <c r="Q221" t="n">
        <v>3</v>
      </c>
      <c r="R221" s="2" t="inlineStr">
        <is>
          <t>Knärot
Garnlav
Tretåig hackspett</t>
        </is>
      </c>
      <c r="S221">
        <f>HYPERLINK("https://klasma.github.io/Logging_2283/artfynd/A 18012-2022 artfynd.xlsx", "A 18012-2022")</f>
        <v/>
      </c>
      <c r="T221">
        <f>HYPERLINK("https://klasma.github.io/Logging_2283/kartor/A 18012-2022 karta.png", "A 18012-2022")</f>
        <v/>
      </c>
      <c r="U221">
        <f>HYPERLINK("https://klasma.github.io/Logging_2283/knärot/A 18012-2022 karta knärot.png", "A 18012-2022")</f>
        <v/>
      </c>
      <c r="V221">
        <f>HYPERLINK("https://klasma.github.io/Logging_2283/klagomål/A 18012-2022 FSC-klagomål.docx", "A 18012-2022")</f>
        <v/>
      </c>
      <c r="W221">
        <f>HYPERLINK("https://klasma.github.io/Logging_2283/klagomålsmail/A 18012-2022 FSC-klagomål mail.docx", "A 18012-2022")</f>
        <v/>
      </c>
      <c r="X221">
        <f>HYPERLINK("https://klasma.github.io/Logging_2283/tillsyn/A 18012-2022 tillsynsbegäran.docx", "A 18012-2022")</f>
        <v/>
      </c>
      <c r="Y221">
        <f>HYPERLINK("https://klasma.github.io/Logging_2283/tillsynsmail/A 18012-2022 tillsynsbegäran mail.docx", "A 18012-2022")</f>
        <v/>
      </c>
      <c r="Z221">
        <f>HYPERLINK("https://klasma.github.io/Logging_2283/fåglar/A 18012-2022 prioriterade fågelarter.docx", "A 18012-2022")</f>
        <v/>
      </c>
    </row>
    <row r="222" ht="15" customHeight="1">
      <c r="A222" t="inlineStr">
        <is>
          <t>A 54254-2025</t>
        </is>
      </c>
      <c r="B222" s="1" t="n">
        <v>45964.65668981482</v>
      </c>
      <c r="C222" s="1" t="n">
        <v>46060</v>
      </c>
      <c r="D222" t="inlineStr">
        <is>
          <t>VÄSTERNORRLANDS LÄN</t>
        </is>
      </c>
      <c r="E222" t="inlineStr">
        <is>
          <t>SOLLEFTEÅ</t>
        </is>
      </c>
      <c r="F222" t="inlineStr">
        <is>
          <t>SCA</t>
        </is>
      </c>
      <c r="G222" t="n">
        <v>2.2</v>
      </c>
      <c r="H222" t="n">
        <v>0</v>
      </c>
      <c r="I222" t="n">
        <v>2</v>
      </c>
      <c r="J222" t="n">
        <v>1</v>
      </c>
      <c r="K222" t="n">
        <v>0</v>
      </c>
      <c r="L222" t="n">
        <v>0</v>
      </c>
      <c r="M222" t="n">
        <v>0</v>
      </c>
      <c r="N222" t="n">
        <v>0</v>
      </c>
      <c r="O222" t="n">
        <v>1</v>
      </c>
      <c r="P222" t="n">
        <v>0</v>
      </c>
      <c r="Q222" t="n">
        <v>3</v>
      </c>
      <c r="R222" s="2" t="inlineStr">
        <is>
          <t>Garnlav
Norrlandslav
Skarp dropptaggsvamp</t>
        </is>
      </c>
      <c r="S222">
        <f>HYPERLINK("https://klasma.github.io/Logging_2283/artfynd/A 54254-2025 artfynd.xlsx", "A 54254-2025")</f>
        <v/>
      </c>
      <c r="T222">
        <f>HYPERLINK("https://klasma.github.io/Logging_2283/kartor/A 54254-2025 karta.png", "A 54254-2025")</f>
        <v/>
      </c>
      <c r="V222">
        <f>HYPERLINK("https://klasma.github.io/Logging_2283/klagomål/A 54254-2025 FSC-klagomål.docx", "A 54254-2025")</f>
        <v/>
      </c>
      <c r="W222">
        <f>HYPERLINK("https://klasma.github.io/Logging_2283/klagomålsmail/A 54254-2025 FSC-klagomål mail.docx", "A 54254-2025")</f>
        <v/>
      </c>
      <c r="X222">
        <f>HYPERLINK("https://klasma.github.io/Logging_2283/tillsyn/A 54254-2025 tillsynsbegäran.docx", "A 54254-2025")</f>
        <v/>
      </c>
      <c r="Y222">
        <f>HYPERLINK("https://klasma.github.io/Logging_2283/tillsynsmail/A 54254-2025 tillsynsbegäran mail.docx", "A 54254-2025")</f>
        <v/>
      </c>
    </row>
    <row r="223" ht="15" customHeight="1">
      <c r="A223" t="inlineStr">
        <is>
          <t>A 55125-2025</t>
        </is>
      </c>
      <c r="B223" s="1" t="n">
        <v>45968.40688657408</v>
      </c>
      <c r="C223" s="1" t="n">
        <v>46060</v>
      </c>
      <c r="D223" t="inlineStr">
        <is>
          <t>VÄSTERNORRLANDS LÄN</t>
        </is>
      </c>
      <c r="E223" t="inlineStr">
        <is>
          <t>SOLLEFTEÅ</t>
        </is>
      </c>
      <c r="F223" t="inlineStr">
        <is>
          <t>SCA</t>
        </is>
      </c>
      <c r="G223" t="n">
        <v>6.1</v>
      </c>
      <c r="H223" t="n">
        <v>2</v>
      </c>
      <c r="I223" t="n">
        <v>0</v>
      </c>
      <c r="J223" t="n">
        <v>3</v>
      </c>
      <c r="K223" t="n">
        <v>0</v>
      </c>
      <c r="L223" t="n">
        <v>0</v>
      </c>
      <c r="M223" t="n">
        <v>0</v>
      </c>
      <c r="N223" t="n">
        <v>0</v>
      </c>
      <c r="O223" t="n">
        <v>3</v>
      </c>
      <c r="P223" t="n">
        <v>0</v>
      </c>
      <c r="Q223" t="n">
        <v>3</v>
      </c>
      <c r="R223" s="2" t="inlineStr">
        <is>
          <t>Harticka
Talltita
Tretåig hackspett</t>
        </is>
      </c>
      <c r="S223">
        <f>HYPERLINK("https://klasma.github.io/Logging_2283/artfynd/A 55125-2025 artfynd.xlsx", "A 55125-2025")</f>
        <v/>
      </c>
      <c r="T223">
        <f>HYPERLINK("https://klasma.github.io/Logging_2283/kartor/A 55125-2025 karta.png", "A 55125-2025")</f>
        <v/>
      </c>
      <c r="V223">
        <f>HYPERLINK("https://klasma.github.io/Logging_2283/klagomål/A 55125-2025 FSC-klagomål.docx", "A 55125-2025")</f>
        <v/>
      </c>
      <c r="W223">
        <f>HYPERLINK("https://klasma.github.io/Logging_2283/klagomålsmail/A 55125-2025 FSC-klagomål mail.docx", "A 55125-2025")</f>
        <v/>
      </c>
      <c r="X223">
        <f>HYPERLINK("https://klasma.github.io/Logging_2283/tillsyn/A 55125-2025 tillsynsbegäran.docx", "A 55125-2025")</f>
        <v/>
      </c>
      <c r="Y223">
        <f>HYPERLINK("https://klasma.github.io/Logging_2283/tillsynsmail/A 55125-2025 tillsynsbegäran mail.docx", "A 55125-2025")</f>
        <v/>
      </c>
      <c r="Z223">
        <f>HYPERLINK("https://klasma.github.io/Logging_2283/fåglar/A 55125-2025 prioriterade fågelarter.docx", "A 55125-2025")</f>
        <v/>
      </c>
    </row>
    <row r="224" ht="15" customHeight="1">
      <c r="A224" t="inlineStr">
        <is>
          <t>A 56783-2025</t>
        </is>
      </c>
      <c r="B224" s="1" t="n">
        <v>45978.40695601852</v>
      </c>
      <c r="C224" s="1" t="n">
        <v>46060</v>
      </c>
      <c r="D224" t="inlineStr">
        <is>
          <t>VÄSTERNORRLANDS LÄN</t>
        </is>
      </c>
      <c r="E224" t="inlineStr">
        <is>
          <t>SOLLEFTEÅ</t>
        </is>
      </c>
      <c r="F224" t="inlineStr">
        <is>
          <t>SCA</t>
        </is>
      </c>
      <c r="G224" t="n">
        <v>2.5</v>
      </c>
      <c r="H224" t="n">
        <v>0</v>
      </c>
      <c r="I224" t="n">
        <v>0</v>
      </c>
      <c r="J224" t="n">
        <v>3</v>
      </c>
      <c r="K224" t="n">
        <v>0</v>
      </c>
      <c r="L224" t="n">
        <v>0</v>
      </c>
      <c r="M224" t="n">
        <v>0</v>
      </c>
      <c r="N224" t="n">
        <v>0</v>
      </c>
      <c r="O224" t="n">
        <v>3</v>
      </c>
      <c r="P224" t="n">
        <v>0</v>
      </c>
      <c r="Q224" t="n">
        <v>3</v>
      </c>
      <c r="R224" s="2" t="inlineStr">
        <is>
          <t>Kolflarnlav
Lunglav
Orange taggsvamp</t>
        </is>
      </c>
      <c r="S224">
        <f>HYPERLINK("https://klasma.github.io/Logging_2283/artfynd/A 56783-2025 artfynd.xlsx", "A 56783-2025")</f>
        <v/>
      </c>
      <c r="T224">
        <f>HYPERLINK("https://klasma.github.io/Logging_2283/kartor/A 56783-2025 karta.png", "A 56783-2025")</f>
        <v/>
      </c>
      <c r="V224">
        <f>HYPERLINK("https://klasma.github.io/Logging_2283/klagomål/A 56783-2025 FSC-klagomål.docx", "A 56783-2025")</f>
        <v/>
      </c>
      <c r="W224">
        <f>HYPERLINK("https://klasma.github.io/Logging_2283/klagomålsmail/A 56783-2025 FSC-klagomål mail.docx", "A 56783-2025")</f>
        <v/>
      </c>
      <c r="X224">
        <f>HYPERLINK("https://klasma.github.io/Logging_2283/tillsyn/A 56783-2025 tillsynsbegäran.docx", "A 56783-2025")</f>
        <v/>
      </c>
      <c r="Y224">
        <f>HYPERLINK("https://klasma.github.io/Logging_2283/tillsynsmail/A 56783-2025 tillsynsbegäran mail.docx", "A 56783-2025")</f>
        <v/>
      </c>
    </row>
    <row r="225" ht="15" customHeight="1">
      <c r="A225" t="inlineStr">
        <is>
          <t>A 48017-2024</t>
        </is>
      </c>
      <c r="B225" s="1" t="n">
        <v>45589.46935185185</v>
      </c>
      <c r="C225" s="1" t="n">
        <v>46060</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751-2026</t>
        </is>
      </c>
      <c r="B226" s="1" t="n">
        <v>46029.67748842593</v>
      </c>
      <c r="C226" s="1" t="n">
        <v>46060</v>
      </c>
      <c r="D226" t="inlineStr">
        <is>
          <t>VÄSTERNORRLANDS LÄN</t>
        </is>
      </c>
      <c r="E226" t="inlineStr">
        <is>
          <t>SOLLEFTEÅ</t>
        </is>
      </c>
      <c r="G226" t="n">
        <v>15.6</v>
      </c>
      <c r="H226" t="n">
        <v>1</v>
      </c>
      <c r="I226" t="n">
        <v>1</v>
      </c>
      <c r="J226" t="n">
        <v>2</v>
      </c>
      <c r="K226" t="n">
        <v>0</v>
      </c>
      <c r="L226" t="n">
        <v>0</v>
      </c>
      <c r="M226" t="n">
        <v>0</v>
      </c>
      <c r="N226" t="n">
        <v>0</v>
      </c>
      <c r="O226" t="n">
        <v>2</v>
      </c>
      <c r="P226" t="n">
        <v>0</v>
      </c>
      <c r="Q226" t="n">
        <v>3</v>
      </c>
      <c r="R226" s="2" t="inlineStr">
        <is>
          <t>Lunglav
Tretåig hackspett
Stuplav</t>
        </is>
      </c>
      <c r="S226">
        <f>HYPERLINK("https://klasma.github.io/Logging_2283/artfynd/A 751-2026 artfynd.xlsx", "A 751-2026")</f>
        <v/>
      </c>
      <c r="T226">
        <f>HYPERLINK("https://klasma.github.io/Logging_2283/kartor/A 751-2026 karta.png", "A 751-2026")</f>
        <v/>
      </c>
      <c r="V226">
        <f>HYPERLINK("https://klasma.github.io/Logging_2283/klagomål/A 751-2026 FSC-klagomål.docx", "A 751-2026")</f>
        <v/>
      </c>
      <c r="W226">
        <f>HYPERLINK("https://klasma.github.io/Logging_2283/klagomålsmail/A 751-2026 FSC-klagomål mail.docx", "A 751-2026")</f>
        <v/>
      </c>
      <c r="X226">
        <f>HYPERLINK("https://klasma.github.io/Logging_2283/tillsyn/A 751-2026 tillsynsbegäran.docx", "A 751-2026")</f>
        <v/>
      </c>
      <c r="Y226">
        <f>HYPERLINK("https://klasma.github.io/Logging_2283/tillsynsmail/A 751-2026 tillsynsbegäran mail.docx", "A 751-2026")</f>
        <v/>
      </c>
      <c r="Z226">
        <f>HYPERLINK("https://klasma.github.io/Logging_2283/fåglar/A 751-2026 prioriterade fågelarter.docx", "A 751-2026")</f>
        <v/>
      </c>
    </row>
    <row r="227" ht="15" customHeight="1">
      <c r="A227" t="inlineStr">
        <is>
          <t>A 21097-2024</t>
        </is>
      </c>
      <c r="B227" s="1" t="n">
        <v>45439</v>
      </c>
      <c r="C227" s="1" t="n">
        <v>46060</v>
      </c>
      <c r="D227" t="inlineStr">
        <is>
          <t>VÄSTERNORRLANDS LÄN</t>
        </is>
      </c>
      <c r="E227" t="inlineStr">
        <is>
          <t>SOLLEFTEÅ</t>
        </is>
      </c>
      <c r="F227" t="inlineStr">
        <is>
          <t>SCA</t>
        </is>
      </c>
      <c r="G227" t="n">
        <v>7.7</v>
      </c>
      <c r="H227" t="n">
        <v>1</v>
      </c>
      <c r="I227" t="n">
        <v>1</v>
      </c>
      <c r="J227" t="n">
        <v>2</v>
      </c>
      <c r="K227" t="n">
        <v>0</v>
      </c>
      <c r="L227" t="n">
        <v>0</v>
      </c>
      <c r="M227" t="n">
        <v>0</v>
      </c>
      <c r="N227" t="n">
        <v>0</v>
      </c>
      <c r="O227" t="n">
        <v>2</v>
      </c>
      <c r="P227" t="n">
        <v>0</v>
      </c>
      <c r="Q227" t="n">
        <v>3</v>
      </c>
      <c r="R227" s="2" t="inlineStr">
        <is>
          <t>Lunglav
Ullticka
Lappranunkel</t>
        </is>
      </c>
      <c r="S227">
        <f>HYPERLINK("https://klasma.github.io/Logging_2283/artfynd/A 21097-2024 artfynd.xlsx", "A 21097-2024")</f>
        <v/>
      </c>
      <c r="T227">
        <f>HYPERLINK("https://klasma.github.io/Logging_2283/kartor/A 21097-2024 karta.png", "A 21097-2024")</f>
        <v/>
      </c>
      <c r="V227">
        <f>HYPERLINK("https://klasma.github.io/Logging_2283/klagomål/A 21097-2024 FSC-klagomål.docx", "A 21097-2024")</f>
        <v/>
      </c>
      <c r="W227">
        <f>HYPERLINK("https://klasma.github.io/Logging_2283/klagomålsmail/A 21097-2024 FSC-klagomål mail.docx", "A 21097-2024")</f>
        <v/>
      </c>
      <c r="X227">
        <f>HYPERLINK("https://klasma.github.io/Logging_2283/tillsyn/A 21097-2024 tillsynsbegäran.docx", "A 21097-2024")</f>
        <v/>
      </c>
      <c r="Y227">
        <f>HYPERLINK("https://klasma.github.io/Logging_2283/tillsynsmail/A 21097-2024 tillsynsbegäran mail.docx", "A 21097-2024")</f>
        <v/>
      </c>
    </row>
    <row r="228" ht="15" customHeight="1">
      <c r="A228" t="inlineStr">
        <is>
          <t>A 26374-2023</t>
        </is>
      </c>
      <c r="B228" s="1" t="n">
        <v>45091.94403935185</v>
      </c>
      <c r="C228" s="1" t="n">
        <v>46060</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61676-2025</t>
        </is>
      </c>
      <c r="B229" s="1" t="n">
        <v>46002</v>
      </c>
      <c r="C229" s="1" t="n">
        <v>46060</v>
      </c>
      <c r="D229" t="inlineStr">
        <is>
          <t>VÄSTERNORRLANDS LÄN</t>
        </is>
      </c>
      <c r="E229" t="inlineStr">
        <is>
          <t>SOLLEFTEÅ</t>
        </is>
      </c>
      <c r="G229" t="n">
        <v>2.9</v>
      </c>
      <c r="H229" t="n">
        <v>1</v>
      </c>
      <c r="I229" t="n">
        <v>0</v>
      </c>
      <c r="J229" t="n">
        <v>3</v>
      </c>
      <c r="K229" t="n">
        <v>0</v>
      </c>
      <c r="L229" t="n">
        <v>0</v>
      </c>
      <c r="M229" t="n">
        <v>0</v>
      </c>
      <c r="N229" t="n">
        <v>0</v>
      </c>
      <c r="O229" t="n">
        <v>3</v>
      </c>
      <c r="P229" t="n">
        <v>0</v>
      </c>
      <c r="Q229" t="n">
        <v>3</v>
      </c>
      <c r="R229" s="2" t="inlineStr">
        <is>
          <t>Garnlav
Mörk kolflarnlav
Tretåig hackspett</t>
        </is>
      </c>
      <c r="S229">
        <f>HYPERLINK("https://klasma.github.io/Logging_2283/artfynd/A 61676-2025 artfynd.xlsx", "A 61676-2025")</f>
        <v/>
      </c>
      <c r="T229">
        <f>HYPERLINK("https://klasma.github.io/Logging_2283/kartor/A 61676-2025 karta.png", "A 61676-2025")</f>
        <v/>
      </c>
      <c r="V229">
        <f>HYPERLINK("https://klasma.github.io/Logging_2283/klagomål/A 61676-2025 FSC-klagomål.docx", "A 61676-2025")</f>
        <v/>
      </c>
      <c r="W229">
        <f>HYPERLINK("https://klasma.github.io/Logging_2283/klagomålsmail/A 61676-2025 FSC-klagomål mail.docx", "A 61676-2025")</f>
        <v/>
      </c>
      <c r="X229">
        <f>HYPERLINK("https://klasma.github.io/Logging_2283/tillsyn/A 61676-2025 tillsynsbegäran.docx", "A 61676-2025")</f>
        <v/>
      </c>
      <c r="Y229">
        <f>HYPERLINK("https://klasma.github.io/Logging_2283/tillsynsmail/A 61676-2025 tillsynsbegäran mail.docx", "A 61676-2025")</f>
        <v/>
      </c>
      <c r="Z229">
        <f>HYPERLINK("https://klasma.github.io/Logging_2283/fåglar/A 61676-2025 prioriterade fågelarter.docx", "A 61676-2025")</f>
        <v/>
      </c>
    </row>
    <row r="230" ht="15" customHeight="1">
      <c r="A230" t="inlineStr">
        <is>
          <t>A 3808-2026</t>
        </is>
      </c>
      <c r="B230" s="1" t="n">
        <v>46043.58349537037</v>
      </c>
      <c r="C230" s="1" t="n">
        <v>46060</v>
      </c>
      <c r="D230" t="inlineStr">
        <is>
          <t>VÄSTERNORRLANDS LÄN</t>
        </is>
      </c>
      <c r="E230" t="inlineStr">
        <is>
          <t>SOLLEFTEÅ</t>
        </is>
      </c>
      <c r="F230" t="inlineStr">
        <is>
          <t>SCA</t>
        </is>
      </c>
      <c r="G230" t="n">
        <v>1.6</v>
      </c>
      <c r="H230" t="n">
        <v>0</v>
      </c>
      <c r="I230" t="n">
        <v>0</v>
      </c>
      <c r="J230" t="n">
        <v>3</v>
      </c>
      <c r="K230" t="n">
        <v>0</v>
      </c>
      <c r="L230" t="n">
        <v>0</v>
      </c>
      <c r="M230" t="n">
        <v>0</v>
      </c>
      <c r="N230" t="n">
        <v>0</v>
      </c>
      <c r="O230" t="n">
        <v>3</v>
      </c>
      <c r="P230" t="n">
        <v>0</v>
      </c>
      <c r="Q230" t="n">
        <v>3</v>
      </c>
      <c r="R230" s="2" t="inlineStr">
        <is>
          <t>Dvärgbägarlav
Garnlav
Vedflamlav</t>
        </is>
      </c>
      <c r="S230">
        <f>HYPERLINK("https://klasma.github.io/Logging_2283/artfynd/A 3808-2026 artfynd.xlsx", "A 3808-2026")</f>
        <v/>
      </c>
      <c r="T230">
        <f>HYPERLINK("https://klasma.github.io/Logging_2283/kartor/A 3808-2026 karta.png", "A 3808-2026")</f>
        <v/>
      </c>
      <c r="V230">
        <f>HYPERLINK("https://klasma.github.io/Logging_2283/klagomål/A 3808-2026 FSC-klagomål.docx", "A 3808-2026")</f>
        <v/>
      </c>
      <c r="W230">
        <f>HYPERLINK("https://klasma.github.io/Logging_2283/klagomålsmail/A 3808-2026 FSC-klagomål mail.docx", "A 3808-2026")</f>
        <v/>
      </c>
      <c r="X230">
        <f>HYPERLINK("https://klasma.github.io/Logging_2283/tillsyn/A 3808-2026 tillsynsbegäran.docx", "A 3808-2026")</f>
        <v/>
      </c>
      <c r="Y230">
        <f>HYPERLINK("https://klasma.github.io/Logging_2283/tillsynsmail/A 3808-2026 tillsynsbegäran mail.docx", "A 3808-2026")</f>
        <v/>
      </c>
    </row>
    <row r="231" ht="15" customHeight="1">
      <c r="A231" t="inlineStr">
        <is>
          <t>A 61670-2025</t>
        </is>
      </c>
      <c r="B231" s="1" t="n">
        <v>46002.47004629629</v>
      </c>
      <c r="C231" s="1" t="n">
        <v>46060</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23939-2024</t>
        </is>
      </c>
      <c r="B232" s="1" t="n">
        <v>45455.96303240741</v>
      </c>
      <c r="C232" s="1" t="n">
        <v>46060</v>
      </c>
      <c r="D232" t="inlineStr">
        <is>
          <t>VÄSTERNORRLANDS LÄN</t>
        </is>
      </c>
      <c r="E232" t="inlineStr">
        <is>
          <t>SOLLEFTEÅ</t>
        </is>
      </c>
      <c r="F232" t="inlineStr">
        <is>
          <t>SCA</t>
        </is>
      </c>
      <c r="G232" t="n">
        <v>3</v>
      </c>
      <c r="H232" t="n">
        <v>1</v>
      </c>
      <c r="I232" t="n">
        <v>1</v>
      </c>
      <c r="J232" t="n">
        <v>2</v>
      </c>
      <c r="K232" t="n">
        <v>0</v>
      </c>
      <c r="L232" t="n">
        <v>0</v>
      </c>
      <c r="M232" t="n">
        <v>0</v>
      </c>
      <c r="N232" t="n">
        <v>0</v>
      </c>
      <c r="O232" t="n">
        <v>2</v>
      </c>
      <c r="P232" t="n">
        <v>0</v>
      </c>
      <c r="Q232" t="n">
        <v>3</v>
      </c>
      <c r="R232" s="2" t="inlineStr">
        <is>
          <t>Lunglav
Talltita
Stuplav</t>
        </is>
      </c>
      <c r="S232">
        <f>HYPERLINK("https://klasma.github.io/Logging_2283/artfynd/A 23939-2024 artfynd.xlsx", "A 23939-2024")</f>
        <v/>
      </c>
      <c r="T232">
        <f>HYPERLINK("https://klasma.github.io/Logging_2283/kartor/A 23939-2024 karta.png", "A 23939-2024")</f>
        <v/>
      </c>
      <c r="V232">
        <f>HYPERLINK("https://klasma.github.io/Logging_2283/klagomål/A 23939-2024 FSC-klagomål.docx", "A 23939-2024")</f>
        <v/>
      </c>
      <c r="W232">
        <f>HYPERLINK("https://klasma.github.io/Logging_2283/klagomålsmail/A 23939-2024 FSC-klagomål mail.docx", "A 23939-2024")</f>
        <v/>
      </c>
      <c r="X232">
        <f>HYPERLINK("https://klasma.github.io/Logging_2283/tillsyn/A 23939-2024 tillsynsbegäran.docx", "A 23939-2024")</f>
        <v/>
      </c>
      <c r="Y232">
        <f>HYPERLINK("https://klasma.github.io/Logging_2283/tillsynsmail/A 23939-2024 tillsynsbegäran mail.docx", "A 23939-2024")</f>
        <v/>
      </c>
      <c r="Z232">
        <f>HYPERLINK("https://klasma.github.io/Logging_2283/fåglar/A 23939-2024 prioriterade fågelarter.docx", "A 23939-2024")</f>
        <v/>
      </c>
    </row>
    <row r="233" ht="15" customHeight="1">
      <c r="A233" t="inlineStr">
        <is>
          <t>A 62197-2025</t>
        </is>
      </c>
      <c r="B233" s="1" t="n">
        <v>46006.55293981481</v>
      </c>
      <c r="C233" s="1" t="n">
        <v>46060</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3222-2026</t>
        </is>
      </c>
      <c r="B234" s="1" t="n">
        <v>46041</v>
      </c>
      <c r="C234" s="1" t="n">
        <v>46060</v>
      </c>
      <c r="D234" t="inlineStr">
        <is>
          <t>VÄSTERNORRLANDS LÄN</t>
        </is>
      </c>
      <c r="E234" t="inlineStr">
        <is>
          <t>SOLLEFTEÅ</t>
        </is>
      </c>
      <c r="F234" t="inlineStr">
        <is>
          <t>SCA</t>
        </is>
      </c>
      <c r="G234" t="n">
        <v>11.7</v>
      </c>
      <c r="H234" t="n">
        <v>2</v>
      </c>
      <c r="I234" t="n">
        <v>1</v>
      </c>
      <c r="J234" t="n">
        <v>2</v>
      </c>
      <c r="K234" t="n">
        <v>0</v>
      </c>
      <c r="L234" t="n">
        <v>0</v>
      </c>
      <c r="M234" t="n">
        <v>0</v>
      </c>
      <c r="N234" t="n">
        <v>0</v>
      </c>
      <c r="O234" t="n">
        <v>2</v>
      </c>
      <c r="P234" t="n">
        <v>0</v>
      </c>
      <c r="Q234" t="n">
        <v>3</v>
      </c>
      <c r="R234" s="2" t="inlineStr">
        <is>
          <t>Granticka
Tretåig hackspett
Lappranunkel</t>
        </is>
      </c>
      <c r="S234">
        <f>HYPERLINK("https://klasma.github.io/Logging_2283/artfynd/A 3222-2026 artfynd.xlsx", "A 3222-2026")</f>
        <v/>
      </c>
      <c r="T234">
        <f>HYPERLINK("https://klasma.github.io/Logging_2283/kartor/A 3222-2026 karta.png", "A 3222-2026")</f>
        <v/>
      </c>
      <c r="V234">
        <f>HYPERLINK("https://klasma.github.io/Logging_2283/klagomål/A 3222-2026 FSC-klagomål.docx", "A 3222-2026")</f>
        <v/>
      </c>
      <c r="W234">
        <f>HYPERLINK("https://klasma.github.io/Logging_2283/klagomålsmail/A 3222-2026 FSC-klagomål mail.docx", "A 3222-2026")</f>
        <v/>
      </c>
      <c r="X234">
        <f>HYPERLINK("https://klasma.github.io/Logging_2283/tillsyn/A 3222-2026 tillsynsbegäran.docx", "A 3222-2026")</f>
        <v/>
      </c>
      <c r="Y234">
        <f>HYPERLINK("https://klasma.github.io/Logging_2283/tillsynsmail/A 3222-2026 tillsynsbegäran mail.docx", "A 3222-2026")</f>
        <v/>
      </c>
      <c r="Z234">
        <f>HYPERLINK("https://klasma.github.io/Logging_2283/fåglar/A 3222-2026 prioriterade fågelarter.docx", "A 3222-2026")</f>
        <v/>
      </c>
    </row>
    <row r="235" ht="15" customHeight="1">
      <c r="A235" t="inlineStr">
        <is>
          <t>A 54624-2024</t>
        </is>
      </c>
      <c r="B235" s="1" t="n">
        <v>45617</v>
      </c>
      <c r="C235" s="1" t="n">
        <v>46060</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38096-2024</t>
        </is>
      </c>
      <c r="B236" s="1" t="n">
        <v>45545.345</v>
      </c>
      <c r="C236" s="1" t="n">
        <v>46060</v>
      </c>
      <c r="D236" t="inlineStr">
        <is>
          <t>VÄSTERNORRLANDS LÄN</t>
        </is>
      </c>
      <c r="E236" t="inlineStr">
        <is>
          <t>SOLLEFTEÅ</t>
        </is>
      </c>
      <c r="F236" t="inlineStr">
        <is>
          <t>SCA</t>
        </is>
      </c>
      <c r="G236" t="n">
        <v>5.2</v>
      </c>
      <c r="H236" t="n">
        <v>1</v>
      </c>
      <c r="I236" t="n">
        <v>2</v>
      </c>
      <c r="J236" t="n">
        <v>1</v>
      </c>
      <c r="K236" t="n">
        <v>0</v>
      </c>
      <c r="L236" t="n">
        <v>0</v>
      </c>
      <c r="M236" t="n">
        <v>0</v>
      </c>
      <c r="N236" t="n">
        <v>0</v>
      </c>
      <c r="O236" t="n">
        <v>1</v>
      </c>
      <c r="P236" t="n">
        <v>0</v>
      </c>
      <c r="Q236" t="n">
        <v>3</v>
      </c>
      <c r="R236" s="2" t="inlineStr">
        <is>
          <t>Lunglav
Bollvitmossa
Lappranunkel</t>
        </is>
      </c>
      <c r="S236">
        <f>HYPERLINK("https://klasma.github.io/Logging_2283/artfynd/A 38096-2024 artfynd.xlsx", "A 38096-2024")</f>
        <v/>
      </c>
      <c r="T236">
        <f>HYPERLINK("https://klasma.github.io/Logging_2283/kartor/A 38096-2024 karta.png", "A 38096-2024")</f>
        <v/>
      </c>
      <c r="V236">
        <f>HYPERLINK("https://klasma.github.io/Logging_2283/klagomål/A 38096-2024 FSC-klagomål.docx", "A 38096-2024")</f>
        <v/>
      </c>
      <c r="W236">
        <f>HYPERLINK("https://klasma.github.io/Logging_2283/klagomålsmail/A 38096-2024 FSC-klagomål mail.docx", "A 38096-2024")</f>
        <v/>
      </c>
      <c r="X236">
        <f>HYPERLINK("https://klasma.github.io/Logging_2283/tillsyn/A 38096-2024 tillsynsbegäran.docx", "A 38096-2024")</f>
        <v/>
      </c>
      <c r="Y236">
        <f>HYPERLINK("https://klasma.github.io/Logging_2283/tillsynsmail/A 38096-2024 tillsynsbegäran mail.docx", "A 38096-2024")</f>
        <v/>
      </c>
    </row>
    <row r="237" ht="15" customHeight="1">
      <c r="A237" t="inlineStr">
        <is>
          <t>A 61481-2021</t>
        </is>
      </c>
      <c r="B237" s="1" t="n">
        <v>44500</v>
      </c>
      <c r="C237" s="1" t="n">
        <v>46060</v>
      </c>
      <c r="D237" t="inlineStr">
        <is>
          <t>VÄSTERNORRLANDS LÄN</t>
        </is>
      </c>
      <c r="E237" t="inlineStr">
        <is>
          <t>SOLLEFTEÅ</t>
        </is>
      </c>
      <c r="F237" t="inlineStr">
        <is>
          <t>SCA</t>
        </is>
      </c>
      <c r="G237" t="n">
        <v>6.8</v>
      </c>
      <c r="H237" t="n">
        <v>0</v>
      </c>
      <c r="I237" t="n">
        <v>1</v>
      </c>
      <c r="J237" t="n">
        <v>2</v>
      </c>
      <c r="K237" t="n">
        <v>0</v>
      </c>
      <c r="L237" t="n">
        <v>0</v>
      </c>
      <c r="M237" t="n">
        <v>0</v>
      </c>
      <c r="N237" t="n">
        <v>0</v>
      </c>
      <c r="O237" t="n">
        <v>2</v>
      </c>
      <c r="P237" t="n">
        <v>0</v>
      </c>
      <c r="Q237" t="n">
        <v>3</v>
      </c>
      <c r="R237" s="2" t="inlineStr">
        <is>
          <t>Lunglav
Skrovellav
Kambräken</t>
        </is>
      </c>
      <c r="S237">
        <f>HYPERLINK("https://klasma.github.io/Logging_2283/artfynd/A 61481-2021 artfynd.xlsx", "A 61481-2021")</f>
        <v/>
      </c>
      <c r="T237">
        <f>HYPERLINK("https://klasma.github.io/Logging_2283/kartor/A 61481-2021 karta.png", "A 61481-2021")</f>
        <v/>
      </c>
      <c r="V237">
        <f>HYPERLINK("https://klasma.github.io/Logging_2283/klagomål/A 61481-2021 FSC-klagomål.docx", "A 61481-2021")</f>
        <v/>
      </c>
      <c r="W237">
        <f>HYPERLINK("https://klasma.github.io/Logging_2283/klagomålsmail/A 61481-2021 FSC-klagomål mail.docx", "A 61481-2021")</f>
        <v/>
      </c>
      <c r="X237">
        <f>HYPERLINK("https://klasma.github.io/Logging_2283/tillsyn/A 61481-2021 tillsynsbegäran.docx", "A 61481-2021")</f>
        <v/>
      </c>
      <c r="Y237">
        <f>HYPERLINK("https://klasma.github.io/Logging_2283/tillsynsmail/A 61481-2021 tillsynsbegäran mail.docx", "A 61481-2021")</f>
        <v/>
      </c>
    </row>
    <row r="238" ht="15" customHeight="1">
      <c r="A238" t="inlineStr">
        <is>
          <t>A 8077-2025</t>
        </is>
      </c>
      <c r="B238" s="1" t="n">
        <v>45707.65659722222</v>
      </c>
      <c r="C238" s="1" t="n">
        <v>46060</v>
      </c>
      <c r="D238" t="inlineStr">
        <is>
          <t>VÄSTERNORRLANDS LÄN</t>
        </is>
      </c>
      <c r="E238" t="inlineStr">
        <is>
          <t>SOLLEFTEÅ</t>
        </is>
      </c>
      <c r="F238" t="inlineStr">
        <is>
          <t>SCA</t>
        </is>
      </c>
      <c r="G238" t="n">
        <v>2.7</v>
      </c>
      <c r="H238" t="n">
        <v>3</v>
      </c>
      <c r="I238" t="n">
        <v>0</v>
      </c>
      <c r="J238" t="n">
        <v>2</v>
      </c>
      <c r="K238" t="n">
        <v>0</v>
      </c>
      <c r="L238" t="n">
        <v>0</v>
      </c>
      <c r="M238" t="n">
        <v>0</v>
      </c>
      <c r="N238" t="n">
        <v>0</v>
      </c>
      <c r="O238" t="n">
        <v>2</v>
      </c>
      <c r="P238" t="n">
        <v>0</v>
      </c>
      <c r="Q238" t="n">
        <v>3</v>
      </c>
      <c r="R238" s="2" t="inlineStr">
        <is>
          <t>Spillkråka
Tretåig hackspett
Tjäder</t>
        </is>
      </c>
      <c r="S238">
        <f>HYPERLINK("https://klasma.github.io/Logging_2283/artfynd/A 8077-2025 artfynd.xlsx", "A 8077-2025")</f>
        <v/>
      </c>
      <c r="T238">
        <f>HYPERLINK("https://klasma.github.io/Logging_2283/kartor/A 8077-2025 karta.png", "A 8077-2025")</f>
        <v/>
      </c>
      <c r="V238">
        <f>HYPERLINK("https://klasma.github.io/Logging_2283/klagomål/A 8077-2025 FSC-klagomål.docx", "A 8077-2025")</f>
        <v/>
      </c>
      <c r="W238">
        <f>HYPERLINK("https://klasma.github.io/Logging_2283/klagomålsmail/A 8077-2025 FSC-klagomål mail.docx", "A 8077-2025")</f>
        <v/>
      </c>
      <c r="X238">
        <f>HYPERLINK("https://klasma.github.io/Logging_2283/tillsyn/A 8077-2025 tillsynsbegäran.docx", "A 8077-2025")</f>
        <v/>
      </c>
      <c r="Y238">
        <f>HYPERLINK("https://klasma.github.io/Logging_2283/tillsynsmail/A 8077-2025 tillsynsbegäran mail.docx", "A 8077-2025")</f>
        <v/>
      </c>
      <c r="Z238">
        <f>HYPERLINK("https://klasma.github.io/Logging_2283/fåglar/A 8077-2025 prioriterade fågelarter.docx", "A 8077-2025")</f>
        <v/>
      </c>
    </row>
    <row r="239" ht="15" customHeight="1">
      <c r="A239" t="inlineStr">
        <is>
          <t>A 53852-2024</t>
        </is>
      </c>
      <c r="B239" s="1" t="n">
        <v>45615.63590277778</v>
      </c>
      <c r="C239" s="1" t="n">
        <v>46060</v>
      </c>
      <c r="D239" t="inlineStr">
        <is>
          <t>VÄSTERNORRLANDS LÄN</t>
        </is>
      </c>
      <c r="E239" t="inlineStr">
        <is>
          <t>SOLLEFTEÅ</t>
        </is>
      </c>
      <c r="F239" t="inlineStr">
        <is>
          <t>SCA</t>
        </is>
      </c>
      <c r="G239" t="n">
        <v>0.7</v>
      </c>
      <c r="H239" t="n">
        <v>1</v>
      </c>
      <c r="I239" t="n">
        <v>2</v>
      </c>
      <c r="J239" t="n">
        <v>1</v>
      </c>
      <c r="K239" t="n">
        <v>0</v>
      </c>
      <c r="L239" t="n">
        <v>0</v>
      </c>
      <c r="M239" t="n">
        <v>0</v>
      </c>
      <c r="N239" t="n">
        <v>0</v>
      </c>
      <c r="O239" t="n">
        <v>1</v>
      </c>
      <c r="P239" t="n">
        <v>0</v>
      </c>
      <c r="Q239" t="n">
        <v>3</v>
      </c>
      <c r="R239" s="2" t="inlineStr">
        <is>
          <t>Garnlav
Korallrot
Ögonpyrola</t>
        </is>
      </c>
      <c r="S239">
        <f>HYPERLINK("https://klasma.github.io/Logging_2283/artfynd/A 53852-2024 artfynd.xlsx", "A 53852-2024")</f>
        <v/>
      </c>
      <c r="T239">
        <f>HYPERLINK("https://klasma.github.io/Logging_2283/kartor/A 53852-2024 karta.png", "A 53852-2024")</f>
        <v/>
      </c>
      <c r="V239">
        <f>HYPERLINK("https://klasma.github.io/Logging_2283/klagomål/A 53852-2024 FSC-klagomål.docx", "A 53852-2024")</f>
        <v/>
      </c>
      <c r="W239">
        <f>HYPERLINK("https://klasma.github.io/Logging_2283/klagomålsmail/A 53852-2024 FSC-klagomål mail.docx", "A 53852-2024")</f>
        <v/>
      </c>
      <c r="X239">
        <f>HYPERLINK("https://klasma.github.io/Logging_2283/tillsyn/A 53852-2024 tillsynsbegäran.docx", "A 53852-2024")</f>
        <v/>
      </c>
      <c r="Y239">
        <f>HYPERLINK("https://klasma.github.io/Logging_2283/tillsynsmail/A 53852-2024 tillsynsbegäran mail.docx", "A 53852-2024")</f>
        <v/>
      </c>
    </row>
    <row r="240" ht="15" customHeight="1">
      <c r="A240" t="inlineStr">
        <is>
          <t>A 6235-2023</t>
        </is>
      </c>
      <c r="B240" s="1" t="n">
        <v>44964</v>
      </c>
      <c r="C240" s="1" t="n">
        <v>46060</v>
      </c>
      <c r="D240" t="inlineStr">
        <is>
          <t>VÄSTERNORRLANDS LÄN</t>
        </is>
      </c>
      <c r="E240" t="inlineStr">
        <is>
          <t>SOLLEFTEÅ</t>
        </is>
      </c>
      <c r="F240" t="inlineStr">
        <is>
          <t>SCA</t>
        </is>
      </c>
      <c r="G240" t="n">
        <v>0.6</v>
      </c>
      <c r="H240" t="n">
        <v>2</v>
      </c>
      <c r="I240" t="n">
        <v>0</v>
      </c>
      <c r="J240" t="n">
        <v>2</v>
      </c>
      <c r="K240" t="n">
        <v>0</v>
      </c>
      <c r="L240" t="n">
        <v>0</v>
      </c>
      <c r="M240" t="n">
        <v>0</v>
      </c>
      <c r="N240" t="n">
        <v>0</v>
      </c>
      <c r="O240" t="n">
        <v>2</v>
      </c>
      <c r="P240" t="n">
        <v>0</v>
      </c>
      <c r="Q240" t="n">
        <v>3</v>
      </c>
      <c r="R240" s="2" t="inlineStr">
        <is>
          <t>Harticka
Tretåig hackspett
Tjäder</t>
        </is>
      </c>
      <c r="S240">
        <f>HYPERLINK("https://klasma.github.io/Logging_2283/artfynd/A 6235-2023 artfynd.xlsx", "A 6235-2023")</f>
        <v/>
      </c>
      <c r="T240">
        <f>HYPERLINK("https://klasma.github.io/Logging_2283/kartor/A 6235-2023 karta.png", "A 6235-2023")</f>
        <v/>
      </c>
      <c r="V240">
        <f>HYPERLINK("https://klasma.github.io/Logging_2283/klagomål/A 6235-2023 FSC-klagomål.docx", "A 6235-2023")</f>
        <v/>
      </c>
      <c r="W240">
        <f>HYPERLINK("https://klasma.github.io/Logging_2283/klagomålsmail/A 6235-2023 FSC-klagomål mail.docx", "A 6235-2023")</f>
        <v/>
      </c>
      <c r="X240">
        <f>HYPERLINK("https://klasma.github.io/Logging_2283/tillsyn/A 6235-2023 tillsynsbegäran.docx", "A 6235-2023")</f>
        <v/>
      </c>
      <c r="Y240">
        <f>HYPERLINK("https://klasma.github.io/Logging_2283/tillsynsmail/A 6235-2023 tillsynsbegäran mail.docx", "A 6235-2023")</f>
        <v/>
      </c>
      <c r="Z240">
        <f>HYPERLINK("https://klasma.github.io/Logging_2283/fåglar/A 6235-2023 prioriterade fågelarter.docx", "A 6235-2023")</f>
        <v/>
      </c>
    </row>
    <row r="241" ht="15" customHeight="1">
      <c r="A241" t="inlineStr">
        <is>
          <t>A 45007-2023</t>
        </is>
      </c>
      <c r="B241" s="1" t="n">
        <v>45190</v>
      </c>
      <c r="C241" s="1" t="n">
        <v>46060</v>
      </c>
      <c r="D241" t="inlineStr">
        <is>
          <t>VÄSTERNORRLANDS LÄN</t>
        </is>
      </c>
      <c r="E241" t="inlineStr">
        <is>
          <t>SOLLEFTEÅ</t>
        </is>
      </c>
      <c r="F241" t="inlineStr">
        <is>
          <t>SCA</t>
        </is>
      </c>
      <c r="G241" t="n">
        <v>2.1</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HYPERLINK("https://klasma.github.io/Logging_2283/artfynd/A 45007-2023 artfynd.xlsx", "A 45007-2023")</f>
        <v/>
      </c>
      <c r="T241">
        <f>HYPERLINK("https://klasma.github.io/Logging_2283/kartor/A 45007-2023 karta.png", "A 45007-2023")</f>
        <v/>
      </c>
      <c r="V241">
        <f>HYPERLINK("https://klasma.github.io/Logging_2283/klagomål/A 45007-2023 FSC-klagomål.docx", "A 45007-2023")</f>
        <v/>
      </c>
      <c r="W241">
        <f>HYPERLINK("https://klasma.github.io/Logging_2283/klagomålsmail/A 45007-2023 FSC-klagomål mail.docx", "A 45007-2023")</f>
        <v/>
      </c>
      <c r="X241">
        <f>HYPERLINK("https://klasma.github.io/Logging_2283/tillsyn/A 45007-2023 tillsynsbegäran.docx", "A 45007-2023")</f>
        <v/>
      </c>
      <c r="Y241">
        <f>HYPERLINK("https://klasma.github.io/Logging_2283/tillsynsmail/A 45007-2023 tillsynsbegäran mail.docx", "A 45007-2023")</f>
        <v/>
      </c>
      <c r="Z241">
        <f>HYPERLINK("https://klasma.github.io/Logging_2283/fåglar/A 45007-2023 prioriterade fågelarter.docx", "A 45007-2023")</f>
        <v/>
      </c>
    </row>
    <row r="242" ht="15" customHeight="1">
      <c r="A242" t="inlineStr">
        <is>
          <t>A 53682-2024</t>
        </is>
      </c>
      <c r="B242" s="1" t="n">
        <v>45615</v>
      </c>
      <c r="C242" s="1" t="n">
        <v>46060</v>
      </c>
      <c r="D242" t="inlineStr">
        <is>
          <t>VÄSTERNORRLANDS LÄN</t>
        </is>
      </c>
      <c r="E242" t="inlineStr">
        <is>
          <t>SOLLEFTEÅ</t>
        </is>
      </c>
      <c r="F242" t="inlineStr">
        <is>
          <t>SCA</t>
        </is>
      </c>
      <c r="G242" t="n">
        <v>9.5</v>
      </c>
      <c r="H242" t="n">
        <v>0</v>
      </c>
      <c r="I242" t="n">
        <v>0</v>
      </c>
      <c r="J242" t="n">
        <v>2</v>
      </c>
      <c r="K242" t="n">
        <v>1</v>
      </c>
      <c r="L242" t="n">
        <v>0</v>
      </c>
      <c r="M242" t="n">
        <v>0</v>
      </c>
      <c r="N242" t="n">
        <v>0</v>
      </c>
      <c r="O242" t="n">
        <v>3</v>
      </c>
      <c r="P242" t="n">
        <v>1</v>
      </c>
      <c r="Q242" t="n">
        <v>3</v>
      </c>
      <c r="R242" s="2" t="inlineStr">
        <is>
          <t>Tallgråticka
Blå taggsvamp
Skrovlig taggsvamp</t>
        </is>
      </c>
      <c r="S242">
        <f>HYPERLINK("https://klasma.github.io/Logging_2283/artfynd/A 53682-2024 artfynd.xlsx", "A 53682-2024")</f>
        <v/>
      </c>
      <c r="T242">
        <f>HYPERLINK("https://klasma.github.io/Logging_2283/kartor/A 53682-2024 karta.png", "A 53682-2024")</f>
        <v/>
      </c>
      <c r="V242">
        <f>HYPERLINK("https://klasma.github.io/Logging_2283/klagomål/A 53682-2024 FSC-klagomål.docx", "A 53682-2024")</f>
        <v/>
      </c>
      <c r="W242">
        <f>HYPERLINK("https://klasma.github.io/Logging_2283/klagomålsmail/A 53682-2024 FSC-klagomål mail.docx", "A 53682-2024")</f>
        <v/>
      </c>
      <c r="X242">
        <f>HYPERLINK("https://klasma.github.io/Logging_2283/tillsyn/A 53682-2024 tillsynsbegäran.docx", "A 53682-2024")</f>
        <v/>
      </c>
      <c r="Y242">
        <f>HYPERLINK("https://klasma.github.io/Logging_2283/tillsynsmail/A 53682-2024 tillsynsbegäran mail.docx", "A 53682-2024")</f>
        <v/>
      </c>
    </row>
    <row r="243" ht="15" customHeight="1">
      <c r="A243" t="inlineStr">
        <is>
          <t>A 24757-2024</t>
        </is>
      </c>
      <c r="B243" s="1" t="n">
        <v>45460.67375</v>
      </c>
      <c r="C243" s="1" t="n">
        <v>46060</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13877-2025</t>
        </is>
      </c>
      <c r="B244" s="1" t="n">
        <v>45737.59407407408</v>
      </c>
      <c r="C244" s="1" t="n">
        <v>46060</v>
      </c>
      <c r="D244" t="inlineStr">
        <is>
          <t>VÄSTERNORRLANDS LÄN</t>
        </is>
      </c>
      <c r="E244" t="inlineStr">
        <is>
          <t>SOLLEFTEÅ</t>
        </is>
      </c>
      <c r="F244" t="inlineStr">
        <is>
          <t>SCA</t>
        </is>
      </c>
      <c r="G244" t="n">
        <v>3.9</v>
      </c>
      <c r="H244" t="n">
        <v>2</v>
      </c>
      <c r="I244" t="n">
        <v>0</v>
      </c>
      <c r="J244" t="n">
        <v>2</v>
      </c>
      <c r="K244" t="n">
        <v>0</v>
      </c>
      <c r="L244" t="n">
        <v>0</v>
      </c>
      <c r="M244" t="n">
        <v>0</v>
      </c>
      <c r="N244" t="n">
        <v>0</v>
      </c>
      <c r="O244" t="n">
        <v>2</v>
      </c>
      <c r="P244" t="n">
        <v>0</v>
      </c>
      <c r="Q244" t="n">
        <v>3</v>
      </c>
      <c r="R244" s="2" t="inlineStr">
        <is>
          <t>Granticka
Spillkråka
Revlummer</t>
        </is>
      </c>
      <c r="S244">
        <f>HYPERLINK("https://klasma.github.io/Logging_2283/artfynd/A 13877-2025 artfynd.xlsx", "A 13877-2025")</f>
        <v/>
      </c>
      <c r="T244">
        <f>HYPERLINK("https://klasma.github.io/Logging_2283/kartor/A 13877-2025 karta.png", "A 13877-2025")</f>
        <v/>
      </c>
      <c r="V244">
        <f>HYPERLINK("https://klasma.github.io/Logging_2283/klagomål/A 13877-2025 FSC-klagomål.docx", "A 13877-2025")</f>
        <v/>
      </c>
      <c r="W244">
        <f>HYPERLINK("https://klasma.github.io/Logging_2283/klagomålsmail/A 13877-2025 FSC-klagomål mail.docx", "A 13877-2025")</f>
        <v/>
      </c>
      <c r="X244">
        <f>HYPERLINK("https://klasma.github.io/Logging_2283/tillsyn/A 13877-2025 tillsynsbegäran.docx", "A 13877-2025")</f>
        <v/>
      </c>
      <c r="Y244">
        <f>HYPERLINK("https://klasma.github.io/Logging_2283/tillsynsmail/A 13877-2025 tillsynsbegäran mail.docx", "A 13877-2025")</f>
        <v/>
      </c>
      <c r="Z244">
        <f>HYPERLINK("https://klasma.github.io/Logging_2283/fåglar/A 13877-2025 prioriterade fågelarter.docx", "A 13877-2025")</f>
        <v/>
      </c>
    </row>
    <row r="245" ht="15" customHeight="1">
      <c r="A245" t="inlineStr">
        <is>
          <t>A 22183-2025</t>
        </is>
      </c>
      <c r="B245" s="1" t="n">
        <v>45785.61677083333</v>
      </c>
      <c r="C245" s="1" t="n">
        <v>46060</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13059-2022</t>
        </is>
      </c>
      <c r="B246" s="1" t="n">
        <v>44643</v>
      </c>
      <c r="C246" s="1" t="n">
        <v>46060</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46060</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46060</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46060</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46060</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46060</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46060</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46060</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46060</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46060</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46060</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46060</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46060</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46060</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6698-2024</t>
        </is>
      </c>
      <c r="B260" s="1" t="n">
        <v>45341</v>
      </c>
      <c r="C260" s="1" t="n">
        <v>46060</v>
      </c>
      <c r="D260" t="inlineStr">
        <is>
          <t>VÄSTERNORRLANDS LÄN</t>
        </is>
      </c>
      <c r="E260" t="inlineStr">
        <is>
          <t>SOLLEFTEÅ</t>
        </is>
      </c>
      <c r="F260" t="inlineStr">
        <is>
          <t>SCA</t>
        </is>
      </c>
      <c r="G260" t="n">
        <v>3</v>
      </c>
      <c r="H260" t="n">
        <v>0</v>
      </c>
      <c r="I260" t="n">
        <v>0</v>
      </c>
      <c r="J260" t="n">
        <v>2</v>
      </c>
      <c r="K260" t="n">
        <v>0</v>
      </c>
      <c r="L260" t="n">
        <v>0</v>
      </c>
      <c r="M260" t="n">
        <v>0</v>
      </c>
      <c r="N260" t="n">
        <v>0</v>
      </c>
      <c r="O260" t="n">
        <v>2</v>
      </c>
      <c r="P260" t="n">
        <v>0</v>
      </c>
      <c r="Q260" t="n">
        <v>2</v>
      </c>
      <c r="R260" s="2" t="inlineStr">
        <is>
          <t>Granticka
Harticka</t>
        </is>
      </c>
      <c r="S260">
        <f>HYPERLINK("https://klasma.github.io/Logging_2283/artfynd/A 6698-2024 artfynd.xlsx", "A 6698-2024")</f>
        <v/>
      </c>
      <c r="T260">
        <f>HYPERLINK("https://klasma.github.io/Logging_2283/kartor/A 6698-2024 karta.png", "A 6698-2024")</f>
        <v/>
      </c>
      <c r="V260">
        <f>HYPERLINK("https://klasma.github.io/Logging_2283/klagomål/A 6698-2024 FSC-klagomål.docx", "A 6698-2024")</f>
        <v/>
      </c>
      <c r="W260">
        <f>HYPERLINK("https://klasma.github.io/Logging_2283/klagomålsmail/A 6698-2024 FSC-klagomål mail.docx", "A 6698-2024")</f>
        <v/>
      </c>
      <c r="X260">
        <f>HYPERLINK("https://klasma.github.io/Logging_2283/tillsyn/A 6698-2024 tillsynsbegäran.docx", "A 6698-2024")</f>
        <v/>
      </c>
      <c r="Y260">
        <f>HYPERLINK("https://klasma.github.io/Logging_2283/tillsynsmail/A 6698-2024 tillsynsbegäran mail.docx", "A 6698-2024")</f>
        <v/>
      </c>
    </row>
    <row r="261" ht="15" customHeight="1">
      <c r="A261" t="inlineStr">
        <is>
          <t>A 31491-2024</t>
        </is>
      </c>
      <c r="B261" s="1" t="n">
        <v>45505</v>
      </c>
      <c r="C261" s="1" t="n">
        <v>46060</v>
      </c>
      <c r="D261" t="inlineStr">
        <is>
          <t>VÄSTERNORRLANDS LÄN</t>
        </is>
      </c>
      <c r="E261" t="inlineStr">
        <is>
          <t>SOLLEFTEÅ</t>
        </is>
      </c>
      <c r="F261" t="inlineStr">
        <is>
          <t>SCA</t>
        </is>
      </c>
      <c r="G261" t="n">
        <v>17.2</v>
      </c>
      <c r="H261" t="n">
        <v>1</v>
      </c>
      <c r="I261" t="n">
        <v>0</v>
      </c>
      <c r="J261" t="n">
        <v>2</v>
      </c>
      <c r="K261" t="n">
        <v>0</v>
      </c>
      <c r="L261" t="n">
        <v>0</v>
      </c>
      <c r="M261" t="n">
        <v>0</v>
      </c>
      <c r="N261" t="n">
        <v>0</v>
      </c>
      <c r="O261" t="n">
        <v>2</v>
      </c>
      <c r="P261" t="n">
        <v>0</v>
      </c>
      <c r="Q261" t="n">
        <v>2</v>
      </c>
      <c r="R261" s="2" t="inlineStr">
        <is>
          <t>Lunglav
Tretåig hackspett</t>
        </is>
      </c>
      <c r="S261">
        <f>HYPERLINK("https://klasma.github.io/Logging_2283/artfynd/A 31491-2024 artfynd.xlsx", "A 31491-2024")</f>
        <v/>
      </c>
      <c r="T261">
        <f>HYPERLINK("https://klasma.github.io/Logging_2283/kartor/A 31491-2024 karta.png", "A 31491-2024")</f>
        <v/>
      </c>
      <c r="V261">
        <f>HYPERLINK("https://klasma.github.io/Logging_2283/klagomål/A 31491-2024 FSC-klagomål.docx", "A 31491-2024")</f>
        <v/>
      </c>
      <c r="W261">
        <f>HYPERLINK("https://klasma.github.io/Logging_2283/klagomålsmail/A 31491-2024 FSC-klagomål mail.docx", "A 31491-2024")</f>
        <v/>
      </c>
      <c r="X261">
        <f>HYPERLINK("https://klasma.github.io/Logging_2283/tillsyn/A 31491-2024 tillsynsbegäran.docx", "A 31491-2024")</f>
        <v/>
      </c>
      <c r="Y261">
        <f>HYPERLINK("https://klasma.github.io/Logging_2283/tillsynsmail/A 31491-2024 tillsynsbegäran mail.docx", "A 31491-2024")</f>
        <v/>
      </c>
      <c r="Z261">
        <f>HYPERLINK("https://klasma.github.io/Logging_2283/fåglar/A 31491-2024 prioriterade fågelarter.docx", "A 31491-2024")</f>
        <v/>
      </c>
    </row>
    <row r="262" ht="15" customHeight="1">
      <c r="A262" t="inlineStr">
        <is>
          <t>A 54486-2024</t>
        </is>
      </c>
      <c r="B262" s="1" t="n">
        <v>45617</v>
      </c>
      <c r="C262" s="1" t="n">
        <v>46060</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46060</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27644-2024</t>
        </is>
      </c>
      <c r="B264" s="1" t="n">
        <v>45474</v>
      </c>
      <c r="C264" s="1" t="n">
        <v>46060</v>
      </c>
      <c r="D264" t="inlineStr">
        <is>
          <t>VÄSTERNORRLANDS LÄN</t>
        </is>
      </c>
      <c r="E264" t="inlineStr">
        <is>
          <t>SOLLEFTEÅ</t>
        </is>
      </c>
      <c r="F264" t="inlineStr">
        <is>
          <t>SCA</t>
        </is>
      </c>
      <c r="G264" t="n">
        <v>2.8</v>
      </c>
      <c r="H264" t="n">
        <v>1</v>
      </c>
      <c r="I264" t="n">
        <v>0</v>
      </c>
      <c r="J264" t="n">
        <v>1</v>
      </c>
      <c r="K264" t="n">
        <v>0</v>
      </c>
      <c r="L264" t="n">
        <v>0</v>
      </c>
      <c r="M264" t="n">
        <v>0</v>
      </c>
      <c r="N264" t="n">
        <v>0</v>
      </c>
      <c r="O264" t="n">
        <v>1</v>
      </c>
      <c r="P264" t="n">
        <v>0</v>
      </c>
      <c r="Q264" t="n">
        <v>2</v>
      </c>
      <c r="R264" s="2" t="inlineStr">
        <is>
          <t>Granticka
Fläcknycklar</t>
        </is>
      </c>
      <c r="S264">
        <f>HYPERLINK("https://klasma.github.io/Logging_2283/artfynd/A 27644-2024 artfynd.xlsx", "A 27644-2024")</f>
        <v/>
      </c>
      <c r="T264">
        <f>HYPERLINK("https://klasma.github.io/Logging_2283/kartor/A 27644-2024 karta.png", "A 27644-2024")</f>
        <v/>
      </c>
      <c r="V264">
        <f>HYPERLINK("https://klasma.github.io/Logging_2283/klagomål/A 27644-2024 FSC-klagomål.docx", "A 27644-2024")</f>
        <v/>
      </c>
      <c r="W264">
        <f>HYPERLINK("https://klasma.github.io/Logging_2283/klagomålsmail/A 27644-2024 FSC-klagomål mail.docx", "A 27644-2024")</f>
        <v/>
      </c>
      <c r="X264">
        <f>HYPERLINK("https://klasma.github.io/Logging_2283/tillsyn/A 27644-2024 tillsynsbegäran.docx", "A 27644-2024")</f>
        <v/>
      </c>
      <c r="Y264">
        <f>HYPERLINK("https://klasma.github.io/Logging_2283/tillsynsmail/A 27644-2024 tillsynsbegäran mail.docx", "A 27644-2024")</f>
        <v/>
      </c>
    </row>
    <row r="265" ht="15" customHeight="1">
      <c r="A265" t="inlineStr">
        <is>
          <t>A 11578-2025</t>
        </is>
      </c>
      <c r="B265" s="1" t="n">
        <v>45727.38609953703</v>
      </c>
      <c r="C265" s="1" t="n">
        <v>46060</v>
      </c>
      <c r="D265" t="inlineStr">
        <is>
          <t>VÄSTERNORRLANDS LÄN</t>
        </is>
      </c>
      <c r="E265" t="inlineStr">
        <is>
          <t>SOLLEFTEÅ</t>
        </is>
      </c>
      <c r="F265" t="inlineStr">
        <is>
          <t>SCA</t>
        </is>
      </c>
      <c r="G265" t="n">
        <v>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HYPERLINK("https://klasma.github.io/Logging_2283/artfynd/A 11578-2025 artfynd.xlsx", "A 11578-2025")</f>
        <v/>
      </c>
      <c r="T265">
        <f>HYPERLINK("https://klasma.github.io/Logging_2283/kartor/A 11578-2025 karta.png", "A 11578-2025")</f>
        <v/>
      </c>
      <c r="U265">
        <f>HYPERLINK("https://klasma.github.io/Logging_2283/knärot/A 11578-2025 karta knärot.png", "A 11578-2025")</f>
        <v/>
      </c>
      <c r="V265">
        <f>HYPERLINK("https://klasma.github.io/Logging_2283/klagomål/A 11578-2025 FSC-klagomål.docx", "A 11578-2025")</f>
        <v/>
      </c>
      <c r="W265">
        <f>HYPERLINK("https://klasma.github.io/Logging_2283/klagomålsmail/A 11578-2025 FSC-klagomål mail.docx", "A 11578-2025")</f>
        <v/>
      </c>
      <c r="X265">
        <f>HYPERLINK("https://klasma.github.io/Logging_2283/tillsyn/A 11578-2025 tillsynsbegäran.docx", "A 11578-2025")</f>
        <v/>
      </c>
      <c r="Y265">
        <f>HYPERLINK("https://klasma.github.io/Logging_2283/tillsynsmail/A 11578-2025 tillsynsbegäran mail.docx", "A 11578-2025")</f>
        <v/>
      </c>
      <c r="Z265">
        <f>HYPERLINK("https://klasma.github.io/Logging_2283/fåglar/A 11578-2025 prioriterade fågelarter.docx", "A 11578-2025")</f>
        <v/>
      </c>
    </row>
    <row r="266" ht="15" customHeight="1">
      <c r="A266" t="inlineStr">
        <is>
          <t>A 25522-2025</t>
        </is>
      </c>
      <c r="B266" s="1" t="n">
        <v>45803.38619212963</v>
      </c>
      <c r="C266" s="1" t="n">
        <v>46060</v>
      </c>
      <c r="D266" t="inlineStr">
        <is>
          <t>VÄSTERNORRLANDS LÄN</t>
        </is>
      </c>
      <c r="E266" t="inlineStr">
        <is>
          <t>SOLLEFTEÅ</t>
        </is>
      </c>
      <c r="F266" t="inlineStr">
        <is>
          <t>SCA</t>
        </is>
      </c>
      <c r="G266" t="n">
        <v>0.8</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25522-2025 artfynd.xlsx", "A 25522-2025")</f>
        <v/>
      </c>
      <c r="T266">
        <f>HYPERLINK("https://klasma.github.io/Logging_2283/kartor/A 25522-2025 karta.png", "A 25522-2025")</f>
        <v/>
      </c>
      <c r="V266">
        <f>HYPERLINK("https://klasma.github.io/Logging_2283/klagomål/A 25522-2025 FSC-klagomål.docx", "A 25522-2025")</f>
        <v/>
      </c>
      <c r="W266">
        <f>HYPERLINK("https://klasma.github.io/Logging_2283/klagomålsmail/A 25522-2025 FSC-klagomål mail.docx", "A 25522-2025")</f>
        <v/>
      </c>
      <c r="X266">
        <f>HYPERLINK("https://klasma.github.io/Logging_2283/tillsyn/A 25522-2025 tillsynsbegäran.docx", "A 25522-2025")</f>
        <v/>
      </c>
      <c r="Y266">
        <f>HYPERLINK("https://klasma.github.io/Logging_2283/tillsynsmail/A 25522-2025 tillsynsbegäran mail.docx", "A 25522-2025")</f>
        <v/>
      </c>
    </row>
    <row r="267" ht="15" customHeight="1">
      <c r="A267" t="inlineStr">
        <is>
          <t>A 38911-2025</t>
        </is>
      </c>
      <c r="B267" s="1" t="n">
        <v>45887.61534722222</v>
      </c>
      <c r="C267" s="1" t="n">
        <v>46060</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29264-2024</t>
        </is>
      </c>
      <c r="B268" s="1" t="n">
        <v>45482</v>
      </c>
      <c r="C268" s="1" t="n">
        <v>46060</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27983-2021</t>
        </is>
      </c>
      <c r="B269" s="1" t="n">
        <v>44354</v>
      </c>
      <c r="C269" s="1" t="n">
        <v>46060</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30972-2025</t>
        </is>
      </c>
      <c r="B270" s="1" t="n">
        <v>45832.4615625</v>
      </c>
      <c r="C270" s="1" t="n">
        <v>46060</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31503-2025</t>
        </is>
      </c>
      <c r="B271" s="1" t="n">
        <v>45833.59417824074</v>
      </c>
      <c r="C271" s="1" t="n">
        <v>46060</v>
      </c>
      <c r="D271" t="inlineStr">
        <is>
          <t>VÄSTERNORRLANDS LÄN</t>
        </is>
      </c>
      <c r="E271" t="inlineStr">
        <is>
          <t>SOLLEFTEÅ</t>
        </is>
      </c>
      <c r="F271" t="inlineStr">
        <is>
          <t>SCA</t>
        </is>
      </c>
      <c r="G271" t="n">
        <v>22.8</v>
      </c>
      <c r="H271" t="n">
        <v>2</v>
      </c>
      <c r="I271" t="n">
        <v>1</v>
      </c>
      <c r="J271" t="n">
        <v>0</v>
      </c>
      <c r="K271" t="n">
        <v>1</v>
      </c>
      <c r="L271" t="n">
        <v>0</v>
      </c>
      <c r="M271" t="n">
        <v>0</v>
      </c>
      <c r="N271" t="n">
        <v>0</v>
      </c>
      <c r="O271" t="n">
        <v>1</v>
      </c>
      <c r="P271" t="n">
        <v>1</v>
      </c>
      <c r="Q271" t="n">
        <v>2</v>
      </c>
      <c r="R271" s="2" t="inlineStr">
        <is>
          <t>Knärot
Plattlummer</t>
        </is>
      </c>
      <c r="S271">
        <f>HYPERLINK("https://klasma.github.io/Logging_2283/artfynd/A 31503-2025 artfynd.xlsx", "A 31503-2025")</f>
        <v/>
      </c>
      <c r="T271">
        <f>HYPERLINK("https://klasma.github.io/Logging_2283/kartor/A 31503-2025 karta.png", "A 31503-2025")</f>
        <v/>
      </c>
      <c r="U271">
        <f>HYPERLINK("https://klasma.github.io/Logging_2283/knärot/A 31503-2025 karta knärot.png", "A 31503-2025")</f>
        <v/>
      </c>
      <c r="V271">
        <f>HYPERLINK("https://klasma.github.io/Logging_2283/klagomål/A 31503-2025 FSC-klagomål.docx", "A 31503-2025")</f>
        <v/>
      </c>
      <c r="W271">
        <f>HYPERLINK("https://klasma.github.io/Logging_2283/klagomålsmail/A 31503-2025 FSC-klagomål mail.docx", "A 31503-2025")</f>
        <v/>
      </c>
      <c r="X271">
        <f>HYPERLINK("https://klasma.github.io/Logging_2283/tillsyn/A 31503-2025 tillsynsbegäran.docx", "A 31503-2025")</f>
        <v/>
      </c>
      <c r="Y271">
        <f>HYPERLINK("https://klasma.github.io/Logging_2283/tillsynsmail/A 31503-2025 tillsynsbegäran mail.docx", "A 31503-2025")</f>
        <v/>
      </c>
    </row>
    <row r="272" ht="15" customHeight="1">
      <c r="A272" t="inlineStr">
        <is>
          <t>A 47216-2025</t>
        </is>
      </c>
      <c r="B272" s="1" t="n">
        <v>45930.38612268519</v>
      </c>
      <c r="C272" s="1" t="n">
        <v>46060</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32738-2025</t>
        </is>
      </c>
      <c r="B273" s="1" t="n">
        <v>45839.41827546297</v>
      </c>
      <c r="C273" s="1" t="n">
        <v>46060</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7108-2024</t>
        </is>
      </c>
      <c r="B274" s="1" t="n">
        <v>45343</v>
      </c>
      <c r="C274" s="1" t="n">
        <v>46060</v>
      </c>
      <c r="D274" t="inlineStr">
        <is>
          <t>VÄSTERNORRLANDS LÄN</t>
        </is>
      </c>
      <c r="E274" t="inlineStr">
        <is>
          <t>SOLLEFTEÅ</t>
        </is>
      </c>
      <c r="F274" t="inlineStr">
        <is>
          <t>SCA</t>
        </is>
      </c>
      <c r="G274" t="n">
        <v>3.8</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7108-2024 artfynd.xlsx", "A 7108-2024")</f>
        <v/>
      </c>
      <c r="T274">
        <f>HYPERLINK("https://klasma.github.io/Logging_2283/kartor/A 7108-2024 karta.png", "A 7108-2024")</f>
        <v/>
      </c>
      <c r="V274">
        <f>HYPERLINK("https://klasma.github.io/Logging_2283/klagomål/A 7108-2024 FSC-klagomål.docx", "A 7108-2024")</f>
        <v/>
      </c>
      <c r="W274">
        <f>HYPERLINK("https://klasma.github.io/Logging_2283/klagomålsmail/A 7108-2024 FSC-klagomål mail.docx", "A 7108-2024")</f>
        <v/>
      </c>
      <c r="X274">
        <f>HYPERLINK("https://klasma.github.io/Logging_2283/tillsyn/A 7108-2024 tillsynsbegäran.docx", "A 7108-2024")</f>
        <v/>
      </c>
      <c r="Y274">
        <f>HYPERLINK("https://klasma.github.io/Logging_2283/tillsynsmail/A 7108-2024 tillsynsbegäran mail.docx", "A 7108-2024")</f>
        <v/>
      </c>
    </row>
    <row r="275" ht="15" customHeight="1">
      <c r="A275" t="inlineStr">
        <is>
          <t>A 50751-2024</t>
        </is>
      </c>
      <c r="B275" s="1" t="n">
        <v>45602</v>
      </c>
      <c r="C275" s="1" t="n">
        <v>46060</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46060</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36563-2025</t>
        </is>
      </c>
      <c r="B277" s="1" t="n">
        <v>45870.37332175926</v>
      </c>
      <c r="C277" s="1" t="n">
        <v>46060</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13743-2025</t>
        </is>
      </c>
      <c r="B278" s="1" t="n">
        <v>45737.40663194445</v>
      </c>
      <c r="C278" s="1" t="n">
        <v>46060</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45016-2023</t>
        </is>
      </c>
      <c r="B279" s="1" t="n">
        <v>45190.96188657408</v>
      </c>
      <c r="C279" s="1" t="n">
        <v>46060</v>
      </c>
      <c r="D279" t="inlineStr">
        <is>
          <t>VÄSTERNORRLANDS LÄN</t>
        </is>
      </c>
      <c r="E279" t="inlineStr">
        <is>
          <t>SOLLEFTEÅ</t>
        </is>
      </c>
      <c r="F279" t="inlineStr">
        <is>
          <t>SCA</t>
        </is>
      </c>
      <c r="G279" t="n">
        <v>1.5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45016-2023 artfynd.xlsx", "A 45016-2023")</f>
        <v/>
      </c>
      <c r="T279">
        <f>HYPERLINK("https://klasma.github.io/Logging_2283/kartor/A 45016-2023 karta.png", "A 45016-2023")</f>
        <v/>
      </c>
      <c r="V279">
        <f>HYPERLINK("https://klasma.github.io/Logging_2283/klagomål/A 45016-2023 FSC-klagomål.docx", "A 45016-2023")</f>
        <v/>
      </c>
      <c r="W279">
        <f>HYPERLINK("https://klasma.github.io/Logging_2283/klagomålsmail/A 45016-2023 FSC-klagomål mail.docx", "A 45016-2023")</f>
        <v/>
      </c>
      <c r="X279">
        <f>HYPERLINK("https://klasma.github.io/Logging_2283/tillsyn/A 45016-2023 tillsynsbegäran.docx", "A 45016-2023")</f>
        <v/>
      </c>
      <c r="Y279">
        <f>HYPERLINK("https://klasma.github.io/Logging_2283/tillsynsmail/A 45016-2023 tillsynsbegäran mail.docx", "A 45016-2023")</f>
        <v/>
      </c>
    </row>
    <row r="280" ht="15" customHeight="1">
      <c r="A280" t="inlineStr">
        <is>
          <t>A 58314-2024</t>
        </is>
      </c>
      <c r="B280" s="1" t="n">
        <v>45632.61516203704</v>
      </c>
      <c r="C280" s="1" t="n">
        <v>46060</v>
      </c>
      <c r="D280" t="inlineStr">
        <is>
          <t>VÄSTERNORRLANDS LÄN</t>
        </is>
      </c>
      <c r="E280" t="inlineStr">
        <is>
          <t>SOLLEFTEÅ</t>
        </is>
      </c>
      <c r="F280" t="inlineStr">
        <is>
          <t>SCA</t>
        </is>
      </c>
      <c r="G280" t="n">
        <v>3.3</v>
      </c>
      <c r="H280" t="n">
        <v>0</v>
      </c>
      <c r="I280" t="n">
        <v>0</v>
      </c>
      <c r="J280" t="n">
        <v>2</v>
      </c>
      <c r="K280" t="n">
        <v>0</v>
      </c>
      <c r="L280" t="n">
        <v>0</v>
      </c>
      <c r="M280" t="n">
        <v>0</v>
      </c>
      <c r="N280" t="n">
        <v>0</v>
      </c>
      <c r="O280" t="n">
        <v>2</v>
      </c>
      <c r="P280" t="n">
        <v>0</v>
      </c>
      <c r="Q280" t="n">
        <v>2</v>
      </c>
      <c r="R280" s="2" t="inlineStr">
        <is>
          <t>Garnlav
Gränsticka</t>
        </is>
      </c>
      <c r="S280">
        <f>HYPERLINK("https://klasma.github.io/Logging_2283/artfynd/A 58314-2024 artfynd.xlsx", "A 58314-2024")</f>
        <v/>
      </c>
      <c r="T280">
        <f>HYPERLINK("https://klasma.github.io/Logging_2283/kartor/A 58314-2024 karta.png", "A 58314-2024")</f>
        <v/>
      </c>
      <c r="V280">
        <f>HYPERLINK("https://klasma.github.io/Logging_2283/klagomål/A 58314-2024 FSC-klagomål.docx", "A 58314-2024")</f>
        <v/>
      </c>
      <c r="W280">
        <f>HYPERLINK("https://klasma.github.io/Logging_2283/klagomålsmail/A 58314-2024 FSC-klagomål mail.docx", "A 58314-2024")</f>
        <v/>
      </c>
      <c r="X280">
        <f>HYPERLINK("https://klasma.github.io/Logging_2283/tillsyn/A 58314-2024 tillsynsbegäran.docx", "A 58314-2024")</f>
        <v/>
      </c>
      <c r="Y280">
        <f>HYPERLINK("https://klasma.github.io/Logging_2283/tillsynsmail/A 58314-2024 tillsynsbegäran mail.docx", "A 58314-2024")</f>
        <v/>
      </c>
    </row>
    <row r="281" ht="15" customHeight="1">
      <c r="A281" t="inlineStr">
        <is>
          <t>A 48016-2024</t>
        </is>
      </c>
      <c r="B281" s="1" t="n">
        <v>45589.46909722222</v>
      </c>
      <c r="C281" s="1" t="n">
        <v>46060</v>
      </c>
      <c r="D281" t="inlineStr">
        <is>
          <t>VÄSTERNORRLANDS LÄN</t>
        </is>
      </c>
      <c r="E281" t="inlineStr">
        <is>
          <t>SOLLEFTEÅ</t>
        </is>
      </c>
      <c r="F281" t="inlineStr">
        <is>
          <t>SCA</t>
        </is>
      </c>
      <c r="G281" t="n">
        <v>2.6</v>
      </c>
      <c r="H281" t="n">
        <v>1</v>
      </c>
      <c r="I281" t="n">
        <v>0</v>
      </c>
      <c r="J281" t="n">
        <v>2</v>
      </c>
      <c r="K281" t="n">
        <v>0</v>
      </c>
      <c r="L281" t="n">
        <v>0</v>
      </c>
      <c r="M281" t="n">
        <v>0</v>
      </c>
      <c r="N281" t="n">
        <v>0</v>
      </c>
      <c r="O281" t="n">
        <v>2</v>
      </c>
      <c r="P281" t="n">
        <v>0</v>
      </c>
      <c r="Q281" t="n">
        <v>2</v>
      </c>
      <c r="R281" s="2" t="inlineStr">
        <is>
          <t>Järpe
Ullticka</t>
        </is>
      </c>
      <c r="S281">
        <f>HYPERLINK("https://klasma.github.io/Logging_2283/artfynd/A 48016-2024 artfynd.xlsx", "A 48016-2024")</f>
        <v/>
      </c>
      <c r="T281">
        <f>HYPERLINK("https://klasma.github.io/Logging_2283/kartor/A 48016-2024 karta.png", "A 48016-2024")</f>
        <v/>
      </c>
      <c r="V281">
        <f>HYPERLINK("https://klasma.github.io/Logging_2283/klagomål/A 48016-2024 FSC-klagomål.docx", "A 48016-2024")</f>
        <v/>
      </c>
      <c r="W281">
        <f>HYPERLINK("https://klasma.github.io/Logging_2283/klagomålsmail/A 48016-2024 FSC-klagomål mail.docx", "A 48016-2024")</f>
        <v/>
      </c>
      <c r="X281">
        <f>HYPERLINK("https://klasma.github.io/Logging_2283/tillsyn/A 48016-2024 tillsynsbegäran.docx", "A 48016-2024")</f>
        <v/>
      </c>
      <c r="Y281">
        <f>HYPERLINK("https://klasma.github.io/Logging_2283/tillsynsmail/A 48016-2024 tillsynsbegäran mail.docx", "A 48016-2024")</f>
        <v/>
      </c>
      <c r="Z281">
        <f>HYPERLINK("https://klasma.github.io/Logging_2283/fåglar/A 48016-2024 prioriterade fågelarter.docx", "A 48016-2024")</f>
        <v/>
      </c>
    </row>
    <row r="282" ht="15" customHeight="1">
      <c r="A282" t="inlineStr">
        <is>
          <t>A 20836-2021</t>
        </is>
      </c>
      <c r="B282" s="1" t="n">
        <v>44318</v>
      </c>
      <c r="C282" s="1" t="n">
        <v>46060</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38017-2024</t>
        </is>
      </c>
      <c r="B283" s="1" t="n">
        <v>45544</v>
      </c>
      <c r="C283" s="1" t="n">
        <v>46060</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34814-2024</t>
        </is>
      </c>
      <c r="B284" s="1" t="n">
        <v>45526.70703703703</v>
      </c>
      <c r="C284" s="1" t="n">
        <v>46060</v>
      </c>
      <c r="D284" t="inlineStr">
        <is>
          <t>VÄSTERNORRLANDS LÄN</t>
        </is>
      </c>
      <c r="E284" t="inlineStr">
        <is>
          <t>SOLLEFTEÅ</t>
        </is>
      </c>
      <c r="F284" t="inlineStr">
        <is>
          <t>SCA</t>
        </is>
      </c>
      <c r="G284" t="n">
        <v>6.9</v>
      </c>
      <c r="H284" t="n">
        <v>0</v>
      </c>
      <c r="I284" t="n">
        <v>0</v>
      </c>
      <c r="J284" t="n">
        <v>2</v>
      </c>
      <c r="K284" t="n">
        <v>0</v>
      </c>
      <c r="L284" t="n">
        <v>0</v>
      </c>
      <c r="M284" t="n">
        <v>0</v>
      </c>
      <c r="N284" t="n">
        <v>0</v>
      </c>
      <c r="O284" t="n">
        <v>2</v>
      </c>
      <c r="P284" t="n">
        <v>0</v>
      </c>
      <c r="Q284" t="n">
        <v>2</v>
      </c>
      <c r="R284" s="2" t="inlineStr">
        <is>
          <t>Kolflarnlav
Lunglav</t>
        </is>
      </c>
      <c r="S284">
        <f>HYPERLINK("https://klasma.github.io/Logging_2283/artfynd/A 34814-2024 artfynd.xlsx", "A 34814-2024")</f>
        <v/>
      </c>
      <c r="T284">
        <f>HYPERLINK("https://klasma.github.io/Logging_2283/kartor/A 34814-2024 karta.png", "A 34814-2024")</f>
        <v/>
      </c>
      <c r="V284">
        <f>HYPERLINK("https://klasma.github.io/Logging_2283/klagomål/A 34814-2024 FSC-klagomål.docx", "A 34814-2024")</f>
        <v/>
      </c>
      <c r="W284">
        <f>HYPERLINK("https://klasma.github.io/Logging_2283/klagomålsmail/A 34814-2024 FSC-klagomål mail.docx", "A 34814-2024")</f>
        <v/>
      </c>
      <c r="X284">
        <f>HYPERLINK("https://klasma.github.io/Logging_2283/tillsyn/A 34814-2024 tillsynsbegäran.docx", "A 34814-2024")</f>
        <v/>
      </c>
      <c r="Y284">
        <f>HYPERLINK("https://klasma.github.io/Logging_2283/tillsynsmail/A 34814-2024 tillsynsbegäran mail.docx", "A 34814-2024")</f>
        <v/>
      </c>
    </row>
    <row r="285" ht="15" customHeight="1">
      <c r="A285" t="inlineStr">
        <is>
          <t>A 17377-2021</t>
        </is>
      </c>
      <c r="B285" s="1" t="n">
        <v>44298</v>
      </c>
      <c r="C285" s="1" t="n">
        <v>46060</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60255-2025</t>
        </is>
      </c>
      <c r="B286" s="1" t="n">
        <v>45994.60180555555</v>
      </c>
      <c r="C286" s="1" t="n">
        <v>46060</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54153-2021</t>
        </is>
      </c>
      <c r="B287" s="1" t="n">
        <v>44469</v>
      </c>
      <c r="C287" s="1" t="n">
        <v>46060</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46060</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60596-2025</t>
        </is>
      </c>
      <c r="B289" s="1" t="n">
        <v>45996.34466435185</v>
      </c>
      <c r="C289" s="1" t="n">
        <v>46060</v>
      </c>
      <c r="D289" t="inlineStr">
        <is>
          <t>VÄSTERNORRLANDS LÄN</t>
        </is>
      </c>
      <c r="E289" t="inlineStr">
        <is>
          <t>SOLLEFTEÅ</t>
        </is>
      </c>
      <c r="F289" t="inlineStr">
        <is>
          <t>SCA</t>
        </is>
      </c>
      <c r="G289" t="n">
        <v>2.1</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60596-2025 artfynd.xlsx", "A 60596-2025")</f>
        <v/>
      </c>
      <c r="T289">
        <f>HYPERLINK("https://klasma.github.io/Logging_2283/kartor/A 60596-2025 karta.png", "A 60596-2025")</f>
        <v/>
      </c>
      <c r="V289">
        <f>HYPERLINK("https://klasma.github.io/Logging_2283/klagomål/A 60596-2025 FSC-klagomål.docx", "A 60596-2025")</f>
        <v/>
      </c>
      <c r="W289">
        <f>HYPERLINK("https://klasma.github.io/Logging_2283/klagomålsmail/A 60596-2025 FSC-klagomål mail.docx", "A 60596-2025")</f>
        <v/>
      </c>
      <c r="X289">
        <f>HYPERLINK("https://klasma.github.io/Logging_2283/tillsyn/A 60596-2025 tillsynsbegäran.docx", "A 60596-2025")</f>
        <v/>
      </c>
      <c r="Y289">
        <f>HYPERLINK("https://klasma.github.io/Logging_2283/tillsynsmail/A 60596-2025 tillsynsbegäran mail.docx", "A 60596-2025")</f>
        <v/>
      </c>
    </row>
    <row r="290" ht="15" customHeight="1">
      <c r="A290" t="inlineStr">
        <is>
          <t>A 61511-2025</t>
        </is>
      </c>
      <c r="B290" s="1" t="n">
        <v>46001.68375</v>
      </c>
      <c r="C290" s="1" t="n">
        <v>46060</v>
      </c>
      <c r="D290" t="inlineStr">
        <is>
          <t>VÄSTERNORRLANDS LÄN</t>
        </is>
      </c>
      <c r="E290" t="inlineStr">
        <is>
          <t>SOLLEFTEÅ</t>
        </is>
      </c>
      <c r="F290" t="inlineStr">
        <is>
          <t>SCA</t>
        </is>
      </c>
      <c r="G290" t="n">
        <v>5.7</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61511-2025 artfynd.xlsx", "A 61511-2025")</f>
        <v/>
      </c>
      <c r="T290">
        <f>HYPERLINK("https://klasma.github.io/Logging_2283/kartor/A 61511-2025 karta.png", "A 61511-2025")</f>
        <v/>
      </c>
      <c r="V290">
        <f>HYPERLINK("https://klasma.github.io/Logging_2283/klagomål/A 61511-2025 FSC-klagomål.docx", "A 61511-2025")</f>
        <v/>
      </c>
      <c r="W290">
        <f>HYPERLINK("https://klasma.github.io/Logging_2283/klagomålsmail/A 61511-2025 FSC-klagomål mail.docx", "A 61511-2025")</f>
        <v/>
      </c>
      <c r="X290">
        <f>HYPERLINK("https://klasma.github.io/Logging_2283/tillsyn/A 61511-2025 tillsynsbegäran.docx", "A 61511-2025")</f>
        <v/>
      </c>
      <c r="Y290">
        <f>HYPERLINK("https://klasma.github.io/Logging_2283/tillsynsmail/A 61511-2025 tillsynsbegäran mail.docx", "A 61511-2025")</f>
        <v/>
      </c>
    </row>
    <row r="291" ht="15" customHeight="1">
      <c r="A291" t="inlineStr">
        <is>
          <t>A 20329-2025</t>
        </is>
      </c>
      <c r="B291" s="1" t="n">
        <v>45775</v>
      </c>
      <c r="C291" s="1" t="n">
        <v>46060</v>
      </c>
      <c r="D291" t="inlineStr">
        <is>
          <t>VÄSTERNORRLANDS LÄN</t>
        </is>
      </c>
      <c r="E291" t="inlineStr">
        <is>
          <t>SOLLEFTEÅ</t>
        </is>
      </c>
      <c r="G291" t="n">
        <v>9.5</v>
      </c>
      <c r="H291" t="n">
        <v>2</v>
      </c>
      <c r="I291" t="n">
        <v>1</v>
      </c>
      <c r="J291" t="n">
        <v>0</v>
      </c>
      <c r="K291" t="n">
        <v>0</v>
      </c>
      <c r="L291" t="n">
        <v>0</v>
      </c>
      <c r="M291" t="n">
        <v>0</v>
      </c>
      <c r="N291" t="n">
        <v>0</v>
      </c>
      <c r="O291" t="n">
        <v>0</v>
      </c>
      <c r="P291" t="n">
        <v>0</v>
      </c>
      <c r="Q291" t="n">
        <v>2</v>
      </c>
      <c r="R291" s="2" t="inlineStr">
        <is>
          <t>Tvåblad
Fläcknycklar</t>
        </is>
      </c>
      <c r="S291">
        <f>HYPERLINK("https://klasma.github.io/Logging_2283/artfynd/A 20329-2025 artfynd.xlsx", "A 20329-2025")</f>
        <v/>
      </c>
      <c r="T291">
        <f>HYPERLINK("https://klasma.github.io/Logging_2283/kartor/A 20329-2025 karta.png", "A 20329-2025")</f>
        <v/>
      </c>
      <c r="V291">
        <f>HYPERLINK("https://klasma.github.io/Logging_2283/klagomål/A 20329-2025 FSC-klagomål.docx", "A 20329-2025")</f>
        <v/>
      </c>
      <c r="W291">
        <f>HYPERLINK("https://klasma.github.io/Logging_2283/klagomålsmail/A 20329-2025 FSC-klagomål mail.docx", "A 20329-2025")</f>
        <v/>
      </c>
      <c r="X291">
        <f>HYPERLINK("https://klasma.github.io/Logging_2283/tillsyn/A 20329-2025 tillsynsbegäran.docx", "A 20329-2025")</f>
        <v/>
      </c>
      <c r="Y291">
        <f>HYPERLINK("https://klasma.github.io/Logging_2283/tillsynsmail/A 20329-2025 tillsynsbegäran mail.docx", "A 20329-2025")</f>
        <v/>
      </c>
    </row>
    <row r="292" ht="15" customHeight="1">
      <c r="A292" t="inlineStr">
        <is>
          <t>A 5111-2026</t>
        </is>
      </c>
      <c r="B292" s="1" t="n">
        <v>46049.57377314815</v>
      </c>
      <c r="C292" s="1" t="n">
        <v>46060</v>
      </c>
      <c r="D292" t="inlineStr">
        <is>
          <t>VÄSTERNORRLANDS LÄN</t>
        </is>
      </c>
      <c r="E292" t="inlineStr">
        <is>
          <t>SOLLEFTEÅ</t>
        </is>
      </c>
      <c r="F292" t="inlineStr">
        <is>
          <t>SCA</t>
        </is>
      </c>
      <c r="G292" t="n">
        <v>4.4</v>
      </c>
      <c r="H292" t="n">
        <v>0</v>
      </c>
      <c r="I292" t="n">
        <v>0</v>
      </c>
      <c r="J292" t="n">
        <v>2</v>
      </c>
      <c r="K292" t="n">
        <v>0</v>
      </c>
      <c r="L292" t="n">
        <v>0</v>
      </c>
      <c r="M292" t="n">
        <v>0</v>
      </c>
      <c r="N292" t="n">
        <v>0</v>
      </c>
      <c r="O292" t="n">
        <v>2</v>
      </c>
      <c r="P292" t="n">
        <v>0</v>
      </c>
      <c r="Q292" t="n">
        <v>2</v>
      </c>
      <c r="R292" s="2" t="inlineStr">
        <is>
          <t>Lunglav
Ullticka</t>
        </is>
      </c>
      <c r="S292">
        <f>HYPERLINK("https://klasma.github.io/Logging_2283/artfynd/A 5111-2026 artfynd.xlsx", "A 5111-2026")</f>
        <v/>
      </c>
      <c r="T292">
        <f>HYPERLINK("https://klasma.github.io/Logging_2283/kartor/A 5111-2026 karta.png", "A 5111-2026")</f>
        <v/>
      </c>
      <c r="V292">
        <f>HYPERLINK("https://klasma.github.io/Logging_2283/klagomål/A 5111-2026 FSC-klagomål.docx", "A 5111-2026")</f>
        <v/>
      </c>
      <c r="W292">
        <f>HYPERLINK("https://klasma.github.io/Logging_2283/klagomålsmail/A 5111-2026 FSC-klagomål mail.docx", "A 5111-2026")</f>
        <v/>
      </c>
      <c r="X292">
        <f>HYPERLINK("https://klasma.github.io/Logging_2283/tillsyn/A 5111-2026 tillsynsbegäran.docx", "A 5111-2026")</f>
        <v/>
      </c>
      <c r="Y292">
        <f>HYPERLINK("https://klasma.github.io/Logging_2283/tillsynsmail/A 5111-2026 tillsynsbegäran mail.docx", "A 5111-2026")</f>
        <v/>
      </c>
    </row>
    <row r="293" ht="15" customHeight="1">
      <c r="A293" t="inlineStr">
        <is>
          <t>A 2515-2024</t>
        </is>
      </c>
      <c r="B293" s="1" t="n">
        <v>45313</v>
      </c>
      <c r="C293" s="1" t="n">
        <v>46060</v>
      </c>
      <c r="D293" t="inlineStr">
        <is>
          <t>VÄSTERNORRLANDS LÄN</t>
        </is>
      </c>
      <c r="E293" t="inlineStr">
        <is>
          <t>SOLLEFTEÅ</t>
        </is>
      </c>
      <c r="F293" t="inlineStr">
        <is>
          <t>Kommuner</t>
        </is>
      </c>
      <c r="G293" t="n">
        <v>8.699999999999999</v>
      </c>
      <c r="H293" t="n">
        <v>1</v>
      </c>
      <c r="I293" t="n">
        <v>0</v>
      </c>
      <c r="J293" t="n">
        <v>2</v>
      </c>
      <c r="K293" t="n">
        <v>0</v>
      </c>
      <c r="L293" t="n">
        <v>0</v>
      </c>
      <c r="M293" t="n">
        <v>0</v>
      </c>
      <c r="N293" t="n">
        <v>0</v>
      </c>
      <c r="O293" t="n">
        <v>2</v>
      </c>
      <c r="P293" t="n">
        <v>0</v>
      </c>
      <c r="Q293" t="n">
        <v>2</v>
      </c>
      <c r="R293" s="2" t="inlineStr">
        <is>
          <t>Granticka
Talltita</t>
        </is>
      </c>
      <c r="S293">
        <f>HYPERLINK("https://klasma.github.io/Logging_2283/artfynd/A 2515-2024 artfynd.xlsx", "A 2515-2024")</f>
        <v/>
      </c>
      <c r="T293">
        <f>HYPERLINK("https://klasma.github.io/Logging_2283/kartor/A 2515-2024 karta.png", "A 2515-2024")</f>
        <v/>
      </c>
      <c r="V293">
        <f>HYPERLINK("https://klasma.github.io/Logging_2283/klagomål/A 2515-2024 FSC-klagomål.docx", "A 2515-2024")</f>
        <v/>
      </c>
      <c r="W293">
        <f>HYPERLINK("https://klasma.github.io/Logging_2283/klagomålsmail/A 2515-2024 FSC-klagomål mail.docx", "A 2515-2024")</f>
        <v/>
      </c>
      <c r="X293">
        <f>HYPERLINK("https://klasma.github.io/Logging_2283/tillsyn/A 2515-2024 tillsynsbegäran.docx", "A 2515-2024")</f>
        <v/>
      </c>
      <c r="Y293">
        <f>HYPERLINK("https://klasma.github.io/Logging_2283/tillsynsmail/A 2515-2024 tillsynsbegäran mail.docx", "A 2515-2024")</f>
        <v/>
      </c>
      <c r="Z293">
        <f>HYPERLINK("https://klasma.github.io/Logging_2283/fåglar/A 2515-2024 prioriterade fågelarter.docx", "A 2515-2024")</f>
        <v/>
      </c>
    </row>
    <row r="294" ht="15" customHeight="1">
      <c r="A294" t="inlineStr">
        <is>
          <t>A 59997-2024</t>
        </is>
      </c>
      <c r="B294" s="1" t="n">
        <v>45642.40715277778</v>
      </c>
      <c r="C294" s="1" t="n">
        <v>46060</v>
      </c>
      <c r="D294" t="inlineStr">
        <is>
          <t>VÄSTERNORRLANDS LÄN</t>
        </is>
      </c>
      <c r="E294" t="inlineStr">
        <is>
          <t>SOLLEFTEÅ</t>
        </is>
      </c>
      <c r="F294" t="inlineStr">
        <is>
          <t>SCA</t>
        </is>
      </c>
      <c r="G294" t="n">
        <v>2.8</v>
      </c>
      <c r="H294" t="n">
        <v>1</v>
      </c>
      <c r="I294" t="n">
        <v>0</v>
      </c>
      <c r="J294" t="n">
        <v>1</v>
      </c>
      <c r="K294" t="n">
        <v>1</v>
      </c>
      <c r="L294" t="n">
        <v>0</v>
      </c>
      <c r="M294" t="n">
        <v>0</v>
      </c>
      <c r="N294" t="n">
        <v>0</v>
      </c>
      <c r="O294" t="n">
        <v>2</v>
      </c>
      <c r="P294" t="n">
        <v>1</v>
      </c>
      <c r="Q294" t="n">
        <v>2</v>
      </c>
      <c r="R294" s="2" t="inlineStr">
        <is>
          <t>Knärot
Garnlav</t>
        </is>
      </c>
      <c r="S294">
        <f>HYPERLINK("https://klasma.github.io/Logging_2283/artfynd/A 59997-2024 artfynd.xlsx", "A 59997-2024")</f>
        <v/>
      </c>
      <c r="T294">
        <f>HYPERLINK("https://klasma.github.io/Logging_2283/kartor/A 59997-2024 karta.png", "A 59997-2024")</f>
        <v/>
      </c>
      <c r="U294">
        <f>HYPERLINK("https://klasma.github.io/Logging_2283/knärot/A 59997-2024 karta knärot.png", "A 59997-2024")</f>
        <v/>
      </c>
      <c r="V294">
        <f>HYPERLINK("https://klasma.github.io/Logging_2283/klagomål/A 59997-2024 FSC-klagomål.docx", "A 59997-2024")</f>
        <v/>
      </c>
      <c r="W294">
        <f>HYPERLINK("https://klasma.github.io/Logging_2283/klagomålsmail/A 59997-2024 FSC-klagomål mail.docx", "A 59997-2024")</f>
        <v/>
      </c>
      <c r="X294">
        <f>HYPERLINK("https://klasma.github.io/Logging_2283/tillsyn/A 59997-2024 tillsynsbegäran.docx", "A 59997-2024")</f>
        <v/>
      </c>
      <c r="Y294">
        <f>HYPERLINK("https://klasma.github.io/Logging_2283/tillsynsmail/A 59997-2024 tillsynsbegäran mail.docx", "A 59997-2024")</f>
        <v/>
      </c>
    </row>
    <row r="295" ht="15" customHeight="1">
      <c r="A295" t="inlineStr">
        <is>
          <t>A 45083-2022</t>
        </is>
      </c>
      <c r="B295" s="1" t="n">
        <v>44841</v>
      </c>
      <c r="C295" s="1" t="n">
        <v>46060</v>
      </c>
      <c r="D295" t="inlineStr">
        <is>
          <t>VÄSTERNORRLANDS LÄN</t>
        </is>
      </c>
      <c r="E295" t="inlineStr">
        <is>
          <t>SOLLEFTEÅ</t>
        </is>
      </c>
      <c r="F295" t="inlineStr">
        <is>
          <t>SCA</t>
        </is>
      </c>
      <c r="G295" t="n">
        <v>4.3</v>
      </c>
      <c r="H295" t="n">
        <v>2</v>
      </c>
      <c r="I295" t="n">
        <v>0</v>
      </c>
      <c r="J295" t="n">
        <v>1</v>
      </c>
      <c r="K295" t="n">
        <v>0</v>
      </c>
      <c r="L295" t="n">
        <v>0</v>
      </c>
      <c r="M295" t="n">
        <v>0</v>
      </c>
      <c r="N295" t="n">
        <v>0</v>
      </c>
      <c r="O295" t="n">
        <v>1</v>
      </c>
      <c r="P295" t="n">
        <v>0</v>
      </c>
      <c r="Q295" t="n">
        <v>2</v>
      </c>
      <c r="R295" s="2" t="inlineStr">
        <is>
          <t>Talltita
Blåsippa</t>
        </is>
      </c>
      <c r="S295">
        <f>HYPERLINK("https://klasma.github.io/Logging_2283/artfynd/A 45083-2022 artfynd.xlsx", "A 45083-2022")</f>
        <v/>
      </c>
      <c r="T295">
        <f>HYPERLINK("https://klasma.github.io/Logging_2283/kartor/A 45083-2022 karta.png", "A 45083-2022")</f>
        <v/>
      </c>
      <c r="V295">
        <f>HYPERLINK("https://klasma.github.io/Logging_2283/klagomål/A 45083-2022 FSC-klagomål.docx", "A 45083-2022")</f>
        <v/>
      </c>
      <c r="W295">
        <f>HYPERLINK("https://klasma.github.io/Logging_2283/klagomålsmail/A 45083-2022 FSC-klagomål mail.docx", "A 45083-2022")</f>
        <v/>
      </c>
      <c r="X295">
        <f>HYPERLINK("https://klasma.github.io/Logging_2283/tillsyn/A 45083-2022 tillsynsbegäran.docx", "A 45083-2022")</f>
        <v/>
      </c>
      <c r="Y295">
        <f>HYPERLINK("https://klasma.github.io/Logging_2283/tillsynsmail/A 45083-2022 tillsynsbegäran mail.docx", "A 45083-2022")</f>
        <v/>
      </c>
      <c r="Z295">
        <f>HYPERLINK("https://klasma.github.io/Logging_2283/fåglar/A 45083-2022 prioriterade fågelarter.docx", "A 45083-2022")</f>
        <v/>
      </c>
    </row>
    <row r="296" ht="15" customHeight="1">
      <c r="A296" t="inlineStr">
        <is>
          <t>A 53949-2023</t>
        </is>
      </c>
      <c r="B296" s="1" t="n">
        <v>45224</v>
      </c>
      <c r="C296" s="1" t="n">
        <v>46060</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59020-2024</t>
        </is>
      </c>
      <c r="B297" s="1" t="n">
        <v>45636.67765046296</v>
      </c>
      <c r="C297" s="1" t="n">
        <v>46060</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12269-2025</t>
        </is>
      </c>
      <c r="B298" s="1" t="n">
        <v>45729.63542824074</v>
      </c>
      <c r="C298" s="1" t="n">
        <v>46060</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2347-2025</t>
        </is>
      </c>
      <c r="B299" s="1" t="n">
        <v>45673.67782407408</v>
      </c>
      <c r="C299" s="1" t="n">
        <v>46060</v>
      </c>
      <c r="D299" t="inlineStr">
        <is>
          <t>VÄSTERNORRLANDS LÄN</t>
        </is>
      </c>
      <c r="E299" t="inlineStr">
        <is>
          <t>SOLLEFTEÅ</t>
        </is>
      </c>
      <c r="F299" t="inlineStr">
        <is>
          <t>SCA</t>
        </is>
      </c>
      <c r="G299" t="n">
        <v>3.3</v>
      </c>
      <c r="H299" t="n">
        <v>1</v>
      </c>
      <c r="I299" t="n">
        <v>0</v>
      </c>
      <c r="J299" t="n">
        <v>2</v>
      </c>
      <c r="K299" t="n">
        <v>0</v>
      </c>
      <c r="L299" t="n">
        <v>0</v>
      </c>
      <c r="M299" t="n">
        <v>0</v>
      </c>
      <c r="N299" t="n">
        <v>0</v>
      </c>
      <c r="O299" t="n">
        <v>2</v>
      </c>
      <c r="P299" t="n">
        <v>0</v>
      </c>
      <c r="Q299" t="n">
        <v>2</v>
      </c>
      <c r="R299" s="2" t="inlineStr">
        <is>
          <t>Garnlav
Spillkråka</t>
        </is>
      </c>
      <c r="S299">
        <f>HYPERLINK("https://klasma.github.io/Logging_2283/artfynd/A 2347-2025 artfynd.xlsx", "A 2347-2025")</f>
        <v/>
      </c>
      <c r="T299">
        <f>HYPERLINK("https://klasma.github.io/Logging_2283/kartor/A 2347-2025 karta.png", "A 2347-2025")</f>
        <v/>
      </c>
      <c r="V299">
        <f>HYPERLINK("https://klasma.github.io/Logging_2283/klagomål/A 2347-2025 FSC-klagomål.docx", "A 2347-2025")</f>
        <v/>
      </c>
      <c r="W299">
        <f>HYPERLINK("https://klasma.github.io/Logging_2283/klagomålsmail/A 2347-2025 FSC-klagomål mail.docx", "A 2347-2025")</f>
        <v/>
      </c>
      <c r="X299">
        <f>HYPERLINK("https://klasma.github.io/Logging_2283/tillsyn/A 2347-2025 tillsynsbegäran.docx", "A 2347-2025")</f>
        <v/>
      </c>
      <c r="Y299">
        <f>HYPERLINK("https://klasma.github.io/Logging_2283/tillsynsmail/A 2347-2025 tillsynsbegäran mail.docx", "A 2347-2025")</f>
        <v/>
      </c>
      <c r="Z299">
        <f>HYPERLINK("https://klasma.github.io/Logging_2283/fåglar/A 2347-2025 prioriterade fågelarter.docx", "A 2347-2025")</f>
        <v/>
      </c>
    </row>
    <row r="300" ht="15" customHeight="1">
      <c r="A300" t="inlineStr">
        <is>
          <t>A 7837-2025</t>
        </is>
      </c>
      <c r="B300" s="1" t="n">
        <v>45706</v>
      </c>
      <c r="C300" s="1" t="n">
        <v>46060</v>
      </c>
      <c r="D300" t="inlineStr">
        <is>
          <t>VÄSTERNORRLANDS LÄN</t>
        </is>
      </c>
      <c r="E300" t="inlineStr">
        <is>
          <t>SOLLEFTEÅ</t>
        </is>
      </c>
      <c r="F300" t="inlineStr">
        <is>
          <t>SCA</t>
        </is>
      </c>
      <c r="G300" t="n">
        <v>2</v>
      </c>
      <c r="H300" t="n">
        <v>0</v>
      </c>
      <c r="I300" t="n">
        <v>1</v>
      </c>
      <c r="J300" t="n">
        <v>1</v>
      </c>
      <c r="K300" t="n">
        <v>0</v>
      </c>
      <c r="L300" t="n">
        <v>0</v>
      </c>
      <c r="M300" t="n">
        <v>0</v>
      </c>
      <c r="N300" t="n">
        <v>0</v>
      </c>
      <c r="O300" t="n">
        <v>1</v>
      </c>
      <c r="P300" t="n">
        <v>0</v>
      </c>
      <c r="Q300" t="n">
        <v>2</v>
      </c>
      <c r="R300" s="2" t="inlineStr">
        <is>
          <t>Gammelgransskål
Norrlandslav</t>
        </is>
      </c>
      <c r="S300">
        <f>HYPERLINK("https://klasma.github.io/Logging_2283/artfynd/A 7837-2025 artfynd.xlsx", "A 7837-2025")</f>
        <v/>
      </c>
      <c r="T300">
        <f>HYPERLINK("https://klasma.github.io/Logging_2283/kartor/A 7837-2025 karta.png", "A 7837-2025")</f>
        <v/>
      </c>
      <c r="V300">
        <f>HYPERLINK("https://klasma.github.io/Logging_2283/klagomål/A 7837-2025 FSC-klagomål.docx", "A 7837-2025")</f>
        <v/>
      </c>
      <c r="W300">
        <f>HYPERLINK("https://klasma.github.io/Logging_2283/klagomålsmail/A 7837-2025 FSC-klagomål mail.docx", "A 7837-2025")</f>
        <v/>
      </c>
      <c r="X300">
        <f>HYPERLINK("https://klasma.github.io/Logging_2283/tillsyn/A 7837-2025 tillsynsbegäran.docx", "A 7837-2025")</f>
        <v/>
      </c>
      <c r="Y300">
        <f>HYPERLINK("https://klasma.github.io/Logging_2283/tillsynsmail/A 7837-2025 tillsynsbegäran mail.docx", "A 7837-2025")</f>
        <v/>
      </c>
    </row>
    <row r="301" ht="15" customHeight="1">
      <c r="A301" t="inlineStr">
        <is>
          <t>A 16718-2025</t>
        </is>
      </c>
      <c r="B301" s="1" t="n">
        <v>45754.48990740741</v>
      </c>
      <c r="C301" s="1" t="n">
        <v>46060</v>
      </c>
      <c r="D301" t="inlineStr">
        <is>
          <t>VÄSTERNORRLANDS LÄN</t>
        </is>
      </c>
      <c r="E301" t="inlineStr">
        <is>
          <t>SOLLEFTEÅ</t>
        </is>
      </c>
      <c r="G301" t="n">
        <v>3.9</v>
      </c>
      <c r="H301" t="n">
        <v>1</v>
      </c>
      <c r="I301" t="n">
        <v>0</v>
      </c>
      <c r="J301" t="n">
        <v>1</v>
      </c>
      <c r="K301" t="n">
        <v>0</v>
      </c>
      <c r="L301" t="n">
        <v>0</v>
      </c>
      <c r="M301" t="n">
        <v>0</v>
      </c>
      <c r="N301" t="n">
        <v>0</v>
      </c>
      <c r="O301" t="n">
        <v>1</v>
      </c>
      <c r="P301" t="n">
        <v>0</v>
      </c>
      <c r="Q301" t="n">
        <v>2</v>
      </c>
      <c r="R301" s="2" t="inlineStr">
        <is>
          <t>Garnlav
Lavskrika</t>
        </is>
      </c>
      <c r="S301">
        <f>HYPERLINK("https://klasma.github.io/Logging_2283/artfynd/A 16718-2025 artfynd.xlsx", "A 16718-2025")</f>
        <v/>
      </c>
      <c r="T301">
        <f>HYPERLINK("https://klasma.github.io/Logging_2283/kartor/A 16718-2025 karta.png", "A 16718-2025")</f>
        <v/>
      </c>
      <c r="V301">
        <f>HYPERLINK("https://klasma.github.io/Logging_2283/klagomål/A 16718-2025 FSC-klagomål.docx", "A 16718-2025")</f>
        <v/>
      </c>
      <c r="W301">
        <f>HYPERLINK("https://klasma.github.io/Logging_2283/klagomålsmail/A 16718-2025 FSC-klagomål mail.docx", "A 16718-2025")</f>
        <v/>
      </c>
      <c r="X301">
        <f>HYPERLINK("https://klasma.github.io/Logging_2283/tillsyn/A 16718-2025 tillsynsbegäran.docx", "A 16718-2025")</f>
        <v/>
      </c>
      <c r="Y301">
        <f>HYPERLINK("https://klasma.github.io/Logging_2283/tillsynsmail/A 16718-2025 tillsynsbegäran mail.docx", "A 16718-2025")</f>
        <v/>
      </c>
      <c r="Z301">
        <f>HYPERLINK("https://klasma.github.io/Logging_2283/fåglar/A 16718-2025 prioriterade fågelarter.docx", "A 16718-2025")</f>
        <v/>
      </c>
    </row>
    <row r="302" ht="15" customHeight="1">
      <c r="A302" t="inlineStr">
        <is>
          <t>A 21742-2025</t>
        </is>
      </c>
      <c r="B302" s="1" t="n">
        <v>45783.59428240741</v>
      </c>
      <c r="C302" s="1" t="n">
        <v>46060</v>
      </c>
      <c r="D302" t="inlineStr">
        <is>
          <t>VÄSTERNORRLANDS LÄN</t>
        </is>
      </c>
      <c r="E302" t="inlineStr">
        <is>
          <t>SOLLEFTEÅ</t>
        </is>
      </c>
      <c r="F302" t="inlineStr">
        <is>
          <t>SCA</t>
        </is>
      </c>
      <c r="G302" t="n">
        <v>1.5</v>
      </c>
      <c r="H302" t="n">
        <v>1</v>
      </c>
      <c r="I302" t="n">
        <v>0</v>
      </c>
      <c r="J302" t="n">
        <v>1</v>
      </c>
      <c r="K302" t="n">
        <v>0</v>
      </c>
      <c r="L302" t="n">
        <v>0</v>
      </c>
      <c r="M302" t="n">
        <v>0</v>
      </c>
      <c r="N302" t="n">
        <v>0</v>
      </c>
      <c r="O302" t="n">
        <v>1</v>
      </c>
      <c r="P302" t="n">
        <v>0</v>
      </c>
      <c r="Q302" t="n">
        <v>2</v>
      </c>
      <c r="R302" s="2" t="inlineStr">
        <is>
          <t>Garnlav
Revlummer</t>
        </is>
      </c>
      <c r="S302">
        <f>HYPERLINK("https://klasma.github.io/Logging_2283/artfynd/A 21742-2025 artfynd.xlsx", "A 21742-2025")</f>
        <v/>
      </c>
      <c r="T302">
        <f>HYPERLINK("https://klasma.github.io/Logging_2283/kartor/A 21742-2025 karta.png", "A 21742-2025")</f>
        <v/>
      </c>
      <c r="V302">
        <f>HYPERLINK("https://klasma.github.io/Logging_2283/klagomål/A 21742-2025 FSC-klagomål.docx", "A 21742-2025")</f>
        <v/>
      </c>
      <c r="W302">
        <f>HYPERLINK("https://klasma.github.io/Logging_2283/klagomålsmail/A 21742-2025 FSC-klagomål mail.docx", "A 21742-2025")</f>
        <v/>
      </c>
      <c r="X302">
        <f>HYPERLINK("https://klasma.github.io/Logging_2283/tillsyn/A 21742-2025 tillsynsbegäran.docx", "A 21742-2025")</f>
        <v/>
      </c>
      <c r="Y302">
        <f>HYPERLINK("https://klasma.github.io/Logging_2283/tillsynsmail/A 21742-2025 tillsynsbegäran mail.docx", "A 21742-2025")</f>
        <v/>
      </c>
    </row>
    <row r="303" ht="15" customHeight="1">
      <c r="A303" t="inlineStr">
        <is>
          <t>A 21485-2025</t>
        </is>
      </c>
      <c r="B303" s="1" t="n">
        <v>45782.59512731482</v>
      </c>
      <c r="C303" s="1" t="n">
        <v>46060</v>
      </c>
      <c r="D303" t="inlineStr">
        <is>
          <t>VÄSTERNORRLANDS LÄN</t>
        </is>
      </c>
      <c r="E303" t="inlineStr">
        <is>
          <t>SOLLEFTEÅ</t>
        </is>
      </c>
      <c r="F303" t="inlineStr">
        <is>
          <t>SCA</t>
        </is>
      </c>
      <c r="G303" t="n">
        <v>5.4</v>
      </c>
      <c r="H303" t="n">
        <v>0</v>
      </c>
      <c r="I303" t="n">
        <v>1</v>
      </c>
      <c r="J303" t="n">
        <v>1</v>
      </c>
      <c r="K303" t="n">
        <v>0</v>
      </c>
      <c r="L303" t="n">
        <v>0</v>
      </c>
      <c r="M303" t="n">
        <v>0</v>
      </c>
      <c r="N303" t="n">
        <v>0</v>
      </c>
      <c r="O303" t="n">
        <v>1</v>
      </c>
      <c r="P303" t="n">
        <v>0</v>
      </c>
      <c r="Q303" t="n">
        <v>2</v>
      </c>
      <c r="R303" s="2" t="inlineStr">
        <is>
          <t>Garnlav
Vågbandad barkbock</t>
        </is>
      </c>
      <c r="S303">
        <f>HYPERLINK("https://klasma.github.io/Logging_2283/artfynd/A 21485-2025 artfynd.xlsx", "A 21485-2025")</f>
        <v/>
      </c>
      <c r="T303">
        <f>HYPERLINK("https://klasma.github.io/Logging_2283/kartor/A 21485-2025 karta.png", "A 21485-2025")</f>
        <v/>
      </c>
      <c r="V303">
        <f>HYPERLINK("https://klasma.github.io/Logging_2283/klagomål/A 21485-2025 FSC-klagomål.docx", "A 21485-2025")</f>
        <v/>
      </c>
      <c r="W303">
        <f>HYPERLINK("https://klasma.github.io/Logging_2283/klagomålsmail/A 21485-2025 FSC-klagomål mail.docx", "A 21485-2025")</f>
        <v/>
      </c>
      <c r="X303">
        <f>HYPERLINK("https://klasma.github.io/Logging_2283/tillsyn/A 21485-2025 tillsynsbegäran.docx", "A 21485-2025")</f>
        <v/>
      </c>
      <c r="Y303">
        <f>HYPERLINK("https://klasma.github.io/Logging_2283/tillsynsmail/A 21485-2025 tillsynsbegäran mail.docx", "A 21485-2025")</f>
        <v/>
      </c>
    </row>
    <row r="304" ht="15" customHeight="1">
      <c r="A304" t="inlineStr">
        <is>
          <t>A 34812-2024</t>
        </is>
      </c>
      <c r="B304" s="1" t="n">
        <v>45526</v>
      </c>
      <c r="C304" s="1" t="n">
        <v>46060</v>
      </c>
      <c r="D304" t="inlineStr">
        <is>
          <t>VÄSTERNORRLANDS LÄN</t>
        </is>
      </c>
      <c r="E304" t="inlineStr">
        <is>
          <t>SOLLEFTEÅ</t>
        </is>
      </c>
      <c r="G304" t="n">
        <v>8.1</v>
      </c>
      <c r="H304" t="n">
        <v>0</v>
      </c>
      <c r="I304" t="n">
        <v>1</v>
      </c>
      <c r="J304" t="n">
        <v>1</v>
      </c>
      <c r="K304" t="n">
        <v>0</v>
      </c>
      <c r="L304" t="n">
        <v>0</v>
      </c>
      <c r="M304" t="n">
        <v>0</v>
      </c>
      <c r="N304" t="n">
        <v>0</v>
      </c>
      <c r="O304" t="n">
        <v>1</v>
      </c>
      <c r="P304" t="n">
        <v>0</v>
      </c>
      <c r="Q304" t="n">
        <v>2</v>
      </c>
      <c r="R304" s="2" t="inlineStr">
        <is>
          <t>Garnlav
Dropptaggsvamp</t>
        </is>
      </c>
      <c r="S304">
        <f>HYPERLINK("https://klasma.github.io/Logging_2283/artfynd/A 34812-2024 artfynd.xlsx", "A 34812-2024")</f>
        <v/>
      </c>
      <c r="T304">
        <f>HYPERLINK("https://klasma.github.io/Logging_2283/kartor/A 34812-2024 karta.png", "A 34812-2024")</f>
        <v/>
      </c>
      <c r="V304">
        <f>HYPERLINK("https://klasma.github.io/Logging_2283/klagomål/A 34812-2024 FSC-klagomål.docx", "A 34812-2024")</f>
        <v/>
      </c>
      <c r="W304">
        <f>HYPERLINK("https://klasma.github.io/Logging_2283/klagomålsmail/A 34812-2024 FSC-klagomål mail.docx", "A 34812-2024")</f>
        <v/>
      </c>
      <c r="X304">
        <f>HYPERLINK("https://klasma.github.io/Logging_2283/tillsyn/A 34812-2024 tillsynsbegäran.docx", "A 34812-2024")</f>
        <v/>
      </c>
      <c r="Y304">
        <f>HYPERLINK("https://klasma.github.io/Logging_2283/tillsynsmail/A 34812-2024 tillsynsbegäran mail.docx", "A 34812-2024")</f>
        <v/>
      </c>
    </row>
    <row r="305" ht="15" customHeight="1">
      <c r="A305" t="inlineStr">
        <is>
          <t>A 22220-2025</t>
        </is>
      </c>
      <c r="B305" s="1" t="n">
        <v>45785.65862268519</v>
      </c>
      <c r="C305" s="1" t="n">
        <v>46060</v>
      </c>
      <c r="D305" t="inlineStr">
        <is>
          <t>VÄSTERNORRLANDS LÄN</t>
        </is>
      </c>
      <c r="E305" t="inlineStr">
        <is>
          <t>SOLLEFTEÅ</t>
        </is>
      </c>
      <c r="F305" t="inlineStr">
        <is>
          <t>SCA</t>
        </is>
      </c>
      <c r="G305" t="n">
        <v>4.6</v>
      </c>
      <c r="H305" t="n">
        <v>0</v>
      </c>
      <c r="I305" t="n">
        <v>1</v>
      </c>
      <c r="J305" t="n">
        <v>1</v>
      </c>
      <c r="K305" t="n">
        <v>0</v>
      </c>
      <c r="L305" t="n">
        <v>0</v>
      </c>
      <c r="M305" t="n">
        <v>0</v>
      </c>
      <c r="N305" t="n">
        <v>0</v>
      </c>
      <c r="O305" t="n">
        <v>1</v>
      </c>
      <c r="P305" t="n">
        <v>0</v>
      </c>
      <c r="Q305" t="n">
        <v>2</v>
      </c>
      <c r="R305" s="2" t="inlineStr">
        <is>
          <t>Lunglav
Stor aspticka</t>
        </is>
      </c>
      <c r="S305">
        <f>HYPERLINK("https://klasma.github.io/Logging_2283/artfynd/A 22220-2025 artfynd.xlsx", "A 22220-2025")</f>
        <v/>
      </c>
      <c r="T305">
        <f>HYPERLINK("https://klasma.github.io/Logging_2283/kartor/A 22220-2025 karta.png", "A 22220-2025")</f>
        <v/>
      </c>
      <c r="V305">
        <f>HYPERLINK("https://klasma.github.io/Logging_2283/klagomål/A 22220-2025 FSC-klagomål.docx", "A 22220-2025")</f>
        <v/>
      </c>
      <c r="W305">
        <f>HYPERLINK("https://klasma.github.io/Logging_2283/klagomålsmail/A 22220-2025 FSC-klagomål mail.docx", "A 22220-2025")</f>
        <v/>
      </c>
      <c r="X305">
        <f>HYPERLINK("https://klasma.github.io/Logging_2283/tillsyn/A 22220-2025 tillsynsbegäran.docx", "A 22220-2025")</f>
        <v/>
      </c>
      <c r="Y305">
        <f>HYPERLINK("https://klasma.github.io/Logging_2283/tillsynsmail/A 22220-2025 tillsynsbegäran mail.docx", "A 22220-2025")</f>
        <v/>
      </c>
    </row>
    <row r="306" ht="15" customHeight="1">
      <c r="A306" t="inlineStr">
        <is>
          <t>A 22518-2025</t>
        </is>
      </c>
      <c r="B306" s="1" t="n">
        <v>45786.67831018518</v>
      </c>
      <c r="C306" s="1" t="n">
        <v>46060</v>
      </c>
      <c r="D306" t="inlineStr">
        <is>
          <t>VÄSTERNORRLANDS LÄN</t>
        </is>
      </c>
      <c r="E306" t="inlineStr">
        <is>
          <t>SOLLEFTEÅ</t>
        </is>
      </c>
      <c r="F306" t="inlineStr">
        <is>
          <t>SCA</t>
        </is>
      </c>
      <c r="G306" t="n">
        <v>4</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22518-2025 artfynd.xlsx", "A 22518-2025")</f>
        <v/>
      </c>
      <c r="T306">
        <f>HYPERLINK("https://klasma.github.io/Logging_2283/kartor/A 22518-2025 karta.png", "A 22518-2025")</f>
        <v/>
      </c>
      <c r="V306">
        <f>HYPERLINK("https://klasma.github.io/Logging_2283/klagomål/A 22518-2025 FSC-klagomål.docx", "A 22518-2025")</f>
        <v/>
      </c>
      <c r="W306">
        <f>HYPERLINK("https://klasma.github.io/Logging_2283/klagomålsmail/A 22518-2025 FSC-klagomål mail.docx", "A 22518-2025")</f>
        <v/>
      </c>
      <c r="X306">
        <f>HYPERLINK("https://klasma.github.io/Logging_2283/tillsyn/A 22518-2025 tillsynsbegäran.docx", "A 22518-2025")</f>
        <v/>
      </c>
      <c r="Y306">
        <f>HYPERLINK("https://klasma.github.io/Logging_2283/tillsynsmail/A 22518-2025 tillsynsbegäran mail.docx", "A 22518-2025")</f>
        <v/>
      </c>
    </row>
    <row r="307" ht="15" customHeight="1">
      <c r="A307" t="inlineStr">
        <is>
          <t>A 22808-2025</t>
        </is>
      </c>
      <c r="B307" s="1" t="n">
        <v>45789</v>
      </c>
      <c r="C307" s="1" t="n">
        <v>46060</v>
      </c>
      <c r="D307" t="inlineStr">
        <is>
          <t>VÄSTERNORRLANDS LÄN</t>
        </is>
      </c>
      <c r="E307" t="inlineStr">
        <is>
          <t>SOLLEFTEÅ</t>
        </is>
      </c>
      <c r="G307" t="n">
        <v>0.7</v>
      </c>
      <c r="H307" t="n">
        <v>0</v>
      </c>
      <c r="I307" t="n">
        <v>1</v>
      </c>
      <c r="J307" t="n">
        <v>1</v>
      </c>
      <c r="K307" t="n">
        <v>0</v>
      </c>
      <c r="L307" t="n">
        <v>0</v>
      </c>
      <c r="M307" t="n">
        <v>0</v>
      </c>
      <c r="N307" t="n">
        <v>0</v>
      </c>
      <c r="O307" t="n">
        <v>1</v>
      </c>
      <c r="P307" t="n">
        <v>0</v>
      </c>
      <c r="Q307" t="n">
        <v>2</v>
      </c>
      <c r="R307" s="2" t="inlineStr">
        <is>
          <t>Lunglav
Bårdlav</t>
        </is>
      </c>
      <c r="S307">
        <f>HYPERLINK("https://klasma.github.io/Logging_2283/artfynd/A 22808-2025 artfynd.xlsx", "A 22808-2025")</f>
        <v/>
      </c>
      <c r="T307">
        <f>HYPERLINK("https://klasma.github.io/Logging_2283/kartor/A 22808-2025 karta.png", "A 22808-2025")</f>
        <v/>
      </c>
      <c r="V307">
        <f>HYPERLINK("https://klasma.github.io/Logging_2283/klagomål/A 22808-2025 FSC-klagomål.docx", "A 22808-2025")</f>
        <v/>
      </c>
      <c r="W307">
        <f>HYPERLINK("https://klasma.github.io/Logging_2283/klagomålsmail/A 22808-2025 FSC-klagomål mail.docx", "A 22808-2025")</f>
        <v/>
      </c>
      <c r="X307">
        <f>HYPERLINK("https://klasma.github.io/Logging_2283/tillsyn/A 22808-2025 tillsynsbegäran.docx", "A 22808-2025")</f>
        <v/>
      </c>
      <c r="Y307">
        <f>HYPERLINK("https://klasma.github.io/Logging_2283/tillsynsmail/A 22808-2025 tillsynsbegäran mail.docx", "A 22808-2025")</f>
        <v/>
      </c>
    </row>
    <row r="308" ht="15" customHeight="1">
      <c r="A308" t="inlineStr">
        <is>
          <t>A 58572-2021</t>
        </is>
      </c>
      <c r="B308" s="1" t="n">
        <v>44488</v>
      </c>
      <c r="C308" s="1" t="n">
        <v>46060</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46060</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46060</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46060</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46060</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46060</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46060</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46060</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46060</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46060</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37589-2022</t>
        </is>
      </c>
      <c r="B318" s="1" t="n">
        <v>44809.94556712963</v>
      </c>
      <c r="C318" s="1" t="n">
        <v>46060</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37206-2024</t>
        </is>
      </c>
      <c r="B319" s="1" t="n">
        <v>45539</v>
      </c>
      <c r="C319" s="1" t="n">
        <v>46060</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53039-2023</t>
        </is>
      </c>
      <c r="B320" s="1" t="n">
        <v>45226</v>
      </c>
      <c r="C320" s="1" t="n">
        <v>46060</v>
      </c>
      <c r="D320" t="inlineStr">
        <is>
          <t>VÄSTERNORRLANDS LÄN</t>
        </is>
      </c>
      <c r="E320" t="inlineStr">
        <is>
          <t>SOLLEFTEÅ</t>
        </is>
      </c>
      <c r="F320" t="inlineStr">
        <is>
          <t>SCA</t>
        </is>
      </c>
      <c r="G320" t="n">
        <v>1.8</v>
      </c>
      <c r="H320" t="n">
        <v>1</v>
      </c>
      <c r="I320" t="n">
        <v>0</v>
      </c>
      <c r="J320" t="n">
        <v>1</v>
      </c>
      <c r="K320" t="n">
        <v>0</v>
      </c>
      <c r="L320" t="n">
        <v>0</v>
      </c>
      <c r="M320" t="n">
        <v>0</v>
      </c>
      <c r="N320" t="n">
        <v>0</v>
      </c>
      <c r="O320" t="n">
        <v>1</v>
      </c>
      <c r="P320" t="n">
        <v>0</v>
      </c>
      <c r="Q320" t="n">
        <v>1</v>
      </c>
      <c r="R320" s="2" t="inlineStr">
        <is>
          <t>Nordfladdermus</t>
        </is>
      </c>
      <c r="S320">
        <f>HYPERLINK("https://klasma.github.io/Logging_2283/artfynd/A 53039-2023 artfynd.xlsx", "A 53039-2023")</f>
        <v/>
      </c>
      <c r="T320">
        <f>HYPERLINK("https://klasma.github.io/Logging_2283/kartor/A 53039-2023 karta.png", "A 53039-2023")</f>
        <v/>
      </c>
      <c r="V320">
        <f>HYPERLINK("https://klasma.github.io/Logging_2283/klagomål/A 53039-2023 FSC-klagomål.docx", "A 53039-2023")</f>
        <v/>
      </c>
      <c r="W320">
        <f>HYPERLINK("https://klasma.github.io/Logging_2283/klagomålsmail/A 53039-2023 FSC-klagomål mail.docx", "A 53039-2023")</f>
        <v/>
      </c>
      <c r="X320">
        <f>HYPERLINK("https://klasma.github.io/Logging_2283/tillsyn/A 53039-2023 tillsynsbegäran.docx", "A 53039-2023")</f>
        <v/>
      </c>
      <c r="Y320">
        <f>HYPERLINK("https://klasma.github.io/Logging_2283/tillsynsmail/A 53039-2023 tillsynsbegäran mail.docx", "A 53039-2023")</f>
        <v/>
      </c>
    </row>
    <row r="321" ht="15" customHeight="1">
      <c r="A321" t="inlineStr">
        <is>
          <t>A 23169-2025</t>
        </is>
      </c>
      <c r="B321" s="1" t="n">
        <v>45791.42752314815</v>
      </c>
      <c r="C321" s="1" t="n">
        <v>46060</v>
      </c>
      <c r="D321" t="inlineStr">
        <is>
          <t>VÄSTERNORRLANDS LÄN</t>
        </is>
      </c>
      <c r="E321" t="inlineStr">
        <is>
          <t>SOLLEFTEÅ</t>
        </is>
      </c>
      <c r="F321" t="inlineStr">
        <is>
          <t>SCA</t>
        </is>
      </c>
      <c r="G321" t="n">
        <v>1.8</v>
      </c>
      <c r="H321" t="n">
        <v>1</v>
      </c>
      <c r="I321" t="n">
        <v>0</v>
      </c>
      <c r="J321" t="n">
        <v>1</v>
      </c>
      <c r="K321" t="n">
        <v>0</v>
      </c>
      <c r="L321" t="n">
        <v>0</v>
      </c>
      <c r="M321" t="n">
        <v>0</v>
      </c>
      <c r="N321" t="n">
        <v>0</v>
      </c>
      <c r="O321" t="n">
        <v>1</v>
      </c>
      <c r="P321" t="n">
        <v>0</v>
      </c>
      <c r="Q321" t="n">
        <v>1</v>
      </c>
      <c r="R321" s="2" t="inlineStr">
        <is>
          <t>Järpe</t>
        </is>
      </c>
      <c r="S321">
        <f>HYPERLINK("https://klasma.github.io/Logging_2283/artfynd/A 23169-2025 artfynd.xlsx", "A 23169-2025")</f>
        <v/>
      </c>
      <c r="T321">
        <f>HYPERLINK("https://klasma.github.io/Logging_2283/kartor/A 23169-2025 karta.png", "A 23169-2025")</f>
        <v/>
      </c>
      <c r="V321">
        <f>HYPERLINK("https://klasma.github.io/Logging_2283/klagomål/A 23169-2025 FSC-klagomål.docx", "A 23169-2025")</f>
        <v/>
      </c>
      <c r="W321">
        <f>HYPERLINK("https://klasma.github.io/Logging_2283/klagomålsmail/A 23169-2025 FSC-klagomål mail.docx", "A 23169-2025")</f>
        <v/>
      </c>
      <c r="X321">
        <f>HYPERLINK("https://klasma.github.io/Logging_2283/tillsyn/A 23169-2025 tillsynsbegäran.docx", "A 23169-2025")</f>
        <v/>
      </c>
      <c r="Y321">
        <f>HYPERLINK("https://klasma.github.io/Logging_2283/tillsynsmail/A 23169-2025 tillsynsbegäran mail.docx", "A 23169-2025")</f>
        <v/>
      </c>
      <c r="Z321">
        <f>HYPERLINK("https://klasma.github.io/Logging_2283/fåglar/A 23169-2025 prioriterade fågelarter.docx", "A 23169-2025")</f>
        <v/>
      </c>
    </row>
    <row r="322" ht="15" customHeight="1">
      <c r="A322" t="inlineStr">
        <is>
          <t>A 22214-2025</t>
        </is>
      </c>
      <c r="B322" s="1" t="n">
        <v>45785.65792824074</v>
      </c>
      <c r="C322" s="1" t="n">
        <v>46060</v>
      </c>
      <c r="D322" t="inlineStr">
        <is>
          <t>VÄSTERNORRLANDS LÄN</t>
        </is>
      </c>
      <c r="E322" t="inlineStr">
        <is>
          <t>SOLLEFTEÅ</t>
        </is>
      </c>
      <c r="F322" t="inlineStr">
        <is>
          <t>SCA</t>
        </is>
      </c>
      <c r="G322" t="n">
        <v>4.6</v>
      </c>
      <c r="H322" t="n">
        <v>0</v>
      </c>
      <c r="I322" t="n">
        <v>0</v>
      </c>
      <c r="J322" t="n">
        <v>1</v>
      </c>
      <c r="K322" t="n">
        <v>0</v>
      </c>
      <c r="L322" t="n">
        <v>0</v>
      </c>
      <c r="M322" t="n">
        <v>0</v>
      </c>
      <c r="N322" t="n">
        <v>0</v>
      </c>
      <c r="O322" t="n">
        <v>1</v>
      </c>
      <c r="P322" t="n">
        <v>0</v>
      </c>
      <c r="Q322" t="n">
        <v>1</v>
      </c>
      <c r="R322" s="2" t="inlineStr">
        <is>
          <t>Reliktbock</t>
        </is>
      </c>
      <c r="S322">
        <f>HYPERLINK("https://klasma.github.io/Logging_2283/artfynd/A 22214-2025 artfynd.xlsx", "A 22214-2025")</f>
        <v/>
      </c>
      <c r="T322">
        <f>HYPERLINK("https://klasma.github.io/Logging_2283/kartor/A 22214-2025 karta.png", "A 22214-2025")</f>
        <v/>
      </c>
      <c r="V322">
        <f>HYPERLINK("https://klasma.github.io/Logging_2283/klagomål/A 22214-2025 FSC-klagomål.docx", "A 22214-2025")</f>
        <v/>
      </c>
      <c r="W322">
        <f>HYPERLINK("https://klasma.github.io/Logging_2283/klagomålsmail/A 22214-2025 FSC-klagomål mail.docx", "A 22214-2025")</f>
        <v/>
      </c>
      <c r="X322">
        <f>HYPERLINK("https://klasma.github.io/Logging_2283/tillsyn/A 22214-2025 tillsynsbegäran.docx", "A 22214-2025")</f>
        <v/>
      </c>
      <c r="Y322">
        <f>HYPERLINK("https://klasma.github.io/Logging_2283/tillsynsmail/A 22214-2025 tillsynsbegäran mail.docx", "A 22214-2025")</f>
        <v/>
      </c>
    </row>
    <row r="323" ht="15" customHeight="1">
      <c r="A323" t="inlineStr">
        <is>
          <t>A 26019-2025</t>
        </is>
      </c>
      <c r="B323" s="1" t="n">
        <v>45804.67811342593</v>
      </c>
      <c r="C323" s="1" t="n">
        <v>46060</v>
      </c>
      <c r="D323" t="inlineStr">
        <is>
          <t>VÄSTERNORRLANDS LÄN</t>
        </is>
      </c>
      <c r="E323" t="inlineStr">
        <is>
          <t>SOLLEFTEÅ</t>
        </is>
      </c>
      <c r="F323" t="inlineStr">
        <is>
          <t>SCA</t>
        </is>
      </c>
      <c r="G323" t="n">
        <v>3.7</v>
      </c>
      <c r="H323" t="n">
        <v>0</v>
      </c>
      <c r="I323" t="n">
        <v>0</v>
      </c>
      <c r="J323" t="n">
        <v>1</v>
      </c>
      <c r="K323" t="n">
        <v>0</v>
      </c>
      <c r="L323" t="n">
        <v>0</v>
      </c>
      <c r="M323" t="n">
        <v>0</v>
      </c>
      <c r="N323" t="n">
        <v>0</v>
      </c>
      <c r="O323" t="n">
        <v>1</v>
      </c>
      <c r="P323" t="n">
        <v>0</v>
      </c>
      <c r="Q323" t="n">
        <v>1</v>
      </c>
      <c r="R323" s="2" t="inlineStr">
        <is>
          <t>Rosenticka</t>
        </is>
      </c>
      <c r="S323">
        <f>HYPERLINK("https://klasma.github.io/Logging_2283/artfynd/A 26019-2025 artfynd.xlsx", "A 26019-2025")</f>
        <v/>
      </c>
      <c r="T323">
        <f>HYPERLINK("https://klasma.github.io/Logging_2283/kartor/A 26019-2025 karta.png", "A 26019-2025")</f>
        <v/>
      </c>
      <c r="V323">
        <f>HYPERLINK("https://klasma.github.io/Logging_2283/klagomål/A 26019-2025 FSC-klagomål.docx", "A 26019-2025")</f>
        <v/>
      </c>
      <c r="W323">
        <f>HYPERLINK("https://klasma.github.io/Logging_2283/klagomålsmail/A 26019-2025 FSC-klagomål mail.docx", "A 26019-2025")</f>
        <v/>
      </c>
      <c r="X323">
        <f>HYPERLINK("https://klasma.github.io/Logging_2283/tillsyn/A 26019-2025 tillsynsbegäran.docx", "A 26019-2025")</f>
        <v/>
      </c>
      <c r="Y323">
        <f>HYPERLINK("https://klasma.github.io/Logging_2283/tillsynsmail/A 26019-2025 tillsynsbegäran mail.docx", "A 26019-2025")</f>
        <v/>
      </c>
    </row>
    <row r="324" ht="15" customHeight="1">
      <c r="A324" t="inlineStr">
        <is>
          <t>A 26501-2025</t>
        </is>
      </c>
      <c r="B324" s="1" t="n">
        <v>45807</v>
      </c>
      <c r="C324" s="1" t="n">
        <v>46060</v>
      </c>
      <c r="D324" t="inlineStr">
        <is>
          <t>VÄSTERNORRLANDS LÄN</t>
        </is>
      </c>
      <c r="E324" t="inlineStr">
        <is>
          <t>SOLLEFTEÅ</t>
        </is>
      </c>
      <c r="F324" t="inlineStr">
        <is>
          <t>SCA</t>
        </is>
      </c>
      <c r="G324" t="n">
        <v>3.9</v>
      </c>
      <c r="H324" t="n">
        <v>0</v>
      </c>
      <c r="I324" t="n">
        <v>0</v>
      </c>
      <c r="J324" t="n">
        <v>1</v>
      </c>
      <c r="K324" t="n">
        <v>0</v>
      </c>
      <c r="L324" t="n">
        <v>0</v>
      </c>
      <c r="M324" t="n">
        <v>0</v>
      </c>
      <c r="N324" t="n">
        <v>0</v>
      </c>
      <c r="O324" t="n">
        <v>1</v>
      </c>
      <c r="P324" t="n">
        <v>0</v>
      </c>
      <c r="Q324" t="n">
        <v>1</v>
      </c>
      <c r="R324" s="2" t="inlineStr">
        <is>
          <t>Vedflikmossa</t>
        </is>
      </c>
      <c r="S324">
        <f>HYPERLINK("https://klasma.github.io/Logging_2283/artfynd/A 26501-2025 artfynd.xlsx", "A 26501-2025")</f>
        <v/>
      </c>
      <c r="T324">
        <f>HYPERLINK("https://klasma.github.io/Logging_2283/kartor/A 26501-2025 karta.png", "A 26501-2025")</f>
        <v/>
      </c>
      <c r="V324">
        <f>HYPERLINK("https://klasma.github.io/Logging_2283/klagomål/A 26501-2025 FSC-klagomål.docx", "A 26501-2025")</f>
        <v/>
      </c>
      <c r="W324">
        <f>HYPERLINK("https://klasma.github.io/Logging_2283/klagomålsmail/A 26501-2025 FSC-klagomål mail.docx", "A 26501-2025")</f>
        <v/>
      </c>
      <c r="X324">
        <f>HYPERLINK("https://klasma.github.io/Logging_2283/tillsyn/A 26501-2025 tillsynsbegäran.docx", "A 26501-2025")</f>
        <v/>
      </c>
      <c r="Y324">
        <f>HYPERLINK("https://klasma.github.io/Logging_2283/tillsynsmail/A 26501-2025 tillsynsbegäran mail.docx", "A 26501-2025")</f>
        <v/>
      </c>
    </row>
    <row r="325" ht="15" customHeight="1">
      <c r="A325" t="inlineStr">
        <is>
          <t>A 48087-2023</t>
        </is>
      </c>
      <c r="B325" s="1" t="n">
        <v>45204</v>
      </c>
      <c r="C325" s="1" t="n">
        <v>46060</v>
      </c>
      <c r="D325" t="inlineStr">
        <is>
          <t>VÄSTERNORRLANDS LÄN</t>
        </is>
      </c>
      <c r="E325" t="inlineStr">
        <is>
          <t>SOLLEFTEÅ</t>
        </is>
      </c>
      <c r="F325" t="inlineStr">
        <is>
          <t>SCA</t>
        </is>
      </c>
      <c r="G325" t="n">
        <v>0.6</v>
      </c>
      <c r="H325" t="n">
        <v>0</v>
      </c>
      <c r="I325" t="n">
        <v>0</v>
      </c>
      <c r="J325" t="n">
        <v>1</v>
      </c>
      <c r="K325" t="n">
        <v>0</v>
      </c>
      <c r="L325" t="n">
        <v>0</v>
      </c>
      <c r="M325" t="n">
        <v>0</v>
      </c>
      <c r="N325" t="n">
        <v>0</v>
      </c>
      <c r="O325" t="n">
        <v>1</v>
      </c>
      <c r="P325" t="n">
        <v>0</v>
      </c>
      <c r="Q325" t="n">
        <v>1</v>
      </c>
      <c r="R325" s="2" t="inlineStr">
        <is>
          <t>Doftskinn</t>
        </is>
      </c>
      <c r="S325">
        <f>HYPERLINK("https://klasma.github.io/Logging_2283/artfynd/A 48087-2023 artfynd.xlsx", "A 48087-2023")</f>
        <v/>
      </c>
      <c r="T325">
        <f>HYPERLINK("https://klasma.github.io/Logging_2283/kartor/A 48087-2023 karta.png", "A 48087-2023")</f>
        <v/>
      </c>
      <c r="V325">
        <f>HYPERLINK("https://klasma.github.io/Logging_2283/klagomål/A 48087-2023 FSC-klagomål.docx", "A 48087-2023")</f>
        <v/>
      </c>
      <c r="W325">
        <f>HYPERLINK("https://klasma.github.io/Logging_2283/klagomålsmail/A 48087-2023 FSC-klagomål mail.docx", "A 48087-2023")</f>
        <v/>
      </c>
      <c r="X325">
        <f>HYPERLINK("https://klasma.github.io/Logging_2283/tillsyn/A 48087-2023 tillsynsbegäran.docx", "A 48087-2023")</f>
        <v/>
      </c>
      <c r="Y325">
        <f>HYPERLINK("https://klasma.github.io/Logging_2283/tillsynsmail/A 48087-2023 tillsynsbegäran mail.docx", "A 48087-2023")</f>
        <v/>
      </c>
    </row>
    <row r="326" ht="15" customHeight="1">
      <c r="A326" t="inlineStr">
        <is>
          <t>A 22428-2025</t>
        </is>
      </c>
      <c r="B326" s="1" t="n">
        <v>45786.57351851852</v>
      </c>
      <c r="C326" s="1" t="n">
        <v>46060</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3959-2024</t>
        </is>
      </c>
      <c r="B327" s="1" t="n">
        <v>45322</v>
      </c>
      <c r="C327" s="1" t="n">
        <v>46060</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46060</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42554-2025</t>
        </is>
      </c>
      <c r="B329" s="1" t="n">
        <v>45905.59445601852</v>
      </c>
      <c r="C329" s="1" t="n">
        <v>46060</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25310-2023</t>
        </is>
      </c>
      <c r="B330" s="1" t="n">
        <v>45086</v>
      </c>
      <c r="C330" s="1" t="n">
        <v>46060</v>
      </c>
      <c r="D330" t="inlineStr">
        <is>
          <t>VÄSTERNORRLANDS LÄN</t>
        </is>
      </c>
      <c r="E330" t="inlineStr">
        <is>
          <t>SOLLEFTEÅ</t>
        </is>
      </c>
      <c r="F330" t="inlineStr">
        <is>
          <t>SCA</t>
        </is>
      </c>
      <c r="G330" t="n">
        <v>1.1</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25310-2023 artfynd.xlsx", "A 25310-2023")</f>
        <v/>
      </c>
      <c r="T330">
        <f>HYPERLINK("https://klasma.github.io/Logging_2283/kartor/A 25310-2023 karta.png", "A 25310-2023")</f>
        <v/>
      </c>
      <c r="V330">
        <f>HYPERLINK("https://klasma.github.io/Logging_2283/klagomål/A 25310-2023 FSC-klagomål.docx", "A 25310-2023")</f>
        <v/>
      </c>
      <c r="W330">
        <f>HYPERLINK("https://klasma.github.io/Logging_2283/klagomålsmail/A 25310-2023 FSC-klagomål mail.docx", "A 25310-2023")</f>
        <v/>
      </c>
      <c r="X330">
        <f>HYPERLINK("https://klasma.github.io/Logging_2283/tillsyn/A 25310-2023 tillsynsbegäran.docx", "A 25310-2023")</f>
        <v/>
      </c>
      <c r="Y330">
        <f>HYPERLINK("https://klasma.github.io/Logging_2283/tillsynsmail/A 25310-2023 tillsynsbegäran mail.docx", "A 25310-2023")</f>
        <v/>
      </c>
      <c r="Z330">
        <f>HYPERLINK("https://klasma.github.io/Logging_2283/fåglar/A 25310-2023 prioriterade fågelarter.docx", "A 25310-2023")</f>
        <v/>
      </c>
    </row>
    <row r="331" ht="15" customHeight="1">
      <c r="A331" t="inlineStr">
        <is>
          <t>A 30948-2025</t>
        </is>
      </c>
      <c r="B331" s="1" t="n">
        <v>45832.42745370371</v>
      </c>
      <c r="C331" s="1" t="n">
        <v>46060</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46060</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39897-2024</t>
        </is>
      </c>
      <c r="B333" s="1" t="n">
        <v>45553.48841435185</v>
      </c>
      <c r="C333" s="1" t="n">
        <v>46060</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39565-2023</t>
        </is>
      </c>
      <c r="B334" s="1" t="n">
        <v>45167</v>
      </c>
      <c r="C334" s="1" t="n">
        <v>46060</v>
      </c>
      <c r="D334" t="inlineStr">
        <is>
          <t>VÄSTERNORRLANDS LÄN</t>
        </is>
      </c>
      <c r="E334" t="inlineStr">
        <is>
          <t>SOLLEFTEÅ</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39565-2023 artfynd.xlsx", "A 39565-2023")</f>
        <v/>
      </c>
      <c r="T334">
        <f>HYPERLINK("https://klasma.github.io/Logging_2283/kartor/A 39565-2023 karta.png", "A 39565-2023")</f>
        <v/>
      </c>
      <c r="V334">
        <f>HYPERLINK("https://klasma.github.io/Logging_2283/klagomål/A 39565-2023 FSC-klagomål.docx", "A 39565-2023")</f>
        <v/>
      </c>
      <c r="W334">
        <f>HYPERLINK("https://klasma.github.io/Logging_2283/klagomålsmail/A 39565-2023 FSC-klagomål mail.docx", "A 39565-2023")</f>
        <v/>
      </c>
      <c r="X334">
        <f>HYPERLINK("https://klasma.github.io/Logging_2283/tillsyn/A 39565-2023 tillsynsbegäran.docx", "A 39565-2023")</f>
        <v/>
      </c>
      <c r="Y334">
        <f>HYPERLINK("https://klasma.github.io/Logging_2283/tillsynsmail/A 39565-2023 tillsynsbegäran mail.docx", "A 39565-2023")</f>
        <v/>
      </c>
    </row>
    <row r="335" ht="15" customHeight="1">
      <c r="A335" t="inlineStr">
        <is>
          <t>A 48526-2025</t>
        </is>
      </c>
      <c r="B335" s="1" t="n">
        <v>45936.40723379629</v>
      </c>
      <c r="C335" s="1" t="n">
        <v>46060</v>
      </c>
      <c r="D335" t="inlineStr">
        <is>
          <t>VÄSTERNORRLANDS LÄN</t>
        </is>
      </c>
      <c r="E335" t="inlineStr">
        <is>
          <t>SOLLEFTEÅ</t>
        </is>
      </c>
      <c r="F335" t="inlineStr">
        <is>
          <t>SCA</t>
        </is>
      </c>
      <c r="G335" t="n">
        <v>6.9</v>
      </c>
      <c r="H335" t="n">
        <v>1</v>
      </c>
      <c r="I335" t="n">
        <v>0</v>
      </c>
      <c r="J335" t="n">
        <v>0</v>
      </c>
      <c r="K335" t="n">
        <v>0</v>
      </c>
      <c r="L335" t="n">
        <v>0</v>
      </c>
      <c r="M335" t="n">
        <v>0</v>
      </c>
      <c r="N335" t="n">
        <v>0</v>
      </c>
      <c r="O335" t="n">
        <v>0</v>
      </c>
      <c r="P335" t="n">
        <v>0</v>
      </c>
      <c r="Q335" t="n">
        <v>1</v>
      </c>
      <c r="R335" s="2" t="inlineStr">
        <is>
          <t>Revlummer</t>
        </is>
      </c>
      <c r="S335">
        <f>HYPERLINK("https://klasma.github.io/Logging_2283/artfynd/A 48526-2025 artfynd.xlsx", "A 48526-2025")</f>
        <v/>
      </c>
      <c r="T335">
        <f>HYPERLINK("https://klasma.github.io/Logging_2283/kartor/A 48526-2025 karta.png", "A 48526-2025")</f>
        <v/>
      </c>
      <c r="V335">
        <f>HYPERLINK("https://klasma.github.io/Logging_2283/klagomål/A 48526-2025 FSC-klagomål.docx", "A 48526-2025")</f>
        <v/>
      </c>
      <c r="W335">
        <f>HYPERLINK("https://klasma.github.io/Logging_2283/klagomålsmail/A 48526-2025 FSC-klagomål mail.docx", "A 48526-2025")</f>
        <v/>
      </c>
      <c r="X335">
        <f>HYPERLINK("https://klasma.github.io/Logging_2283/tillsyn/A 48526-2025 tillsynsbegäran.docx", "A 48526-2025")</f>
        <v/>
      </c>
      <c r="Y335">
        <f>HYPERLINK("https://klasma.github.io/Logging_2283/tillsynsmail/A 48526-2025 tillsynsbegäran mail.docx", "A 48526-2025")</f>
        <v/>
      </c>
    </row>
    <row r="336" ht="15" customHeight="1">
      <c r="A336" t="inlineStr">
        <is>
          <t>A 27106-2022</t>
        </is>
      </c>
      <c r="B336" s="1" t="n">
        <v>44741</v>
      </c>
      <c r="C336" s="1" t="n">
        <v>46060</v>
      </c>
      <c r="D336" t="inlineStr">
        <is>
          <t>VÄSTERNORRLANDS LÄN</t>
        </is>
      </c>
      <c r="E336" t="inlineStr">
        <is>
          <t>SOLLEFTEÅ</t>
        </is>
      </c>
      <c r="G336" t="n">
        <v>1.3</v>
      </c>
      <c r="H336" t="n">
        <v>1</v>
      </c>
      <c r="I336" t="n">
        <v>0</v>
      </c>
      <c r="J336" t="n">
        <v>0</v>
      </c>
      <c r="K336" t="n">
        <v>0</v>
      </c>
      <c r="L336" t="n">
        <v>0</v>
      </c>
      <c r="M336" t="n">
        <v>0</v>
      </c>
      <c r="N336" t="n">
        <v>0</v>
      </c>
      <c r="O336" t="n">
        <v>0</v>
      </c>
      <c r="P336" t="n">
        <v>0</v>
      </c>
      <c r="Q336" t="n">
        <v>1</v>
      </c>
      <c r="R336" s="2" t="inlineStr">
        <is>
          <t>Revlummer</t>
        </is>
      </c>
      <c r="S336">
        <f>HYPERLINK("https://klasma.github.io/Logging_2283/artfynd/A 27106-2022 artfynd.xlsx", "A 27106-2022")</f>
        <v/>
      </c>
      <c r="T336">
        <f>HYPERLINK("https://klasma.github.io/Logging_2283/kartor/A 27106-2022 karta.png", "A 27106-2022")</f>
        <v/>
      </c>
      <c r="V336">
        <f>HYPERLINK("https://klasma.github.io/Logging_2283/klagomål/A 27106-2022 FSC-klagomål.docx", "A 27106-2022")</f>
        <v/>
      </c>
      <c r="W336">
        <f>HYPERLINK("https://klasma.github.io/Logging_2283/klagomålsmail/A 27106-2022 FSC-klagomål mail.docx", "A 27106-2022")</f>
        <v/>
      </c>
      <c r="X336">
        <f>HYPERLINK("https://klasma.github.io/Logging_2283/tillsyn/A 27106-2022 tillsynsbegäran.docx", "A 27106-2022")</f>
        <v/>
      </c>
      <c r="Y336">
        <f>HYPERLINK("https://klasma.github.io/Logging_2283/tillsynsmail/A 27106-2022 tillsynsbegäran mail.docx", "A 27106-2022")</f>
        <v/>
      </c>
    </row>
    <row r="337" ht="15" customHeight="1">
      <c r="A337" t="inlineStr">
        <is>
          <t>A 49651-2025</t>
        </is>
      </c>
      <c r="B337" s="1" t="n">
        <v>45939.62670138889</v>
      </c>
      <c r="C337" s="1" t="n">
        <v>46060</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33853-2025</t>
        </is>
      </c>
      <c r="B338" s="1" t="n">
        <v>45842.51097222222</v>
      </c>
      <c r="C338" s="1" t="n">
        <v>46060</v>
      </c>
      <c r="D338" t="inlineStr">
        <is>
          <t>VÄSTERNORRLANDS LÄN</t>
        </is>
      </c>
      <c r="E338" t="inlineStr">
        <is>
          <t>SOLLEFTEÅ</t>
        </is>
      </c>
      <c r="F338" t="inlineStr">
        <is>
          <t>SCA</t>
        </is>
      </c>
      <c r="G338" t="n">
        <v>6.5</v>
      </c>
      <c r="H338" t="n">
        <v>1</v>
      </c>
      <c r="I338" t="n">
        <v>0</v>
      </c>
      <c r="J338" t="n">
        <v>0</v>
      </c>
      <c r="K338" t="n">
        <v>0</v>
      </c>
      <c r="L338" t="n">
        <v>0</v>
      </c>
      <c r="M338" t="n">
        <v>0</v>
      </c>
      <c r="N338" t="n">
        <v>0</v>
      </c>
      <c r="O338" t="n">
        <v>0</v>
      </c>
      <c r="P338" t="n">
        <v>0</v>
      </c>
      <c r="Q338" t="n">
        <v>1</v>
      </c>
      <c r="R338" s="2" t="inlineStr">
        <is>
          <t>Tjäder</t>
        </is>
      </c>
      <c r="S338">
        <f>HYPERLINK("https://klasma.github.io/Logging_2283/artfynd/A 33853-2025 artfynd.xlsx", "A 33853-2025")</f>
        <v/>
      </c>
      <c r="T338">
        <f>HYPERLINK("https://klasma.github.io/Logging_2283/kartor/A 33853-2025 karta.png", "A 33853-2025")</f>
        <v/>
      </c>
      <c r="V338">
        <f>HYPERLINK("https://klasma.github.io/Logging_2283/klagomål/A 33853-2025 FSC-klagomål.docx", "A 33853-2025")</f>
        <v/>
      </c>
      <c r="W338">
        <f>HYPERLINK("https://klasma.github.io/Logging_2283/klagomålsmail/A 33853-2025 FSC-klagomål mail.docx", "A 33853-2025")</f>
        <v/>
      </c>
      <c r="X338">
        <f>HYPERLINK("https://klasma.github.io/Logging_2283/tillsyn/A 33853-2025 tillsynsbegäran.docx", "A 33853-2025")</f>
        <v/>
      </c>
      <c r="Y338">
        <f>HYPERLINK("https://klasma.github.io/Logging_2283/tillsynsmail/A 33853-2025 tillsynsbegäran mail.docx", "A 33853-2025")</f>
        <v/>
      </c>
      <c r="Z338">
        <f>HYPERLINK("https://klasma.github.io/Logging_2283/fåglar/A 33853-2025 prioriterade fågelarter.docx", "A 33853-2025")</f>
        <v/>
      </c>
    </row>
    <row r="339" ht="15" customHeight="1">
      <c r="A339" t="inlineStr">
        <is>
          <t>A 8541-2024</t>
        </is>
      </c>
      <c r="B339" s="1" t="n">
        <v>45351</v>
      </c>
      <c r="C339" s="1" t="n">
        <v>46060</v>
      </c>
      <c r="D339" t="inlineStr">
        <is>
          <t>VÄSTERNORRLANDS LÄN</t>
        </is>
      </c>
      <c r="E339" t="inlineStr">
        <is>
          <t>SOLLEFTEÅ</t>
        </is>
      </c>
      <c r="F339" t="inlineStr">
        <is>
          <t>Kommuner</t>
        </is>
      </c>
      <c r="G339" t="n">
        <v>0.6</v>
      </c>
      <c r="H339" t="n">
        <v>0</v>
      </c>
      <c r="I339" t="n">
        <v>0</v>
      </c>
      <c r="J339" t="n">
        <v>1</v>
      </c>
      <c r="K339" t="n">
        <v>0</v>
      </c>
      <c r="L339" t="n">
        <v>0</v>
      </c>
      <c r="M339" t="n">
        <v>0</v>
      </c>
      <c r="N339" t="n">
        <v>0</v>
      </c>
      <c r="O339" t="n">
        <v>1</v>
      </c>
      <c r="P339" t="n">
        <v>0</v>
      </c>
      <c r="Q339" t="n">
        <v>1</v>
      </c>
      <c r="R339" s="2" t="inlineStr">
        <is>
          <t>Granticka</t>
        </is>
      </c>
      <c r="S339">
        <f>HYPERLINK("https://klasma.github.io/Logging_2283/artfynd/A 8541-2024 artfynd.xlsx", "A 8541-2024")</f>
        <v/>
      </c>
      <c r="T339">
        <f>HYPERLINK("https://klasma.github.io/Logging_2283/kartor/A 8541-2024 karta.png", "A 8541-2024")</f>
        <v/>
      </c>
      <c r="V339">
        <f>HYPERLINK("https://klasma.github.io/Logging_2283/klagomål/A 8541-2024 FSC-klagomål.docx", "A 8541-2024")</f>
        <v/>
      </c>
      <c r="W339">
        <f>HYPERLINK("https://klasma.github.io/Logging_2283/klagomålsmail/A 8541-2024 FSC-klagomål mail.docx", "A 8541-2024")</f>
        <v/>
      </c>
      <c r="X339">
        <f>HYPERLINK("https://klasma.github.io/Logging_2283/tillsyn/A 8541-2024 tillsynsbegäran.docx", "A 8541-2024")</f>
        <v/>
      </c>
      <c r="Y339">
        <f>HYPERLINK("https://klasma.github.io/Logging_2283/tillsynsmail/A 8541-2024 tillsynsbegäran mail.docx", "A 8541-2024")</f>
        <v/>
      </c>
    </row>
    <row r="340" ht="15" customHeight="1">
      <c r="A340" t="inlineStr">
        <is>
          <t>A 34865-2025</t>
        </is>
      </c>
      <c r="B340" s="1" t="n">
        <v>45849.4421412037</v>
      </c>
      <c r="C340" s="1" t="n">
        <v>46060</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49251-2025</t>
        </is>
      </c>
      <c r="B341" s="1" t="n">
        <v>45938</v>
      </c>
      <c r="C341" s="1" t="n">
        <v>46060</v>
      </c>
      <c r="D341" t="inlineStr">
        <is>
          <t>VÄSTERNORRLANDS LÄN</t>
        </is>
      </c>
      <c r="E341" t="inlineStr">
        <is>
          <t>SOLLEFTEÅ</t>
        </is>
      </c>
      <c r="F341" t="inlineStr">
        <is>
          <t>SCA</t>
        </is>
      </c>
      <c r="G341" t="n">
        <v>2.5</v>
      </c>
      <c r="H341" t="n">
        <v>0</v>
      </c>
      <c r="I341" t="n">
        <v>0</v>
      </c>
      <c r="J341" t="n">
        <v>1</v>
      </c>
      <c r="K341" t="n">
        <v>0</v>
      </c>
      <c r="L341" t="n">
        <v>0</v>
      </c>
      <c r="M341" t="n">
        <v>0</v>
      </c>
      <c r="N341" t="n">
        <v>0</v>
      </c>
      <c r="O341" t="n">
        <v>1</v>
      </c>
      <c r="P341" t="n">
        <v>0</v>
      </c>
      <c r="Q341" t="n">
        <v>1</v>
      </c>
      <c r="R341" s="2" t="inlineStr">
        <is>
          <t>Granticka</t>
        </is>
      </c>
      <c r="S341">
        <f>HYPERLINK("https://klasma.github.io/Logging_2283/artfynd/A 49251-2025 artfynd.xlsx", "A 49251-2025")</f>
        <v/>
      </c>
      <c r="T341">
        <f>HYPERLINK("https://klasma.github.io/Logging_2283/kartor/A 49251-2025 karta.png", "A 49251-2025")</f>
        <v/>
      </c>
      <c r="V341">
        <f>HYPERLINK("https://klasma.github.io/Logging_2283/klagomål/A 49251-2025 FSC-klagomål.docx", "A 49251-2025")</f>
        <v/>
      </c>
      <c r="W341">
        <f>HYPERLINK("https://klasma.github.io/Logging_2283/klagomålsmail/A 49251-2025 FSC-klagomål mail.docx", "A 49251-2025")</f>
        <v/>
      </c>
      <c r="X341">
        <f>HYPERLINK("https://klasma.github.io/Logging_2283/tillsyn/A 49251-2025 tillsynsbegäran.docx", "A 49251-2025")</f>
        <v/>
      </c>
      <c r="Y341">
        <f>HYPERLINK("https://klasma.github.io/Logging_2283/tillsynsmail/A 49251-2025 tillsynsbegäran mail.docx", "A 49251-2025")</f>
        <v/>
      </c>
    </row>
    <row r="342" ht="15" customHeight="1">
      <c r="A342" t="inlineStr">
        <is>
          <t>A 51786-2025</t>
        </is>
      </c>
      <c r="B342" s="1" t="n">
        <v>45951.67787037037</v>
      </c>
      <c r="C342" s="1" t="n">
        <v>46060</v>
      </c>
      <c r="D342" t="inlineStr">
        <is>
          <t>VÄSTERNORRLANDS LÄN</t>
        </is>
      </c>
      <c r="E342" t="inlineStr">
        <is>
          <t>SOLLEFTEÅ</t>
        </is>
      </c>
      <c r="F342" t="inlineStr">
        <is>
          <t>SCA</t>
        </is>
      </c>
      <c r="G342" t="n">
        <v>19.8</v>
      </c>
      <c r="H342" t="n">
        <v>0</v>
      </c>
      <c r="I342" t="n">
        <v>0</v>
      </c>
      <c r="J342" t="n">
        <v>1</v>
      </c>
      <c r="K342" t="n">
        <v>0</v>
      </c>
      <c r="L342" t="n">
        <v>0</v>
      </c>
      <c r="M342" t="n">
        <v>0</v>
      </c>
      <c r="N342" t="n">
        <v>0</v>
      </c>
      <c r="O342" t="n">
        <v>1</v>
      </c>
      <c r="P342" t="n">
        <v>0</v>
      </c>
      <c r="Q342" t="n">
        <v>1</v>
      </c>
      <c r="R342" s="2" t="inlineStr">
        <is>
          <t>Motaggsvamp</t>
        </is>
      </c>
      <c r="S342">
        <f>HYPERLINK("https://klasma.github.io/Logging_2283/artfynd/A 51786-2025 artfynd.xlsx", "A 51786-2025")</f>
        <v/>
      </c>
      <c r="T342">
        <f>HYPERLINK("https://klasma.github.io/Logging_2283/kartor/A 51786-2025 karta.png", "A 51786-2025")</f>
        <v/>
      </c>
      <c r="V342">
        <f>HYPERLINK("https://klasma.github.io/Logging_2283/klagomål/A 51786-2025 FSC-klagomål.docx", "A 51786-2025")</f>
        <v/>
      </c>
      <c r="W342">
        <f>HYPERLINK("https://klasma.github.io/Logging_2283/klagomålsmail/A 51786-2025 FSC-klagomål mail.docx", "A 51786-2025")</f>
        <v/>
      </c>
      <c r="X342">
        <f>HYPERLINK("https://klasma.github.io/Logging_2283/tillsyn/A 51786-2025 tillsynsbegäran.docx", "A 51786-2025")</f>
        <v/>
      </c>
      <c r="Y342">
        <f>HYPERLINK("https://klasma.github.io/Logging_2283/tillsynsmail/A 51786-2025 tillsynsbegäran mail.docx", "A 51786-2025")</f>
        <v/>
      </c>
    </row>
    <row r="343" ht="15" customHeight="1">
      <c r="A343" t="inlineStr">
        <is>
          <t>A 35217-2025</t>
        </is>
      </c>
      <c r="B343" s="1" t="n">
        <v>45853.49020833334</v>
      </c>
      <c r="C343" s="1" t="n">
        <v>46060</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35618-2025</t>
        </is>
      </c>
      <c r="B344" s="1" t="n">
        <v>45859.41335648148</v>
      </c>
      <c r="C344" s="1" t="n">
        <v>46060</v>
      </c>
      <c r="D344" t="inlineStr">
        <is>
          <t>VÄSTERNORRLANDS LÄN</t>
        </is>
      </c>
      <c r="E344" t="inlineStr">
        <is>
          <t>SOLLEFTEÅ</t>
        </is>
      </c>
      <c r="G344" t="n">
        <v>6.9</v>
      </c>
      <c r="H344" t="n">
        <v>1</v>
      </c>
      <c r="I344" t="n">
        <v>0</v>
      </c>
      <c r="J344" t="n">
        <v>1</v>
      </c>
      <c r="K344" t="n">
        <v>0</v>
      </c>
      <c r="L344" t="n">
        <v>0</v>
      </c>
      <c r="M344" t="n">
        <v>0</v>
      </c>
      <c r="N344" t="n">
        <v>0</v>
      </c>
      <c r="O344" t="n">
        <v>1</v>
      </c>
      <c r="P344" t="n">
        <v>0</v>
      </c>
      <c r="Q344" t="n">
        <v>1</v>
      </c>
      <c r="R344" s="2" t="inlineStr">
        <is>
          <t>Spillkråka</t>
        </is>
      </c>
      <c r="S344">
        <f>HYPERLINK("https://klasma.github.io/Logging_2283/artfynd/A 35618-2025 artfynd.xlsx", "A 35618-2025")</f>
        <v/>
      </c>
      <c r="T344">
        <f>HYPERLINK("https://klasma.github.io/Logging_2283/kartor/A 35618-2025 karta.png", "A 35618-2025")</f>
        <v/>
      </c>
      <c r="V344">
        <f>HYPERLINK("https://klasma.github.io/Logging_2283/klagomål/A 35618-2025 FSC-klagomål.docx", "A 35618-2025")</f>
        <v/>
      </c>
      <c r="W344">
        <f>HYPERLINK("https://klasma.github.io/Logging_2283/klagomålsmail/A 35618-2025 FSC-klagomål mail.docx", "A 35618-2025")</f>
        <v/>
      </c>
      <c r="X344">
        <f>HYPERLINK("https://klasma.github.io/Logging_2283/tillsyn/A 35618-2025 tillsynsbegäran.docx", "A 35618-2025")</f>
        <v/>
      </c>
      <c r="Y344">
        <f>HYPERLINK("https://klasma.github.io/Logging_2283/tillsynsmail/A 35618-2025 tillsynsbegäran mail.docx", "A 35618-2025")</f>
        <v/>
      </c>
      <c r="Z344">
        <f>HYPERLINK("https://klasma.github.io/Logging_2283/fåglar/A 35618-2025 prioriterade fågelarter.docx", "A 35618-2025")</f>
        <v/>
      </c>
    </row>
    <row r="345" ht="15" customHeight="1">
      <c r="A345" t="inlineStr">
        <is>
          <t>A 52218-2025</t>
        </is>
      </c>
      <c r="B345" s="1" t="n">
        <v>45953.43634259259</v>
      </c>
      <c r="C345" s="1" t="n">
        <v>46060</v>
      </c>
      <c r="D345" t="inlineStr">
        <is>
          <t>VÄSTERNORRLANDS LÄN</t>
        </is>
      </c>
      <c r="E345" t="inlineStr">
        <is>
          <t>SOLLEFTEÅ</t>
        </is>
      </c>
      <c r="G345" t="n">
        <v>6.7</v>
      </c>
      <c r="H345" t="n">
        <v>1</v>
      </c>
      <c r="I345" t="n">
        <v>0</v>
      </c>
      <c r="J345" t="n">
        <v>0</v>
      </c>
      <c r="K345" t="n">
        <v>0</v>
      </c>
      <c r="L345" t="n">
        <v>0</v>
      </c>
      <c r="M345" t="n">
        <v>0</v>
      </c>
      <c r="N345" t="n">
        <v>0</v>
      </c>
      <c r="O345" t="n">
        <v>0</v>
      </c>
      <c r="P345" t="n">
        <v>0</v>
      </c>
      <c r="Q345" t="n">
        <v>1</v>
      </c>
      <c r="R345" s="2" t="inlineStr">
        <is>
          <t>Revlummer</t>
        </is>
      </c>
      <c r="S345">
        <f>HYPERLINK("https://klasma.github.io/Logging_2283/artfynd/A 52218-2025 artfynd.xlsx", "A 52218-2025")</f>
        <v/>
      </c>
      <c r="T345">
        <f>HYPERLINK("https://klasma.github.io/Logging_2283/kartor/A 52218-2025 karta.png", "A 52218-2025")</f>
        <v/>
      </c>
      <c r="V345">
        <f>HYPERLINK("https://klasma.github.io/Logging_2283/klagomål/A 52218-2025 FSC-klagomål.docx", "A 52218-2025")</f>
        <v/>
      </c>
      <c r="W345">
        <f>HYPERLINK("https://klasma.github.io/Logging_2283/klagomålsmail/A 52218-2025 FSC-klagomål mail.docx", "A 52218-2025")</f>
        <v/>
      </c>
      <c r="X345">
        <f>HYPERLINK("https://klasma.github.io/Logging_2283/tillsyn/A 52218-2025 tillsynsbegäran.docx", "A 52218-2025")</f>
        <v/>
      </c>
      <c r="Y345">
        <f>HYPERLINK("https://klasma.github.io/Logging_2283/tillsynsmail/A 52218-2025 tillsynsbegäran mail.docx", "A 52218-2025")</f>
        <v/>
      </c>
    </row>
    <row r="346" ht="15" customHeight="1">
      <c r="A346" t="inlineStr">
        <is>
          <t>A 22862-2021</t>
        </is>
      </c>
      <c r="B346" s="1" t="n">
        <v>44326</v>
      </c>
      <c r="C346" s="1" t="n">
        <v>46060</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35295-2023</t>
        </is>
      </c>
      <c r="B347" s="1" t="n">
        <v>45145</v>
      </c>
      <c r="C347" s="1" t="n">
        <v>46060</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53822-2025</t>
        </is>
      </c>
      <c r="B348" s="1" t="n">
        <v>45961.32806712963</v>
      </c>
      <c r="C348" s="1" t="n">
        <v>46060</v>
      </c>
      <c r="D348" t="inlineStr">
        <is>
          <t>VÄSTERNORRLANDS LÄN</t>
        </is>
      </c>
      <c r="E348" t="inlineStr">
        <is>
          <t>SOLLEFTEÅ</t>
        </is>
      </c>
      <c r="G348" t="n">
        <v>2.1</v>
      </c>
      <c r="H348" t="n">
        <v>1</v>
      </c>
      <c r="I348" t="n">
        <v>0</v>
      </c>
      <c r="J348" t="n">
        <v>0</v>
      </c>
      <c r="K348" t="n">
        <v>0</v>
      </c>
      <c r="L348" t="n">
        <v>0</v>
      </c>
      <c r="M348" t="n">
        <v>0</v>
      </c>
      <c r="N348" t="n">
        <v>0</v>
      </c>
      <c r="O348" t="n">
        <v>0</v>
      </c>
      <c r="P348" t="n">
        <v>0</v>
      </c>
      <c r="Q348" t="n">
        <v>1</v>
      </c>
      <c r="R348" s="2" t="inlineStr">
        <is>
          <t>Sångsvan</t>
        </is>
      </c>
      <c r="S348">
        <f>HYPERLINK("https://klasma.github.io/Logging_2283/artfynd/A 53822-2025 artfynd.xlsx", "A 53822-2025")</f>
        <v/>
      </c>
      <c r="T348">
        <f>HYPERLINK("https://klasma.github.io/Logging_2283/kartor/A 53822-2025 karta.png", "A 53822-2025")</f>
        <v/>
      </c>
      <c r="V348">
        <f>HYPERLINK("https://klasma.github.io/Logging_2283/klagomål/A 53822-2025 FSC-klagomål.docx", "A 53822-2025")</f>
        <v/>
      </c>
      <c r="W348">
        <f>HYPERLINK("https://klasma.github.io/Logging_2283/klagomålsmail/A 53822-2025 FSC-klagomål mail.docx", "A 53822-2025")</f>
        <v/>
      </c>
      <c r="X348">
        <f>HYPERLINK("https://klasma.github.io/Logging_2283/tillsyn/A 53822-2025 tillsynsbegäran.docx", "A 53822-2025")</f>
        <v/>
      </c>
      <c r="Y348">
        <f>HYPERLINK("https://klasma.github.io/Logging_2283/tillsynsmail/A 53822-2025 tillsynsbegäran mail.docx", "A 53822-2025")</f>
        <v/>
      </c>
      <c r="Z348">
        <f>HYPERLINK("https://klasma.github.io/Logging_2283/fåglar/A 53822-2025 prioriterade fågelarter.docx", "A 53822-2025")</f>
        <v/>
      </c>
    </row>
    <row r="349" ht="15" customHeight="1">
      <c r="A349" t="inlineStr">
        <is>
          <t>A 21962-2025</t>
        </is>
      </c>
      <c r="B349" s="1" t="n">
        <v>45784</v>
      </c>
      <c r="C349" s="1" t="n">
        <v>46060</v>
      </c>
      <c r="D349" t="inlineStr">
        <is>
          <t>VÄSTERNORRLANDS LÄN</t>
        </is>
      </c>
      <c r="E349" t="inlineStr">
        <is>
          <t>SOLLEFTEÅ</t>
        </is>
      </c>
      <c r="F349" t="inlineStr">
        <is>
          <t>SCA</t>
        </is>
      </c>
      <c r="G349" t="n">
        <v>22.5</v>
      </c>
      <c r="H349" t="n">
        <v>1</v>
      </c>
      <c r="I349" t="n">
        <v>0</v>
      </c>
      <c r="J349" t="n">
        <v>1</v>
      </c>
      <c r="K349" t="n">
        <v>0</v>
      </c>
      <c r="L349" t="n">
        <v>0</v>
      </c>
      <c r="M349" t="n">
        <v>0</v>
      </c>
      <c r="N349" t="n">
        <v>0</v>
      </c>
      <c r="O349" t="n">
        <v>1</v>
      </c>
      <c r="P349" t="n">
        <v>0</v>
      </c>
      <c r="Q349" t="n">
        <v>1</v>
      </c>
      <c r="R349" s="2" t="inlineStr">
        <is>
          <t>Järpe</t>
        </is>
      </c>
      <c r="S349">
        <f>HYPERLINK("https://klasma.github.io/Logging_2283/artfynd/A 21962-2025 artfynd.xlsx", "A 21962-2025")</f>
        <v/>
      </c>
      <c r="T349">
        <f>HYPERLINK("https://klasma.github.io/Logging_2283/kartor/A 21962-2025 karta.png", "A 21962-2025")</f>
        <v/>
      </c>
      <c r="V349">
        <f>HYPERLINK("https://klasma.github.io/Logging_2283/klagomål/A 21962-2025 FSC-klagomål.docx", "A 21962-2025")</f>
        <v/>
      </c>
      <c r="W349">
        <f>HYPERLINK("https://klasma.github.io/Logging_2283/klagomålsmail/A 21962-2025 FSC-klagomål mail.docx", "A 21962-2025")</f>
        <v/>
      </c>
      <c r="X349">
        <f>HYPERLINK("https://klasma.github.io/Logging_2283/tillsyn/A 21962-2025 tillsynsbegäran.docx", "A 21962-2025")</f>
        <v/>
      </c>
      <c r="Y349">
        <f>HYPERLINK("https://klasma.github.io/Logging_2283/tillsynsmail/A 21962-2025 tillsynsbegäran mail.docx", "A 21962-2025")</f>
        <v/>
      </c>
      <c r="Z349">
        <f>HYPERLINK("https://klasma.github.io/Logging_2283/fåglar/A 21962-2025 prioriterade fågelarter.docx", "A 21962-2025")</f>
        <v/>
      </c>
    </row>
    <row r="350" ht="15" customHeight="1">
      <c r="A350" t="inlineStr">
        <is>
          <t>A 55722-2025</t>
        </is>
      </c>
      <c r="B350" s="1" t="n">
        <v>45972.51136574074</v>
      </c>
      <c r="C350" s="1" t="n">
        <v>46060</v>
      </c>
      <c r="D350" t="inlineStr">
        <is>
          <t>VÄSTERNORRLANDS LÄN</t>
        </is>
      </c>
      <c r="E350" t="inlineStr">
        <is>
          <t>SOLLEFTEÅ</t>
        </is>
      </c>
      <c r="F350" t="inlineStr">
        <is>
          <t>SCA</t>
        </is>
      </c>
      <c r="G350" t="n">
        <v>3.3</v>
      </c>
      <c r="H350" t="n">
        <v>0</v>
      </c>
      <c r="I350" t="n">
        <v>0</v>
      </c>
      <c r="J350" t="n">
        <v>1</v>
      </c>
      <c r="K350" t="n">
        <v>0</v>
      </c>
      <c r="L350" t="n">
        <v>0</v>
      </c>
      <c r="M350" t="n">
        <v>0</v>
      </c>
      <c r="N350" t="n">
        <v>0</v>
      </c>
      <c r="O350" t="n">
        <v>1</v>
      </c>
      <c r="P350" t="n">
        <v>0</v>
      </c>
      <c r="Q350" t="n">
        <v>1</v>
      </c>
      <c r="R350" s="2" t="inlineStr">
        <is>
          <t>Violettgrå tagellav</t>
        </is>
      </c>
      <c r="S350">
        <f>HYPERLINK("https://klasma.github.io/Logging_2283/artfynd/A 55722-2025 artfynd.xlsx", "A 55722-2025")</f>
        <v/>
      </c>
      <c r="T350">
        <f>HYPERLINK("https://klasma.github.io/Logging_2283/kartor/A 55722-2025 karta.png", "A 55722-2025")</f>
        <v/>
      </c>
      <c r="V350">
        <f>HYPERLINK("https://klasma.github.io/Logging_2283/klagomål/A 55722-2025 FSC-klagomål.docx", "A 55722-2025")</f>
        <v/>
      </c>
      <c r="W350">
        <f>HYPERLINK("https://klasma.github.io/Logging_2283/klagomålsmail/A 55722-2025 FSC-klagomål mail.docx", "A 55722-2025")</f>
        <v/>
      </c>
      <c r="X350">
        <f>HYPERLINK("https://klasma.github.io/Logging_2283/tillsyn/A 55722-2025 tillsynsbegäran.docx", "A 55722-2025")</f>
        <v/>
      </c>
      <c r="Y350">
        <f>HYPERLINK("https://klasma.github.io/Logging_2283/tillsynsmail/A 55722-2025 tillsynsbegäran mail.docx", "A 55722-2025")</f>
        <v/>
      </c>
    </row>
    <row r="351" ht="15" customHeight="1">
      <c r="A351" t="inlineStr">
        <is>
          <t>A 21708-2022</t>
        </is>
      </c>
      <c r="B351" s="1" t="n">
        <v>44707</v>
      </c>
      <c r="C351" s="1" t="n">
        <v>46060</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56421-2025</t>
        </is>
      </c>
      <c r="B352" s="1" t="n">
        <v>45975.34498842592</v>
      </c>
      <c r="C352" s="1" t="n">
        <v>46060</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56444-2025</t>
        </is>
      </c>
      <c r="B353" s="1" t="n">
        <v>45975.3480324074</v>
      </c>
      <c r="C353" s="1" t="n">
        <v>46060</v>
      </c>
      <c r="D353" t="inlineStr">
        <is>
          <t>VÄSTERNORRLANDS LÄN</t>
        </is>
      </c>
      <c r="E353" t="inlineStr">
        <is>
          <t>SOLLEFTEÅ</t>
        </is>
      </c>
      <c r="F353" t="inlineStr">
        <is>
          <t>SCA</t>
        </is>
      </c>
      <c r="G353" t="n">
        <v>4.1</v>
      </c>
      <c r="H353" t="n">
        <v>1</v>
      </c>
      <c r="I353" t="n">
        <v>1</v>
      </c>
      <c r="J353" t="n">
        <v>0</v>
      </c>
      <c r="K353" t="n">
        <v>0</v>
      </c>
      <c r="L353" t="n">
        <v>0</v>
      </c>
      <c r="M353" t="n">
        <v>0</v>
      </c>
      <c r="N353" t="n">
        <v>0</v>
      </c>
      <c r="O353" t="n">
        <v>0</v>
      </c>
      <c r="P353" t="n">
        <v>0</v>
      </c>
      <c r="Q353" t="n">
        <v>1</v>
      </c>
      <c r="R353" s="2" t="inlineStr">
        <is>
          <t>Plattlummer</t>
        </is>
      </c>
      <c r="S353">
        <f>HYPERLINK("https://klasma.github.io/Logging_2283/artfynd/A 56444-2025 artfynd.xlsx", "A 56444-2025")</f>
        <v/>
      </c>
      <c r="T353">
        <f>HYPERLINK("https://klasma.github.io/Logging_2283/kartor/A 56444-2025 karta.png", "A 56444-2025")</f>
        <v/>
      </c>
      <c r="V353">
        <f>HYPERLINK("https://klasma.github.io/Logging_2283/klagomål/A 56444-2025 FSC-klagomål.docx", "A 56444-2025")</f>
        <v/>
      </c>
      <c r="W353">
        <f>HYPERLINK("https://klasma.github.io/Logging_2283/klagomålsmail/A 56444-2025 FSC-klagomål mail.docx", "A 56444-2025")</f>
        <v/>
      </c>
      <c r="X353">
        <f>HYPERLINK("https://klasma.github.io/Logging_2283/tillsyn/A 56444-2025 tillsynsbegäran.docx", "A 56444-2025")</f>
        <v/>
      </c>
      <c r="Y353">
        <f>HYPERLINK("https://klasma.github.io/Logging_2283/tillsynsmail/A 56444-2025 tillsynsbegäran mail.docx", "A 56444-2025")</f>
        <v/>
      </c>
    </row>
    <row r="354" ht="15" customHeight="1">
      <c r="A354" t="inlineStr">
        <is>
          <t>A 56048-2025</t>
        </is>
      </c>
      <c r="B354" s="1" t="n">
        <v>45973</v>
      </c>
      <c r="C354" s="1" t="n">
        <v>46060</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63874-2025</t>
        </is>
      </c>
      <c r="B355" s="1" t="n">
        <v>46020.53168981482</v>
      </c>
      <c r="C355" s="1" t="n">
        <v>46060</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Stuplav</t>
        </is>
      </c>
      <c r="S355">
        <f>HYPERLINK("https://klasma.github.io/Logging_2283/artfynd/A 63874-2025 artfynd.xlsx", "A 63874-2025")</f>
        <v/>
      </c>
      <c r="T355">
        <f>HYPERLINK("https://klasma.github.io/Logging_2283/kartor/A 63874-2025 karta.png", "A 63874-2025")</f>
        <v/>
      </c>
      <c r="V355">
        <f>HYPERLINK("https://klasma.github.io/Logging_2283/klagomål/A 63874-2025 FSC-klagomål.docx", "A 63874-2025")</f>
        <v/>
      </c>
      <c r="W355">
        <f>HYPERLINK("https://klasma.github.io/Logging_2283/klagomålsmail/A 63874-2025 FSC-klagomål mail.docx", "A 63874-2025")</f>
        <v/>
      </c>
      <c r="X355">
        <f>HYPERLINK("https://klasma.github.io/Logging_2283/tillsyn/A 63874-2025 tillsynsbegäran.docx", "A 63874-2025")</f>
        <v/>
      </c>
      <c r="Y355">
        <f>HYPERLINK("https://klasma.github.io/Logging_2283/tillsynsmail/A 63874-2025 tillsynsbegäran mail.docx", "A 63874-2025")</f>
        <v/>
      </c>
    </row>
    <row r="356" ht="15" customHeight="1">
      <c r="A356" t="inlineStr">
        <is>
          <t>A 57987-2025</t>
        </is>
      </c>
      <c r="B356" s="1" t="n">
        <v>45982.41984953704</v>
      </c>
      <c r="C356" s="1" t="n">
        <v>46060</v>
      </c>
      <c r="D356" t="inlineStr">
        <is>
          <t>VÄSTERNORRLANDS LÄN</t>
        </is>
      </c>
      <c r="E356" t="inlineStr">
        <is>
          <t>SOLLEFTEÅ</t>
        </is>
      </c>
      <c r="G356" t="n">
        <v>2.8</v>
      </c>
      <c r="H356" t="n">
        <v>0</v>
      </c>
      <c r="I356" t="n">
        <v>1</v>
      </c>
      <c r="J356" t="n">
        <v>0</v>
      </c>
      <c r="K356" t="n">
        <v>0</v>
      </c>
      <c r="L356" t="n">
        <v>0</v>
      </c>
      <c r="M356" t="n">
        <v>0</v>
      </c>
      <c r="N356" t="n">
        <v>0</v>
      </c>
      <c r="O356" t="n">
        <v>0</v>
      </c>
      <c r="P356" t="n">
        <v>0</v>
      </c>
      <c r="Q356" t="n">
        <v>1</v>
      </c>
      <c r="R356" s="2" t="inlineStr">
        <is>
          <t>Stuplav</t>
        </is>
      </c>
      <c r="S356">
        <f>HYPERLINK("https://klasma.github.io/Logging_2283/artfynd/A 57987-2025 artfynd.xlsx", "A 57987-2025")</f>
        <v/>
      </c>
      <c r="T356">
        <f>HYPERLINK("https://klasma.github.io/Logging_2283/kartor/A 57987-2025 karta.png", "A 57987-2025")</f>
        <v/>
      </c>
      <c r="V356">
        <f>HYPERLINK("https://klasma.github.io/Logging_2283/klagomål/A 57987-2025 FSC-klagomål.docx", "A 57987-2025")</f>
        <v/>
      </c>
      <c r="W356">
        <f>HYPERLINK("https://klasma.github.io/Logging_2283/klagomålsmail/A 57987-2025 FSC-klagomål mail.docx", "A 57987-2025")</f>
        <v/>
      </c>
      <c r="X356">
        <f>HYPERLINK("https://klasma.github.io/Logging_2283/tillsyn/A 57987-2025 tillsynsbegäran.docx", "A 57987-2025")</f>
        <v/>
      </c>
      <c r="Y356">
        <f>HYPERLINK("https://klasma.github.io/Logging_2283/tillsynsmail/A 57987-2025 tillsynsbegäran mail.docx", "A 57987-2025")</f>
        <v/>
      </c>
    </row>
    <row r="357" ht="15" customHeight="1">
      <c r="A357" t="inlineStr">
        <is>
          <t>A 1170-2026</t>
        </is>
      </c>
      <c r="B357" s="1" t="n">
        <v>46031.34459490741</v>
      </c>
      <c r="C357" s="1" t="n">
        <v>46060</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Lunglav</t>
        </is>
      </c>
      <c r="S357">
        <f>HYPERLINK("https://klasma.github.io/Logging_2283/artfynd/A 1170-2026 artfynd.xlsx", "A 1170-2026")</f>
        <v/>
      </c>
      <c r="T357">
        <f>HYPERLINK("https://klasma.github.io/Logging_2283/kartor/A 1170-2026 karta.png", "A 1170-2026")</f>
        <v/>
      </c>
      <c r="V357">
        <f>HYPERLINK("https://klasma.github.io/Logging_2283/klagomål/A 1170-2026 FSC-klagomål.docx", "A 1170-2026")</f>
        <v/>
      </c>
      <c r="W357">
        <f>HYPERLINK("https://klasma.github.io/Logging_2283/klagomålsmail/A 1170-2026 FSC-klagomål mail.docx", "A 1170-2026")</f>
        <v/>
      </c>
      <c r="X357">
        <f>HYPERLINK("https://klasma.github.io/Logging_2283/tillsyn/A 1170-2026 tillsynsbegäran.docx", "A 1170-2026")</f>
        <v/>
      </c>
      <c r="Y357">
        <f>HYPERLINK("https://klasma.github.io/Logging_2283/tillsynsmail/A 1170-2026 tillsynsbegäran mail.docx", "A 1170-2026")</f>
        <v/>
      </c>
    </row>
    <row r="358" ht="15" customHeight="1">
      <c r="A358" t="inlineStr">
        <is>
          <t>A 21360-2021</t>
        </is>
      </c>
      <c r="B358" s="1" t="n">
        <v>44320</v>
      </c>
      <c r="C358" s="1" t="n">
        <v>46060</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54734-2024</t>
        </is>
      </c>
      <c r="B359" s="1" t="n">
        <v>45618.43879629629</v>
      </c>
      <c r="C359" s="1" t="n">
        <v>46060</v>
      </c>
      <c r="D359" t="inlineStr">
        <is>
          <t>VÄSTERNORRLANDS LÄN</t>
        </is>
      </c>
      <c r="E359" t="inlineStr">
        <is>
          <t>SOLLEFTEÅ</t>
        </is>
      </c>
      <c r="F359" t="inlineStr">
        <is>
          <t>SCA</t>
        </is>
      </c>
      <c r="G359" t="n">
        <v>3.2</v>
      </c>
      <c r="H359" t="n">
        <v>0</v>
      </c>
      <c r="I359" t="n">
        <v>0</v>
      </c>
      <c r="J359" t="n">
        <v>1</v>
      </c>
      <c r="K359" t="n">
        <v>0</v>
      </c>
      <c r="L359" t="n">
        <v>0</v>
      </c>
      <c r="M359" t="n">
        <v>0</v>
      </c>
      <c r="N359" t="n">
        <v>0</v>
      </c>
      <c r="O359" t="n">
        <v>1</v>
      </c>
      <c r="P359" t="n">
        <v>0</v>
      </c>
      <c r="Q359" t="n">
        <v>1</v>
      </c>
      <c r="R359" s="2" t="inlineStr">
        <is>
          <t>Ullticka</t>
        </is>
      </c>
      <c r="S359">
        <f>HYPERLINK("https://klasma.github.io/Logging_2283/artfynd/A 54734-2024 artfynd.xlsx", "A 54734-2024")</f>
        <v/>
      </c>
      <c r="T359">
        <f>HYPERLINK("https://klasma.github.io/Logging_2283/kartor/A 54734-2024 karta.png", "A 54734-2024")</f>
        <v/>
      </c>
      <c r="V359">
        <f>HYPERLINK("https://klasma.github.io/Logging_2283/klagomål/A 54734-2024 FSC-klagomål.docx", "A 54734-2024")</f>
        <v/>
      </c>
      <c r="W359">
        <f>HYPERLINK("https://klasma.github.io/Logging_2283/klagomålsmail/A 54734-2024 FSC-klagomål mail.docx", "A 54734-2024")</f>
        <v/>
      </c>
      <c r="X359">
        <f>HYPERLINK("https://klasma.github.io/Logging_2283/tillsyn/A 54734-2024 tillsynsbegäran.docx", "A 54734-2024")</f>
        <v/>
      </c>
      <c r="Y359">
        <f>HYPERLINK("https://klasma.github.io/Logging_2283/tillsynsmail/A 54734-2024 tillsynsbegäran mail.docx", "A 54734-2024")</f>
        <v/>
      </c>
    </row>
    <row r="360" ht="15" customHeight="1">
      <c r="A360" t="inlineStr">
        <is>
          <t>A 49189-2025</t>
        </is>
      </c>
      <c r="B360" s="1" t="n">
        <v>45938</v>
      </c>
      <c r="C360" s="1" t="n">
        <v>46060</v>
      </c>
      <c r="D360" t="inlineStr">
        <is>
          <t>VÄSTERNORRLANDS LÄN</t>
        </is>
      </c>
      <c r="E360" t="inlineStr">
        <is>
          <t>SOLLEFTEÅ</t>
        </is>
      </c>
      <c r="F360" t="inlineStr">
        <is>
          <t>SCA</t>
        </is>
      </c>
      <c r="G360" t="n">
        <v>7.5</v>
      </c>
      <c r="H360" t="n">
        <v>0</v>
      </c>
      <c r="I360" t="n">
        <v>0</v>
      </c>
      <c r="J360" t="n">
        <v>1</v>
      </c>
      <c r="K360" t="n">
        <v>0</v>
      </c>
      <c r="L360" t="n">
        <v>0</v>
      </c>
      <c r="M360" t="n">
        <v>0</v>
      </c>
      <c r="N360" t="n">
        <v>0</v>
      </c>
      <c r="O360" t="n">
        <v>1</v>
      </c>
      <c r="P360" t="n">
        <v>0</v>
      </c>
      <c r="Q360" t="n">
        <v>1</v>
      </c>
      <c r="R360" s="2" t="inlineStr">
        <is>
          <t>Rosenticka</t>
        </is>
      </c>
      <c r="S360">
        <f>HYPERLINK("https://klasma.github.io/Logging_2283/artfynd/A 49189-2025 artfynd.xlsx", "A 49189-2025")</f>
        <v/>
      </c>
      <c r="T360">
        <f>HYPERLINK("https://klasma.github.io/Logging_2283/kartor/A 49189-2025 karta.png", "A 49189-2025")</f>
        <v/>
      </c>
      <c r="U360">
        <f>HYPERLINK("https://klasma.github.io/Logging_2283/knärot/A 49189-2025 karta knärot.png", "A 49189-2025")</f>
        <v/>
      </c>
      <c r="V360">
        <f>HYPERLINK("https://klasma.github.io/Logging_2283/klagomål/A 49189-2025 FSC-klagomål.docx", "A 49189-2025")</f>
        <v/>
      </c>
      <c r="W360">
        <f>HYPERLINK("https://klasma.github.io/Logging_2283/klagomålsmail/A 49189-2025 FSC-klagomål mail.docx", "A 49189-2025")</f>
        <v/>
      </c>
      <c r="X360">
        <f>HYPERLINK("https://klasma.github.io/Logging_2283/tillsyn/A 49189-2025 tillsynsbegäran.docx", "A 49189-2025")</f>
        <v/>
      </c>
      <c r="Y360">
        <f>HYPERLINK("https://klasma.github.io/Logging_2283/tillsynsmail/A 49189-2025 tillsynsbegäran mail.docx", "A 49189-2025")</f>
        <v/>
      </c>
    </row>
    <row r="361" ht="15" customHeight="1">
      <c r="A361" t="inlineStr">
        <is>
          <t>A 17215-2025</t>
        </is>
      </c>
      <c r="B361" s="1" t="n">
        <v>45756.44856481482</v>
      </c>
      <c r="C361" s="1" t="n">
        <v>46060</v>
      </c>
      <c r="D361" t="inlineStr">
        <is>
          <t>VÄSTERNORRLANDS LÄN</t>
        </is>
      </c>
      <c r="E361" t="inlineStr">
        <is>
          <t>SOLLEFTEÅ</t>
        </is>
      </c>
      <c r="F361" t="inlineStr">
        <is>
          <t>SCA</t>
        </is>
      </c>
      <c r="G361" t="n">
        <v>5</v>
      </c>
      <c r="H361" t="n">
        <v>0</v>
      </c>
      <c r="I361" t="n">
        <v>0</v>
      </c>
      <c r="J361" t="n">
        <v>1</v>
      </c>
      <c r="K361" t="n">
        <v>0</v>
      </c>
      <c r="L361" t="n">
        <v>0</v>
      </c>
      <c r="M361" t="n">
        <v>0</v>
      </c>
      <c r="N361" t="n">
        <v>0</v>
      </c>
      <c r="O361" t="n">
        <v>1</v>
      </c>
      <c r="P361" t="n">
        <v>0</v>
      </c>
      <c r="Q361" t="n">
        <v>1</v>
      </c>
      <c r="R361" s="2" t="inlineStr">
        <is>
          <t>Vitgrynig nållav</t>
        </is>
      </c>
      <c r="S361">
        <f>HYPERLINK("https://klasma.github.io/Logging_2283/artfynd/A 17215-2025 artfynd.xlsx", "A 17215-2025")</f>
        <v/>
      </c>
      <c r="T361">
        <f>HYPERLINK("https://klasma.github.io/Logging_2283/kartor/A 17215-2025 karta.png", "A 17215-2025")</f>
        <v/>
      </c>
      <c r="V361">
        <f>HYPERLINK("https://klasma.github.io/Logging_2283/klagomål/A 17215-2025 FSC-klagomål.docx", "A 17215-2025")</f>
        <v/>
      </c>
      <c r="W361">
        <f>HYPERLINK("https://klasma.github.io/Logging_2283/klagomålsmail/A 17215-2025 FSC-klagomål mail.docx", "A 17215-2025")</f>
        <v/>
      </c>
      <c r="X361">
        <f>HYPERLINK("https://klasma.github.io/Logging_2283/tillsyn/A 17215-2025 tillsynsbegäran.docx", "A 17215-2025")</f>
        <v/>
      </c>
      <c r="Y361">
        <f>HYPERLINK("https://klasma.github.io/Logging_2283/tillsynsmail/A 17215-2025 tillsynsbegäran mail.docx", "A 17215-2025")</f>
        <v/>
      </c>
    </row>
    <row r="362" ht="15" customHeight="1">
      <c r="A362" t="inlineStr">
        <is>
          <t>A 49367-2024</t>
        </is>
      </c>
      <c r="B362" s="1" t="n">
        <v>45595.63591435185</v>
      </c>
      <c r="C362" s="1" t="n">
        <v>46060</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49367-2024 artfynd.xlsx", "A 49367-2024")</f>
        <v/>
      </c>
      <c r="T362">
        <f>HYPERLINK("https://klasma.github.io/Logging_2283/kartor/A 49367-2024 karta.png", "A 49367-2024")</f>
        <v/>
      </c>
      <c r="U362">
        <f>HYPERLINK("https://klasma.github.io/Logging_2283/knärot/A 49367-2024 karta knärot.png", "A 49367-2024")</f>
        <v/>
      </c>
      <c r="V362">
        <f>HYPERLINK("https://klasma.github.io/Logging_2283/klagomål/A 49367-2024 FSC-klagomål.docx", "A 49367-2024")</f>
        <v/>
      </c>
      <c r="W362">
        <f>HYPERLINK("https://klasma.github.io/Logging_2283/klagomålsmail/A 49367-2024 FSC-klagomål mail.docx", "A 49367-2024")</f>
        <v/>
      </c>
      <c r="X362">
        <f>HYPERLINK("https://klasma.github.io/Logging_2283/tillsyn/A 49367-2024 tillsynsbegäran.docx", "A 49367-2024")</f>
        <v/>
      </c>
      <c r="Y362">
        <f>HYPERLINK("https://klasma.github.io/Logging_2283/tillsynsmail/A 49367-2024 tillsynsbegäran mail.docx", "A 49367-2024")</f>
        <v/>
      </c>
    </row>
    <row r="363" ht="15" customHeight="1">
      <c r="A363" t="inlineStr">
        <is>
          <t>A 33504-2022</t>
        </is>
      </c>
      <c r="B363" s="1" t="n">
        <v>44788</v>
      </c>
      <c r="C363" s="1" t="n">
        <v>46060</v>
      </c>
      <c r="D363" t="inlineStr">
        <is>
          <t>VÄSTERNORRLANDS LÄN</t>
        </is>
      </c>
      <c r="E363" t="inlineStr">
        <is>
          <t>SOLLEFTEÅ</t>
        </is>
      </c>
      <c r="F363" t="inlineStr">
        <is>
          <t>SCA</t>
        </is>
      </c>
      <c r="G363" t="n">
        <v>5.2</v>
      </c>
      <c r="H363" t="n">
        <v>1</v>
      </c>
      <c r="I363" t="n">
        <v>0</v>
      </c>
      <c r="J363" t="n">
        <v>0</v>
      </c>
      <c r="K363" t="n">
        <v>1</v>
      </c>
      <c r="L363" t="n">
        <v>0</v>
      </c>
      <c r="M363" t="n">
        <v>0</v>
      </c>
      <c r="N363" t="n">
        <v>0</v>
      </c>
      <c r="O363" t="n">
        <v>1</v>
      </c>
      <c r="P363" t="n">
        <v>1</v>
      </c>
      <c r="Q363" t="n">
        <v>1</v>
      </c>
      <c r="R363" s="2" t="inlineStr">
        <is>
          <t>Knärot</t>
        </is>
      </c>
      <c r="S363">
        <f>HYPERLINK("https://klasma.github.io/Logging_2283/artfynd/A 33504-2022 artfynd.xlsx", "A 33504-2022")</f>
        <v/>
      </c>
      <c r="T363">
        <f>HYPERLINK("https://klasma.github.io/Logging_2283/kartor/A 33504-2022 karta.png", "A 33504-2022")</f>
        <v/>
      </c>
      <c r="U363">
        <f>HYPERLINK("https://klasma.github.io/Logging_2283/knärot/A 33504-2022 karta knärot.png", "A 33504-2022")</f>
        <v/>
      </c>
      <c r="V363">
        <f>HYPERLINK("https://klasma.github.io/Logging_2283/klagomål/A 33504-2022 FSC-klagomål.docx", "A 33504-2022")</f>
        <v/>
      </c>
      <c r="W363">
        <f>HYPERLINK("https://klasma.github.io/Logging_2283/klagomålsmail/A 33504-2022 FSC-klagomål mail.docx", "A 33504-2022")</f>
        <v/>
      </c>
      <c r="X363">
        <f>HYPERLINK("https://klasma.github.io/Logging_2283/tillsyn/A 33504-2022 tillsynsbegäran.docx", "A 33504-2022")</f>
        <v/>
      </c>
      <c r="Y363">
        <f>HYPERLINK("https://klasma.github.io/Logging_2283/tillsynsmail/A 33504-2022 tillsynsbegäran mail.docx", "A 33504-2022")</f>
        <v/>
      </c>
    </row>
    <row r="364" ht="15" customHeight="1">
      <c r="A364" t="inlineStr">
        <is>
          <t>A 1343-2025</t>
        </is>
      </c>
      <c r="B364" s="1" t="n">
        <v>45667.6043287037</v>
      </c>
      <c r="C364" s="1" t="n">
        <v>46060</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62256-2025</t>
        </is>
      </c>
      <c r="B365" s="1" t="n">
        <v>46006.61503472222</v>
      </c>
      <c r="C365" s="1" t="n">
        <v>46060</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5048-2026</t>
        </is>
      </c>
      <c r="B366" s="1" t="n">
        <v>46049.46950231482</v>
      </c>
      <c r="C366" s="1" t="n">
        <v>46060</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3804-2026</t>
        </is>
      </c>
      <c r="B367" s="1" t="n">
        <v>46043.58314814815</v>
      </c>
      <c r="C367" s="1" t="n">
        <v>46060</v>
      </c>
      <c r="D367" t="inlineStr">
        <is>
          <t>VÄSTERNORRLANDS LÄN</t>
        </is>
      </c>
      <c r="E367" t="inlineStr">
        <is>
          <t>SOLLEFTEÅ</t>
        </is>
      </c>
      <c r="F367" t="inlineStr">
        <is>
          <t>SCA</t>
        </is>
      </c>
      <c r="G367" t="n">
        <v>11.8</v>
      </c>
      <c r="H367" t="n">
        <v>0</v>
      </c>
      <c r="I367" t="n">
        <v>0</v>
      </c>
      <c r="J367" t="n">
        <v>1</v>
      </c>
      <c r="K367" t="n">
        <v>0</v>
      </c>
      <c r="L367" t="n">
        <v>0</v>
      </c>
      <c r="M367" t="n">
        <v>0</v>
      </c>
      <c r="N367" t="n">
        <v>0</v>
      </c>
      <c r="O367" t="n">
        <v>1</v>
      </c>
      <c r="P367" t="n">
        <v>0</v>
      </c>
      <c r="Q367" t="n">
        <v>1</v>
      </c>
      <c r="R367" s="2" t="inlineStr">
        <is>
          <t>Dofttaggsvamp</t>
        </is>
      </c>
      <c r="S367">
        <f>HYPERLINK("https://klasma.github.io/Logging_2283/artfynd/A 3804-2026 artfynd.xlsx", "A 3804-2026")</f>
        <v/>
      </c>
      <c r="T367">
        <f>HYPERLINK("https://klasma.github.io/Logging_2283/kartor/A 3804-2026 karta.png", "A 3804-2026")</f>
        <v/>
      </c>
      <c r="V367">
        <f>HYPERLINK("https://klasma.github.io/Logging_2283/klagomål/A 3804-2026 FSC-klagomål.docx", "A 3804-2026")</f>
        <v/>
      </c>
      <c r="W367">
        <f>HYPERLINK("https://klasma.github.io/Logging_2283/klagomålsmail/A 3804-2026 FSC-klagomål mail.docx", "A 3804-2026")</f>
        <v/>
      </c>
      <c r="X367">
        <f>HYPERLINK("https://klasma.github.io/Logging_2283/tillsyn/A 3804-2026 tillsynsbegäran.docx", "A 3804-2026")</f>
        <v/>
      </c>
      <c r="Y367">
        <f>HYPERLINK("https://klasma.github.io/Logging_2283/tillsynsmail/A 3804-2026 tillsynsbegäran mail.docx", "A 3804-2026")</f>
        <v/>
      </c>
    </row>
    <row r="368" ht="15" customHeight="1">
      <c r="A368" t="inlineStr">
        <is>
          <t>A 31920-2023</t>
        </is>
      </c>
      <c r="B368" s="1" t="n">
        <v>45118</v>
      </c>
      <c r="C368" s="1" t="n">
        <v>46060</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44632-2024</t>
        </is>
      </c>
      <c r="B369" s="1" t="n">
        <v>45574.51446759259</v>
      </c>
      <c r="C369" s="1" t="n">
        <v>46060</v>
      </c>
      <c r="D369" t="inlineStr">
        <is>
          <t>VÄSTERNORRLANDS LÄN</t>
        </is>
      </c>
      <c r="E369" t="inlineStr">
        <is>
          <t>SOLLEFTEÅ</t>
        </is>
      </c>
      <c r="F369" t="inlineStr">
        <is>
          <t>SCA</t>
        </is>
      </c>
      <c r="G369" t="n">
        <v>3.1</v>
      </c>
      <c r="H369" t="n">
        <v>0</v>
      </c>
      <c r="I369" t="n">
        <v>1</v>
      </c>
      <c r="J369" t="n">
        <v>0</v>
      </c>
      <c r="K369" t="n">
        <v>0</v>
      </c>
      <c r="L369" t="n">
        <v>0</v>
      </c>
      <c r="M369" t="n">
        <v>0</v>
      </c>
      <c r="N369" t="n">
        <v>0</v>
      </c>
      <c r="O369" t="n">
        <v>0</v>
      </c>
      <c r="P369" t="n">
        <v>0</v>
      </c>
      <c r="Q369" t="n">
        <v>1</v>
      </c>
      <c r="R369" s="2" t="inlineStr">
        <is>
          <t>Vedticka</t>
        </is>
      </c>
      <c r="S369">
        <f>HYPERLINK("https://klasma.github.io/Logging_2283/artfynd/A 44632-2024 artfynd.xlsx", "A 44632-2024")</f>
        <v/>
      </c>
      <c r="T369">
        <f>HYPERLINK("https://klasma.github.io/Logging_2283/kartor/A 44632-2024 karta.png", "A 44632-2024")</f>
        <v/>
      </c>
      <c r="V369">
        <f>HYPERLINK("https://klasma.github.io/Logging_2283/klagomål/A 44632-2024 FSC-klagomål.docx", "A 44632-2024")</f>
        <v/>
      </c>
      <c r="W369">
        <f>HYPERLINK("https://klasma.github.io/Logging_2283/klagomålsmail/A 44632-2024 FSC-klagomål mail.docx", "A 44632-2024")</f>
        <v/>
      </c>
      <c r="X369">
        <f>HYPERLINK("https://klasma.github.io/Logging_2283/tillsyn/A 44632-2024 tillsynsbegäran.docx", "A 44632-2024")</f>
        <v/>
      </c>
      <c r="Y369">
        <f>HYPERLINK("https://klasma.github.io/Logging_2283/tillsynsmail/A 44632-2024 tillsynsbegäran mail.docx", "A 44632-2024")</f>
        <v/>
      </c>
    </row>
    <row r="370" ht="15" customHeight="1">
      <c r="A370" t="inlineStr">
        <is>
          <t>A 54558-2022</t>
        </is>
      </c>
      <c r="B370" s="1" t="n">
        <v>44882</v>
      </c>
      <c r="C370" s="1" t="n">
        <v>46060</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46060</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46060</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46060</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39995-2024</t>
        </is>
      </c>
      <c r="B374" s="1" t="n">
        <v>45553.63572916666</v>
      </c>
      <c r="C374" s="1" t="n">
        <v>46060</v>
      </c>
      <c r="D374" t="inlineStr">
        <is>
          <t>VÄSTERNORRLANDS LÄN</t>
        </is>
      </c>
      <c r="E374" t="inlineStr">
        <is>
          <t>SOLLEFTEÅ</t>
        </is>
      </c>
      <c r="F374" t="inlineStr">
        <is>
          <t>SCA</t>
        </is>
      </c>
      <c r="G374" t="n">
        <v>3.5</v>
      </c>
      <c r="H374" t="n">
        <v>0</v>
      </c>
      <c r="I374" t="n">
        <v>0</v>
      </c>
      <c r="J374" t="n">
        <v>1</v>
      </c>
      <c r="K374" t="n">
        <v>0</v>
      </c>
      <c r="L374" t="n">
        <v>0</v>
      </c>
      <c r="M374" t="n">
        <v>0</v>
      </c>
      <c r="N374" t="n">
        <v>0</v>
      </c>
      <c r="O374" t="n">
        <v>1</v>
      </c>
      <c r="P374" t="n">
        <v>0</v>
      </c>
      <c r="Q374" t="n">
        <v>1</v>
      </c>
      <c r="R374" s="2" t="inlineStr">
        <is>
          <t>Garnlav</t>
        </is>
      </c>
      <c r="S374">
        <f>HYPERLINK("https://klasma.github.io/Logging_2283/artfynd/A 39995-2024 artfynd.xlsx", "A 39995-2024")</f>
        <v/>
      </c>
      <c r="T374">
        <f>HYPERLINK("https://klasma.github.io/Logging_2283/kartor/A 39995-2024 karta.png", "A 39995-2024")</f>
        <v/>
      </c>
      <c r="V374">
        <f>HYPERLINK("https://klasma.github.io/Logging_2283/klagomål/A 39995-2024 FSC-klagomål.docx", "A 39995-2024")</f>
        <v/>
      </c>
      <c r="W374">
        <f>HYPERLINK("https://klasma.github.io/Logging_2283/klagomålsmail/A 39995-2024 FSC-klagomål mail.docx", "A 39995-2024")</f>
        <v/>
      </c>
      <c r="X374">
        <f>HYPERLINK("https://klasma.github.io/Logging_2283/tillsyn/A 39995-2024 tillsynsbegäran.docx", "A 39995-2024")</f>
        <v/>
      </c>
      <c r="Y374">
        <f>HYPERLINK("https://klasma.github.io/Logging_2283/tillsynsmail/A 39995-2024 tillsynsbegäran mail.docx", "A 39995-2024")</f>
        <v/>
      </c>
    </row>
    <row r="375" ht="15" customHeight="1">
      <c r="A375" t="inlineStr">
        <is>
          <t>A 38363-2022</t>
        </is>
      </c>
      <c r="B375" s="1" t="n">
        <v>44812</v>
      </c>
      <c r="C375" s="1" t="n">
        <v>46060</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49366-2024</t>
        </is>
      </c>
      <c r="B376" s="1" t="n">
        <v>45595.63572916666</v>
      </c>
      <c r="C376" s="1" t="n">
        <v>46060</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49366-2024 artfynd.xlsx", "A 49366-2024")</f>
        <v/>
      </c>
      <c r="T376">
        <f>HYPERLINK("https://klasma.github.io/Logging_2283/kartor/A 49366-2024 karta.png", "A 49366-2024")</f>
        <v/>
      </c>
      <c r="U376">
        <f>HYPERLINK("https://klasma.github.io/Logging_2283/knärot/A 49366-2024 karta knärot.png", "A 49366-2024")</f>
        <v/>
      </c>
      <c r="V376">
        <f>HYPERLINK("https://klasma.github.io/Logging_2283/klagomål/A 49366-2024 FSC-klagomål.docx", "A 49366-2024")</f>
        <v/>
      </c>
      <c r="W376">
        <f>HYPERLINK("https://klasma.github.io/Logging_2283/klagomålsmail/A 49366-2024 FSC-klagomål mail.docx", "A 49366-2024")</f>
        <v/>
      </c>
      <c r="X376">
        <f>HYPERLINK("https://klasma.github.io/Logging_2283/tillsyn/A 49366-2024 tillsynsbegäran.docx", "A 49366-2024")</f>
        <v/>
      </c>
      <c r="Y376">
        <f>HYPERLINK("https://klasma.github.io/Logging_2283/tillsynsmail/A 49366-2024 tillsynsbegäran mail.docx", "A 49366-2024")</f>
        <v/>
      </c>
    </row>
    <row r="377" ht="15" customHeight="1">
      <c r="A377" t="inlineStr">
        <is>
          <t>A 5033-2024</t>
        </is>
      </c>
      <c r="B377" s="1" t="n">
        <v>45329</v>
      </c>
      <c r="C377" s="1" t="n">
        <v>46060</v>
      </c>
      <c r="D377" t="inlineStr">
        <is>
          <t>VÄSTERNORRLANDS LÄN</t>
        </is>
      </c>
      <c r="E377" t="inlineStr">
        <is>
          <t>SOLLEFTEÅ</t>
        </is>
      </c>
      <c r="F377" t="inlineStr">
        <is>
          <t>Övriga Aktiebolag</t>
        </is>
      </c>
      <c r="G377" t="n">
        <v>3.2</v>
      </c>
      <c r="H377" t="n">
        <v>0</v>
      </c>
      <c r="I377" t="n">
        <v>1</v>
      </c>
      <c r="J377" t="n">
        <v>0</v>
      </c>
      <c r="K377" t="n">
        <v>0</v>
      </c>
      <c r="L377" t="n">
        <v>0</v>
      </c>
      <c r="M377" t="n">
        <v>0</v>
      </c>
      <c r="N377" t="n">
        <v>0</v>
      </c>
      <c r="O377" t="n">
        <v>0</v>
      </c>
      <c r="P377" t="n">
        <v>0</v>
      </c>
      <c r="Q377" t="n">
        <v>1</v>
      </c>
      <c r="R377" s="2" t="inlineStr">
        <is>
          <t>Kransrams</t>
        </is>
      </c>
      <c r="S377">
        <f>HYPERLINK("https://klasma.github.io/Logging_2283/artfynd/A 5033-2024 artfynd.xlsx", "A 5033-2024")</f>
        <v/>
      </c>
      <c r="T377">
        <f>HYPERLINK("https://klasma.github.io/Logging_2283/kartor/A 5033-2024 karta.png", "A 5033-2024")</f>
        <v/>
      </c>
      <c r="V377">
        <f>HYPERLINK("https://klasma.github.io/Logging_2283/klagomål/A 5033-2024 FSC-klagomål.docx", "A 5033-2024")</f>
        <v/>
      </c>
      <c r="W377">
        <f>HYPERLINK("https://klasma.github.io/Logging_2283/klagomålsmail/A 5033-2024 FSC-klagomål mail.docx", "A 5033-2024")</f>
        <v/>
      </c>
      <c r="X377">
        <f>HYPERLINK("https://klasma.github.io/Logging_2283/tillsyn/A 5033-2024 tillsynsbegäran.docx", "A 5033-2024")</f>
        <v/>
      </c>
      <c r="Y377">
        <f>HYPERLINK("https://klasma.github.io/Logging_2283/tillsynsmail/A 5033-2024 tillsynsbegäran mail.docx", "A 5033-2024")</f>
        <v/>
      </c>
    </row>
    <row r="378" ht="15" customHeight="1">
      <c r="A378" t="inlineStr">
        <is>
          <t>A 5790-2025</t>
        </is>
      </c>
      <c r="B378" s="1" t="n">
        <v>45694.65657407408</v>
      </c>
      <c r="C378" s="1" t="n">
        <v>46060</v>
      </c>
      <c r="D378" t="inlineStr">
        <is>
          <t>VÄSTERNORRLANDS LÄN</t>
        </is>
      </c>
      <c r="E378" t="inlineStr">
        <is>
          <t>SOLLEFTEÅ</t>
        </is>
      </c>
      <c r="F378" t="inlineStr">
        <is>
          <t>SCA</t>
        </is>
      </c>
      <c r="G378" t="n">
        <v>32.7</v>
      </c>
      <c r="H378" t="n">
        <v>0</v>
      </c>
      <c r="I378" t="n">
        <v>0</v>
      </c>
      <c r="J378" t="n">
        <v>1</v>
      </c>
      <c r="K378" t="n">
        <v>0</v>
      </c>
      <c r="L378" t="n">
        <v>0</v>
      </c>
      <c r="M378" t="n">
        <v>0</v>
      </c>
      <c r="N378" t="n">
        <v>0</v>
      </c>
      <c r="O378" t="n">
        <v>1</v>
      </c>
      <c r="P378" t="n">
        <v>0</v>
      </c>
      <c r="Q378" t="n">
        <v>1</v>
      </c>
      <c r="R378" s="2" t="inlineStr">
        <is>
          <t>Lunglav</t>
        </is>
      </c>
      <c r="S378">
        <f>HYPERLINK("https://klasma.github.io/Logging_2283/artfynd/A 5790-2025 artfynd.xlsx", "A 5790-2025")</f>
        <v/>
      </c>
      <c r="T378">
        <f>HYPERLINK("https://klasma.github.io/Logging_2283/kartor/A 5790-2025 karta.png", "A 5790-2025")</f>
        <v/>
      </c>
      <c r="V378">
        <f>HYPERLINK("https://klasma.github.io/Logging_2283/klagomål/A 5790-2025 FSC-klagomål.docx", "A 5790-2025")</f>
        <v/>
      </c>
      <c r="W378">
        <f>HYPERLINK("https://klasma.github.io/Logging_2283/klagomålsmail/A 5790-2025 FSC-klagomål mail.docx", "A 5790-2025")</f>
        <v/>
      </c>
      <c r="X378">
        <f>HYPERLINK("https://klasma.github.io/Logging_2283/tillsyn/A 5790-2025 tillsynsbegäran.docx", "A 5790-2025")</f>
        <v/>
      </c>
      <c r="Y378">
        <f>HYPERLINK("https://klasma.github.io/Logging_2283/tillsynsmail/A 5790-2025 tillsynsbegäran mail.docx", "A 5790-2025")</f>
        <v/>
      </c>
    </row>
    <row r="379" ht="15" customHeight="1">
      <c r="A379" t="inlineStr">
        <is>
          <t>A 53059-2023</t>
        </is>
      </c>
      <c r="B379" s="1" t="n">
        <v>45226</v>
      </c>
      <c r="C379" s="1" t="n">
        <v>46060</v>
      </c>
      <c r="D379" t="inlineStr">
        <is>
          <t>VÄSTERNORRLANDS LÄN</t>
        </is>
      </c>
      <c r="E379" t="inlineStr">
        <is>
          <t>SOLLEFTEÅ</t>
        </is>
      </c>
      <c r="F379" t="inlineStr">
        <is>
          <t>SCA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HYPERLINK("https://klasma.github.io/Logging_2283/artfynd/A 53059-2023 artfynd.xlsx", "A 53059-2023")</f>
        <v/>
      </c>
      <c r="T379">
        <f>HYPERLINK("https://klasma.github.io/Logging_2283/kartor/A 53059-2023 karta.png", "A 53059-2023")</f>
        <v/>
      </c>
      <c r="U379">
        <f>HYPERLINK("https://klasma.github.io/Logging_2283/knärot/A 53059-2023 karta knärot.png", "A 53059-2023")</f>
        <v/>
      </c>
      <c r="V379">
        <f>HYPERLINK("https://klasma.github.io/Logging_2283/klagomål/A 53059-2023 FSC-klagomål.docx", "A 53059-2023")</f>
        <v/>
      </c>
      <c r="W379">
        <f>HYPERLINK("https://klasma.github.io/Logging_2283/klagomålsmail/A 53059-2023 FSC-klagomål mail.docx", "A 53059-2023")</f>
        <v/>
      </c>
      <c r="X379">
        <f>HYPERLINK("https://klasma.github.io/Logging_2283/tillsyn/A 53059-2023 tillsynsbegäran.docx", "A 53059-2023")</f>
        <v/>
      </c>
      <c r="Y379">
        <f>HYPERLINK("https://klasma.github.io/Logging_2283/tillsynsmail/A 53059-2023 tillsynsbegäran mail.docx", "A 53059-2023")</f>
        <v/>
      </c>
    </row>
    <row r="380" ht="15" customHeight="1">
      <c r="A380" t="inlineStr">
        <is>
          <t>A 16269-2022</t>
        </is>
      </c>
      <c r="B380" s="1" t="n">
        <v>44670</v>
      </c>
      <c r="C380" s="1" t="n">
        <v>46060</v>
      </c>
      <c r="D380" t="inlineStr">
        <is>
          <t>VÄSTERNORRLANDS LÄN</t>
        </is>
      </c>
      <c r="E380" t="inlineStr">
        <is>
          <t>SOLLEFTEÅ</t>
        </is>
      </c>
      <c r="F380" t="inlineStr">
        <is>
          <t>Holmen skog AB</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16269-2022 artfynd.xlsx", "A 16269-2022")</f>
        <v/>
      </c>
      <c r="T380">
        <f>HYPERLINK("https://klasma.github.io/Logging_2283/kartor/A 16269-2022 karta.png", "A 16269-2022")</f>
        <v/>
      </c>
      <c r="V380">
        <f>HYPERLINK("https://klasma.github.io/Logging_2283/klagomål/A 16269-2022 FSC-klagomål.docx", "A 16269-2022")</f>
        <v/>
      </c>
      <c r="W380">
        <f>HYPERLINK("https://klasma.github.io/Logging_2283/klagomålsmail/A 16269-2022 FSC-klagomål mail.docx", "A 16269-2022")</f>
        <v/>
      </c>
      <c r="X380">
        <f>HYPERLINK("https://klasma.github.io/Logging_2283/tillsyn/A 16269-2022 tillsynsbegäran.docx", "A 16269-2022")</f>
        <v/>
      </c>
      <c r="Y380">
        <f>HYPERLINK("https://klasma.github.io/Logging_2283/tillsynsmail/A 16269-2022 tillsynsbegäran mail.docx", "A 16269-2022")</f>
        <v/>
      </c>
      <c r="Z380">
        <f>HYPERLINK("https://klasma.github.io/Logging_2283/fåglar/A 16269-2022 prioriterade fågelarter.docx", "A 16269-2022")</f>
        <v/>
      </c>
    </row>
    <row r="381" ht="15" customHeight="1">
      <c r="A381" t="inlineStr">
        <is>
          <t>A 48948-2024</t>
        </is>
      </c>
      <c r="B381" s="1" t="n">
        <v>45594.42767361111</v>
      </c>
      <c r="C381" s="1" t="n">
        <v>46060</v>
      </c>
      <c r="D381" t="inlineStr">
        <is>
          <t>VÄSTERNORRLANDS LÄN</t>
        </is>
      </c>
      <c r="E381" t="inlineStr">
        <is>
          <t>SOLLEFTEÅ</t>
        </is>
      </c>
      <c r="F381" t="inlineStr">
        <is>
          <t>SCA</t>
        </is>
      </c>
      <c r="G381" t="n">
        <v>15</v>
      </c>
      <c r="H381" t="n">
        <v>1</v>
      </c>
      <c r="I381" t="n">
        <v>0</v>
      </c>
      <c r="J381" t="n">
        <v>0</v>
      </c>
      <c r="K381" t="n">
        <v>0</v>
      </c>
      <c r="L381" t="n">
        <v>0</v>
      </c>
      <c r="M381" t="n">
        <v>0</v>
      </c>
      <c r="N381" t="n">
        <v>0</v>
      </c>
      <c r="O381" t="n">
        <v>0</v>
      </c>
      <c r="P381" t="n">
        <v>0</v>
      </c>
      <c r="Q381" t="n">
        <v>1</v>
      </c>
      <c r="R381" s="2" t="inlineStr">
        <is>
          <t>Mattlummer</t>
        </is>
      </c>
      <c r="S381">
        <f>HYPERLINK("https://klasma.github.io/Logging_2283/artfynd/A 48948-2024 artfynd.xlsx", "A 48948-2024")</f>
        <v/>
      </c>
      <c r="T381">
        <f>HYPERLINK("https://klasma.github.io/Logging_2283/kartor/A 48948-2024 karta.png", "A 48948-2024")</f>
        <v/>
      </c>
      <c r="V381">
        <f>HYPERLINK("https://klasma.github.io/Logging_2283/klagomål/A 48948-2024 FSC-klagomål.docx", "A 48948-2024")</f>
        <v/>
      </c>
      <c r="W381">
        <f>HYPERLINK("https://klasma.github.io/Logging_2283/klagomålsmail/A 48948-2024 FSC-klagomål mail.docx", "A 48948-2024")</f>
        <v/>
      </c>
      <c r="X381">
        <f>HYPERLINK("https://klasma.github.io/Logging_2283/tillsyn/A 48948-2024 tillsynsbegäran.docx", "A 48948-2024")</f>
        <v/>
      </c>
      <c r="Y381">
        <f>HYPERLINK("https://klasma.github.io/Logging_2283/tillsynsmail/A 48948-2024 tillsynsbegäran mail.docx", "A 48948-2024")</f>
        <v/>
      </c>
    </row>
    <row r="382" ht="15" customHeight="1">
      <c r="A382" t="inlineStr">
        <is>
          <t>A 14805-2024</t>
        </is>
      </c>
      <c r="B382" s="1" t="n">
        <v>45397</v>
      </c>
      <c r="C382" s="1" t="n">
        <v>46060</v>
      </c>
      <c r="D382" t="inlineStr">
        <is>
          <t>VÄSTERNORRLANDS LÄN</t>
        </is>
      </c>
      <c r="E382" t="inlineStr">
        <is>
          <t>SOLLEFTEÅ</t>
        </is>
      </c>
      <c r="F382" t="inlineStr">
        <is>
          <t>SCA</t>
        </is>
      </c>
      <c r="G382" t="n">
        <v>3.5</v>
      </c>
      <c r="H382" t="n">
        <v>0</v>
      </c>
      <c r="I382" t="n">
        <v>0</v>
      </c>
      <c r="J382" t="n">
        <v>1</v>
      </c>
      <c r="K382" t="n">
        <v>0</v>
      </c>
      <c r="L382" t="n">
        <v>0</v>
      </c>
      <c r="M382" t="n">
        <v>0</v>
      </c>
      <c r="N382" t="n">
        <v>0</v>
      </c>
      <c r="O382" t="n">
        <v>1</v>
      </c>
      <c r="P382" t="n">
        <v>0</v>
      </c>
      <c r="Q382" t="n">
        <v>1</v>
      </c>
      <c r="R382" s="2" t="inlineStr">
        <is>
          <t>Dvärgbägarlav</t>
        </is>
      </c>
      <c r="S382">
        <f>HYPERLINK("https://klasma.github.io/Logging_2283/artfynd/A 14805-2024 artfynd.xlsx", "A 14805-2024")</f>
        <v/>
      </c>
      <c r="T382">
        <f>HYPERLINK("https://klasma.github.io/Logging_2283/kartor/A 14805-2024 karta.png", "A 14805-2024")</f>
        <v/>
      </c>
      <c r="V382">
        <f>HYPERLINK("https://klasma.github.io/Logging_2283/klagomål/A 14805-2024 FSC-klagomål.docx", "A 14805-2024")</f>
        <v/>
      </c>
      <c r="W382">
        <f>HYPERLINK("https://klasma.github.io/Logging_2283/klagomålsmail/A 14805-2024 FSC-klagomål mail.docx", "A 14805-2024")</f>
        <v/>
      </c>
      <c r="X382">
        <f>HYPERLINK("https://klasma.github.io/Logging_2283/tillsyn/A 14805-2024 tillsynsbegäran.docx", "A 14805-2024")</f>
        <v/>
      </c>
      <c r="Y382">
        <f>HYPERLINK("https://klasma.github.io/Logging_2283/tillsynsmail/A 14805-2024 tillsynsbegäran mail.docx", "A 14805-2024")</f>
        <v/>
      </c>
    </row>
    <row r="383" ht="15" customHeight="1">
      <c r="A383" t="inlineStr">
        <is>
          <t>A 18697-2025</t>
        </is>
      </c>
      <c r="B383" s="1" t="n">
        <v>45763.61592592593</v>
      </c>
      <c r="C383" s="1" t="n">
        <v>46060</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22345-2025</t>
        </is>
      </c>
      <c r="B384" s="1" t="n">
        <v>45786.44869212963</v>
      </c>
      <c r="C384" s="1" t="n">
        <v>46060</v>
      </c>
      <c r="D384" t="inlineStr">
        <is>
          <t>VÄSTERNORRLANDS LÄN</t>
        </is>
      </c>
      <c r="E384" t="inlineStr">
        <is>
          <t>SOLLEFTEÅ</t>
        </is>
      </c>
      <c r="F384" t="inlineStr">
        <is>
          <t>SCA</t>
        </is>
      </c>
      <c r="G384" t="n">
        <v>7.2</v>
      </c>
      <c r="H384" t="n">
        <v>0</v>
      </c>
      <c r="I384" t="n">
        <v>0</v>
      </c>
      <c r="J384" t="n">
        <v>1</v>
      </c>
      <c r="K384" t="n">
        <v>0</v>
      </c>
      <c r="L384" t="n">
        <v>0</v>
      </c>
      <c r="M384" t="n">
        <v>0</v>
      </c>
      <c r="N384" t="n">
        <v>0</v>
      </c>
      <c r="O384" t="n">
        <v>1</v>
      </c>
      <c r="P384" t="n">
        <v>0</v>
      </c>
      <c r="Q384" t="n">
        <v>1</v>
      </c>
      <c r="R384" s="2" t="inlineStr">
        <is>
          <t>Gammelgransskål</t>
        </is>
      </c>
      <c r="S384">
        <f>HYPERLINK("https://klasma.github.io/Logging_2283/artfynd/A 22345-2025 artfynd.xlsx", "A 22345-2025")</f>
        <v/>
      </c>
      <c r="T384">
        <f>HYPERLINK("https://klasma.github.io/Logging_2283/kartor/A 22345-2025 karta.png", "A 22345-2025")</f>
        <v/>
      </c>
      <c r="V384">
        <f>HYPERLINK("https://klasma.github.io/Logging_2283/klagomål/A 22345-2025 FSC-klagomål.docx", "A 22345-2025")</f>
        <v/>
      </c>
      <c r="W384">
        <f>HYPERLINK("https://klasma.github.io/Logging_2283/klagomålsmail/A 22345-2025 FSC-klagomål mail.docx", "A 22345-2025")</f>
        <v/>
      </c>
      <c r="X384">
        <f>HYPERLINK("https://klasma.github.io/Logging_2283/tillsyn/A 22345-2025 tillsynsbegäran.docx", "A 22345-2025")</f>
        <v/>
      </c>
      <c r="Y384">
        <f>HYPERLINK("https://klasma.github.io/Logging_2283/tillsynsmail/A 22345-2025 tillsynsbegäran mail.docx", "A 22345-2025")</f>
        <v/>
      </c>
    </row>
    <row r="385" ht="15" customHeight="1">
      <c r="A385" t="inlineStr">
        <is>
          <t>A 22768-2025</t>
        </is>
      </c>
      <c r="B385" s="1" t="n">
        <v>45789.63329861111</v>
      </c>
      <c r="C385" s="1" t="n">
        <v>46060</v>
      </c>
      <c r="D385" t="inlineStr">
        <is>
          <t>VÄSTERNORRLANDS LÄN</t>
        </is>
      </c>
      <c r="E385" t="inlineStr">
        <is>
          <t>SOLLEFTEÅ</t>
        </is>
      </c>
      <c r="G385" t="n">
        <v>1.9</v>
      </c>
      <c r="H385" t="n">
        <v>0</v>
      </c>
      <c r="I385" t="n">
        <v>0</v>
      </c>
      <c r="J385" t="n">
        <v>1</v>
      </c>
      <c r="K385" t="n">
        <v>0</v>
      </c>
      <c r="L385" t="n">
        <v>0</v>
      </c>
      <c r="M385" t="n">
        <v>0</v>
      </c>
      <c r="N385" t="n">
        <v>0</v>
      </c>
      <c r="O385" t="n">
        <v>1</v>
      </c>
      <c r="P385" t="n">
        <v>0</v>
      </c>
      <c r="Q385" t="n">
        <v>1</v>
      </c>
      <c r="R385" s="2" t="inlineStr">
        <is>
          <t>Granticka</t>
        </is>
      </c>
      <c r="S385">
        <f>HYPERLINK("https://klasma.github.io/Logging_2283/artfynd/A 22768-2025 artfynd.xlsx", "A 22768-2025")</f>
        <v/>
      </c>
      <c r="T385">
        <f>HYPERLINK("https://klasma.github.io/Logging_2283/kartor/A 22768-2025 karta.png", "A 22768-2025")</f>
        <v/>
      </c>
      <c r="V385">
        <f>HYPERLINK("https://klasma.github.io/Logging_2283/klagomål/A 22768-2025 FSC-klagomål.docx", "A 22768-2025")</f>
        <v/>
      </c>
      <c r="W385">
        <f>HYPERLINK("https://klasma.github.io/Logging_2283/klagomålsmail/A 22768-2025 FSC-klagomål mail.docx", "A 22768-2025")</f>
        <v/>
      </c>
      <c r="X385">
        <f>HYPERLINK("https://klasma.github.io/Logging_2283/tillsyn/A 22768-2025 tillsynsbegäran.docx", "A 22768-2025")</f>
        <v/>
      </c>
      <c r="Y385">
        <f>HYPERLINK("https://klasma.github.io/Logging_2283/tillsynsmail/A 22768-2025 tillsynsbegäran mail.docx", "A 22768-2025")</f>
        <v/>
      </c>
    </row>
    <row r="386" ht="15" customHeight="1">
      <c r="A386" t="inlineStr">
        <is>
          <t>A 27901-2024</t>
        </is>
      </c>
      <c r="B386" s="1" t="n">
        <v>45475.92859953704</v>
      </c>
      <c r="C386" s="1" t="n">
        <v>46060</v>
      </c>
      <c r="D386" t="inlineStr">
        <is>
          <t>VÄSTERNORRLANDS LÄN</t>
        </is>
      </c>
      <c r="E386" t="inlineStr">
        <is>
          <t>SOLLEFTEÅ</t>
        </is>
      </c>
      <c r="G386" t="n">
        <v>12.7</v>
      </c>
      <c r="H386" t="n">
        <v>0</v>
      </c>
      <c r="I386" t="n">
        <v>0</v>
      </c>
      <c r="J386" t="n">
        <v>1</v>
      </c>
      <c r="K386" t="n">
        <v>0</v>
      </c>
      <c r="L386" t="n">
        <v>0</v>
      </c>
      <c r="M386" t="n">
        <v>0</v>
      </c>
      <c r="N386" t="n">
        <v>0</v>
      </c>
      <c r="O386" t="n">
        <v>1</v>
      </c>
      <c r="P386" t="n">
        <v>0</v>
      </c>
      <c r="Q386" t="n">
        <v>1</v>
      </c>
      <c r="R386" s="2" t="inlineStr">
        <is>
          <t>Garnlav</t>
        </is>
      </c>
      <c r="S386">
        <f>HYPERLINK("https://klasma.github.io/Logging_2283/artfynd/A 27901-2024 artfynd.xlsx", "A 27901-2024")</f>
        <v/>
      </c>
      <c r="T386">
        <f>HYPERLINK("https://klasma.github.io/Logging_2283/kartor/A 27901-2024 karta.png", "A 27901-2024")</f>
        <v/>
      </c>
      <c r="V386">
        <f>HYPERLINK("https://klasma.github.io/Logging_2283/klagomål/A 27901-2024 FSC-klagomål.docx", "A 27901-2024")</f>
        <v/>
      </c>
      <c r="W386">
        <f>HYPERLINK("https://klasma.github.io/Logging_2283/klagomålsmail/A 27901-2024 FSC-klagomål mail.docx", "A 27901-2024")</f>
        <v/>
      </c>
      <c r="X386">
        <f>HYPERLINK("https://klasma.github.io/Logging_2283/tillsyn/A 27901-2024 tillsynsbegäran.docx", "A 27901-2024")</f>
        <v/>
      </c>
      <c r="Y386">
        <f>HYPERLINK("https://klasma.github.io/Logging_2283/tillsynsmail/A 27901-2024 tillsynsbegäran mail.docx", "A 27901-2024")</f>
        <v/>
      </c>
    </row>
    <row r="387" ht="15" customHeight="1">
      <c r="A387" t="inlineStr">
        <is>
          <t>A 7658-2021</t>
        </is>
      </c>
      <c r="B387" s="1" t="n">
        <v>44242.42165509259</v>
      </c>
      <c r="C387" s="1" t="n">
        <v>46060</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46060</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46060</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46060</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46060</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46060</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46060</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46060</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46060</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46060</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46060</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46060</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46060</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46060</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46060</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46060</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46060</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46060</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46060</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46060</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46060</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46060</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46060</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46060</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46060</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46060</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19516-2021</t>
        </is>
      </c>
      <c r="B413" s="1" t="n">
        <v>44309</v>
      </c>
      <c r="C413" s="1" t="n">
        <v>46060</v>
      </c>
      <c r="D413" t="inlineStr">
        <is>
          <t>VÄSTERNORRLANDS LÄN</t>
        </is>
      </c>
      <c r="E413" t="inlineStr">
        <is>
          <t>SOLLEFTEÅ</t>
        </is>
      </c>
      <c r="G413" t="n">
        <v>15.6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46060</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46060</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24322-2022</t>
        </is>
      </c>
      <c r="B416" s="1" t="n">
        <v>44725.94471064815</v>
      </c>
      <c r="C416" s="1" t="n">
        <v>46060</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46060</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29842-2022</t>
        </is>
      </c>
      <c r="B418" s="1" t="n">
        <v>44756.32835648148</v>
      </c>
      <c r="C418" s="1" t="n">
        <v>46060</v>
      </c>
      <c r="D418" t="inlineStr">
        <is>
          <t>VÄSTERNORRLANDS LÄN</t>
        </is>
      </c>
      <c r="E418" t="inlineStr">
        <is>
          <t>SOLLEFTEÅ</t>
        </is>
      </c>
      <c r="F418" t="inlineStr">
        <is>
          <t>Holmen skog AB</t>
        </is>
      </c>
      <c r="G418" t="n">
        <v>0.3</v>
      </c>
      <c r="H418" t="n">
        <v>0</v>
      </c>
      <c r="I418" t="n">
        <v>0</v>
      </c>
      <c r="J418" t="n">
        <v>0</v>
      </c>
      <c r="K418" t="n">
        <v>0</v>
      </c>
      <c r="L418" t="n">
        <v>0</v>
      </c>
      <c r="M418" t="n">
        <v>0</v>
      </c>
      <c r="N418" t="n">
        <v>0</v>
      </c>
      <c r="O418" t="n">
        <v>0</v>
      </c>
      <c r="P418" t="n">
        <v>0</v>
      </c>
      <c r="Q418" t="n">
        <v>0</v>
      </c>
      <c r="R418" s="2" t="inlineStr"/>
    </row>
    <row r="419" ht="15" customHeight="1">
      <c r="A419" t="inlineStr">
        <is>
          <t>A 19830-2021</t>
        </is>
      </c>
      <c r="B419" s="1" t="n">
        <v>44312</v>
      </c>
      <c r="C419" s="1" t="n">
        <v>46060</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46060</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46060</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46060</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46060</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46060</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46060</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46060</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46060</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46060</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42219-2021</t>
        </is>
      </c>
      <c r="B429" s="1" t="n">
        <v>44426.87444444445</v>
      </c>
      <c r="C429" s="1" t="n">
        <v>46060</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46060</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46060</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46060</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46060</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46060</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46060</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46060</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46060</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46060</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46060</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46060</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46060</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46060</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46060</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46060</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46060</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46060</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46060</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46060</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46060</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46060</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46060</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46060</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46060</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46060</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46060</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46060</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46060</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30032-2022</t>
        </is>
      </c>
      <c r="B458" s="1" t="n">
        <v>44756</v>
      </c>
      <c r="C458" s="1" t="n">
        <v>46060</v>
      </c>
      <c r="D458" t="inlineStr">
        <is>
          <t>VÄSTERNORRLANDS LÄN</t>
        </is>
      </c>
      <c r="E458" t="inlineStr">
        <is>
          <t>SOLLEFTEÅ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46060</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46060</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46060</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46060</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46060</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46060</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46060</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46060</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46060</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46060</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46060</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46060</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46060</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46060</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46060</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46060</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46060</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46060</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46060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46060</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46060</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46060</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46060</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46060</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46060</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46060</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46060</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46060</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46060</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46060</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46060</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46060</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46060</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46060</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46060</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46060</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23034-2021</t>
        </is>
      </c>
      <c r="B495" s="1" t="n">
        <v>44328.94113425926</v>
      </c>
      <c r="C495" s="1" t="n">
        <v>46060</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22101-2022</t>
        </is>
      </c>
      <c r="B496" s="1" t="n">
        <v>44711.94153935185</v>
      </c>
      <c r="C496" s="1" t="n">
        <v>46060</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46060</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46060</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46060</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61424-2021</t>
        </is>
      </c>
      <c r="B500" s="1" t="n">
        <v>44500.93637731481</v>
      </c>
      <c r="C500" s="1" t="n">
        <v>46060</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58755-2021</t>
        </is>
      </c>
      <c r="B501" s="1" t="n">
        <v>44489</v>
      </c>
      <c r="C501" s="1" t="n">
        <v>46060</v>
      </c>
      <c r="D501" t="inlineStr">
        <is>
          <t>VÄSTERNORRLANDS LÄN</t>
        </is>
      </c>
      <c r="E501" t="inlineStr">
        <is>
          <t>SOLLEFTEÅ</t>
        </is>
      </c>
      <c r="G501" t="n">
        <v>12.2</v>
      </c>
      <c r="H501" t="n">
        <v>0</v>
      </c>
      <c r="I501" t="n">
        <v>0</v>
      </c>
      <c r="J501" t="n">
        <v>0</v>
      </c>
      <c r="K501" t="n">
        <v>0</v>
      </c>
      <c r="L501" t="n">
        <v>0</v>
      </c>
      <c r="M501" t="n">
        <v>0</v>
      </c>
      <c r="N501" t="n">
        <v>0</v>
      </c>
      <c r="O501" t="n">
        <v>0</v>
      </c>
      <c r="P501" t="n">
        <v>0</v>
      </c>
      <c r="Q501" t="n">
        <v>0</v>
      </c>
      <c r="R501" s="2" t="inlineStr"/>
    </row>
    <row r="502" ht="15" customHeight="1">
      <c r="A502" t="inlineStr">
        <is>
          <t>A 32091-2021</t>
        </is>
      </c>
      <c r="B502" s="1" t="n">
        <v>44370</v>
      </c>
      <c r="C502" s="1" t="n">
        <v>46060</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46060</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46060</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11133-2022</t>
        </is>
      </c>
      <c r="B505" s="1" t="n">
        <v>44628</v>
      </c>
      <c r="C505" s="1" t="n">
        <v>46060</v>
      </c>
      <c r="D505" t="inlineStr">
        <is>
          <t>VÄSTERNORRLANDS LÄN</t>
        </is>
      </c>
      <c r="E505" t="inlineStr">
        <is>
          <t>SOLLEFTEÅ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18570-2022</t>
        </is>
      </c>
      <c r="B506" s="1" t="n">
        <v>44686.94278935185</v>
      </c>
      <c r="C506" s="1" t="n">
        <v>46060</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46060</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46060</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46060</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46060</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46060</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46060</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46060</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46060</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46060</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46060</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46060</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46060</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46060</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46060</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46060</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46060</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46060</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46060</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46060</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46060</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46060</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46060</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3551-2022</t>
        </is>
      </c>
      <c r="B529" s="1" t="n">
        <v>44585.93800925926</v>
      </c>
      <c r="C529" s="1" t="n">
        <v>46060</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46060</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46060</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46060</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44622.44116898148</v>
      </c>
      <c r="C533" s="1" t="n">
        <v>46060</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46060</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46060</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46060</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46060</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46060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24735-2022</t>
        </is>
      </c>
      <c r="B539" s="1" t="n">
        <v>44727.94346064814</v>
      </c>
      <c r="C539" s="1" t="n">
        <v>46060</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46060</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46060</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46060</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46060</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44706.92628472222</v>
      </c>
      <c r="C544" s="1" t="n">
        <v>46060</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46060</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18097-2021</t>
        </is>
      </c>
      <c r="B546" s="1" t="n">
        <v>44302.48136574074</v>
      </c>
      <c r="C546" s="1" t="n">
        <v>46060</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18662-2021</t>
        </is>
      </c>
      <c r="B547" s="1" t="n">
        <v>44306</v>
      </c>
      <c r="C547" s="1" t="n">
        <v>46060</v>
      </c>
      <c r="D547" t="inlineStr">
        <is>
          <t>VÄSTERNORRLANDS LÄN</t>
        </is>
      </c>
      <c r="E547" t="inlineStr">
        <is>
          <t>SOLLEFTEÅ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46060</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46060</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46060</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6170-2022</t>
        </is>
      </c>
      <c r="B551" s="1" t="n">
        <v>44599</v>
      </c>
      <c r="C551" s="1" t="n">
        <v>46060</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46060</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14065-2022</t>
        </is>
      </c>
      <c r="B553" s="1" t="n">
        <v>44650</v>
      </c>
      <c r="C553" s="1" t="n">
        <v>46060</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46060</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47268-2022</t>
        </is>
      </c>
      <c r="B555" s="1" t="n">
        <v>44852.94989583334</v>
      </c>
      <c r="C555" s="1" t="n">
        <v>46060</v>
      </c>
      <c r="D555" t="inlineStr">
        <is>
          <t>VÄSTERNORRLANDS LÄN</t>
        </is>
      </c>
      <c r="E555" t="inlineStr">
        <is>
          <t>SOLLEFTEÅ</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46060</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46060</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58573-2021</t>
        </is>
      </c>
      <c r="B558" s="1" t="n">
        <v>44488</v>
      </c>
      <c r="C558" s="1" t="n">
        <v>46060</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46060</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44707.94020833333</v>
      </c>
      <c r="C560" s="1" t="n">
        <v>46060</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46060</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46060</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48240-2022</t>
        </is>
      </c>
      <c r="B563" s="1" t="n">
        <v>44858</v>
      </c>
      <c r="C563" s="1" t="n">
        <v>46060</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27082-2022</t>
        </is>
      </c>
      <c r="B564" s="1" t="n">
        <v>44741</v>
      </c>
      <c r="C564" s="1" t="n">
        <v>46060</v>
      </c>
      <c r="D564" t="inlineStr">
        <is>
          <t>VÄSTERNORRLANDS LÄN</t>
        </is>
      </c>
      <c r="E564" t="inlineStr">
        <is>
          <t>SOLLEFTEÅ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46060</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46060</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46060</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46060</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46060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46060</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46060</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46060</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46060</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46060</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46060</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46060</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46060</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46060</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46060</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46060</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46060</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46060</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46060</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46060</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46060</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46060</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46060</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44042-2022</t>
        </is>
      </c>
      <c r="B588" s="1" t="n">
        <v>44838.94877314815</v>
      </c>
      <c r="C588" s="1" t="n">
        <v>46060</v>
      </c>
      <c r="D588" t="inlineStr">
        <is>
          <t>VÄSTERNORRLANDS LÄN</t>
        </is>
      </c>
      <c r="E588" t="inlineStr">
        <is>
          <t>SOLLEFTEÅ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46060</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46060</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46060</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46060</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24720-2021</t>
        </is>
      </c>
      <c r="B593" s="1" t="n">
        <v>44340</v>
      </c>
      <c r="C593" s="1" t="n">
        <v>46060</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46060</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46060</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60324-2021</t>
        </is>
      </c>
      <c r="B596" s="1" t="n">
        <v>44495.94048611111</v>
      </c>
      <c r="C596" s="1" t="n">
        <v>46060</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46060</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46060</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46060</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46060</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16093-2022</t>
        </is>
      </c>
      <c r="B601" s="1" t="n">
        <v>44665</v>
      </c>
      <c r="C601" s="1" t="n">
        <v>46060</v>
      </c>
      <c r="D601" t="inlineStr">
        <is>
          <t>VÄSTERNORRLANDS LÄN</t>
        </is>
      </c>
      <c r="E601" t="inlineStr">
        <is>
          <t>SOLLEFTEÅ</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46060</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46060</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46060</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46060</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46060</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46060</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28893-2022</t>
        </is>
      </c>
      <c r="B608" s="1" t="n">
        <v>44749.53978009259</v>
      </c>
      <c r="C608" s="1" t="n">
        <v>46060</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46060</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46060</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46060</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12191-2022</t>
        </is>
      </c>
      <c r="B612" s="1" t="n">
        <v>44636.9250925926</v>
      </c>
      <c r="C612" s="1" t="n">
        <v>46060</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10139-2022</t>
        </is>
      </c>
      <c r="B613" s="1" t="n">
        <v>44621</v>
      </c>
      <c r="C613" s="1" t="n">
        <v>46060</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15241-2022</t>
        </is>
      </c>
      <c r="B614" s="1" t="n">
        <v>44658.9375</v>
      </c>
      <c r="C614" s="1" t="n">
        <v>46060</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43220-2021</t>
        </is>
      </c>
      <c r="B615" s="1" t="n">
        <v>44431.9378125</v>
      </c>
      <c r="C615" s="1" t="n">
        <v>46060</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20702-2022</t>
        </is>
      </c>
      <c r="B616" s="1" t="n">
        <v>44700.92697916667</v>
      </c>
      <c r="C616" s="1" t="n">
        <v>46060</v>
      </c>
      <c r="D616" t="inlineStr">
        <is>
          <t>VÄSTERNORRLANDS LÄN</t>
        </is>
      </c>
      <c r="E616" t="inlineStr">
        <is>
          <t>SOLLEFTEÅ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46060</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31444-2022</t>
        </is>
      </c>
      <c r="B618" s="1" t="n">
        <v>44774</v>
      </c>
      <c r="C618" s="1" t="n">
        <v>46060</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19510-2021</t>
        </is>
      </c>
      <c r="B619" s="1" t="n">
        <v>44308</v>
      </c>
      <c r="C619" s="1" t="n">
        <v>46060</v>
      </c>
      <c r="D619" t="inlineStr">
        <is>
          <t>VÄSTERNORRLANDS LÄN</t>
        </is>
      </c>
      <c r="E619" t="inlineStr">
        <is>
          <t>SOLLEFTEÅ</t>
        </is>
      </c>
      <c r="F619" t="inlineStr">
        <is>
          <t>Kyrkan</t>
        </is>
      </c>
      <c r="G619" t="n">
        <v>19.6</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46060</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33077-2022</t>
        </is>
      </c>
      <c r="B621" s="1" t="n">
        <v>44785</v>
      </c>
      <c r="C621" s="1" t="n">
        <v>46060</v>
      </c>
      <c r="D621" t="inlineStr">
        <is>
          <t>VÄSTERNORRLANDS LÄN</t>
        </is>
      </c>
      <c r="E621" t="inlineStr">
        <is>
          <t>SOLLEFTEÅ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22342-2022</t>
        </is>
      </c>
      <c r="B622" s="1" t="n">
        <v>44712.94203703704</v>
      </c>
      <c r="C622" s="1" t="n">
        <v>46060</v>
      </c>
      <c r="D622" t="inlineStr">
        <is>
          <t>VÄSTERNORRLANDS LÄN</t>
        </is>
      </c>
      <c r="E622" t="inlineStr">
        <is>
          <t>SOLLEFTEÅ</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46060</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46060</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46060</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11241-2022</t>
        </is>
      </c>
      <c r="B626" s="1" t="n">
        <v>44629</v>
      </c>
      <c r="C626" s="1" t="n">
        <v>46060</v>
      </c>
      <c r="D626" t="inlineStr">
        <is>
          <t>VÄSTERNORRLANDS LÄN</t>
        </is>
      </c>
      <c r="E626" t="inlineStr">
        <is>
          <t>SOLLEFTEÅ</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46060</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46060</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41813-2022</t>
        </is>
      </c>
      <c r="B629" s="1" t="n">
        <v>44827.94520833333</v>
      </c>
      <c r="C629" s="1" t="n">
        <v>46060</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2431-2025</t>
        </is>
      </c>
      <c r="B630" s="1" t="n">
        <v>45674.40692129629</v>
      </c>
      <c r="C630" s="1" t="n">
        <v>46060</v>
      </c>
      <c r="D630" t="inlineStr">
        <is>
          <t>VÄSTERNORRLANDS LÄN</t>
        </is>
      </c>
      <c r="E630" t="inlineStr">
        <is>
          <t>SOLLEFTEÅ</t>
        </is>
      </c>
      <c r="F630" t="inlineStr">
        <is>
          <t>SCA</t>
        </is>
      </c>
      <c r="G630" t="n">
        <v>19.2</v>
      </c>
      <c r="H630" t="n">
        <v>0</v>
      </c>
      <c r="I630" t="n">
        <v>0</v>
      </c>
      <c r="J630" t="n">
        <v>0</v>
      </c>
      <c r="K630" t="n">
        <v>0</v>
      </c>
      <c r="L630" t="n">
        <v>0</v>
      </c>
      <c r="M630" t="n">
        <v>0</v>
      </c>
      <c r="N630" t="n">
        <v>0</v>
      </c>
      <c r="O630" t="n">
        <v>0</v>
      </c>
      <c r="P630" t="n">
        <v>0</v>
      </c>
      <c r="Q630" t="n">
        <v>0</v>
      </c>
      <c r="R630" s="2" t="inlineStr"/>
    </row>
    <row r="631" ht="15" customHeight="1">
      <c r="A631" t="inlineStr">
        <is>
          <t>A 61345-2022</t>
        </is>
      </c>
      <c r="B631" s="1" t="n">
        <v>44915</v>
      </c>
      <c r="C631" s="1" t="n">
        <v>46060</v>
      </c>
      <c r="D631" t="inlineStr">
        <is>
          <t>VÄSTERNORRLANDS LÄN</t>
        </is>
      </c>
      <c r="E631" t="inlineStr">
        <is>
          <t>SOLLEFTEÅ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61383-2022</t>
        </is>
      </c>
      <c r="B632" s="1" t="n">
        <v>44915</v>
      </c>
      <c r="C632" s="1" t="n">
        <v>46060</v>
      </c>
      <c r="D632" t="inlineStr">
        <is>
          <t>VÄSTERNORRLANDS LÄN</t>
        </is>
      </c>
      <c r="E632" t="inlineStr">
        <is>
          <t>SOLLEFTEÅ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46060</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58357-2024</t>
        </is>
      </c>
      <c r="B634" s="1" t="n">
        <v>45632</v>
      </c>
      <c r="C634" s="1" t="n">
        <v>46060</v>
      </c>
      <c r="D634" t="inlineStr">
        <is>
          <t>VÄSTERNORRLANDS LÄN</t>
        </is>
      </c>
      <c r="E634" t="inlineStr">
        <is>
          <t>SOLLEFTEÅ</t>
        </is>
      </c>
      <c r="G634" t="n">
        <v>3.3</v>
      </c>
      <c r="H634" t="n">
        <v>0</v>
      </c>
      <c r="I634" t="n">
        <v>0</v>
      </c>
      <c r="J634" t="n">
        <v>0</v>
      </c>
      <c r="K634" t="n">
        <v>0</v>
      </c>
      <c r="L634" t="n">
        <v>0</v>
      </c>
      <c r="M634" t="n">
        <v>0</v>
      </c>
      <c r="N634" t="n">
        <v>0</v>
      </c>
      <c r="O634" t="n">
        <v>0</v>
      </c>
      <c r="P634" t="n">
        <v>0</v>
      </c>
      <c r="Q634" t="n">
        <v>0</v>
      </c>
      <c r="R634" s="2" t="inlineStr"/>
    </row>
    <row r="635" ht="15" customHeight="1">
      <c r="A635" t="inlineStr">
        <is>
          <t>A 58360-2024</t>
        </is>
      </c>
      <c r="B635" s="1" t="n">
        <v>45632</v>
      </c>
      <c r="C635" s="1" t="n">
        <v>46060</v>
      </c>
      <c r="D635" t="inlineStr">
        <is>
          <t>VÄSTERNORRLANDS LÄN</t>
        </is>
      </c>
      <c r="E635" t="inlineStr">
        <is>
          <t>SOLLEFTEÅ</t>
        </is>
      </c>
      <c r="G635" t="n">
        <v>3.7</v>
      </c>
      <c r="H635" t="n">
        <v>0</v>
      </c>
      <c r="I635" t="n">
        <v>0</v>
      </c>
      <c r="J635" t="n">
        <v>0</v>
      </c>
      <c r="K635" t="n">
        <v>0</v>
      </c>
      <c r="L635" t="n">
        <v>0</v>
      </c>
      <c r="M635" t="n">
        <v>0</v>
      </c>
      <c r="N635" t="n">
        <v>0</v>
      </c>
      <c r="O635" t="n">
        <v>0</v>
      </c>
      <c r="P635" t="n">
        <v>0</v>
      </c>
      <c r="Q635" t="n">
        <v>0</v>
      </c>
      <c r="R635" s="2" t="inlineStr"/>
    </row>
    <row r="636" ht="15" customHeight="1">
      <c r="A636" t="inlineStr">
        <is>
          <t>A 46130-2022</t>
        </is>
      </c>
      <c r="B636" s="1" t="n">
        <v>44844</v>
      </c>
      <c r="C636" s="1" t="n">
        <v>46060</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46060</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20550-2025</t>
        </is>
      </c>
      <c r="B638" s="1" t="n">
        <v>45775.6360300926</v>
      </c>
      <c r="C638" s="1" t="n">
        <v>46060</v>
      </c>
      <c r="D638" t="inlineStr">
        <is>
          <t>VÄSTERNORRLANDS LÄN</t>
        </is>
      </c>
      <c r="E638" t="inlineStr">
        <is>
          <t>SOLLEFTEÅ</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33241-2024</t>
        </is>
      </c>
      <c r="B639" s="1" t="n">
        <v>45518.60484953703</v>
      </c>
      <c r="C639" s="1" t="n">
        <v>46060</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29914-2024</t>
        </is>
      </c>
      <c r="B640" s="1" t="n">
        <v>45487.92814814814</v>
      </c>
      <c r="C640" s="1" t="n">
        <v>46060</v>
      </c>
      <c r="D640" t="inlineStr">
        <is>
          <t>VÄSTERNORRLANDS LÄN</t>
        </is>
      </c>
      <c r="E640" t="inlineStr">
        <is>
          <t>SOLLEFTEÅ</t>
        </is>
      </c>
      <c r="G640" t="n">
        <v>6.3</v>
      </c>
      <c r="H640" t="n">
        <v>0</v>
      </c>
      <c r="I640" t="n">
        <v>0</v>
      </c>
      <c r="J640" t="n">
        <v>0</v>
      </c>
      <c r="K640" t="n">
        <v>0</v>
      </c>
      <c r="L640" t="n">
        <v>0</v>
      </c>
      <c r="M640" t="n">
        <v>0</v>
      </c>
      <c r="N640" t="n">
        <v>0</v>
      </c>
      <c r="O640" t="n">
        <v>0</v>
      </c>
      <c r="P640" t="n">
        <v>0</v>
      </c>
      <c r="Q640" t="n">
        <v>0</v>
      </c>
      <c r="R640" s="2" t="inlineStr"/>
    </row>
    <row r="641" ht="15" customHeight="1">
      <c r="A641" t="inlineStr">
        <is>
          <t>A 19633-2025</t>
        </is>
      </c>
      <c r="B641" s="1" t="n">
        <v>45770.64655092593</v>
      </c>
      <c r="C641" s="1" t="n">
        <v>46060</v>
      </c>
      <c r="D641" t="inlineStr">
        <is>
          <t>VÄSTERNORRLANDS LÄN</t>
        </is>
      </c>
      <c r="E641" t="inlineStr">
        <is>
          <t>SOLLEFTEÅ</t>
        </is>
      </c>
      <c r="G641" t="n">
        <v>9.9</v>
      </c>
      <c r="H641" t="n">
        <v>0</v>
      </c>
      <c r="I641" t="n">
        <v>0</v>
      </c>
      <c r="J641" t="n">
        <v>0</v>
      </c>
      <c r="K641" t="n">
        <v>0</v>
      </c>
      <c r="L641" t="n">
        <v>0</v>
      </c>
      <c r="M641" t="n">
        <v>0</v>
      </c>
      <c r="N641" t="n">
        <v>0</v>
      </c>
      <c r="O641" t="n">
        <v>0</v>
      </c>
      <c r="P641" t="n">
        <v>0</v>
      </c>
      <c r="Q641" t="n">
        <v>0</v>
      </c>
      <c r="R641" s="2" t="inlineStr"/>
    </row>
    <row r="642" ht="15" customHeight="1">
      <c r="A642" t="inlineStr">
        <is>
          <t>A 33709-2023</t>
        </is>
      </c>
      <c r="B642" s="1" t="n">
        <v>45132.92300925926</v>
      </c>
      <c r="C642" s="1" t="n">
        <v>46060</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8670-2023</t>
        </is>
      </c>
      <c r="B643" s="1" t="n">
        <v>44977</v>
      </c>
      <c r="C643" s="1" t="n">
        <v>46060</v>
      </c>
      <c r="D643" t="inlineStr">
        <is>
          <t>VÄSTERNORRLANDS LÄN</t>
        </is>
      </c>
      <c r="E643" t="inlineStr">
        <is>
          <t>SOLLEFTEÅ</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46060</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46060</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46060</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17422-2025</t>
        </is>
      </c>
      <c r="B647" s="1" t="n">
        <v>45757.38570601852</v>
      </c>
      <c r="C647" s="1" t="n">
        <v>46060</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18149-2023</t>
        </is>
      </c>
      <c r="B648" s="1" t="n">
        <v>45040</v>
      </c>
      <c r="C648" s="1" t="n">
        <v>46060</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3555-2022</t>
        </is>
      </c>
      <c r="B649" s="1" t="n">
        <v>44585.93820601852</v>
      </c>
      <c r="C649" s="1" t="n">
        <v>46060</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46060</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46060</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46060</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34737-2023</t>
        </is>
      </c>
      <c r="B653" s="1" t="n">
        <v>45139</v>
      </c>
      <c r="C653" s="1" t="n">
        <v>46060</v>
      </c>
      <c r="D653" t="inlineStr">
        <is>
          <t>VÄSTERNORRLANDS LÄN</t>
        </is>
      </c>
      <c r="E653" t="inlineStr">
        <is>
          <t>SOLLEFTEÅ</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62099-2023</t>
        </is>
      </c>
      <c r="B654" s="1" t="n">
        <v>45266</v>
      </c>
      <c r="C654" s="1" t="n">
        <v>46060</v>
      </c>
      <c r="D654" t="inlineStr">
        <is>
          <t>VÄSTERNORRLANDS LÄN</t>
        </is>
      </c>
      <c r="E654" t="inlineStr">
        <is>
          <t>SOLLEFTEÅ</t>
        </is>
      </c>
      <c r="G654" t="n">
        <v>2.6</v>
      </c>
      <c r="H654" t="n">
        <v>0</v>
      </c>
      <c r="I654" t="n">
        <v>0</v>
      </c>
      <c r="J654" t="n">
        <v>0</v>
      </c>
      <c r="K654" t="n">
        <v>0</v>
      </c>
      <c r="L654" t="n">
        <v>0</v>
      </c>
      <c r="M654" t="n">
        <v>0</v>
      </c>
      <c r="N654" t="n">
        <v>0</v>
      </c>
      <c r="O654" t="n">
        <v>0</v>
      </c>
      <c r="P654" t="n">
        <v>0</v>
      </c>
      <c r="Q654" t="n">
        <v>0</v>
      </c>
      <c r="R654" s="2" t="inlineStr"/>
    </row>
    <row r="655" ht="15" customHeight="1">
      <c r="A655" t="inlineStr">
        <is>
          <t>A 51249-2022</t>
        </is>
      </c>
      <c r="B655" s="1" t="n">
        <v>44866</v>
      </c>
      <c r="C655" s="1" t="n">
        <v>46060</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31672-2022</t>
        </is>
      </c>
      <c r="B656" s="1" t="n">
        <v>44776.36137731482</v>
      </c>
      <c r="C656" s="1" t="n">
        <v>46060</v>
      </c>
      <c r="D656" t="inlineStr">
        <is>
          <t>VÄSTERNORRLANDS LÄN</t>
        </is>
      </c>
      <c r="E656" t="inlineStr">
        <is>
          <t>SOLLEFTEÅ</t>
        </is>
      </c>
      <c r="G656" t="n">
        <v>16.3</v>
      </c>
      <c r="H656" t="n">
        <v>0</v>
      </c>
      <c r="I656" t="n">
        <v>0</v>
      </c>
      <c r="J656" t="n">
        <v>0</v>
      </c>
      <c r="K656" t="n">
        <v>0</v>
      </c>
      <c r="L656" t="n">
        <v>0</v>
      </c>
      <c r="M656" t="n">
        <v>0</v>
      </c>
      <c r="N656" t="n">
        <v>0</v>
      </c>
      <c r="O656" t="n">
        <v>0</v>
      </c>
      <c r="P656" t="n">
        <v>0</v>
      </c>
      <c r="Q656" t="n">
        <v>0</v>
      </c>
      <c r="R656" s="2" t="inlineStr"/>
    </row>
    <row r="657" ht="15" customHeight="1">
      <c r="A657" t="inlineStr">
        <is>
          <t>A 35502-2024</t>
        </is>
      </c>
      <c r="B657" s="1" t="n">
        <v>45531</v>
      </c>
      <c r="C657" s="1" t="n">
        <v>46060</v>
      </c>
      <c r="D657" t="inlineStr">
        <is>
          <t>VÄSTERNORRLANDS LÄN</t>
        </is>
      </c>
      <c r="E657" t="inlineStr">
        <is>
          <t>SOLLEFTEÅ</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35509-2024</t>
        </is>
      </c>
      <c r="B658" s="1" t="n">
        <v>45531</v>
      </c>
      <c r="C658" s="1" t="n">
        <v>46060</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31477-2024</t>
        </is>
      </c>
      <c r="B659" s="1" t="n">
        <v>45505</v>
      </c>
      <c r="C659" s="1" t="n">
        <v>46060</v>
      </c>
      <c r="D659" t="inlineStr">
        <is>
          <t>VÄSTERNORRLANDS LÄN</t>
        </is>
      </c>
      <c r="E659" t="inlineStr">
        <is>
          <t>SOLLEFTEÅ</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31537-2024</t>
        </is>
      </c>
      <c r="B660" s="1" t="n">
        <v>45505.96146990741</v>
      </c>
      <c r="C660" s="1" t="n">
        <v>46060</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62357-2023</t>
        </is>
      </c>
      <c r="B661" s="1" t="n">
        <v>45267.95109953704</v>
      </c>
      <c r="C661" s="1" t="n">
        <v>46060</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46060</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8893-2025</t>
        </is>
      </c>
      <c r="B663" s="1" t="n">
        <v>45713.4065162037</v>
      </c>
      <c r="C663" s="1" t="n">
        <v>46060</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8894-2025</t>
        </is>
      </c>
      <c r="B664" s="1" t="n">
        <v>45713.40665509259</v>
      </c>
      <c r="C664" s="1" t="n">
        <v>46060</v>
      </c>
      <c r="D664" t="inlineStr">
        <is>
          <t>VÄSTERNORRLANDS LÄN</t>
        </is>
      </c>
      <c r="E664" t="inlineStr">
        <is>
          <t>SOLLEFTEÅ</t>
        </is>
      </c>
      <c r="G664" t="n">
        <v>8.4</v>
      </c>
      <c r="H664" t="n">
        <v>0</v>
      </c>
      <c r="I664" t="n">
        <v>0</v>
      </c>
      <c r="J664" t="n">
        <v>0</v>
      </c>
      <c r="K664" t="n">
        <v>0</v>
      </c>
      <c r="L664" t="n">
        <v>0</v>
      </c>
      <c r="M664" t="n">
        <v>0</v>
      </c>
      <c r="N664" t="n">
        <v>0</v>
      </c>
      <c r="O664" t="n">
        <v>0</v>
      </c>
      <c r="P664" t="n">
        <v>0</v>
      </c>
      <c r="Q664" t="n">
        <v>0</v>
      </c>
      <c r="R664" s="2" t="inlineStr"/>
    </row>
    <row r="665" ht="15" customHeight="1">
      <c r="A665" t="inlineStr">
        <is>
          <t>A 31914-2023</t>
        </is>
      </c>
      <c r="B665" s="1" t="n">
        <v>45118</v>
      </c>
      <c r="C665" s="1" t="n">
        <v>46060</v>
      </c>
      <c r="D665" t="inlineStr">
        <is>
          <t>VÄSTERNORRLANDS LÄN</t>
        </is>
      </c>
      <c r="E665" t="inlineStr">
        <is>
          <t>SOLLEFTEÅ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3276-2025</t>
        </is>
      </c>
      <c r="B666" s="1" t="n">
        <v>45679.59986111111</v>
      </c>
      <c r="C666" s="1" t="n">
        <v>46060</v>
      </c>
      <c r="D666" t="inlineStr">
        <is>
          <t>VÄSTERNORRLANDS LÄN</t>
        </is>
      </c>
      <c r="E666" t="inlineStr">
        <is>
          <t>SOLLEFTEÅ</t>
        </is>
      </c>
      <c r="G666" t="n">
        <v>4.2</v>
      </c>
      <c r="H666" t="n">
        <v>0</v>
      </c>
      <c r="I666" t="n">
        <v>0</v>
      </c>
      <c r="J666" t="n">
        <v>0</v>
      </c>
      <c r="K666" t="n">
        <v>0</v>
      </c>
      <c r="L666" t="n">
        <v>0</v>
      </c>
      <c r="M666" t="n">
        <v>0</v>
      </c>
      <c r="N666" t="n">
        <v>0</v>
      </c>
      <c r="O666" t="n">
        <v>0</v>
      </c>
      <c r="P666" t="n">
        <v>0</v>
      </c>
      <c r="Q666" t="n">
        <v>0</v>
      </c>
      <c r="R666" s="2" t="inlineStr"/>
    </row>
    <row r="667" ht="15" customHeight="1">
      <c r="A667" t="inlineStr">
        <is>
          <t>A 47175-2024</t>
        </is>
      </c>
      <c r="B667" s="1" t="n">
        <v>45586</v>
      </c>
      <c r="C667" s="1" t="n">
        <v>46060</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154-2025</t>
        </is>
      </c>
      <c r="B668" s="1" t="n">
        <v>45659</v>
      </c>
      <c r="C668" s="1" t="n">
        <v>46060</v>
      </c>
      <c r="D668" t="inlineStr">
        <is>
          <t>VÄSTERNORRLANDS LÄN</t>
        </is>
      </c>
      <c r="E668" t="inlineStr">
        <is>
          <t>SOLLEFTEÅ</t>
        </is>
      </c>
      <c r="F668" t="inlineStr">
        <is>
          <t>Holmen skog AB</t>
        </is>
      </c>
      <c r="G668" t="n">
        <v>4.5</v>
      </c>
      <c r="H668" t="n">
        <v>0</v>
      </c>
      <c r="I668" t="n">
        <v>0</v>
      </c>
      <c r="J668" t="n">
        <v>0</v>
      </c>
      <c r="K668" t="n">
        <v>0</v>
      </c>
      <c r="L668" t="n">
        <v>0</v>
      </c>
      <c r="M668" t="n">
        <v>0</v>
      </c>
      <c r="N668" t="n">
        <v>0</v>
      </c>
      <c r="O668" t="n">
        <v>0</v>
      </c>
      <c r="P668" t="n">
        <v>0</v>
      </c>
      <c r="Q668" t="n">
        <v>0</v>
      </c>
      <c r="R668" s="2" t="inlineStr"/>
    </row>
    <row r="669" ht="15" customHeight="1">
      <c r="A669" t="inlineStr">
        <is>
          <t>A 5862-2025</t>
        </is>
      </c>
      <c r="B669" s="1" t="n">
        <v>45695.35061342592</v>
      </c>
      <c r="C669" s="1" t="n">
        <v>46060</v>
      </c>
      <c r="D669" t="inlineStr">
        <is>
          <t>VÄSTERNORRLANDS LÄN</t>
        </is>
      </c>
      <c r="E669" t="inlineStr">
        <is>
          <t>SOLLEFTEÅ</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45118-2022</t>
        </is>
      </c>
      <c r="B670" s="1" t="n">
        <v>44843</v>
      </c>
      <c r="C670" s="1" t="n">
        <v>46060</v>
      </c>
      <c r="D670" t="inlineStr">
        <is>
          <t>VÄSTERNORRLANDS LÄN</t>
        </is>
      </c>
      <c r="E670" t="inlineStr">
        <is>
          <t>SOLLEFTEÅ</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5038-2024</t>
        </is>
      </c>
      <c r="B671" s="1" t="n">
        <v>45329.88456018519</v>
      </c>
      <c r="C671" s="1" t="n">
        <v>46060</v>
      </c>
      <c r="D671" t="inlineStr">
        <is>
          <t>VÄSTERNORRLANDS LÄN</t>
        </is>
      </c>
      <c r="E671" t="inlineStr">
        <is>
          <t>SOLLEFTEÅ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19949-2025</t>
        </is>
      </c>
      <c r="B672" s="1" t="n">
        <v>45771.65688657408</v>
      </c>
      <c r="C672" s="1" t="n">
        <v>46060</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2114-2023</t>
        </is>
      </c>
      <c r="B673" s="1" t="n">
        <v>44939.93809027778</v>
      </c>
      <c r="C673" s="1" t="n">
        <v>46060</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12135-2023</t>
        </is>
      </c>
      <c r="B674" s="1" t="n">
        <v>44995</v>
      </c>
      <c r="C674" s="1" t="n">
        <v>46060</v>
      </c>
      <c r="D674" t="inlineStr">
        <is>
          <t>VÄSTERNORRLANDS LÄN</t>
        </is>
      </c>
      <c r="E674" t="inlineStr">
        <is>
          <t>SOLLEFTEÅ</t>
        </is>
      </c>
      <c r="G674" t="n">
        <v>5.7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46060</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60495-2024</t>
        </is>
      </c>
      <c r="B676" s="1" t="n">
        <v>45643.65700231482</v>
      </c>
      <c r="C676" s="1" t="n">
        <v>46060</v>
      </c>
      <c r="D676" t="inlineStr">
        <is>
          <t>VÄSTERNORRLANDS LÄN</t>
        </is>
      </c>
      <c r="E676" t="inlineStr">
        <is>
          <t>SOLLEFTEÅ</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46060</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10437-2025</t>
        </is>
      </c>
      <c r="B678" s="1" t="n">
        <v>45720.67740740741</v>
      </c>
      <c r="C678" s="1" t="n">
        <v>46060</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46060</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4897-2025</t>
        </is>
      </c>
      <c r="B680" s="1" t="n">
        <v>45688.67913194445</v>
      </c>
      <c r="C680" s="1" t="n">
        <v>46060</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46060</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46060</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46060</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46060</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10077-2023</t>
        </is>
      </c>
      <c r="B685" s="1" t="n">
        <v>44985.94408564815</v>
      </c>
      <c r="C685" s="1" t="n">
        <v>46060</v>
      </c>
      <c r="D685" t="inlineStr">
        <is>
          <t>VÄSTERNORRLANDS LÄN</t>
        </is>
      </c>
      <c r="E685" t="inlineStr">
        <is>
          <t>SOLLEFTEÅ</t>
        </is>
      </c>
      <c r="F685" t="inlineStr">
        <is>
          <t>SCA</t>
        </is>
      </c>
      <c r="G685" t="n">
        <v>10.8</v>
      </c>
      <c r="H685" t="n">
        <v>0</v>
      </c>
      <c r="I685" t="n">
        <v>0</v>
      </c>
      <c r="J685" t="n">
        <v>0</v>
      </c>
      <c r="K685" t="n">
        <v>0</v>
      </c>
      <c r="L685" t="n">
        <v>0</v>
      </c>
      <c r="M685" t="n">
        <v>0</v>
      </c>
      <c r="N685" t="n">
        <v>0</v>
      </c>
      <c r="O685" t="n">
        <v>0</v>
      </c>
      <c r="P685" t="n">
        <v>0</v>
      </c>
      <c r="Q685" t="n">
        <v>0</v>
      </c>
      <c r="R685" s="2" t="inlineStr"/>
    </row>
    <row r="686" ht="15" customHeight="1">
      <c r="A686" t="inlineStr">
        <is>
          <t>A 47741-2023</t>
        </is>
      </c>
      <c r="B686" s="1" t="n">
        <v>45198</v>
      </c>
      <c r="C686" s="1" t="n">
        <v>46060</v>
      </c>
      <c r="D686" t="inlineStr">
        <is>
          <t>VÄSTERNORRLANDS LÄN</t>
        </is>
      </c>
      <c r="E686" t="inlineStr">
        <is>
          <t>SOLLEFTEÅ</t>
        </is>
      </c>
      <c r="G686" t="n">
        <v>5</v>
      </c>
      <c r="H686" t="n">
        <v>0</v>
      </c>
      <c r="I686" t="n">
        <v>0</v>
      </c>
      <c r="J686" t="n">
        <v>0</v>
      </c>
      <c r="K686" t="n">
        <v>0</v>
      </c>
      <c r="L686" t="n">
        <v>0</v>
      </c>
      <c r="M686" t="n">
        <v>0</v>
      </c>
      <c r="N686" t="n">
        <v>0</v>
      </c>
      <c r="O686" t="n">
        <v>0</v>
      </c>
      <c r="P686" t="n">
        <v>0</v>
      </c>
      <c r="Q686" t="n">
        <v>0</v>
      </c>
      <c r="R686" s="2" t="inlineStr"/>
    </row>
    <row r="687" ht="15" customHeight="1">
      <c r="A687" t="inlineStr">
        <is>
          <t>A 282-2023</t>
        </is>
      </c>
      <c r="B687" s="1" t="n">
        <v>44928</v>
      </c>
      <c r="C687" s="1" t="n">
        <v>46060</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46060</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10438-2025</t>
        </is>
      </c>
      <c r="B689" s="1" t="n">
        <v>45720.67761574074</v>
      </c>
      <c r="C689" s="1" t="n">
        <v>46060</v>
      </c>
      <c r="D689" t="inlineStr">
        <is>
          <t>VÄSTERNORRLANDS LÄN</t>
        </is>
      </c>
      <c r="E689" t="inlineStr">
        <is>
          <t>SOLLEFTEÅ</t>
        </is>
      </c>
      <c r="F689" t="inlineStr">
        <is>
          <t>SCA</t>
        </is>
      </c>
      <c r="G689" t="n">
        <v>14.6</v>
      </c>
      <c r="H689" t="n">
        <v>0</v>
      </c>
      <c r="I689" t="n">
        <v>0</v>
      </c>
      <c r="J689" t="n">
        <v>0</v>
      </c>
      <c r="K689" t="n">
        <v>0</v>
      </c>
      <c r="L689" t="n">
        <v>0</v>
      </c>
      <c r="M689" t="n">
        <v>0</v>
      </c>
      <c r="N689" t="n">
        <v>0</v>
      </c>
      <c r="O689" t="n">
        <v>0</v>
      </c>
      <c r="P689" t="n">
        <v>0</v>
      </c>
      <c r="Q689" t="n">
        <v>0</v>
      </c>
      <c r="R689" s="2" t="inlineStr"/>
    </row>
    <row r="690" ht="15" customHeight="1">
      <c r="A690" t="inlineStr">
        <is>
          <t>A 8244-2024</t>
        </is>
      </c>
      <c r="B690" s="1" t="n">
        <v>45351</v>
      </c>
      <c r="C690" s="1" t="n">
        <v>46060</v>
      </c>
      <c r="D690" t="inlineStr">
        <is>
          <t>VÄSTERNORRLANDS LÄN</t>
        </is>
      </c>
      <c r="E690" t="inlineStr">
        <is>
          <t>SOLLEFTEÅ</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15978-2023</t>
        </is>
      </c>
      <c r="B691" s="1" t="n">
        <v>45022.94188657407</v>
      </c>
      <c r="C691" s="1" t="n">
        <v>46060</v>
      </c>
      <c r="D691" t="inlineStr">
        <is>
          <t>VÄSTERNORRLANDS LÄN</t>
        </is>
      </c>
      <c r="E691" t="inlineStr">
        <is>
          <t>SOLLEFTEÅ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29956-2023</t>
        </is>
      </c>
      <c r="B692" s="1" t="n">
        <v>45107</v>
      </c>
      <c r="C692" s="1" t="n">
        <v>46060</v>
      </c>
      <c r="D692" t="inlineStr">
        <is>
          <t>VÄSTERNORRLANDS LÄN</t>
        </is>
      </c>
      <c r="E692" t="inlineStr">
        <is>
          <t>SOLLEFTEÅ</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46060</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18185-2025</t>
        </is>
      </c>
      <c r="B694" s="1" t="n">
        <v>45761.66724537037</v>
      </c>
      <c r="C694" s="1" t="n">
        <v>46060</v>
      </c>
      <c r="D694" t="inlineStr">
        <is>
          <t>VÄSTERNORRLANDS LÄN</t>
        </is>
      </c>
      <c r="E694" t="inlineStr">
        <is>
          <t>SOLLEFTEÅ</t>
        </is>
      </c>
      <c r="G694" t="n">
        <v>2.5</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46060</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18263-2025</t>
        </is>
      </c>
      <c r="B696" s="1" t="n">
        <v>45762.36509259259</v>
      </c>
      <c r="C696" s="1" t="n">
        <v>46060</v>
      </c>
      <c r="D696" t="inlineStr">
        <is>
          <t>VÄSTERNORRLANDS LÄN</t>
        </is>
      </c>
      <c r="E696" t="inlineStr">
        <is>
          <t>SOLLEFTEÅ</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54538-2022</t>
        </is>
      </c>
      <c r="B697" s="1" t="n">
        <v>44882.77261574074</v>
      </c>
      <c r="C697" s="1" t="n">
        <v>46060</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59501-2023</t>
        </is>
      </c>
      <c r="B698" s="1" t="n">
        <v>45254</v>
      </c>
      <c r="C698" s="1" t="n">
        <v>46060</v>
      </c>
      <c r="D698" t="inlineStr">
        <is>
          <t>VÄSTERNORRLANDS LÄN</t>
        </is>
      </c>
      <c r="E698" t="inlineStr">
        <is>
          <t>SOLLEFTEÅ</t>
        </is>
      </c>
      <c r="F698" t="inlineStr">
        <is>
          <t>Holmen skog AB</t>
        </is>
      </c>
      <c r="G698" t="n">
        <v>7.1</v>
      </c>
      <c r="H698" t="n">
        <v>0</v>
      </c>
      <c r="I698" t="n">
        <v>0</v>
      </c>
      <c r="J698" t="n">
        <v>0</v>
      </c>
      <c r="K698" t="n">
        <v>0</v>
      </c>
      <c r="L698" t="n">
        <v>0</v>
      </c>
      <c r="M698" t="n">
        <v>0</v>
      </c>
      <c r="N698" t="n">
        <v>0</v>
      </c>
      <c r="O698" t="n">
        <v>0</v>
      </c>
      <c r="P698" t="n">
        <v>0</v>
      </c>
      <c r="Q698" t="n">
        <v>0</v>
      </c>
      <c r="R698" s="2" t="inlineStr"/>
    </row>
    <row r="699" ht="15" customHeight="1">
      <c r="A699" t="inlineStr">
        <is>
          <t>A 58994-2024</t>
        </is>
      </c>
      <c r="B699" s="1" t="n">
        <v>45636.63717592593</v>
      </c>
      <c r="C699" s="1" t="n">
        <v>46060</v>
      </c>
      <c r="D699" t="inlineStr">
        <is>
          <t>VÄSTERNORRLANDS LÄN</t>
        </is>
      </c>
      <c r="E699" t="inlineStr">
        <is>
          <t>SOLLEFTEÅ</t>
        </is>
      </c>
      <c r="G699" t="n">
        <v>2.6</v>
      </c>
      <c r="H699" t="n">
        <v>0</v>
      </c>
      <c r="I699" t="n">
        <v>0</v>
      </c>
      <c r="J699" t="n">
        <v>0</v>
      </c>
      <c r="K699" t="n">
        <v>0</v>
      </c>
      <c r="L699" t="n">
        <v>0</v>
      </c>
      <c r="M699" t="n">
        <v>0</v>
      </c>
      <c r="N699" t="n">
        <v>0</v>
      </c>
      <c r="O699" t="n">
        <v>0</v>
      </c>
      <c r="P699" t="n">
        <v>0</v>
      </c>
      <c r="Q699" t="n">
        <v>0</v>
      </c>
      <c r="R699" s="2" t="inlineStr"/>
    </row>
    <row r="700" ht="15" customHeight="1">
      <c r="A700" t="inlineStr">
        <is>
          <t>A 16086-2024</t>
        </is>
      </c>
      <c r="B700" s="1" t="n">
        <v>45406</v>
      </c>
      <c r="C700" s="1" t="n">
        <v>46060</v>
      </c>
      <c r="D700" t="inlineStr">
        <is>
          <t>VÄSTERNORRLANDS LÄN</t>
        </is>
      </c>
      <c r="E700" t="inlineStr">
        <is>
          <t>SOLLEFTEÅ</t>
        </is>
      </c>
      <c r="G700" t="n">
        <v>15.9</v>
      </c>
      <c r="H700" t="n">
        <v>0</v>
      </c>
      <c r="I700" t="n">
        <v>0</v>
      </c>
      <c r="J700" t="n">
        <v>0</v>
      </c>
      <c r="K700" t="n">
        <v>0</v>
      </c>
      <c r="L700" t="n">
        <v>0</v>
      </c>
      <c r="M700" t="n">
        <v>0</v>
      </c>
      <c r="N700" t="n">
        <v>0</v>
      </c>
      <c r="O700" t="n">
        <v>0</v>
      </c>
      <c r="P700" t="n">
        <v>0</v>
      </c>
      <c r="Q700" t="n">
        <v>0</v>
      </c>
      <c r="R700" s="2" t="inlineStr"/>
    </row>
    <row r="701" ht="15" customHeight="1">
      <c r="A701" t="inlineStr">
        <is>
          <t>A 16468-2024</t>
        </is>
      </c>
      <c r="B701" s="1" t="n">
        <v>45408.0508449074</v>
      </c>
      <c r="C701" s="1" t="n">
        <v>46060</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61784-2023</t>
        </is>
      </c>
      <c r="B702" s="1" t="n">
        <v>45265</v>
      </c>
      <c r="C702" s="1" t="n">
        <v>46060</v>
      </c>
      <c r="D702" t="inlineStr">
        <is>
          <t>VÄSTERNORRLANDS LÄN</t>
        </is>
      </c>
      <c r="E702" t="inlineStr">
        <is>
          <t>SOLLEFTEÅ</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17999-2022</t>
        </is>
      </c>
      <c r="B703" s="1" t="n">
        <v>44683</v>
      </c>
      <c r="C703" s="1" t="n">
        <v>46060</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46060</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46060</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16726-2024</t>
        </is>
      </c>
      <c r="B706" s="1" t="n">
        <v>45409.98535879629</v>
      </c>
      <c r="C706" s="1" t="n">
        <v>46060</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2045-2025</t>
        </is>
      </c>
      <c r="B707" s="1" t="n">
        <v>45672.51086805556</v>
      </c>
      <c r="C707" s="1" t="n">
        <v>46060</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34281-2022</t>
        </is>
      </c>
      <c r="B708" s="1" t="n">
        <v>44791</v>
      </c>
      <c r="C708" s="1" t="n">
        <v>46060</v>
      </c>
      <c r="D708" t="inlineStr">
        <is>
          <t>VÄSTERNORRLANDS LÄN</t>
        </is>
      </c>
      <c r="E708" t="inlineStr">
        <is>
          <t>SOLLEFTEÅ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10554-2022</t>
        </is>
      </c>
      <c r="B709" s="1" t="n">
        <v>44623.93775462963</v>
      </c>
      <c r="C709" s="1" t="n">
        <v>46060</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46060</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43843-2024</t>
        </is>
      </c>
      <c r="B711" s="1" t="n">
        <v>45572</v>
      </c>
      <c r="C711" s="1" t="n">
        <v>46060</v>
      </c>
      <c r="D711" t="inlineStr">
        <is>
          <t>VÄSTERNORRLANDS LÄN</t>
        </is>
      </c>
      <c r="E711" t="inlineStr">
        <is>
          <t>SOLLEFTEÅ</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50720-2024</t>
        </is>
      </c>
      <c r="B712" s="1" t="n">
        <v>45602.38631944444</v>
      </c>
      <c r="C712" s="1" t="n">
        <v>46060</v>
      </c>
      <c r="D712" t="inlineStr">
        <is>
          <t>VÄSTERNORRLANDS LÄN</t>
        </is>
      </c>
      <c r="E712" t="inlineStr">
        <is>
          <t>SOLLEFTEÅ</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19892-2025</t>
        </is>
      </c>
      <c r="B713" s="1" t="n">
        <v>45771.57461805556</v>
      </c>
      <c r="C713" s="1" t="n">
        <v>46060</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62171-2024</t>
        </is>
      </c>
      <c r="B714" s="1" t="n">
        <v>45657.65657407408</v>
      </c>
      <c r="C714" s="1" t="n">
        <v>46060</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54618-2023</t>
        </is>
      </c>
      <c r="B715" s="1" t="n">
        <v>45233</v>
      </c>
      <c r="C715" s="1" t="n">
        <v>46060</v>
      </c>
      <c r="D715" t="inlineStr">
        <is>
          <t>VÄSTERNORRLANDS LÄN</t>
        </is>
      </c>
      <c r="E715" t="inlineStr">
        <is>
          <t>SOLLEFTEÅ</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57487-2024</t>
        </is>
      </c>
      <c r="B716" s="1" t="n">
        <v>45630.36166666666</v>
      </c>
      <c r="C716" s="1" t="n">
        <v>46060</v>
      </c>
      <c r="D716" t="inlineStr">
        <is>
          <t>VÄSTERNORRLANDS LÄN</t>
        </is>
      </c>
      <c r="E716" t="inlineStr">
        <is>
          <t>SOLLEFTEÅ</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46060</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34397-2021</t>
        </is>
      </c>
      <c r="B718" s="1" t="n">
        <v>44379</v>
      </c>
      <c r="C718" s="1" t="n">
        <v>46060</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14055-2022</t>
        </is>
      </c>
      <c r="B719" s="1" t="n">
        <v>44650.93824074074</v>
      </c>
      <c r="C719" s="1" t="n">
        <v>46060</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51227-2024</t>
        </is>
      </c>
      <c r="B720" s="1" t="n">
        <v>45603.65729166667</v>
      </c>
      <c r="C720" s="1" t="n">
        <v>46060</v>
      </c>
      <c r="D720" t="inlineStr">
        <is>
          <t>VÄSTERNORRLANDS LÄN</t>
        </is>
      </c>
      <c r="E720" t="inlineStr">
        <is>
          <t>SOLLEFTEÅ</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55710-2024</t>
        </is>
      </c>
      <c r="B721" s="1" t="n">
        <v>45622.6985300926</v>
      </c>
      <c r="C721" s="1" t="n">
        <v>46060</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46850-2024</t>
        </is>
      </c>
      <c r="B722" s="1" t="n">
        <v>45583.61513888889</v>
      </c>
      <c r="C722" s="1" t="n">
        <v>46060</v>
      </c>
      <c r="D722" t="inlineStr">
        <is>
          <t>VÄSTERNORRLANDS LÄN</t>
        </is>
      </c>
      <c r="E722" t="inlineStr">
        <is>
          <t>SOLLEFTEÅ</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63652-2023</t>
        </is>
      </c>
      <c r="B723" s="1" t="n">
        <v>45275</v>
      </c>
      <c r="C723" s="1" t="n">
        <v>46060</v>
      </c>
      <c r="D723" t="inlineStr">
        <is>
          <t>VÄSTERNORRLANDS LÄN</t>
        </is>
      </c>
      <c r="E723" t="inlineStr">
        <is>
          <t>SOLLEFTEÅ</t>
        </is>
      </c>
      <c r="G723" t="n">
        <v>4.5</v>
      </c>
      <c r="H723" t="n">
        <v>0</v>
      </c>
      <c r="I723" t="n">
        <v>0</v>
      </c>
      <c r="J723" t="n">
        <v>0</v>
      </c>
      <c r="K723" t="n">
        <v>0</v>
      </c>
      <c r="L723" t="n">
        <v>0</v>
      </c>
      <c r="M723" t="n">
        <v>0</v>
      </c>
      <c r="N723" t="n">
        <v>0</v>
      </c>
      <c r="O723" t="n">
        <v>0</v>
      </c>
      <c r="P723" t="n">
        <v>0</v>
      </c>
      <c r="Q723" t="n">
        <v>0</v>
      </c>
      <c r="R723" s="2" t="inlineStr"/>
    </row>
    <row r="724" ht="15" customHeight="1">
      <c r="A724" t="inlineStr">
        <is>
          <t>A 5059-2024</t>
        </is>
      </c>
      <c r="B724" s="1" t="n">
        <v>45329</v>
      </c>
      <c r="C724" s="1" t="n">
        <v>46060</v>
      </c>
      <c r="D724" t="inlineStr">
        <is>
          <t>VÄSTERNORRLANDS LÄN</t>
        </is>
      </c>
      <c r="E724" t="inlineStr">
        <is>
          <t>SOLLEFTEÅ</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51029-2021</t>
        </is>
      </c>
      <c r="B725" s="1" t="n">
        <v>44460.94086805556</v>
      </c>
      <c r="C725" s="1" t="n">
        <v>46060</v>
      </c>
      <c r="D725" t="inlineStr">
        <is>
          <t>VÄSTERNORRLANDS LÄN</t>
        </is>
      </c>
      <c r="E725" t="inlineStr">
        <is>
          <t>SOLLEFTEÅ</t>
        </is>
      </c>
      <c r="F725" t="inlineStr">
        <is>
          <t>SCA</t>
        </is>
      </c>
      <c r="G725" t="n">
        <v>6.9</v>
      </c>
      <c r="H725" t="n">
        <v>0</v>
      </c>
      <c r="I725" t="n">
        <v>0</v>
      </c>
      <c r="J725" t="n">
        <v>0</v>
      </c>
      <c r="K725" t="n">
        <v>0</v>
      </c>
      <c r="L725" t="n">
        <v>0</v>
      </c>
      <c r="M725" t="n">
        <v>0</v>
      </c>
      <c r="N725" t="n">
        <v>0</v>
      </c>
      <c r="O725" t="n">
        <v>0</v>
      </c>
      <c r="P725" t="n">
        <v>0</v>
      </c>
      <c r="Q725" t="n">
        <v>0</v>
      </c>
      <c r="R725" s="2" t="inlineStr"/>
    </row>
    <row r="726" ht="15" customHeight="1">
      <c r="A726" t="inlineStr">
        <is>
          <t>A 3424-2025</t>
        </is>
      </c>
      <c r="B726" s="1" t="n">
        <v>45680</v>
      </c>
      <c r="C726" s="1" t="n">
        <v>46060</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46060</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55622-2023</t>
        </is>
      </c>
      <c r="B728" s="1" t="n">
        <v>45238</v>
      </c>
      <c r="C728" s="1" t="n">
        <v>46060</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46060</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13639-2025</t>
        </is>
      </c>
      <c r="B730" s="1" t="n">
        <v>45736.65710648148</v>
      </c>
      <c r="C730" s="1" t="n">
        <v>46060</v>
      </c>
      <c r="D730" t="inlineStr">
        <is>
          <t>VÄSTERNORRLANDS LÄN</t>
        </is>
      </c>
      <c r="E730" t="inlineStr">
        <is>
          <t>SOLLEFTEÅ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46060</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13652-2025</t>
        </is>
      </c>
      <c r="B732" s="1" t="n">
        <v>45736.71909722222</v>
      </c>
      <c r="C732" s="1" t="n">
        <v>46060</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19682-2025</t>
        </is>
      </c>
      <c r="B733" s="1" t="n">
        <v>45770.85163194445</v>
      </c>
      <c r="C733" s="1" t="n">
        <v>46060</v>
      </c>
      <c r="D733" t="inlineStr">
        <is>
          <t>VÄSTERNORRLANDS LÄN</t>
        </is>
      </c>
      <c r="E733" t="inlineStr">
        <is>
          <t>SOLLEFTEÅ</t>
        </is>
      </c>
      <c r="G733" t="n">
        <v>2.7</v>
      </c>
      <c r="H733" t="n">
        <v>0</v>
      </c>
      <c r="I733" t="n">
        <v>0</v>
      </c>
      <c r="J733" t="n">
        <v>0</v>
      </c>
      <c r="K733" t="n">
        <v>0</v>
      </c>
      <c r="L733" t="n">
        <v>0</v>
      </c>
      <c r="M733" t="n">
        <v>0</v>
      </c>
      <c r="N733" t="n">
        <v>0</v>
      </c>
      <c r="O733" t="n">
        <v>0</v>
      </c>
      <c r="P733" t="n">
        <v>0</v>
      </c>
      <c r="Q733" t="n">
        <v>0</v>
      </c>
      <c r="R733" s="2" t="inlineStr"/>
    </row>
    <row r="734" ht="15" customHeight="1">
      <c r="A734" t="inlineStr">
        <is>
          <t>A 27382-2023</t>
        </is>
      </c>
      <c r="B734" s="1" t="n">
        <v>45096.93920138889</v>
      </c>
      <c r="C734" s="1" t="n">
        <v>46060</v>
      </c>
      <c r="D734" t="inlineStr">
        <is>
          <t>VÄSTERNORRLANDS LÄN</t>
        </is>
      </c>
      <c r="E734" t="inlineStr">
        <is>
          <t>SOLLEFTEÅ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27384-2023</t>
        </is>
      </c>
      <c r="B735" s="1" t="n">
        <v>45096.939375</v>
      </c>
      <c r="C735" s="1" t="n">
        <v>46060</v>
      </c>
      <c r="D735" t="inlineStr">
        <is>
          <t>VÄSTERNORRLANDS LÄN</t>
        </is>
      </c>
      <c r="E735" t="inlineStr">
        <is>
          <t>SOLLEFTEÅ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27391-2023</t>
        </is>
      </c>
      <c r="B736" s="1" t="n">
        <v>45096.93991898148</v>
      </c>
      <c r="C736" s="1" t="n">
        <v>46060</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45778-2024</t>
        </is>
      </c>
      <c r="B737" s="1" t="n">
        <v>45579.66471064815</v>
      </c>
      <c r="C737" s="1" t="n">
        <v>46060</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61089-2024</t>
        </is>
      </c>
      <c r="B738" s="1" t="n">
        <v>45644</v>
      </c>
      <c r="C738" s="1" t="n">
        <v>46060</v>
      </c>
      <c r="D738" t="inlineStr">
        <is>
          <t>VÄSTERNORRLANDS LÄN</t>
        </is>
      </c>
      <c r="E738" t="inlineStr">
        <is>
          <t>SOLLEFTEÅ</t>
        </is>
      </c>
      <c r="G738" t="n">
        <v>4.5</v>
      </c>
      <c r="H738" t="n">
        <v>0</v>
      </c>
      <c r="I738" t="n">
        <v>0</v>
      </c>
      <c r="J738" t="n">
        <v>0</v>
      </c>
      <c r="K738" t="n">
        <v>0</v>
      </c>
      <c r="L738" t="n">
        <v>0</v>
      </c>
      <c r="M738" t="n">
        <v>0</v>
      </c>
      <c r="N738" t="n">
        <v>0</v>
      </c>
      <c r="O738" t="n">
        <v>0</v>
      </c>
      <c r="P738" t="n">
        <v>0</v>
      </c>
      <c r="Q738" t="n">
        <v>0</v>
      </c>
      <c r="R738" s="2" t="inlineStr"/>
    </row>
    <row r="739" ht="15" customHeight="1">
      <c r="A739" t="inlineStr">
        <is>
          <t>A 11334-2024</t>
        </is>
      </c>
      <c r="B739" s="1" t="n">
        <v>45372</v>
      </c>
      <c r="C739" s="1" t="n">
        <v>46060</v>
      </c>
      <c r="D739" t="inlineStr">
        <is>
          <t>VÄSTERNORRLANDS LÄN</t>
        </is>
      </c>
      <c r="E739" t="inlineStr">
        <is>
          <t>SOLLEFTEÅ</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36513-2023</t>
        </is>
      </c>
      <c r="B740" s="1" t="n">
        <v>45152.9537037037</v>
      </c>
      <c r="C740" s="1" t="n">
        <v>46060</v>
      </c>
      <c r="D740" t="inlineStr">
        <is>
          <t>VÄSTERNORRLANDS LÄN</t>
        </is>
      </c>
      <c r="E740" t="inlineStr">
        <is>
          <t>SOLLEFTEÅ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46060</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46060</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8414-2024</t>
        </is>
      </c>
      <c r="B743" s="1" t="n">
        <v>45352</v>
      </c>
      <c r="C743" s="1" t="n">
        <v>46060</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20061-2022</t>
        </is>
      </c>
      <c r="B744" s="1" t="n">
        <v>44697.94140046297</v>
      </c>
      <c r="C744" s="1" t="n">
        <v>46060</v>
      </c>
      <c r="D744" t="inlineStr">
        <is>
          <t>VÄSTERNORRLANDS LÄN</t>
        </is>
      </c>
      <c r="E744" t="inlineStr">
        <is>
          <t>SOLLEFTEÅ</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35277-2023</t>
        </is>
      </c>
      <c r="B745" s="1" t="n">
        <v>45145</v>
      </c>
      <c r="C745" s="1" t="n">
        <v>46060</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31005-2022</t>
        </is>
      </c>
      <c r="B746" s="1" t="n">
        <v>44768</v>
      </c>
      <c r="C746" s="1" t="n">
        <v>46060</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10240-2025</t>
        </is>
      </c>
      <c r="B747" s="1" t="n">
        <v>45720.34508101852</v>
      </c>
      <c r="C747" s="1" t="n">
        <v>46060</v>
      </c>
      <c r="D747" t="inlineStr">
        <is>
          <t>VÄSTERNORRLANDS LÄN</t>
        </is>
      </c>
      <c r="E747" t="inlineStr">
        <is>
          <t>SOLLEFTEÅ</t>
        </is>
      </c>
      <c r="F747" t="inlineStr">
        <is>
          <t>SCA</t>
        </is>
      </c>
      <c r="G747" t="n">
        <v>18.8</v>
      </c>
      <c r="H747" t="n">
        <v>0</v>
      </c>
      <c r="I747" t="n">
        <v>0</v>
      </c>
      <c r="J747" t="n">
        <v>0</v>
      </c>
      <c r="K747" t="n">
        <v>0</v>
      </c>
      <c r="L747" t="n">
        <v>0</v>
      </c>
      <c r="M747" t="n">
        <v>0</v>
      </c>
      <c r="N747" t="n">
        <v>0</v>
      </c>
      <c r="O747" t="n">
        <v>0</v>
      </c>
      <c r="P747" t="n">
        <v>0</v>
      </c>
      <c r="Q747" t="n">
        <v>0</v>
      </c>
      <c r="R747" s="2" t="inlineStr"/>
    </row>
    <row r="748" ht="15" customHeight="1">
      <c r="A748" t="inlineStr">
        <is>
          <t>A 8104-2025</t>
        </is>
      </c>
      <c r="B748" s="1" t="n">
        <v>45707.69835648148</v>
      </c>
      <c r="C748" s="1" t="n">
        <v>46060</v>
      </c>
      <c r="D748" t="inlineStr">
        <is>
          <t>VÄSTERNORRLANDS LÄN</t>
        </is>
      </c>
      <c r="E748" t="inlineStr">
        <is>
          <t>SOLLEFTEÅ</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8124-2025</t>
        </is>
      </c>
      <c r="B749" s="1" t="n">
        <v>45707</v>
      </c>
      <c r="C749" s="1" t="n">
        <v>46060</v>
      </c>
      <c r="D749" t="inlineStr">
        <is>
          <t>VÄSTERNORRLANDS LÄN</t>
        </is>
      </c>
      <c r="E749" t="inlineStr">
        <is>
          <t>SOLLEFTEÅ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25799-2024</t>
        </is>
      </c>
      <c r="B750" s="1" t="n">
        <v>45463</v>
      </c>
      <c r="C750" s="1" t="n">
        <v>46060</v>
      </c>
      <c r="D750" t="inlineStr">
        <is>
          <t>VÄSTERNORRLANDS LÄN</t>
        </is>
      </c>
      <c r="E750" t="inlineStr">
        <is>
          <t>SOLLEFTEÅ</t>
        </is>
      </c>
      <c r="F750" t="inlineStr">
        <is>
          <t>Kommuner</t>
        </is>
      </c>
      <c r="G750" t="n">
        <v>1.2</v>
      </c>
      <c r="H750" t="n">
        <v>0</v>
      </c>
      <c r="I750" t="n">
        <v>0</v>
      </c>
      <c r="J750" t="n">
        <v>0</v>
      </c>
      <c r="K750" t="n">
        <v>0</v>
      </c>
      <c r="L750" t="n">
        <v>0</v>
      </c>
      <c r="M750" t="n">
        <v>0</v>
      </c>
      <c r="N750" t="n">
        <v>0</v>
      </c>
      <c r="O750" t="n">
        <v>0</v>
      </c>
      <c r="P750" t="n">
        <v>0</v>
      </c>
      <c r="Q750" t="n">
        <v>0</v>
      </c>
      <c r="R750" s="2" t="inlineStr"/>
    </row>
    <row r="751" ht="15" customHeight="1">
      <c r="A751" t="inlineStr">
        <is>
          <t>A 51544-2022</t>
        </is>
      </c>
      <c r="B751" s="1" t="n">
        <v>44869</v>
      </c>
      <c r="C751" s="1" t="n">
        <v>46060</v>
      </c>
      <c r="D751" t="inlineStr">
        <is>
          <t>VÄSTERNORRLANDS LÄN</t>
        </is>
      </c>
      <c r="E751" t="inlineStr">
        <is>
          <t>SOLLEFTEÅ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2044-2025</t>
        </is>
      </c>
      <c r="B752" s="1" t="n">
        <v>45672</v>
      </c>
      <c r="C752" s="1" t="n">
        <v>46060</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46060</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769-2025</t>
        </is>
      </c>
      <c r="B754" s="1" t="n">
        <v>45659</v>
      </c>
      <c r="C754" s="1" t="n">
        <v>46060</v>
      </c>
      <c r="D754" t="inlineStr">
        <is>
          <t>VÄSTERNORRLANDS LÄN</t>
        </is>
      </c>
      <c r="E754" t="inlineStr">
        <is>
          <t>SOLLEFTEÅ</t>
        </is>
      </c>
      <c r="G754" t="n">
        <v>3.6</v>
      </c>
      <c r="H754" t="n">
        <v>0</v>
      </c>
      <c r="I754" t="n">
        <v>0</v>
      </c>
      <c r="J754" t="n">
        <v>0</v>
      </c>
      <c r="K754" t="n">
        <v>0</v>
      </c>
      <c r="L754" t="n">
        <v>0</v>
      </c>
      <c r="M754" t="n">
        <v>0</v>
      </c>
      <c r="N754" t="n">
        <v>0</v>
      </c>
      <c r="O754" t="n">
        <v>0</v>
      </c>
      <c r="P754" t="n">
        <v>0</v>
      </c>
      <c r="Q754" t="n">
        <v>0</v>
      </c>
      <c r="R754" s="2" t="inlineStr"/>
    </row>
    <row r="755" ht="15" customHeight="1">
      <c r="A755" t="inlineStr">
        <is>
          <t>A 42664-2022</t>
        </is>
      </c>
      <c r="B755" s="1" t="n">
        <v>44831</v>
      </c>
      <c r="C755" s="1" t="n">
        <v>46060</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33312-2024</t>
        </is>
      </c>
      <c r="B756" s="1" t="n">
        <v>45518.97113425926</v>
      </c>
      <c r="C756" s="1" t="n">
        <v>46060</v>
      </c>
      <c r="D756" t="inlineStr">
        <is>
          <t>VÄSTERNORRLANDS LÄN</t>
        </is>
      </c>
      <c r="E756" t="inlineStr">
        <is>
          <t>SOLLEFTEÅ</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43008-2024</t>
        </is>
      </c>
      <c r="B757" s="1" t="n">
        <v>45567.38574074074</v>
      </c>
      <c r="C757" s="1" t="n">
        <v>46060</v>
      </c>
      <c r="D757" t="inlineStr">
        <is>
          <t>VÄSTERNORRLANDS LÄN</t>
        </is>
      </c>
      <c r="E757" t="inlineStr">
        <is>
          <t>SOLLEFTEÅ</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37354-2024</t>
        </is>
      </c>
      <c r="B758" s="1" t="n">
        <v>45540.54201388889</v>
      </c>
      <c r="C758" s="1" t="n">
        <v>46060</v>
      </c>
      <c r="D758" t="inlineStr">
        <is>
          <t>VÄSTERNORRLANDS LÄN</t>
        </is>
      </c>
      <c r="E758" t="inlineStr">
        <is>
          <t>SOLLEFTEÅ</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3211-2024</t>
        </is>
      </c>
      <c r="B759" s="1" t="n">
        <v>45316</v>
      </c>
      <c r="C759" s="1" t="n">
        <v>46060</v>
      </c>
      <c r="D759" t="inlineStr">
        <is>
          <t>VÄSTERNORRLANDS LÄN</t>
        </is>
      </c>
      <c r="E759" t="inlineStr">
        <is>
          <t>SOLLEFTEÅ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34395-2021</t>
        </is>
      </c>
      <c r="B760" s="1" t="n">
        <v>44379</v>
      </c>
      <c r="C760" s="1" t="n">
        <v>46060</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15955-2025</t>
        </is>
      </c>
      <c r="B761" s="1" t="n">
        <v>45749.5113425926</v>
      </c>
      <c r="C761" s="1" t="n">
        <v>46060</v>
      </c>
      <c r="D761" t="inlineStr">
        <is>
          <t>VÄSTERNORRLANDS LÄN</t>
        </is>
      </c>
      <c r="E761" t="inlineStr">
        <is>
          <t>SOLLEFTEÅ</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45940-2024</t>
        </is>
      </c>
      <c r="B762" s="1" t="n">
        <v>45580.53167824074</v>
      </c>
      <c r="C762" s="1" t="n">
        <v>46060</v>
      </c>
      <c r="D762" t="inlineStr">
        <is>
          <t>VÄSTERNORRLANDS LÄN</t>
        </is>
      </c>
      <c r="E762" t="inlineStr">
        <is>
          <t>SOLLEFTEÅ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45975-2024</t>
        </is>
      </c>
      <c r="B763" s="1" t="n">
        <v>45580.59425925926</v>
      </c>
      <c r="C763" s="1" t="n">
        <v>46060</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36211-2023</t>
        </is>
      </c>
      <c r="B764" s="1" t="n">
        <v>45149.95234953704</v>
      </c>
      <c r="C764" s="1" t="n">
        <v>46060</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22471-2024</t>
        </is>
      </c>
      <c r="B765" s="1" t="n">
        <v>45446</v>
      </c>
      <c r="C765" s="1" t="n">
        <v>46060</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23394-2021</t>
        </is>
      </c>
      <c r="B766" s="1" t="n">
        <v>44333</v>
      </c>
      <c r="C766" s="1" t="n">
        <v>46060</v>
      </c>
      <c r="D766" t="inlineStr">
        <is>
          <t>VÄSTERNORRLANDS LÄN</t>
        </is>
      </c>
      <c r="E766" t="inlineStr">
        <is>
          <t>SOLLEFTEÅ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46060</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46060</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46060</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46060</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12164-2023</t>
        </is>
      </c>
      <c r="B771" s="1" t="n">
        <v>44995</v>
      </c>
      <c r="C771" s="1" t="n">
        <v>46060</v>
      </c>
      <c r="D771" t="inlineStr">
        <is>
          <t>VÄSTERNORRLANDS LÄN</t>
        </is>
      </c>
      <c r="E771" t="inlineStr">
        <is>
          <t>SOLLEFTEÅ</t>
        </is>
      </c>
      <c r="G771" t="n">
        <v>18.3</v>
      </c>
      <c r="H771" t="n">
        <v>0</v>
      </c>
      <c r="I771" t="n">
        <v>0</v>
      </c>
      <c r="J771" t="n">
        <v>0</v>
      </c>
      <c r="K771" t="n">
        <v>0</v>
      </c>
      <c r="L771" t="n">
        <v>0</v>
      </c>
      <c r="M771" t="n">
        <v>0</v>
      </c>
      <c r="N771" t="n">
        <v>0</v>
      </c>
      <c r="O771" t="n">
        <v>0</v>
      </c>
      <c r="P771" t="n">
        <v>0</v>
      </c>
      <c r="Q771" t="n">
        <v>0</v>
      </c>
      <c r="R771" s="2" t="inlineStr"/>
    </row>
    <row r="772" ht="15" customHeight="1">
      <c r="A772" t="inlineStr">
        <is>
          <t>A 10549-2023</t>
        </is>
      </c>
      <c r="B772" s="1" t="n">
        <v>44987</v>
      </c>
      <c r="C772" s="1" t="n">
        <v>46060</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50844-2023</t>
        </is>
      </c>
      <c r="B773" s="1" t="n">
        <v>45217</v>
      </c>
      <c r="C773" s="1" t="n">
        <v>46060</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51735-2024</t>
        </is>
      </c>
      <c r="B774" s="1" t="n">
        <v>45607.40127314815</v>
      </c>
      <c r="C774" s="1" t="n">
        <v>46060</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7003-2025</t>
        </is>
      </c>
      <c r="B775" s="1" t="n">
        <v>45701</v>
      </c>
      <c r="C775" s="1" t="n">
        <v>46060</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279-2023</t>
        </is>
      </c>
      <c r="B776" s="1" t="n">
        <v>44928</v>
      </c>
      <c r="C776" s="1" t="n">
        <v>46060</v>
      </c>
      <c r="D776" t="inlineStr">
        <is>
          <t>VÄSTERNORRLANDS LÄN</t>
        </is>
      </c>
      <c r="E776" t="inlineStr">
        <is>
          <t>SOLLEFTEÅ</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8099-2025</t>
        </is>
      </c>
      <c r="B777" s="1" t="n">
        <v>45707.69086805556</v>
      </c>
      <c r="C777" s="1" t="n">
        <v>46060</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40354-2024</t>
        </is>
      </c>
      <c r="B778" s="1" t="n">
        <v>45555.36525462963</v>
      </c>
      <c r="C778" s="1" t="n">
        <v>46060</v>
      </c>
      <c r="D778" t="inlineStr">
        <is>
          <t>VÄSTERNORRLANDS LÄN</t>
        </is>
      </c>
      <c r="E778" t="inlineStr">
        <is>
          <t>SOLLEFTEÅ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62098-2023</t>
        </is>
      </c>
      <c r="B779" s="1" t="n">
        <v>45266</v>
      </c>
      <c r="C779" s="1" t="n">
        <v>46060</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24596-2023</t>
        </is>
      </c>
      <c r="B780" s="1" t="n">
        <v>45083.94011574074</v>
      </c>
      <c r="C780" s="1" t="n">
        <v>46060</v>
      </c>
      <c r="D780" t="inlineStr">
        <is>
          <t>VÄSTERNORRLANDS LÄN</t>
        </is>
      </c>
      <c r="E780" t="inlineStr">
        <is>
          <t>SOLLEFTEÅ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1464-2025</t>
        </is>
      </c>
      <c r="B781" s="1" t="n">
        <v>45670.365</v>
      </c>
      <c r="C781" s="1" t="n">
        <v>46060</v>
      </c>
      <c r="D781" t="inlineStr">
        <is>
          <t>VÄSTERNORRLANDS LÄN</t>
        </is>
      </c>
      <c r="E781" t="inlineStr">
        <is>
          <t>SOLLEFTEÅ</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24693-2025</t>
        </is>
      </c>
      <c r="B782" s="1" t="n">
        <v>45798.6775462963</v>
      </c>
      <c r="C782" s="1" t="n">
        <v>46060</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46060</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60420-2022</t>
        </is>
      </c>
      <c r="B784" s="1" t="n">
        <v>44910</v>
      </c>
      <c r="C784" s="1" t="n">
        <v>46060</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44392-2023</t>
        </is>
      </c>
      <c r="B785" s="1" t="n">
        <v>45188.94527777778</v>
      </c>
      <c r="C785" s="1" t="n">
        <v>46060</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14712-2025</t>
        </is>
      </c>
      <c r="B786" s="1" t="n">
        <v>45742.61008101852</v>
      </c>
      <c r="C786" s="1" t="n">
        <v>46060</v>
      </c>
      <c r="D786" t="inlineStr">
        <is>
          <t>VÄSTERNORRLANDS LÄN</t>
        </is>
      </c>
      <c r="E786" t="inlineStr">
        <is>
          <t>SOLLEFTEÅ</t>
        </is>
      </c>
      <c r="G786" t="n">
        <v>4.5</v>
      </c>
      <c r="H786" t="n">
        <v>0</v>
      </c>
      <c r="I786" t="n">
        <v>0</v>
      </c>
      <c r="J786" t="n">
        <v>0</v>
      </c>
      <c r="K786" t="n">
        <v>0</v>
      </c>
      <c r="L786" t="n">
        <v>0</v>
      </c>
      <c r="M786" t="n">
        <v>0</v>
      </c>
      <c r="N786" t="n">
        <v>0</v>
      </c>
      <c r="O786" t="n">
        <v>0</v>
      </c>
      <c r="P786" t="n">
        <v>0</v>
      </c>
      <c r="Q786" t="n">
        <v>0</v>
      </c>
      <c r="R786" s="2" t="inlineStr"/>
    </row>
    <row r="787" ht="15" customHeight="1">
      <c r="A787" t="inlineStr">
        <is>
          <t>A 58179-2021</t>
        </is>
      </c>
      <c r="B787" s="1" t="n">
        <v>44487</v>
      </c>
      <c r="C787" s="1" t="n">
        <v>46060</v>
      </c>
      <c r="D787" t="inlineStr">
        <is>
          <t>VÄSTERNORRLANDS LÄN</t>
        </is>
      </c>
      <c r="E787" t="inlineStr">
        <is>
          <t>SOLLEFTEÅ</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46060</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20507-2024</t>
        </is>
      </c>
      <c r="B789" s="1" t="n">
        <v>45435</v>
      </c>
      <c r="C789" s="1" t="n">
        <v>46060</v>
      </c>
      <c r="D789" t="inlineStr">
        <is>
          <t>VÄSTERNORRLANDS LÄN</t>
        </is>
      </c>
      <c r="E789" t="inlineStr">
        <is>
          <t>SOLLEFTEÅ</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61384-2022</t>
        </is>
      </c>
      <c r="B790" s="1" t="n">
        <v>44915</v>
      </c>
      <c r="C790" s="1" t="n">
        <v>46060</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24532-2025</t>
        </is>
      </c>
      <c r="B791" s="1" t="n">
        <v>45798.42820601852</v>
      </c>
      <c r="C791" s="1" t="n">
        <v>46060</v>
      </c>
      <c r="D791" t="inlineStr">
        <is>
          <t>VÄSTERNORRLANDS LÄN</t>
        </is>
      </c>
      <c r="E791" t="inlineStr">
        <is>
          <t>SOLLEFTEÅ</t>
        </is>
      </c>
      <c r="G791" t="n">
        <v>6.5</v>
      </c>
      <c r="H791" t="n">
        <v>0</v>
      </c>
      <c r="I791" t="n">
        <v>0</v>
      </c>
      <c r="J791" t="n">
        <v>0</v>
      </c>
      <c r="K791" t="n">
        <v>0</v>
      </c>
      <c r="L791" t="n">
        <v>0</v>
      </c>
      <c r="M791" t="n">
        <v>0</v>
      </c>
      <c r="N791" t="n">
        <v>0</v>
      </c>
      <c r="O791" t="n">
        <v>0</v>
      </c>
      <c r="P791" t="n">
        <v>0</v>
      </c>
      <c r="Q791" t="n">
        <v>0</v>
      </c>
      <c r="R791" s="2" t="inlineStr"/>
    </row>
    <row r="792" ht="15" customHeight="1">
      <c r="A792" t="inlineStr">
        <is>
          <t>A 38562-2025</t>
        </is>
      </c>
      <c r="B792" s="1" t="n">
        <v>45884.44865740741</v>
      </c>
      <c r="C792" s="1" t="n">
        <v>46060</v>
      </c>
      <c r="D792" t="inlineStr">
        <is>
          <t>VÄSTERNORRLANDS LÄN</t>
        </is>
      </c>
      <c r="E792" t="inlineStr">
        <is>
          <t>SOLLEFTEÅ</t>
        </is>
      </c>
      <c r="G792" t="n">
        <v>7.1</v>
      </c>
      <c r="H792" t="n">
        <v>0</v>
      </c>
      <c r="I792" t="n">
        <v>0</v>
      </c>
      <c r="J792" t="n">
        <v>0</v>
      </c>
      <c r="K792" t="n">
        <v>0</v>
      </c>
      <c r="L792" t="n">
        <v>0</v>
      </c>
      <c r="M792" t="n">
        <v>0</v>
      </c>
      <c r="N792" t="n">
        <v>0</v>
      </c>
      <c r="O792" t="n">
        <v>0</v>
      </c>
      <c r="P792" t="n">
        <v>0</v>
      </c>
      <c r="Q792" t="n">
        <v>0</v>
      </c>
      <c r="R792" s="2" t="inlineStr"/>
    </row>
    <row r="793" ht="15" customHeight="1">
      <c r="A793" t="inlineStr">
        <is>
          <t>A 4935-2025</t>
        </is>
      </c>
      <c r="B793" s="1" t="n">
        <v>45688.68496527777</v>
      </c>
      <c r="C793" s="1" t="n">
        <v>46060</v>
      </c>
      <c r="D793" t="inlineStr">
        <is>
          <t>VÄSTERNORRLANDS LÄN</t>
        </is>
      </c>
      <c r="E793" t="inlineStr">
        <is>
          <t>SOLLEFTEÅ</t>
        </is>
      </c>
      <c r="G793" t="n">
        <v>6.5</v>
      </c>
      <c r="H793" t="n">
        <v>0</v>
      </c>
      <c r="I793" t="n">
        <v>0</v>
      </c>
      <c r="J793" t="n">
        <v>0</v>
      </c>
      <c r="K793" t="n">
        <v>0</v>
      </c>
      <c r="L793" t="n">
        <v>0</v>
      </c>
      <c r="M793" t="n">
        <v>0</v>
      </c>
      <c r="N793" t="n">
        <v>0</v>
      </c>
      <c r="O793" t="n">
        <v>0</v>
      </c>
      <c r="P793" t="n">
        <v>0</v>
      </c>
      <c r="Q793" t="n">
        <v>0</v>
      </c>
      <c r="R793" s="2" t="inlineStr"/>
    </row>
    <row r="794" ht="15" customHeight="1">
      <c r="A794" t="inlineStr">
        <is>
          <t>A 24759-2025</t>
        </is>
      </c>
      <c r="B794" s="1" t="n">
        <v>45799.38284722222</v>
      </c>
      <c r="C794" s="1" t="n">
        <v>46060</v>
      </c>
      <c r="D794" t="inlineStr">
        <is>
          <t>VÄSTERNORRLANDS LÄN</t>
        </is>
      </c>
      <c r="E794" t="inlineStr">
        <is>
          <t>SOLLEFTEÅ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24760-2025</t>
        </is>
      </c>
      <c r="B795" s="1" t="n">
        <v>45799</v>
      </c>
      <c r="C795" s="1" t="n">
        <v>46060</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24730-2025</t>
        </is>
      </c>
      <c r="B796" s="1" t="n">
        <v>45799.34150462963</v>
      </c>
      <c r="C796" s="1" t="n">
        <v>46060</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44045-2022</t>
        </is>
      </c>
      <c r="B797" s="1" t="n">
        <v>44838</v>
      </c>
      <c r="C797" s="1" t="n">
        <v>46060</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24787-2025</t>
        </is>
      </c>
      <c r="B798" s="1" t="n">
        <v>45799.42791666667</v>
      </c>
      <c r="C798" s="1" t="n">
        <v>46060</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54307-2023</t>
        </is>
      </c>
      <c r="B799" s="1" t="n">
        <v>45225</v>
      </c>
      <c r="C799" s="1" t="n">
        <v>46060</v>
      </c>
      <c r="D799" t="inlineStr">
        <is>
          <t>VÄSTERNORRLANDS LÄN</t>
        </is>
      </c>
      <c r="E799" t="inlineStr">
        <is>
          <t>SOLLEFTEÅ</t>
        </is>
      </c>
      <c r="G799" t="n">
        <v>2.9</v>
      </c>
      <c r="H799" t="n">
        <v>0</v>
      </c>
      <c r="I799" t="n">
        <v>0</v>
      </c>
      <c r="J799" t="n">
        <v>0</v>
      </c>
      <c r="K799" t="n">
        <v>0</v>
      </c>
      <c r="L799" t="n">
        <v>0</v>
      </c>
      <c r="M799" t="n">
        <v>0</v>
      </c>
      <c r="N799" t="n">
        <v>0</v>
      </c>
      <c r="O799" t="n">
        <v>0</v>
      </c>
      <c r="P799" t="n">
        <v>0</v>
      </c>
      <c r="Q799" t="n">
        <v>0</v>
      </c>
      <c r="R799" s="2" t="inlineStr"/>
    </row>
    <row r="800" ht="15" customHeight="1">
      <c r="A800" t="inlineStr">
        <is>
          <t>A 25313-2025</t>
        </is>
      </c>
      <c r="B800" s="1" t="n">
        <v>45799</v>
      </c>
      <c r="C800" s="1" t="n">
        <v>46060</v>
      </c>
      <c r="D800" t="inlineStr">
        <is>
          <t>VÄSTERNORRLANDS LÄN</t>
        </is>
      </c>
      <c r="E800" t="inlineStr">
        <is>
          <t>SOLLEFTEÅ</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5255-2024</t>
        </is>
      </c>
      <c r="B801" s="1" t="n">
        <v>45330</v>
      </c>
      <c r="C801" s="1" t="n">
        <v>46060</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24488-2025</t>
        </is>
      </c>
      <c r="B802" s="1" t="n">
        <v>45798.38576388889</v>
      </c>
      <c r="C802" s="1" t="n">
        <v>46060</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47177-2023</t>
        </is>
      </c>
      <c r="B803" s="1" t="n">
        <v>45201</v>
      </c>
      <c r="C803" s="1" t="n">
        <v>46060</v>
      </c>
      <c r="D803" t="inlineStr">
        <is>
          <t>VÄSTERNORRLANDS LÄN</t>
        </is>
      </c>
      <c r="E803" t="inlineStr">
        <is>
          <t>SOLLEFTEÅ</t>
        </is>
      </c>
      <c r="F803" t="inlineStr">
        <is>
          <t>SCA</t>
        </is>
      </c>
      <c r="G803" t="n">
        <v>7.8</v>
      </c>
      <c r="H803" t="n">
        <v>0</v>
      </c>
      <c r="I803" t="n">
        <v>0</v>
      </c>
      <c r="J803" t="n">
        <v>0</v>
      </c>
      <c r="K803" t="n">
        <v>0</v>
      </c>
      <c r="L803" t="n">
        <v>0</v>
      </c>
      <c r="M803" t="n">
        <v>0</v>
      </c>
      <c r="N803" t="n">
        <v>0</v>
      </c>
      <c r="O803" t="n">
        <v>0</v>
      </c>
      <c r="P803" t="n">
        <v>0</v>
      </c>
      <c r="Q803" t="n">
        <v>0</v>
      </c>
      <c r="R803" s="2" t="inlineStr"/>
    </row>
    <row r="804" ht="15" customHeight="1">
      <c r="A804" t="inlineStr">
        <is>
          <t>A 24552-2025</t>
        </is>
      </c>
      <c r="B804" s="1" t="n">
        <v>45798.44865740741</v>
      </c>
      <c r="C804" s="1" t="n">
        <v>46060</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24530-2025</t>
        </is>
      </c>
      <c r="B805" s="1" t="n">
        <v>45798.42799768518</v>
      </c>
      <c r="C805" s="1" t="n">
        <v>46060</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56260-2023</t>
        </is>
      </c>
      <c r="B806" s="1" t="n">
        <v>45240</v>
      </c>
      <c r="C806" s="1" t="n">
        <v>46060</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59371-2022</t>
        </is>
      </c>
      <c r="B807" s="1" t="n">
        <v>44904</v>
      </c>
      <c r="C807" s="1" t="n">
        <v>46060</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10428-2023</t>
        </is>
      </c>
      <c r="B808" s="1" t="n">
        <v>44981</v>
      </c>
      <c r="C808" s="1" t="n">
        <v>46060</v>
      </c>
      <c r="D808" t="inlineStr">
        <is>
          <t>VÄSTERNORRLANDS LÄN</t>
        </is>
      </c>
      <c r="E808" t="inlineStr">
        <is>
          <t>SOLLEFTEÅ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326-2025</t>
        </is>
      </c>
      <c r="B809" s="1" t="n">
        <v>45660.65653935185</v>
      </c>
      <c r="C809" s="1" t="n">
        <v>46060</v>
      </c>
      <c r="D809" t="inlineStr">
        <is>
          <t>VÄSTERNORRLANDS LÄN</t>
        </is>
      </c>
      <c r="E809" t="inlineStr">
        <is>
          <t>SOLLEFTEÅ</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12107-2023</t>
        </is>
      </c>
      <c r="B810" s="1" t="n">
        <v>44995</v>
      </c>
      <c r="C810" s="1" t="n">
        <v>46060</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55439-2024</t>
        </is>
      </c>
      <c r="B811" s="1" t="n">
        <v>45622.40663194445</v>
      </c>
      <c r="C811" s="1" t="n">
        <v>46060</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295-2025</t>
        </is>
      </c>
      <c r="B812" s="1" t="n">
        <v>45660.53206018519</v>
      </c>
      <c r="C812" s="1" t="n">
        <v>46060</v>
      </c>
      <c r="D812" t="inlineStr">
        <is>
          <t>VÄSTERNORRLANDS LÄN</t>
        </is>
      </c>
      <c r="E812" t="inlineStr">
        <is>
          <t>SOLLEFTEÅ</t>
        </is>
      </c>
      <c r="F812" t="inlineStr">
        <is>
          <t>SCA</t>
        </is>
      </c>
      <c r="G812" t="n">
        <v>30.7</v>
      </c>
      <c r="H812" t="n">
        <v>0</v>
      </c>
      <c r="I812" t="n">
        <v>0</v>
      </c>
      <c r="J812" t="n">
        <v>0</v>
      </c>
      <c r="K812" t="n">
        <v>0</v>
      </c>
      <c r="L812" t="n">
        <v>0</v>
      </c>
      <c r="M812" t="n">
        <v>0</v>
      </c>
      <c r="N812" t="n">
        <v>0</v>
      </c>
      <c r="O812" t="n">
        <v>0</v>
      </c>
      <c r="P812" t="n">
        <v>0</v>
      </c>
      <c r="Q812" t="n">
        <v>0</v>
      </c>
      <c r="R812" s="2" t="inlineStr"/>
    </row>
    <row r="813" ht="15" customHeight="1">
      <c r="A813" t="inlineStr">
        <is>
          <t>A 48088-2023</t>
        </is>
      </c>
      <c r="B813" s="1" t="n">
        <v>45204.94657407407</v>
      </c>
      <c r="C813" s="1" t="n">
        <v>46060</v>
      </c>
      <c r="D813" t="inlineStr">
        <is>
          <t>VÄSTERNORRLANDS LÄN</t>
        </is>
      </c>
      <c r="E813" t="inlineStr">
        <is>
          <t>SOLLEFTEÅ</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38958-2025</t>
        </is>
      </c>
      <c r="B814" s="1" t="n">
        <v>45887.67751157407</v>
      </c>
      <c r="C814" s="1" t="n">
        <v>46060</v>
      </c>
      <c r="D814" t="inlineStr">
        <is>
          <t>VÄSTERNORRLANDS LÄN</t>
        </is>
      </c>
      <c r="E814" t="inlineStr">
        <is>
          <t>SOLLEFTEÅ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25238-2025</t>
        </is>
      </c>
      <c r="B815" s="1" t="n">
        <v>45800.49016203704</v>
      </c>
      <c r="C815" s="1" t="n">
        <v>46060</v>
      </c>
      <c r="D815" t="inlineStr">
        <is>
          <t>VÄSTERNORRLANDS LÄN</t>
        </is>
      </c>
      <c r="E815" t="inlineStr">
        <is>
          <t>SOLLEFTEÅ</t>
        </is>
      </c>
      <c r="F815" t="inlineStr">
        <is>
          <t>SCA</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4895-2025</t>
        </is>
      </c>
      <c r="B816" s="1" t="n">
        <v>45688.67891203704</v>
      </c>
      <c r="C816" s="1" t="n">
        <v>46060</v>
      </c>
      <c r="D816" t="inlineStr">
        <is>
          <t>VÄSTERNORRLANDS LÄN</t>
        </is>
      </c>
      <c r="E816" t="inlineStr">
        <is>
          <t>SOLLEFTEÅ</t>
        </is>
      </c>
      <c r="F816" t="inlineStr">
        <is>
          <t>SCA</t>
        </is>
      </c>
      <c r="G816" t="n">
        <v>0.3</v>
      </c>
      <c r="H816" t="n">
        <v>0</v>
      </c>
      <c r="I816" t="n">
        <v>0</v>
      </c>
      <c r="J816" t="n">
        <v>0</v>
      </c>
      <c r="K816" t="n">
        <v>0</v>
      </c>
      <c r="L816" t="n">
        <v>0</v>
      </c>
      <c r="M816" t="n">
        <v>0</v>
      </c>
      <c r="N816" t="n">
        <v>0</v>
      </c>
      <c r="O816" t="n">
        <v>0</v>
      </c>
      <c r="P816" t="n">
        <v>0</v>
      </c>
      <c r="Q816" t="n">
        <v>0</v>
      </c>
      <c r="R816" s="2" t="inlineStr"/>
    </row>
    <row r="817" ht="15" customHeight="1">
      <c r="A817" t="inlineStr">
        <is>
          <t>A 4909-2025</t>
        </is>
      </c>
      <c r="B817" s="1" t="n">
        <v>45688</v>
      </c>
      <c r="C817" s="1" t="n">
        <v>46060</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14718-2023</t>
        </is>
      </c>
      <c r="B818" s="1" t="n">
        <v>45012</v>
      </c>
      <c r="C818" s="1" t="n">
        <v>46060</v>
      </c>
      <c r="D818" t="inlineStr">
        <is>
          <t>VÄSTERNORRLANDS LÄN</t>
        </is>
      </c>
      <c r="E818" t="inlineStr">
        <is>
          <t>SOLLEFTEÅ</t>
        </is>
      </c>
      <c r="G818" t="n">
        <v>6</v>
      </c>
      <c r="H818" t="n">
        <v>0</v>
      </c>
      <c r="I818" t="n">
        <v>0</v>
      </c>
      <c r="J818" t="n">
        <v>0</v>
      </c>
      <c r="K818" t="n">
        <v>0</v>
      </c>
      <c r="L818" t="n">
        <v>0</v>
      </c>
      <c r="M818" t="n">
        <v>0</v>
      </c>
      <c r="N818" t="n">
        <v>0</v>
      </c>
      <c r="O818" t="n">
        <v>0</v>
      </c>
      <c r="P818" t="n">
        <v>0</v>
      </c>
      <c r="Q818" t="n">
        <v>0</v>
      </c>
      <c r="R818" s="2" t="inlineStr"/>
    </row>
    <row r="819" ht="15" customHeight="1">
      <c r="A819" t="inlineStr">
        <is>
          <t>A 38560-2025</t>
        </is>
      </c>
      <c r="B819" s="1" t="n">
        <v>45884.44844907407</v>
      </c>
      <c r="C819" s="1" t="n">
        <v>46060</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38561-2025</t>
        </is>
      </c>
      <c r="B820" s="1" t="n">
        <v>45884.44849537037</v>
      </c>
      <c r="C820" s="1" t="n">
        <v>46060</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10725-2025</t>
        </is>
      </c>
      <c r="B821" s="1" t="n">
        <v>45722</v>
      </c>
      <c r="C821" s="1" t="n">
        <v>46060</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61790-2024</t>
        </is>
      </c>
      <c r="B822" s="1" t="n">
        <v>45649</v>
      </c>
      <c r="C822" s="1" t="n">
        <v>46060</v>
      </c>
      <c r="D822" t="inlineStr">
        <is>
          <t>VÄSTERNORRLANDS LÄN</t>
        </is>
      </c>
      <c r="E822" t="inlineStr">
        <is>
          <t>SOLLEFTEÅ</t>
        </is>
      </c>
      <c r="F822" t="inlineStr">
        <is>
          <t>Övriga statliga verk och myndigheter</t>
        </is>
      </c>
      <c r="G822" t="n">
        <v>3.5</v>
      </c>
      <c r="H822" t="n">
        <v>0</v>
      </c>
      <c r="I822" t="n">
        <v>0</v>
      </c>
      <c r="J822" t="n">
        <v>0</v>
      </c>
      <c r="K822" t="n">
        <v>0</v>
      </c>
      <c r="L822" t="n">
        <v>0</v>
      </c>
      <c r="M822" t="n">
        <v>0</v>
      </c>
      <c r="N822" t="n">
        <v>0</v>
      </c>
      <c r="O822" t="n">
        <v>0</v>
      </c>
      <c r="P822" t="n">
        <v>0</v>
      </c>
      <c r="Q822" t="n">
        <v>0</v>
      </c>
      <c r="R822" s="2" t="inlineStr"/>
    </row>
    <row r="823" ht="15" customHeight="1">
      <c r="A823" t="inlineStr">
        <is>
          <t>A 31562-2024</t>
        </is>
      </c>
      <c r="B823" s="1" t="n">
        <v>45505</v>
      </c>
      <c r="C823" s="1" t="n">
        <v>46060</v>
      </c>
      <c r="D823" t="inlineStr">
        <is>
          <t>VÄSTERNORRLANDS LÄN</t>
        </is>
      </c>
      <c r="E823" t="inlineStr">
        <is>
          <t>SOLLEFTEÅ</t>
        </is>
      </c>
      <c r="F823" t="inlineStr">
        <is>
          <t>SCA</t>
        </is>
      </c>
      <c r="G823" t="n">
        <v>9.6</v>
      </c>
      <c r="H823" t="n">
        <v>0</v>
      </c>
      <c r="I823" t="n">
        <v>0</v>
      </c>
      <c r="J823" t="n">
        <v>0</v>
      </c>
      <c r="K823" t="n">
        <v>0</v>
      </c>
      <c r="L823" t="n">
        <v>0</v>
      </c>
      <c r="M823" t="n">
        <v>0</v>
      </c>
      <c r="N823" t="n">
        <v>0</v>
      </c>
      <c r="O823" t="n">
        <v>0</v>
      </c>
      <c r="P823" t="n">
        <v>0</v>
      </c>
      <c r="Q823" t="n">
        <v>0</v>
      </c>
      <c r="R823" s="2" t="inlineStr"/>
    </row>
    <row r="824" ht="15" customHeight="1">
      <c r="A824" t="inlineStr">
        <is>
          <t>A 38931-2025</t>
        </is>
      </c>
      <c r="B824" s="1" t="n">
        <v>45887.63664351852</v>
      </c>
      <c r="C824" s="1" t="n">
        <v>46060</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25517-2025</t>
        </is>
      </c>
      <c r="B825" s="1" t="n">
        <v>45803.37570601852</v>
      </c>
      <c r="C825" s="1" t="n">
        <v>46060</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25145-2025</t>
        </is>
      </c>
      <c r="B826" s="1" t="n">
        <v>45800</v>
      </c>
      <c r="C826" s="1" t="n">
        <v>46060</v>
      </c>
      <c r="D826" t="inlineStr">
        <is>
          <t>VÄSTERNORRLANDS LÄN</t>
        </is>
      </c>
      <c r="E826" t="inlineStr">
        <is>
          <t>SOLLEFTEÅ</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46060</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52438-2024</t>
        </is>
      </c>
      <c r="B828" s="1" t="n">
        <v>45609.48300925926</v>
      </c>
      <c r="C828" s="1" t="n">
        <v>46060</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40115-2023</t>
        </is>
      </c>
      <c r="B829" s="1" t="n">
        <v>45168.93859953704</v>
      </c>
      <c r="C829" s="1" t="n">
        <v>46060</v>
      </c>
      <c r="D829" t="inlineStr">
        <is>
          <t>VÄSTERNORRLANDS LÄN</t>
        </is>
      </c>
      <c r="E829" t="inlineStr">
        <is>
          <t>SOLLEFTEÅ</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12730-2023</t>
        </is>
      </c>
      <c r="B830" s="1" t="n">
        <v>45000.92381944445</v>
      </c>
      <c r="C830" s="1" t="n">
        <v>46060</v>
      </c>
      <c r="D830" t="inlineStr">
        <is>
          <t>VÄSTERNORRLANDS LÄN</t>
        </is>
      </c>
      <c r="E830" t="inlineStr">
        <is>
          <t>SOLLEFTEÅ</t>
        </is>
      </c>
      <c r="G830" t="n">
        <v>7.4</v>
      </c>
      <c r="H830" t="n">
        <v>0</v>
      </c>
      <c r="I830" t="n">
        <v>0</v>
      </c>
      <c r="J830" t="n">
        <v>0</v>
      </c>
      <c r="K830" t="n">
        <v>0</v>
      </c>
      <c r="L830" t="n">
        <v>0</v>
      </c>
      <c r="M830" t="n">
        <v>0</v>
      </c>
      <c r="N830" t="n">
        <v>0</v>
      </c>
      <c r="O830" t="n">
        <v>0</v>
      </c>
      <c r="P830" t="n">
        <v>0</v>
      </c>
      <c r="Q830" t="n">
        <v>0</v>
      </c>
      <c r="R830" s="2" t="inlineStr"/>
    </row>
    <row r="831" ht="15" customHeight="1">
      <c r="A831" t="inlineStr">
        <is>
          <t>A 12733-2023</t>
        </is>
      </c>
      <c r="B831" s="1" t="n">
        <v>45000</v>
      </c>
      <c r="C831" s="1" t="n">
        <v>46060</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25297-2025</t>
        </is>
      </c>
      <c r="B832" s="1" t="n">
        <v>45800.5684837963</v>
      </c>
      <c r="C832" s="1" t="n">
        <v>46060</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25079-2023</t>
        </is>
      </c>
      <c r="B833" s="1" t="n">
        <v>45086</v>
      </c>
      <c r="C833" s="1" t="n">
        <v>46060</v>
      </c>
      <c r="D833" t="inlineStr">
        <is>
          <t>VÄSTERNORRLANDS LÄN</t>
        </is>
      </c>
      <c r="E833" t="inlineStr">
        <is>
          <t>SOLLEFTEÅ</t>
        </is>
      </c>
      <c r="F833" t="inlineStr">
        <is>
          <t>Kommuner</t>
        </is>
      </c>
      <c r="G833" t="n">
        <v>0.9</v>
      </c>
      <c r="H833" t="n">
        <v>0</v>
      </c>
      <c r="I833" t="n">
        <v>0</v>
      </c>
      <c r="J833" t="n">
        <v>0</v>
      </c>
      <c r="K833" t="n">
        <v>0</v>
      </c>
      <c r="L833" t="n">
        <v>0</v>
      </c>
      <c r="M833" t="n">
        <v>0</v>
      </c>
      <c r="N833" t="n">
        <v>0</v>
      </c>
      <c r="O833" t="n">
        <v>0</v>
      </c>
      <c r="P833" t="n">
        <v>0</v>
      </c>
      <c r="Q833" t="n">
        <v>0</v>
      </c>
      <c r="R833" s="2" t="inlineStr"/>
    </row>
    <row r="834" ht="15" customHeight="1">
      <c r="A834" t="inlineStr">
        <is>
          <t>A 37381-2023</t>
        </is>
      </c>
      <c r="B834" s="1" t="n">
        <v>45155</v>
      </c>
      <c r="C834" s="1" t="n">
        <v>46060</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34316-2024</t>
        </is>
      </c>
      <c r="B835" s="1" t="n">
        <v>45524</v>
      </c>
      <c r="C835" s="1" t="n">
        <v>46060</v>
      </c>
      <c r="D835" t="inlineStr">
        <is>
          <t>VÄSTERNORRLANDS LÄN</t>
        </is>
      </c>
      <c r="E835" t="inlineStr">
        <is>
          <t>SOLLEFTEÅ</t>
        </is>
      </c>
      <c r="F835" t="inlineStr">
        <is>
          <t>Övriga statliga verk och myndigheter</t>
        </is>
      </c>
      <c r="G835" t="n">
        <v>0.5</v>
      </c>
      <c r="H835" t="n">
        <v>0</v>
      </c>
      <c r="I835" t="n">
        <v>0</v>
      </c>
      <c r="J835" t="n">
        <v>0</v>
      </c>
      <c r="K835" t="n">
        <v>0</v>
      </c>
      <c r="L835" t="n">
        <v>0</v>
      </c>
      <c r="M835" t="n">
        <v>0</v>
      </c>
      <c r="N835" t="n">
        <v>0</v>
      </c>
      <c r="O835" t="n">
        <v>0</v>
      </c>
      <c r="P835" t="n">
        <v>0</v>
      </c>
      <c r="Q835" t="n">
        <v>0</v>
      </c>
      <c r="R835" s="2" t="inlineStr"/>
    </row>
    <row r="836" ht="15" customHeight="1">
      <c r="A836" t="inlineStr">
        <is>
          <t>A 49417-2023</t>
        </is>
      </c>
      <c r="B836" s="1" t="n">
        <v>45205</v>
      </c>
      <c r="C836" s="1" t="n">
        <v>46060</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21364-2024</t>
        </is>
      </c>
      <c r="B837" s="1" t="n">
        <v>45440.95248842592</v>
      </c>
      <c r="C837" s="1" t="n">
        <v>46060</v>
      </c>
      <c r="D837" t="inlineStr">
        <is>
          <t>VÄSTERNORRLANDS LÄN</t>
        </is>
      </c>
      <c r="E837" t="inlineStr">
        <is>
          <t>SOLLEFTEÅ</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25132-2025</t>
        </is>
      </c>
      <c r="B838" s="1" t="n">
        <v>45800</v>
      </c>
      <c r="C838" s="1" t="n">
        <v>46060</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38492-2025</t>
        </is>
      </c>
      <c r="B839" s="1" t="n">
        <v>45884.36496527777</v>
      </c>
      <c r="C839" s="1" t="n">
        <v>46060</v>
      </c>
      <c r="D839" t="inlineStr">
        <is>
          <t>VÄSTERNORRLANDS LÄN</t>
        </is>
      </c>
      <c r="E839" t="inlineStr">
        <is>
          <t>SOLLEFTEÅ</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25833-2025</t>
        </is>
      </c>
      <c r="B840" s="1" t="n">
        <v>45804.44827546296</v>
      </c>
      <c r="C840" s="1" t="n">
        <v>46060</v>
      </c>
      <c r="D840" t="inlineStr">
        <is>
          <t>VÄSTERNORRLANDS LÄN</t>
        </is>
      </c>
      <c r="E840" t="inlineStr">
        <is>
          <t>SOLLEFTEÅ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47471-2024</t>
        </is>
      </c>
      <c r="B841" s="1" t="n">
        <v>45587.57324074074</v>
      </c>
      <c r="C841" s="1" t="n">
        <v>46060</v>
      </c>
      <c r="D841" t="inlineStr">
        <is>
          <t>VÄSTERNORRLANDS LÄN</t>
        </is>
      </c>
      <c r="E841" t="inlineStr">
        <is>
          <t>SOLLEFTEÅ</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46060</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66178-2021</t>
        </is>
      </c>
      <c r="B843" s="1" t="n">
        <v>44517</v>
      </c>
      <c r="C843" s="1" t="n">
        <v>46060</v>
      </c>
      <c r="D843" t="inlineStr">
        <is>
          <t>VÄSTERNORRLANDS LÄN</t>
        </is>
      </c>
      <c r="E843" t="inlineStr">
        <is>
          <t>SOLLEFTEÅ</t>
        </is>
      </c>
      <c r="F843" t="inlineStr">
        <is>
          <t>SCA</t>
        </is>
      </c>
      <c r="G843" t="n">
        <v>31.7</v>
      </c>
      <c r="H843" t="n">
        <v>0</v>
      </c>
      <c r="I843" t="n">
        <v>0</v>
      </c>
      <c r="J843" t="n">
        <v>0</v>
      </c>
      <c r="K843" t="n">
        <v>0</v>
      </c>
      <c r="L843" t="n">
        <v>0</v>
      </c>
      <c r="M843" t="n">
        <v>0</v>
      </c>
      <c r="N843" t="n">
        <v>0</v>
      </c>
      <c r="O843" t="n">
        <v>0</v>
      </c>
      <c r="P843" t="n">
        <v>0</v>
      </c>
      <c r="Q843" t="n">
        <v>0</v>
      </c>
      <c r="R843" s="2" t="inlineStr"/>
    </row>
    <row r="844" ht="15" customHeight="1">
      <c r="A844" t="inlineStr">
        <is>
          <t>A 73367-2021</t>
        </is>
      </c>
      <c r="B844" s="1" t="n">
        <v>44550</v>
      </c>
      <c r="C844" s="1" t="n">
        <v>46060</v>
      </c>
      <c r="D844" t="inlineStr">
        <is>
          <t>VÄSTERNORRLANDS LÄN</t>
        </is>
      </c>
      <c r="E844" t="inlineStr">
        <is>
          <t>SOLLEFTEÅ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12022-2022</t>
        </is>
      </c>
      <c r="B845" s="1" t="n">
        <v>44635.94396990741</v>
      </c>
      <c r="C845" s="1" t="n">
        <v>46060</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25963-2025</t>
        </is>
      </c>
      <c r="B846" s="1" t="n">
        <v>45804.61568287037</v>
      </c>
      <c r="C846" s="1" t="n">
        <v>46060</v>
      </c>
      <c r="D846" t="inlineStr">
        <is>
          <t>VÄSTERNORRLANDS LÄN</t>
        </is>
      </c>
      <c r="E846" t="inlineStr">
        <is>
          <t>SOLLEFTEÅ</t>
        </is>
      </c>
      <c r="G846" t="n">
        <v>4.3</v>
      </c>
      <c r="H846" t="n">
        <v>0</v>
      </c>
      <c r="I846" t="n">
        <v>0</v>
      </c>
      <c r="J846" t="n">
        <v>0</v>
      </c>
      <c r="K846" t="n">
        <v>0</v>
      </c>
      <c r="L846" t="n">
        <v>0</v>
      </c>
      <c r="M846" t="n">
        <v>0</v>
      </c>
      <c r="N846" t="n">
        <v>0</v>
      </c>
      <c r="O846" t="n">
        <v>0</v>
      </c>
      <c r="P846" t="n">
        <v>0</v>
      </c>
      <c r="Q846" t="n">
        <v>0</v>
      </c>
      <c r="R846" s="2" t="inlineStr"/>
    </row>
    <row r="847" ht="15" customHeight="1">
      <c r="A847" t="inlineStr">
        <is>
          <t>A 56261-2023</t>
        </is>
      </c>
      <c r="B847" s="1" t="n">
        <v>45240</v>
      </c>
      <c r="C847" s="1" t="n">
        <v>46060</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32733-2023</t>
        </is>
      </c>
      <c r="B848" s="1" t="n">
        <v>45121</v>
      </c>
      <c r="C848" s="1" t="n">
        <v>46060</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30464-2024</t>
        </is>
      </c>
      <c r="B849" s="1" t="n">
        <v>45491.94599537037</v>
      </c>
      <c r="C849" s="1" t="n">
        <v>46060</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30466-2024</t>
        </is>
      </c>
      <c r="B850" s="1" t="n">
        <v>45491.94641203704</v>
      </c>
      <c r="C850" s="1" t="n">
        <v>46060</v>
      </c>
      <c r="D850" t="inlineStr">
        <is>
          <t>VÄSTERNORRLANDS LÄN</t>
        </is>
      </c>
      <c r="E850" t="inlineStr">
        <is>
          <t>SOLLEFTEÅ</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7332-2023</t>
        </is>
      </c>
      <c r="B851" s="1" t="n">
        <v>44970</v>
      </c>
      <c r="C851" s="1" t="n">
        <v>46060</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53379-2023</t>
        </is>
      </c>
      <c r="B852" s="1" t="n">
        <v>45222</v>
      </c>
      <c r="C852" s="1" t="n">
        <v>46060</v>
      </c>
      <c r="D852" t="inlineStr">
        <is>
          <t>VÄSTERNORRLANDS LÄN</t>
        </is>
      </c>
      <c r="E852" t="inlineStr">
        <is>
          <t>SOLLEFTEÅ</t>
        </is>
      </c>
      <c r="G852" t="n">
        <v>3.2</v>
      </c>
      <c r="H852" t="n">
        <v>0</v>
      </c>
      <c r="I852" t="n">
        <v>0</v>
      </c>
      <c r="J852" t="n">
        <v>0</v>
      </c>
      <c r="K852" t="n">
        <v>0</v>
      </c>
      <c r="L852" t="n">
        <v>0</v>
      </c>
      <c r="M852" t="n">
        <v>0</v>
      </c>
      <c r="N852" t="n">
        <v>0</v>
      </c>
      <c r="O852" t="n">
        <v>0</v>
      </c>
      <c r="P852" t="n">
        <v>0</v>
      </c>
      <c r="Q852" t="n">
        <v>0</v>
      </c>
      <c r="R852" s="2" t="inlineStr"/>
    </row>
    <row r="853" ht="15" customHeight="1">
      <c r="A853" t="inlineStr">
        <is>
          <t>A 48489-2024</t>
        </is>
      </c>
      <c r="B853" s="1" t="n">
        <v>45592</v>
      </c>
      <c r="C853" s="1" t="n">
        <v>46060</v>
      </c>
      <c r="D853" t="inlineStr">
        <is>
          <t>VÄSTERNORRLANDS LÄN</t>
        </is>
      </c>
      <c r="E853" t="inlineStr">
        <is>
          <t>SOLLEFTEÅ</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59579-2023</t>
        </is>
      </c>
      <c r="B854" s="1" t="n">
        <v>45253</v>
      </c>
      <c r="C854" s="1" t="n">
        <v>46060</v>
      </c>
      <c r="D854" t="inlineStr">
        <is>
          <t>VÄSTERNORRLANDS LÄN</t>
        </is>
      </c>
      <c r="E854" t="inlineStr">
        <is>
          <t>SOLLEFTEÅ</t>
        </is>
      </c>
      <c r="G854" t="n">
        <v>6.2</v>
      </c>
      <c r="H854" t="n">
        <v>0</v>
      </c>
      <c r="I854" t="n">
        <v>0</v>
      </c>
      <c r="J854" t="n">
        <v>0</v>
      </c>
      <c r="K854" t="n">
        <v>0</v>
      </c>
      <c r="L854" t="n">
        <v>0</v>
      </c>
      <c r="M854" t="n">
        <v>0</v>
      </c>
      <c r="N854" t="n">
        <v>0</v>
      </c>
      <c r="O854" t="n">
        <v>0</v>
      </c>
      <c r="P854" t="n">
        <v>0</v>
      </c>
      <c r="Q854" t="n">
        <v>0</v>
      </c>
      <c r="R854" s="2" t="inlineStr"/>
    </row>
    <row r="855" ht="15" customHeight="1">
      <c r="A855" t="inlineStr">
        <is>
          <t>A 9950-2025</t>
        </is>
      </c>
      <c r="B855" s="1" t="n">
        <v>45719.34416666667</v>
      </c>
      <c r="C855" s="1" t="n">
        <v>46060</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60328-2023</t>
        </is>
      </c>
      <c r="B856" s="1" t="n">
        <v>45258</v>
      </c>
      <c r="C856" s="1" t="n">
        <v>46060</v>
      </c>
      <c r="D856" t="inlineStr">
        <is>
          <t>VÄSTERNORRLANDS LÄN</t>
        </is>
      </c>
      <c r="E856" t="inlineStr">
        <is>
          <t>SOLLEFTEÅ</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32735-2023</t>
        </is>
      </c>
      <c r="B857" s="1" t="n">
        <v>45121</v>
      </c>
      <c r="C857" s="1" t="n">
        <v>46060</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25939-2025</t>
        </is>
      </c>
      <c r="B858" s="1" t="n">
        <v>45804.5943287037</v>
      </c>
      <c r="C858" s="1" t="n">
        <v>46060</v>
      </c>
      <c r="D858" t="inlineStr">
        <is>
          <t>VÄSTERNORRLANDS LÄN</t>
        </is>
      </c>
      <c r="E858" t="inlineStr">
        <is>
          <t>SOLLEFTEÅ</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57107-2024</t>
        </is>
      </c>
      <c r="B859" s="1" t="n">
        <v>45629</v>
      </c>
      <c r="C859" s="1" t="n">
        <v>46060</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26088-2025</t>
        </is>
      </c>
      <c r="B860" s="1" t="n">
        <v>45805.34497685185</v>
      </c>
      <c r="C860" s="1" t="n">
        <v>46060</v>
      </c>
      <c r="D860" t="inlineStr">
        <is>
          <t>VÄSTERNORRLANDS LÄN</t>
        </is>
      </c>
      <c r="E860" t="inlineStr">
        <is>
          <t>SOLLEFTEÅ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25854-2025</t>
        </is>
      </c>
      <c r="B861" s="1" t="n">
        <v>45804.46920138889</v>
      </c>
      <c r="C861" s="1" t="n">
        <v>46060</v>
      </c>
      <c r="D861" t="inlineStr">
        <is>
          <t>VÄSTERNORRLANDS LÄN</t>
        </is>
      </c>
      <c r="E861" t="inlineStr">
        <is>
          <t>SOLLEFTEÅ</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27943-2022</t>
        </is>
      </c>
      <c r="B862" s="1" t="n">
        <v>44743</v>
      </c>
      <c r="C862" s="1" t="n">
        <v>46060</v>
      </c>
      <c r="D862" t="inlineStr">
        <is>
          <t>VÄSTERNORRLANDS LÄN</t>
        </is>
      </c>
      <c r="E862" t="inlineStr">
        <is>
          <t>SOLLEFTEÅ</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15154-2024</t>
        </is>
      </c>
      <c r="B863" s="1" t="n">
        <v>45399.94466435185</v>
      </c>
      <c r="C863" s="1" t="n">
        <v>46060</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25855-2025</t>
        </is>
      </c>
      <c r="B864" s="1" t="n">
        <v>45804.46934027778</v>
      </c>
      <c r="C864" s="1" t="n">
        <v>46060</v>
      </c>
      <c r="D864" t="inlineStr">
        <is>
          <t>VÄSTERNORRLANDS LÄN</t>
        </is>
      </c>
      <c r="E864" t="inlineStr">
        <is>
          <t>SOLLEFTEÅ</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25857-2025</t>
        </is>
      </c>
      <c r="B865" s="1" t="n">
        <v>45804.46956018519</v>
      </c>
      <c r="C865" s="1" t="n">
        <v>46060</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26477-2025</t>
        </is>
      </c>
      <c r="B866" s="1" t="n">
        <v>45807.47011574074</v>
      </c>
      <c r="C866" s="1" t="n">
        <v>46060</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26409-2025</t>
        </is>
      </c>
      <c r="B867" s="1" t="n">
        <v>45807.344375</v>
      </c>
      <c r="C867" s="1" t="n">
        <v>46060</v>
      </c>
      <c r="D867" t="inlineStr">
        <is>
          <t>VÄSTERNORRLANDS LÄN</t>
        </is>
      </c>
      <c r="E867" t="inlineStr">
        <is>
          <t>SOLLEFTEÅ</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10256-2023</t>
        </is>
      </c>
      <c r="B868" s="1" t="n">
        <v>44980</v>
      </c>
      <c r="C868" s="1" t="n">
        <v>46060</v>
      </c>
      <c r="D868" t="inlineStr">
        <is>
          <t>VÄSTERNORRLANDS LÄN</t>
        </is>
      </c>
      <c r="E868" t="inlineStr">
        <is>
          <t>SOLLEFTEÅ</t>
        </is>
      </c>
      <c r="G868" t="n">
        <v>6.4</v>
      </c>
      <c r="H868" t="n">
        <v>0</v>
      </c>
      <c r="I868" t="n">
        <v>0</v>
      </c>
      <c r="J868" t="n">
        <v>0</v>
      </c>
      <c r="K868" t="n">
        <v>0</v>
      </c>
      <c r="L868" t="n">
        <v>0</v>
      </c>
      <c r="M868" t="n">
        <v>0</v>
      </c>
      <c r="N868" t="n">
        <v>0</v>
      </c>
      <c r="O868" t="n">
        <v>0</v>
      </c>
      <c r="P868" t="n">
        <v>0</v>
      </c>
      <c r="Q868" t="n">
        <v>0</v>
      </c>
      <c r="R868" s="2" t="inlineStr"/>
    </row>
    <row r="869" ht="15" customHeight="1">
      <c r="A869" t="inlineStr">
        <is>
          <t>A 26426-2025</t>
        </is>
      </c>
      <c r="B869" s="1" t="n">
        <v>45807.38574074074</v>
      </c>
      <c r="C869" s="1" t="n">
        <v>46060</v>
      </c>
      <c r="D869" t="inlineStr">
        <is>
          <t>VÄSTERNORRLANDS LÄN</t>
        </is>
      </c>
      <c r="E869" t="inlineStr">
        <is>
          <t>SOLLEFTEÅ</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35795-2024</t>
        </is>
      </c>
      <c r="B870" s="1" t="n">
        <v>45532</v>
      </c>
      <c r="C870" s="1" t="n">
        <v>46060</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35803-2024</t>
        </is>
      </c>
      <c r="B871" s="1" t="n">
        <v>45532.64506944444</v>
      </c>
      <c r="C871" s="1" t="n">
        <v>46060</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26570-2025</t>
        </is>
      </c>
      <c r="B872" s="1" t="n">
        <v>45807.67743055556</v>
      </c>
      <c r="C872" s="1" t="n">
        <v>46060</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39433-2025</t>
        </is>
      </c>
      <c r="B873" s="1" t="n">
        <v>45889.67799768518</v>
      </c>
      <c r="C873" s="1" t="n">
        <v>46060</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26478-2025</t>
        </is>
      </c>
      <c r="B874" s="1" t="n">
        <v>45807.47013888889</v>
      </c>
      <c r="C874" s="1" t="n">
        <v>46060</v>
      </c>
      <c r="D874" t="inlineStr">
        <is>
          <t>VÄSTERNORRLANDS LÄN</t>
        </is>
      </c>
      <c r="E874" t="inlineStr">
        <is>
          <t>SOLLEFTEÅ</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13492-2022</t>
        </is>
      </c>
      <c r="B875" s="1" t="n">
        <v>44646.92120370371</v>
      </c>
      <c r="C875" s="1" t="n">
        <v>46060</v>
      </c>
      <c r="D875" t="inlineStr">
        <is>
          <t>VÄSTERNORRLANDS LÄN</t>
        </is>
      </c>
      <c r="E875" t="inlineStr">
        <is>
          <t>SOLLEFTEÅ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26916-2025</t>
        </is>
      </c>
      <c r="B876" s="1" t="n">
        <v>45811.37184027778</v>
      </c>
      <c r="C876" s="1" t="n">
        <v>46060</v>
      </c>
      <c r="D876" t="inlineStr">
        <is>
          <t>VÄSTERNORRLANDS LÄN</t>
        </is>
      </c>
      <c r="E876" t="inlineStr">
        <is>
          <t>SOLLEFTEÅ</t>
        </is>
      </c>
      <c r="G876" t="n">
        <v>6.7</v>
      </c>
      <c r="H876" t="n">
        <v>0</v>
      </c>
      <c r="I876" t="n">
        <v>0</v>
      </c>
      <c r="J876" t="n">
        <v>0</v>
      </c>
      <c r="K876" t="n">
        <v>0</v>
      </c>
      <c r="L876" t="n">
        <v>0</v>
      </c>
      <c r="M876" t="n">
        <v>0</v>
      </c>
      <c r="N876" t="n">
        <v>0</v>
      </c>
      <c r="O876" t="n">
        <v>0</v>
      </c>
      <c r="P876" t="n">
        <v>0</v>
      </c>
      <c r="Q876" t="n">
        <v>0</v>
      </c>
      <c r="R876" s="2" t="inlineStr"/>
    </row>
    <row r="877" ht="15" customHeight="1">
      <c r="A877" t="inlineStr">
        <is>
          <t>A 39195-2025</t>
        </is>
      </c>
      <c r="B877" s="1" t="n">
        <v>45888</v>
      </c>
      <c r="C877" s="1" t="n">
        <v>46060</v>
      </c>
      <c r="D877" t="inlineStr">
        <is>
          <t>VÄSTERNORRLANDS LÄN</t>
        </is>
      </c>
      <c r="E877" t="inlineStr">
        <is>
          <t>SOLLEFTEÅ</t>
        </is>
      </c>
      <c r="G877" t="n">
        <v>4.7</v>
      </c>
      <c r="H877" t="n">
        <v>0</v>
      </c>
      <c r="I877" t="n">
        <v>0</v>
      </c>
      <c r="J877" t="n">
        <v>0</v>
      </c>
      <c r="K877" t="n">
        <v>0</v>
      </c>
      <c r="L877" t="n">
        <v>0</v>
      </c>
      <c r="M877" t="n">
        <v>0</v>
      </c>
      <c r="N877" t="n">
        <v>0</v>
      </c>
      <c r="O877" t="n">
        <v>0</v>
      </c>
      <c r="P877" t="n">
        <v>0</v>
      </c>
      <c r="Q877" t="n">
        <v>0</v>
      </c>
      <c r="R877" s="2" t="inlineStr"/>
    </row>
    <row r="878" ht="15" customHeight="1">
      <c r="A878" t="inlineStr">
        <is>
          <t>A 11039-2023</t>
        </is>
      </c>
      <c r="B878" s="1" t="n">
        <v>44991.94622685185</v>
      </c>
      <c r="C878" s="1" t="n">
        <v>46060</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25243-2025</t>
        </is>
      </c>
      <c r="B879" s="1" t="n">
        <v>45800.49063657408</v>
      </c>
      <c r="C879" s="1" t="n">
        <v>46060</v>
      </c>
      <c r="D879" t="inlineStr">
        <is>
          <t>VÄSTERNORRLANDS LÄN</t>
        </is>
      </c>
      <c r="E879" t="inlineStr">
        <is>
          <t>SOLLEFTEÅ</t>
        </is>
      </c>
      <c r="G879" t="n">
        <v>3.2</v>
      </c>
      <c r="H879" t="n">
        <v>0</v>
      </c>
      <c r="I879" t="n">
        <v>0</v>
      </c>
      <c r="J879" t="n">
        <v>0</v>
      </c>
      <c r="K879" t="n">
        <v>0</v>
      </c>
      <c r="L879" t="n">
        <v>0</v>
      </c>
      <c r="M879" t="n">
        <v>0</v>
      </c>
      <c r="N879" t="n">
        <v>0</v>
      </c>
      <c r="O879" t="n">
        <v>0</v>
      </c>
      <c r="P879" t="n">
        <v>0</v>
      </c>
      <c r="Q879" t="n">
        <v>0</v>
      </c>
      <c r="R879" s="2" t="inlineStr"/>
    </row>
    <row r="880" ht="15" customHeight="1">
      <c r="A880" t="inlineStr">
        <is>
          <t>A 52709-2024</t>
        </is>
      </c>
      <c r="B880" s="1" t="n">
        <v>45610.42753472222</v>
      </c>
      <c r="C880" s="1" t="n">
        <v>46060</v>
      </c>
      <c r="D880" t="inlineStr">
        <is>
          <t>VÄSTERNORRLANDS LÄN</t>
        </is>
      </c>
      <c r="E880" t="inlineStr">
        <is>
          <t>SOLLEFTEÅ</t>
        </is>
      </c>
      <c r="F880" t="inlineStr">
        <is>
          <t>SCA</t>
        </is>
      </c>
      <c r="G880" t="n">
        <v>11.6</v>
      </c>
      <c r="H880" t="n">
        <v>0</v>
      </c>
      <c r="I880" t="n">
        <v>0</v>
      </c>
      <c r="J880" t="n">
        <v>0</v>
      </c>
      <c r="K880" t="n">
        <v>0</v>
      </c>
      <c r="L880" t="n">
        <v>0</v>
      </c>
      <c r="M880" t="n">
        <v>0</v>
      </c>
      <c r="N880" t="n">
        <v>0</v>
      </c>
      <c r="O880" t="n">
        <v>0</v>
      </c>
      <c r="P880" t="n">
        <v>0</v>
      </c>
      <c r="Q880" t="n">
        <v>0</v>
      </c>
      <c r="R880" s="2" t="inlineStr"/>
    </row>
    <row r="881" ht="15" customHeight="1">
      <c r="A881" t="inlineStr">
        <is>
          <t>A 44533-2023</t>
        </is>
      </c>
      <c r="B881" s="1" t="n">
        <v>45183</v>
      </c>
      <c r="C881" s="1" t="n">
        <v>46060</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26642-2025</t>
        </is>
      </c>
      <c r="B882" s="1" t="n">
        <v>45810.36521990741</v>
      </c>
      <c r="C882" s="1" t="n">
        <v>46060</v>
      </c>
      <c r="D882" t="inlineStr">
        <is>
          <t>VÄSTERNORRLANDS LÄN</t>
        </is>
      </c>
      <c r="E882" t="inlineStr">
        <is>
          <t>SOLLEFTEÅ</t>
        </is>
      </c>
      <c r="G882" t="n">
        <v>4.2</v>
      </c>
      <c r="H882" t="n">
        <v>0</v>
      </c>
      <c r="I882" t="n">
        <v>0</v>
      </c>
      <c r="J882" t="n">
        <v>0</v>
      </c>
      <c r="K882" t="n">
        <v>0</v>
      </c>
      <c r="L882" t="n">
        <v>0</v>
      </c>
      <c r="M882" t="n">
        <v>0</v>
      </c>
      <c r="N882" t="n">
        <v>0</v>
      </c>
      <c r="O882" t="n">
        <v>0</v>
      </c>
      <c r="P882" t="n">
        <v>0</v>
      </c>
      <c r="Q882" t="n">
        <v>0</v>
      </c>
      <c r="R882" s="2" t="inlineStr"/>
    </row>
    <row r="883" ht="15" customHeight="1">
      <c r="A883" t="inlineStr">
        <is>
          <t>A 25847-2024</t>
        </is>
      </c>
      <c r="B883" s="1" t="n">
        <v>45467</v>
      </c>
      <c r="C883" s="1" t="n">
        <v>46060</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40819-2024</t>
        </is>
      </c>
      <c r="B884" s="1" t="n">
        <v>45558.55271990741</v>
      </c>
      <c r="C884" s="1" t="n">
        <v>46060</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46060</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25242-2025</t>
        </is>
      </c>
      <c r="B886" s="1" t="n">
        <v>45800.49059027778</v>
      </c>
      <c r="C886" s="1" t="n">
        <v>46060</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26641-2025</t>
        </is>
      </c>
      <c r="B887" s="1" t="n">
        <v>45810.36509259259</v>
      </c>
      <c r="C887" s="1" t="n">
        <v>46060</v>
      </c>
      <c r="D887" t="inlineStr">
        <is>
          <t>VÄSTERNORRLANDS LÄN</t>
        </is>
      </c>
      <c r="E887" t="inlineStr">
        <is>
          <t>SOLLEFTEÅ</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64115-2023</t>
        </is>
      </c>
      <c r="B888" s="1" t="n">
        <v>45279</v>
      </c>
      <c r="C888" s="1" t="n">
        <v>46060</v>
      </c>
      <c r="D888" t="inlineStr">
        <is>
          <t>VÄSTERNORRLANDS LÄN</t>
        </is>
      </c>
      <c r="E888" t="inlineStr">
        <is>
          <t>SOLLEFTEÅ</t>
        </is>
      </c>
      <c r="G888" t="n">
        <v>16.1</v>
      </c>
      <c r="H888" t="n">
        <v>0</v>
      </c>
      <c r="I888" t="n">
        <v>0</v>
      </c>
      <c r="J888" t="n">
        <v>0</v>
      </c>
      <c r="K888" t="n">
        <v>0</v>
      </c>
      <c r="L888" t="n">
        <v>0</v>
      </c>
      <c r="M888" t="n">
        <v>0</v>
      </c>
      <c r="N888" t="n">
        <v>0</v>
      </c>
      <c r="O888" t="n">
        <v>0</v>
      </c>
      <c r="P888" t="n">
        <v>0</v>
      </c>
      <c r="Q888" t="n">
        <v>0</v>
      </c>
      <c r="R888" s="2" t="inlineStr"/>
    </row>
    <row r="889" ht="15" customHeight="1">
      <c r="A889" t="inlineStr">
        <is>
          <t>A 26921-2025</t>
        </is>
      </c>
      <c r="B889" s="1" t="n">
        <v>45811.38575231482</v>
      </c>
      <c r="C889" s="1" t="n">
        <v>46060</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6284-2025</t>
        </is>
      </c>
      <c r="B890" s="1" t="n">
        <v>45698.63611111111</v>
      </c>
      <c r="C890" s="1" t="n">
        <v>46060</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26953-2025</t>
        </is>
      </c>
      <c r="B891" s="1" t="n">
        <v>45811.44856481482</v>
      </c>
      <c r="C891" s="1" t="n">
        <v>46060</v>
      </c>
      <c r="D891" t="inlineStr">
        <is>
          <t>VÄSTERNORRLANDS LÄN</t>
        </is>
      </c>
      <c r="E891" t="inlineStr">
        <is>
          <t>SOLLEFTEÅ</t>
        </is>
      </c>
      <c r="F891" t="inlineStr">
        <is>
          <t>SCA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8033-2024</t>
        </is>
      </c>
      <c r="B892" s="1" t="n">
        <v>45350.95284722222</v>
      </c>
      <c r="C892" s="1" t="n">
        <v>46060</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26733-2025</t>
        </is>
      </c>
      <c r="B893" s="1" t="n">
        <v>45810.51078703703</v>
      </c>
      <c r="C893" s="1" t="n">
        <v>46060</v>
      </c>
      <c r="D893" t="inlineStr">
        <is>
          <t>VÄSTERNORRLANDS LÄN</t>
        </is>
      </c>
      <c r="E893" t="inlineStr">
        <is>
          <t>SOLLEFTEÅ</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9966-2025</t>
        </is>
      </c>
      <c r="B894" s="1" t="n">
        <v>45719</v>
      </c>
      <c r="C894" s="1" t="n">
        <v>46060</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20204-2025</t>
        </is>
      </c>
      <c r="B895" s="1" t="n">
        <v>45772.61537037037</v>
      </c>
      <c r="C895" s="1" t="n">
        <v>46060</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24461-2024</t>
        </is>
      </c>
      <c r="B896" s="1" t="n">
        <v>45457.96806712963</v>
      </c>
      <c r="C896" s="1" t="n">
        <v>46060</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64133-2023</t>
        </is>
      </c>
      <c r="B897" s="1" t="n">
        <v>45279</v>
      </c>
      <c r="C897" s="1" t="n">
        <v>46060</v>
      </c>
      <c r="D897" t="inlineStr">
        <is>
          <t>VÄSTERNORRLANDS LÄN</t>
        </is>
      </c>
      <c r="E897" t="inlineStr">
        <is>
          <t>SOLLEFTEÅ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7258-2024</t>
        </is>
      </c>
      <c r="B898" s="1" t="n">
        <v>45344.74564814815</v>
      </c>
      <c r="C898" s="1" t="n">
        <v>46060</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39287-2025</t>
        </is>
      </c>
      <c r="B899" s="1" t="n">
        <v>45889.40693287037</v>
      </c>
      <c r="C899" s="1" t="n">
        <v>46060</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39319-2025</t>
        </is>
      </c>
      <c r="B900" s="1" t="n">
        <v>45889.46916666667</v>
      </c>
      <c r="C900" s="1" t="n">
        <v>46060</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47965-2024</t>
        </is>
      </c>
      <c r="B901" s="1" t="n">
        <v>45589.38638888889</v>
      </c>
      <c r="C901" s="1" t="n">
        <v>46060</v>
      </c>
      <c r="D901" t="inlineStr">
        <is>
          <t>VÄSTERNORRLANDS LÄN</t>
        </is>
      </c>
      <c r="E901" t="inlineStr">
        <is>
          <t>SOLLEFTEÅ</t>
        </is>
      </c>
      <c r="G901" t="n">
        <v>3.4</v>
      </c>
      <c r="H901" t="n">
        <v>0</v>
      </c>
      <c r="I901" t="n">
        <v>0</v>
      </c>
      <c r="J901" t="n">
        <v>0</v>
      </c>
      <c r="K901" t="n">
        <v>0</v>
      </c>
      <c r="L901" t="n">
        <v>0</v>
      </c>
      <c r="M901" t="n">
        <v>0</v>
      </c>
      <c r="N901" t="n">
        <v>0</v>
      </c>
      <c r="O901" t="n">
        <v>0</v>
      </c>
      <c r="P901" t="n">
        <v>0</v>
      </c>
      <c r="Q901" t="n">
        <v>0</v>
      </c>
      <c r="R901" s="2" t="inlineStr"/>
    </row>
    <row r="902" ht="15" customHeight="1">
      <c r="A902" t="inlineStr">
        <is>
          <t>A 7184-2025</t>
        </is>
      </c>
      <c r="B902" s="1" t="n">
        <v>45702</v>
      </c>
      <c r="C902" s="1" t="n">
        <v>46060</v>
      </c>
      <c r="D902" t="inlineStr">
        <is>
          <t>VÄSTERNORRLANDS LÄN</t>
        </is>
      </c>
      <c r="E902" t="inlineStr">
        <is>
          <t>SOLLEFTEÅ</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6172-2022</t>
        </is>
      </c>
      <c r="B903" s="1" t="n">
        <v>44599.93700231481</v>
      </c>
      <c r="C903" s="1" t="n">
        <v>46060</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22473-2024</t>
        </is>
      </c>
      <c r="B904" s="1" t="n">
        <v>45446</v>
      </c>
      <c r="C904" s="1" t="n">
        <v>46060</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26935-2025</t>
        </is>
      </c>
      <c r="B905" s="1" t="n">
        <v>45811.40413194444</v>
      </c>
      <c r="C905" s="1" t="n">
        <v>46060</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26952-2025</t>
        </is>
      </c>
      <c r="B906" s="1" t="n">
        <v>45811.4484375</v>
      </c>
      <c r="C906" s="1" t="n">
        <v>46060</v>
      </c>
      <c r="D906" t="inlineStr">
        <is>
          <t>VÄSTERNORRLANDS LÄN</t>
        </is>
      </c>
      <c r="E906" t="inlineStr">
        <is>
          <t>SOLLEFTEÅ</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31662-2024</t>
        </is>
      </c>
      <c r="B907" s="1" t="n">
        <v>45506.92857638889</v>
      </c>
      <c r="C907" s="1" t="n">
        <v>46060</v>
      </c>
      <c r="D907" t="inlineStr">
        <is>
          <t>VÄSTERNORRLANDS LÄN</t>
        </is>
      </c>
      <c r="E907" t="inlineStr">
        <is>
          <t>SOLLEFTEÅ</t>
        </is>
      </c>
      <c r="G907" t="n">
        <v>11.7</v>
      </c>
      <c r="H907" t="n">
        <v>0</v>
      </c>
      <c r="I907" t="n">
        <v>0</v>
      </c>
      <c r="J907" t="n">
        <v>0</v>
      </c>
      <c r="K907" t="n">
        <v>0</v>
      </c>
      <c r="L907" t="n">
        <v>0</v>
      </c>
      <c r="M907" t="n">
        <v>0</v>
      </c>
      <c r="N907" t="n">
        <v>0</v>
      </c>
      <c r="O907" t="n">
        <v>0</v>
      </c>
      <c r="P907" t="n">
        <v>0</v>
      </c>
      <c r="Q907" t="n">
        <v>0</v>
      </c>
      <c r="R907" s="2" t="inlineStr"/>
    </row>
    <row r="908" ht="15" customHeight="1">
      <c r="A908" t="inlineStr">
        <is>
          <t>A 17096-2025</t>
        </is>
      </c>
      <c r="B908" s="1" t="n">
        <v>45755.65662037037</v>
      </c>
      <c r="C908" s="1" t="n">
        <v>46060</v>
      </c>
      <c r="D908" t="inlineStr">
        <is>
          <t>VÄSTERNORRLANDS LÄN</t>
        </is>
      </c>
      <c r="E908" t="inlineStr">
        <is>
          <t>SOLLEFTEÅ</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22750-2023</t>
        </is>
      </c>
      <c r="B909" s="1" t="n">
        <v>45071.94090277778</v>
      </c>
      <c r="C909" s="1" t="n">
        <v>46060</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31453-2022</t>
        </is>
      </c>
      <c r="B910" s="1" t="n">
        <v>44774.94159722222</v>
      </c>
      <c r="C910" s="1" t="n">
        <v>46060</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39270-2025</t>
        </is>
      </c>
      <c r="B911" s="1" t="n">
        <v>45889.38609953703</v>
      </c>
      <c r="C911" s="1" t="n">
        <v>46060</v>
      </c>
      <c r="D911" t="inlineStr">
        <is>
          <t>VÄSTERNORRLANDS LÄN</t>
        </is>
      </c>
      <c r="E911" t="inlineStr">
        <is>
          <t>SOLLEFTEÅ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39286-2025</t>
        </is>
      </c>
      <c r="B912" s="1" t="n">
        <v>45889.40690972222</v>
      </c>
      <c r="C912" s="1" t="n">
        <v>46060</v>
      </c>
      <c r="D912" t="inlineStr">
        <is>
          <t>VÄSTERNORRLANDS LÄN</t>
        </is>
      </c>
      <c r="E912" t="inlineStr">
        <is>
          <t>SOLLEFTEÅ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26896-2025</t>
        </is>
      </c>
      <c r="B913" s="1" t="n">
        <v>45811.33834490741</v>
      </c>
      <c r="C913" s="1" t="n">
        <v>46060</v>
      </c>
      <c r="D913" t="inlineStr">
        <is>
          <t>VÄSTERNORRLANDS LÄN</t>
        </is>
      </c>
      <c r="E913" t="inlineStr">
        <is>
          <t>SOLLEFTEÅ</t>
        </is>
      </c>
      <c r="G913" t="n">
        <v>8.5</v>
      </c>
      <c r="H913" t="n">
        <v>0</v>
      </c>
      <c r="I913" t="n">
        <v>0</v>
      </c>
      <c r="J913" t="n">
        <v>0</v>
      </c>
      <c r="K913" t="n">
        <v>0</v>
      </c>
      <c r="L913" t="n">
        <v>0</v>
      </c>
      <c r="M913" t="n">
        <v>0</v>
      </c>
      <c r="N913" t="n">
        <v>0</v>
      </c>
      <c r="O913" t="n">
        <v>0</v>
      </c>
      <c r="P913" t="n">
        <v>0</v>
      </c>
      <c r="Q913" t="n">
        <v>0</v>
      </c>
      <c r="R913" s="2" t="inlineStr"/>
    </row>
    <row r="914" ht="15" customHeight="1">
      <c r="A914" t="inlineStr">
        <is>
          <t>A 39656-2025</t>
        </is>
      </c>
      <c r="B914" s="1" t="n">
        <v>45890</v>
      </c>
      <c r="C914" s="1" t="n">
        <v>46060</v>
      </c>
      <c r="D914" t="inlineStr">
        <is>
          <t>VÄSTERNORRLANDS LÄN</t>
        </is>
      </c>
      <c r="E914" t="inlineStr">
        <is>
          <t>SOLLEFTEÅ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39515-2025</t>
        </is>
      </c>
      <c r="B915" s="1" t="n">
        <v>45890.42078703704</v>
      </c>
      <c r="C915" s="1" t="n">
        <v>46060</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27288-2025</t>
        </is>
      </c>
      <c r="B916" s="1" t="n">
        <v>45812.55234953704</v>
      </c>
      <c r="C916" s="1" t="n">
        <v>46060</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39449-2024</t>
        </is>
      </c>
      <c r="B917" s="1" t="n">
        <v>45551.61609953704</v>
      </c>
      <c r="C917" s="1" t="n">
        <v>46060</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39568-2025</t>
        </is>
      </c>
      <c r="B918" s="1" t="n">
        <v>45890.48993055556</v>
      </c>
      <c r="C918" s="1" t="n">
        <v>46060</v>
      </c>
      <c r="D918" t="inlineStr">
        <is>
          <t>VÄSTERNORRLANDS LÄN</t>
        </is>
      </c>
      <c r="E918" t="inlineStr">
        <is>
          <t>SOLLEFTEÅ</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39935-2025</t>
        </is>
      </c>
      <c r="B919" s="1" t="n">
        <v>45891</v>
      </c>
      <c r="C919" s="1" t="n">
        <v>46060</v>
      </c>
      <c r="D919" t="inlineStr">
        <is>
          <t>VÄSTERNORRLANDS LÄN</t>
        </is>
      </c>
      <c r="E919" t="inlineStr">
        <is>
          <t>SOLLEFTEÅ</t>
        </is>
      </c>
      <c r="G919" t="n">
        <v>1.7</v>
      </c>
      <c r="H919" t="n">
        <v>0</v>
      </c>
      <c r="I919" t="n">
        <v>0</v>
      </c>
      <c r="J919" t="n">
        <v>0</v>
      </c>
      <c r="K919" t="n">
        <v>0</v>
      </c>
      <c r="L919" t="n">
        <v>0</v>
      </c>
      <c r="M919" t="n">
        <v>0</v>
      </c>
      <c r="N919" t="n">
        <v>0</v>
      </c>
      <c r="O919" t="n">
        <v>0</v>
      </c>
      <c r="P919" t="n">
        <v>0</v>
      </c>
      <c r="Q919" t="n">
        <v>0</v>
      </c>
      <c r="R919" s="2" t="inlineStr"/>
    </row>
    <row r="920" ht="15" customHeight="1">
      <c r="A920" t="inlineStr">
        <is>
          <t>A 39475-2025</t>
        </is>
      </c>
      <c r="B920" s="1" t="n">
        <v>45890.34447916667</v>
      </c>
      <c r="C920" s="1" t="n">
        <v>46060</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27789-2024</t>
        </is>
      </c>
      <c r="B921" s="1" t="n">
        <v>45475</v>
      </c>
      <c r="C921" s="1" t="n">
        <v>46060</v>
      </c>
      <c r="D921" t="inlineStr">
        <is>
          <t>VÄSTERNORRLANDS LÄN</t>
        </is>
      </c>
      <c r="E921" t="inlineStr">
        <is>
          <t>SOLLEFTEÅ</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7157-2025</t>
        </is>
      </c>
      <c r="B922" s="1" t="n">
        <v>45702.38637731481</v>
      </c>
      <c r="C922" s="1" t="n">
        <v>46060</v>
      </c>
      <c r="D922" t="inlineStr">
        <is>
          <t>VÄSTERNORRLANDS LÄN</t>
        </is>
      </c>
      <c r="E922" t="inlineStr">
        <is>
          <t>SOLLEFTEÅ</t>
        </is>
      </c>
      <c r="G922" t="n">
        <v>12.5</v>
      </c>
      <c r="H922" t="n">
        <v>0</v>
      </c>
      <c r="I922" t="n">
        <v>0</v>
      </c>
      <c r="J922" t="n">
        <v>0</v>
      </c>
      <c r="K922" t="n">
        <v>0</v>
      </c>
      <c r="L922" t="n">
        <v>0</v>
      </c>
      <c r="M922" t="n">
        <v>0</v>
      </c>
      <c r="N922" t="n">
        <v>0</v>
      </c>
      <c r="O922" t="n">
        <v>0</v>
      </c>
      <c r="P922" t="n">
        <v>0</v>
      </c>
      <c r="Q922" t="n">
        <v>0</v>
      </c>
      <c r="R922" s="2" t="inlineStr"/>
    </row>
    <row r="923" ht="15" customHeight="1">
      <c r="A923" t="inlineStr">
        <is>
          <t>A 27142-2025</t>
        </is>
      </c>
      <c r="B923" s="1" t="n">
        <v>45812.28087962963</v>
      </c>
      <c r="C923" s="1" t="n">
        <v>46060</v>
      </c>
      <c r="D923" t="inlineStr">
        <is>
          <t>VÄSTERNORRLANDS LÄN</t>
        </is>
      </c>
      <c r="E923" t="inlineStr">
        <is>
          <t>SOLLEFTEÅ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39602-2025</t>
        </is>
      </c>
      <c r="B924" s="1" t="n">
        <v>45890.55296296296</v>
      </c>
      <c r="C924" s="1" t="n">
        <v>46060</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39619-2025</t>
        </is>
      </c>
      <c r="B925" s="1" t="n">
        <v>45890.57347222222</v>
      </c>
      <c r="C925" s="1" t="n">
        <v>46060</v>
      </c>
      <c r="D925" t="inlineStr">
        <is>
          <t>VÄSTERNORRLANDS LÄN</t>
        </is>
      </c>
      <c r="E925" t="inlineStr">
        <is>
          <t>SOLLEFTEÅ</t>
        </is>
      </c>
      <c r="F925" t="inlineStr">
        <is>
          <t>SCA</t>
        </is>
      </c>
      <c r="G925" t="n">
        <v>6.6</v>
      </c>
      <c r="H925" t="n">
        <v>0</v>
      </c>
      <c r="I925" t="n">
        <v>0</v>
      </c>
      <c r="J925" t="n">
        <v>0</v>
      </c>
      <c r="K925" t="n">
        <v>0</v>
      </c>
      <c r="L925" t="n">
        <v>0</v>
      </c>
      <c r="M925" t="n">
        <v>0</v>
      </c>
      <c r="N925" t="n">
        <v>0</v>
      </c>
      <c r="O925" t="n">
        <v>0</v>
      </c>
      <c r="P925" t="n">
        <v>0</v>
      </c>
      <c r="Q925" t="n">
        <v>0</v>
      </c>
      <c r="R925" s="2" t="inlineStr"/>
    </row>
    <row r="926" ht="15" customHeight="1">
      <c r="A926" t="inlineStr">
        <is>
          <t>A 27427-2025</t>
        </is>
      </c>
      <c r="B926" s="1" t="n">
        <v>45813.28706018518</v>
      </c>
      <c r="C926" s="1" t="n">
        <v>46060</v>
      </c>
      <c r="D926" t="inlineStr">
        <is>
          <t>VÄSTERNORRLANDS LÄN</t>
        </is>
      </c>
      <c r="E926" t="inlineStr">
        <is>
          <t>SOLLEFTEÅ</t>
        </is>
      </c>
      <c r="G926" t="n">
        <v>2.9</v>
      </c>
      <c r="H926" t="n">
        <v>0</v>
      </c>
      <c r="I926" t="n">
        <v>0</v>
      </c>
      <c r="J926" t="n">
        <v>0</v>
      </c>
      <c r="K926" t="n">
        <v>0</v>
      </c>
      <c r="L926" t="n">
        <v>0</v>
      </c>
      <c r="M926" t="n">
        <v>0</v>
      </c>
      <c r="N926" t="n">
        <v>0</v>
      </c>
      <c r="O926" t="n">
        <v>0</v>
      </c>
      <c r="P926" t="n">
        <v>0</v>
      </c>
      <c r="Q926" t="n">
        <v>0</v>
      </c>
      <c r="R926" s="2" t="inlineStr"/>
    </row>
    <row r="927" ht="15" customHeight="1">
      <c r="A927" t="inlineStr">
        <is>
          <t>A 27167-2025</t>
        </is>
      </c>
      <c r="B927" s="1" t="n">
        <v>45812.34465277778</v>
      </c>
      <c r="C927" s="1" t="n">
        <v>46060</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27519-2025</t>
        </is>
      </c>
      <c r="B928" s="1" t="n">
        <v>45813.44186342593</v>
      </c>
      <c r="C928" s="1" t="n">
        <v>46060</v>
      </c>
      <c r="D928" t="inlineStr">
        <is>
          <t>VÄSTERNORRLANDS LÄN</t>
        </is>
      </c>
      <c r="E928" t="inlineStr">
        <is>
          <t>SOLLEFTEÅ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41413-2024</t>
        </is>
      </c>
      <c r="B929" s="1" t="n">
        <v>45560.345</v>
      </c>
      <c r="C929" s="1" t="n">
        <v>46060</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54575-2024</t>
        </is>
      </c>
      <c r="B930" s="1" t="n">
        <v>45617.65232638889</v>
      </c>
      <c r="C930" s="1" t="n">
        <v>46060</v>
      </c>
      <c r="D930" t="inlineStr">
        <is>
          <t>VÄSTERNORRLANDS LÄN</t>
        </is>
      </c>
      <c r="E930" t="inlineStr">
        <is>
          <t>SOLLEFTEÅ</t>
        </is>
      </c>
      <c r="F930" t="inlineStr">
        <is>
          <t>Holmen skog AB</t>
        </is>
      </c>
      <c r="G930" t="n">
        <v>1.7</v>
      </c>
      <c r="H930" t="n">
        <v>0</v>
      </c>
      <c r="I930" t="n">
        <v>0</v>
      </c>
      <c r="J930" t="n">
        <v>0</v>
      </c>
      <c r="K930" t="n">
        <v>0</v>
      </c>
      <c r="L930" t="n">
        <v>0</v>
      </c>
      <c r="M930" t="n">
        <v>0</v>
      </c>
      <c r="N930" t="n">
        <v>0</v>
      </c>
      <c r="O930" t="n">
        <v>0</v>
      </c>
      <c r="P930" t="n">
        <v>0</v>
      </c>
      <c r="Q930" t="n">
        <v>0</v>
      </c>
      <c r="R930" s="2" t="inlineStr"/>
      <c r="U930">
        <f>HYPERLINK("https://klasma.github.io/Logging_2283/knärot/A 54575-2024 karta knärot.png", "A 54575-2024")</f>
        <v/>
      </c>
      <c r="V930">
        <f>HYPERLINK("https://klasma.github.io/Logging_2283/klagomål/A 54575-2024 FSC-klagomål.docx", "A 54575-2024")</f>
        <v/>
      </c>
      <c r="W930">
        <f>HYPERLINK("https://klasma.github.io/Logging_2283/klagomålsmail/A 54575-2024 FSC-klagomål mail.docx", "A 54575-2024")</f>
        <v/>
      </c>
      <c r="X930">
        <f>HYPERLINK("https://klasma.github.io/Logging_2283/tillsyn/A 54575-2024 tillsynsbegäran.docx", "A 54575-2024")</f>
        <v/>
      </c>
      <c r="Y930">
        <f>HYPERLINK("https://klasma.github.io/Logging_2283/tillsynsmail/A 54575-2024 tillsynsbegäran mail.docx", "A 54575-2024")</f>
        <v/>
      </c>
    </row>
    <row r="931" ht="15" customHeight="1">
      <c r="A931" t="inlineStr">
        <is>
          <t>A 27407-2025</t>
        </is>
      </c>
      <c r="B931" s="1" t="n">
        <v>45812.74519675926</v>
      </c>
      <c r="C931" s="1" t="n">
        <v>46060</v>
      </c>
      <c r="D931" t="inlineStr">
        <is>
          <t>VÄSTERNORRLANDS LÄN</t>
        </is>
      </c>
      <c r="E931" t="inlineStr">
        <is>
          <t>SOLLEFTEÅ</t>
        </is>
      </c>
      <c r="G931" t="n">
        <v>23.2</v>
      </c>
      <c r="H931" t="n">
        <v>0</v>
      </c>
      <c r="I931" t="n">
        <v>0</v>
      </c>
      <c r="J931" t="n">
        <v>0</v>
      </c>
      <c r="K931" t="n">
        <v>0</v>
      </c>
      <c r="L931" t="n">
        <v>0</v>
      </c>
      <c r="M931" t="n">
        <v>0</v>
      </c>
      <c r="N931" t="n">
        <v>0</v>
      </c>
      <c r="O931" t="n">
        <v>0</v>
      </c>
      <c r="P931" t="n">
        <v>0</v>
      </c>
      <c r="Q931" t="n">
        <v>0</v>
      </c>
      <c r="R931" s="2" t="inlineStr"/>
    </row>
    <row r="932" ht="15" customHeight="1">
      <c r="A932" t="inlineStr">
        <is>
          <t>A 39664-2025</t>
        </is>
      </c>
      <c r="B932" s="1" t="n">
        <v>45890.63596064815</v>
      </c>
      <c r="C932" s="1" t="n">
        <v>46060</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39671-2025</t>
        </is>
      </c>
      <c r="B933" s="1" t="n">
        <v>45890</v>
      </c>
      <c r="C933" s="1" t="n">
        <v>46060</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27592-2025</t>
        </is>
      </c>
      <c r="B934" s="1" t="n">
        <v>45813.5191550926</v>
      </c>
      <c r="C934" s="1" t="n">
        <v>46060</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27660-2025</t>
        </is>
      </c>
      <c r="B935" s="1" t="n">
        <v>45813.61490740741</v>
      </c>
      <c r="C935" s="1" t="n">
        <v>46060</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42987-2024</t>
        </is>
      </c>
      <c r="B936" s="1" t="n">
        <v>45567</v>
      </c>
      <c r="C936" s="1" t="n">
        <v>46060</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19433-2021</t>
        </is>
      </c>
      <c r="B937" s="1" t="n">
        <v>44309.94400462963</v>
      </c>
      <c r="C937" s="1" t="n">
        <v>46060</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56416-2023</t>
        </is>
      </c>
      <c r="B938" s="1" t="n">
        <v>45237</v>
      </c>
      <c r="C938" s="1" t="n">
        <v>46060</v>
      </c>
      <c r="D938" t="inlineStr">
        <is>
          <t>VÄSTERNORRLANDS LÄN</t>
        </is>
      </c>
      <c r="E938" t="inlineStr">
        <is>
          <t>SOLLEFTEÅ</t>
        </is>
      </c>
      <c r="G938" t="n">
        <v>11.2</v>
      </c>
      <c r="H938" t="n">
        <v>0</v>
      </c>
      <c r="I938" t="n">
        <v>0</v>
      </c>
      <c r="J938" t="n">
        <v>0</v>
      </c>
      <c r="K938" t="n">
        <v>0</v>
      </c>
      <c r="L938" t="n">
        <v>0</v>
      </c>
      <c r="M938" t="n">
        <v>0</v>
      </c>
      <c r="N938" t="n">
        <v>0</v>
      </c>
      <c r="O938" t="n">
        <v>0</v>
      </c>
      <c r="P938" t="n">
        <v>0</v>
      </c>
      <c r="Q938" t="n">
        <v>0</v>
      </c>
      <c r="R938" s="2" t="inlineStr"/>
    </row>
    <row r="939" ht="15" customHeight="1">
      <c r="A939" t="inlineStr">
        <is>
          <t>A 15429-2025</t>
        </is>
      </c>
      <c r="B939" s="1" t="n">
        <v>45747.47</v>
      </c>
      <c r="C939" s="1" t="n">
        <v>46060</v>
      </c>
      <c r="D939" t="inlineStr">
        <is>
          <t>VÄSTERNORRLANDS LÄN</t>
        </is>
      </c>
      <c r="E939" t="inlineStr">
        <is>
          <t>SOLLEFTEÅ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12617-2025</t>
        </is>
      </c>
      <c r="B940" s="1" t="n">
        <v>45733.34895833334</v>
      </c>
      <c r="C940" s="1" t="n">
        <v>46060</v>
      </c>
      <c r="D940" t="inlineStr">
        <is>
          <t>VÄSTERNORRLANDS LÄN</t>
        </is>
      </c>
      <c r="E940" t="inlineStr">
        <is>
          <t>SOLLEFTEÅ</t>
        </is>
      </c>
      <c r="G940" t="n">
        <v>5.6</v>
      </c>
      <c r="H940" t="n">
        <v>0</v>
      </c>
      <c r="I940" t="n">
        <v>0</v>
      </c>
      <c r="J940" t="n">
        <v>0</v>
      </c>
      <c r="K940" t="n">
        <v>0</v>
      </c>
      <c r="L940" t="n">
        <v>0</v>
      </c>
      <c r="M940" t="n">
        <v>0</v>
      </c>
      <c r="N940" t="n">
        <v>0</v>
      </c>
      <c r="O940" t="n">
        <v>0</v>
      </c>
      <c r="P940" t="n">
        <v>0</v>
      </c>
      <c r="Q940" t="n">
        <v>0</v>
      </c>
      <c r="R940" s="2" t="inlineStr"/>
    </row>
    <row r="941" ht="15" customHeight="1">
      <c r="A941" t="inlineStr">
        <is>
          <t>A 23025-2024</t>
        </is>
      </c>
      <c r="B941" s="1" t="n">
        <v>45450.36578703704</v>
      </c>
      <c r="C941" s="1" t="n">
        <v>46060</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40174-2025</t>
        </is>
      </c>
      <c r="B942" s="1" t="n">
        <v>45894.63587962963</v>
      </c>
      <c r="C942" s="1" t="n">
        <v>46060</v>
      </c>
      <c r="D942" t="inlineStr">
        <is>
          <t>VÄSTERNORRLANDS LÄN</t>
        </is>
      </c>
      <c r="E942" t="inlineStr">
        <is>
          <t>SOLLEFTEÅ</t>
        </is>
      </c>
      <c r="F942" t="inlineStr">
        <is>
          <t>SCA</t>
        </is>
      </c>
      <c r="G942" t="n">
        <v>9.6</v>
      </c>
      <c r="H942" t="n">
        <v>0</v>
      </c>
      <c r="I942" t="n">
        <v>0</v>
      </c>
      <c r="J942" t="n">
        <v>0</v>
      </c>
      <c r="K942" t="n">
        <v>0</v>
      </c>
      <c r="L942" t="n">
        <v>0</v>
      </c>
      <c r="M942" t="n">
        <v>0</v>
      </c>
      <c r="N942" t="n">
        <v>0</v>
      </c>
      <c r="O942" t="n">
        <v>0</v>
      </c>
      <c r="P942" t="n">
        <v>0</v>
      </c>
      <c r="Q942" t="n">
        <v>0</v>
      </c>
      <c r="R942" s="2" t="inlineStr"/>
    </row>
    <row r="943" ht="15" customHeight="1">
      <c r="A943" t="inlineStr">
        <is>
          <t>A 40450-2025</t>
        </is>
      </c>
      <c r="B943" s="1" t="n">
        <v>45895.63584490741</v>
      </c>
      <c r="C943" s="1" t="n">
        <v>46060</v>
      </c>
      <c r="D943" t="inlineStr">
        <is>
          <t>VÄSTERNORRLANDS LÄN</t>
        </is>
      </c>
      <c r="E943" t="inlineStr">
        <is>
          <t>SOLLEFTEÅ</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40048-2025</t>
        </is>
      </c>
      <c r="B944" s="1" t="n">
        <v>45894.40679398148</v>
      </c>
      <c r="C944" s="1" t="n">
        <v>46060</v>
      </c>
      <c r="D944" t="inlineStr">
        <is>
          <t>VÄSTERNORRLANDS LÄN</t>
        </is>
      </c>
      <c r="E944" t="inlineStr">
        <is>
          <t>SOLLEFTEÅ</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40050-2025</t>
        </is>
      </c>
      <c r="B945" s="1" t="n">
        <v>45894.40717592592</v>
      </c>
      <c r="C945" s="1" t="n">
        <v>46060</v>
      </c>
      <c r="D945" t="inlineStr">
        <is>
          <t>VÄSTERNORRLANDS LÄN</t>
        </is>
      </c>
      <c r="E945" t="inlineStr">
        <is>
          <t>SOLLEFTEÅ</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7014-2025</t>
        </is>
      </c>
      <c r="B946" s="1" t="n">
        <v>45701.61085648148</v>
      </c>
      <c r="C946" s="1" t="n">
        <v>46060</v>
      </c>
      <c r="D946" t="inlineStr">
        <is>
          <t>VÄSTERNORRLANDS LÄN</t>
        </is>
      </c>
      <c r="E946" t="inlineStr">
        <is>
          <t>SOLLEFTEÅ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2677-2025</t>
        </is>
      </c>
      <c r="B947" s="1" t="n">
        <v>45677</v>
      </c>
      <c r="C947" s="1" t="n">
        <v>46060</v>
      </c>
      <c r="D947" t="inlineStr">
        <is>
          <t>VÄSTERNORRLANDS LÄN</t>
        </is>
      </c>
      <c r="E947" t="inlineStr">
        <is>
          <t>SOLLEFTEÅ</t>
        </is>
      </c>
      <c r="F947" t="inlineStr">
        <is>
          <t>SCA</t>
        </is>
      </c>
      <c r="G947" t="n">
        <v>11.9</v>
      </c>
      <c r="H947" t="n">
        <v>0</v>
      </c>
      <c r="I947" t="n">
        <v>0</v>
      </c>
      <c r="J947" t="n">
        <v>0</v>
      </c>
      <c r="K947" t="n">
        <v>0</v>
      </c>
      <c r="L947" t="n">
        <v>0</v>
      </c>
      <c r="M947" t="n">
        <v>0</v>
      </c>
      <c r="N947" t="n">
        <v>0</v>
      </c>
      <c r="O947" t="n">
        <v>0</v>
      </c>
      <c r="P947" t="n">
        <v>0</v>
      </c>
      <c r="Q947" t="n">
        <v>0</v>
      </c>
      <c r="R947" s="2" t="inlineStr"/>
    </row>
    <row r="948" ht="15" customHeight="1">
      <c r="A948" t="inlineStr">
        <is>
          <t>A 40008-2025</t>
        </is>
      </c>
      <c r="B948" s="1" t="n">
        <v>45894.34431712963</v>
      </c>
      <c r="C948" s="1" t="n">
        <v>46060</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36004-2024</t>
        </is>
      </c>
      <c r="B949" s="1" t="n">
        <v>45533.54848379629</v>
      </c>
      <c r="C949" s="1" t="n">
        <v>46060</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40302-2025</t>
        </is>
      </c>
      <c r="B950" s="1" t="n">
        <v>45895.40662037037</v>
      </c>
      <c r="C950" s="1" t="n">
        <v>46060</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40190-2025</t>
        </is>
      </c>
      <c r="B951" s="1" t="n">
        <v>45894.65664351852</v>
      </c>
      <c r="C951" s="1" t="n">
        <v>46060</v>
      </c>
      <c r="D951" t="inlineStr">
        <is>
          <t>VÄSTERNORRLANDS LÄN</t>
        </is>
      </c>
      <c r="E951" t="inlineStr">
        <is>
          <t>SOLLEFTEÅ</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27748-2025</t>
        </is>
      </c>
      <c r="B952" s="1" t="n">
        <v>45815.67740740741</v>
      </c>
      <c r="C952" s="1" t="n">
        <v>46060</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27956-2025</t>
        </is>
      </c>
      <c r="B953" s="1" t="n">
        <v>45817.5344675926</v>
      </c>
      <c r="C953" s="1" t="n">
        <v>46060</v>
      </c>
      <c r="D953" t="inlineStr">
        <is>
          <t>VÄSTERNORRLANDS LÄN</t>
        </is>
      </c>
      <c r="E953" t="inlineStr">
        <is>
          <t>SOLLEFTEÅ</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27822-2025</t>
        </is>
      </c>
      <c r="B954" s="1" t="n">
        <v>45817.34410879629</v>
      </c>
      <c r="C954" s="1" t="n">
        <v>46060</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61201-2024</t>
        </is>
      </c>
      <c r="B955" s="1" t="n">
        <v>45645.6360300926</v>
      </c>
      <c r="C955" s="1" t="n">
        <v>46060</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47955-2024</t>
        </is>
      </c>
      <c r="B956" s="1" t="n">
        <v>45589.3703125</v>
      </c>
      <c r="C956" s="1" t="n">
        <v>46060</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40468-2025</t>
        </is>
      </c>
      <c r="B957" s="1" t="n">
        <v>45895.66416666667</v>
      </c>
      <c r="C957" s="1" t="n">
        <v>46060</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40049-2025</t>
        </is>
      </c>
      <c r="B958" s="1" t="n">
        <v>45894</v>
      </c>
      <c r="C958" s="1" t="n">
        <v>46060</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40358-2025</t>
        </is>
      </c>
      <c r="B959" s="1" t="n">
        <v>45895.48995370371</v>
      </c>
      <c r="C959" s="1" t="n">
        <v>46060</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657-2025</t>
        </is>
      </c>
      <c r="B960" s="1" t="n">
        <v>45664.67766203704</v>
      </c>
      <c r="C960" s="1" t="n">
        <v>46060</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38972-2025</t>
        </is>
      </c>
      <c r="B961" s="1" t="n">
        <v>45887</v>
      </c>
      <c r="C961" s="1" t="n">
        <v>46060</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38973-2025</t>
        </is>
      </c>
      <c r="B962" s="1" t="n">
        <v>45887</v>
      </c>
      <c r="C962" s="1" t="n">
        <v>46060</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40175-2025</t>
        </is>
      </c>
      <c r="B963" s="1" t="n">
        <v>45894.63609953703</v>
      </c>
      <c r="C963" s="1" t="n">
        <v>46060</v>
      </c>
      <c r="D963" t="inlineStr">
        <is>
          <t>VÄSTERNORRLANDS LÄN</t>
        </is>
      </c>
      <c r="E963" t="inlineStr">
        <is>
          <t>SOLLEFTEÅ</t>
        </is>
      </c>
      <c r="F963" t="inlineStr">
        <is>
          <t>SCA</t>
        </is>
      </c>
      <c r="G963" t="n">
        <v>21.2</v>
      </c>
      <c r="H963" t="n">
        <v>0</v>
      </c>
      <c r="I963" t="n">
        <v>0</v>
      </c>
      <c r="J963" t="n">
        <v>0</v>
      </c>
      <c r="K963" t="n">
        <v>0</v>
      </c>
      <c r="L963" t="n">
        <v>0</v>
      </c>
      <c r="M963" t="n">
        <v>0</v>
      </c>
      <c r="N963" t="n">
        <v>0</v>
      </c>
      <c r="O963" t="n">
        <v>0</v>
      </c>
      <c r="P963" t="n">
        <v>0</v>
      </c>
      <c r="Q963" t="n">
        <v>0</v>
      </c>
      <c r="R963" s="2" t="inlineStr"/>
    </row>
    <row r="964" ht="15" customHeight="1">
      <c r="A964" t="inlineStr">
        <is>
          <t>A 40304-2025</t>
        </is>
      </c>
      <c r="B964" s="1" t="n">
        <v>45895.40690972222</v>
      </c>
      <c r="C964" s="1" t="n">
        <v>46060</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40014-2025</t>
        </is>
      </c>
      <c r="B965" s="1" t="n">
        <v>45894</v>
      </c>
      <c r="C965" s="1" t="n">
        <v>46060</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40136-2025</t>
        </is>
      </c>
      <c r="B966" s="1" t="n">
        <v>45894.5588425926</v>
      </c>
      <c r="C966" s="1" t="n">
        <v>46060</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14656-2025</t>
        </is>
      </c>
      <c r="B967" s="1" t="n">
        <v>45742.51074074074</v>
      </c>
      <c r="C967" s="1" t="n">
        <v>46060</v>
      </c>
      <c r="D967" t="inlineStr">
        <is>
          <t>VÄSTERNORRLANDS LÄN</t>
        </is>
      </c>
      <c r="E967" t="inlineStr">
        <is>
          <t>SOLLEFTEÅ</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40009-2025</t>
        </is>
      </c>
      <c r="B968" s="1" t="n">
        <v>45894.34446759259</v>
      </c>
      <c r="C968" s="1" t="n">
        <v>46060</v>
      </c>
      <c r="D968" t="inlineStr">
        <is>
          <t>VÄSTERNORRLANDS LÄN</t>
        </is>
      </c>
      <c r="E968" t="inlineStr">
        <is>
          <t>SOLLEFTEÅ</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40962-2025</t>
        </is>
      </c>
      <c r="B969" s="1" t="n">
        <v>45897.6983912037</v>
      </c>
      <c r="C969" s="1" t="n">
        <v>46060</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6896-2025</t>
        </is>
      </c>
      <c r="B970" s="1" t="n">
        <v>45701.38577546296</v>
      </c>
      <c r="C970" s="1" t="n">
        <v>46060</v>
      </c>
      <c r="D970" t="inlineStr">
        <is>
          <t>VÄSTERNORRLANDS LÄN</t>
        </is>
      </c>
      <c r="E970" t="inlineStr">
        <is>
          <t>SOLLEFTEÅ</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40492-2025</t>
        </is>
      </c>
      <c r="B971" s="1" t="n">
        <v>45896</v>
      </c>
      <c r="C971" s="1" t="n">
        <v>46060</v>
      </c>
      <c r="D971" t="inlineStr">
        <is>
          <t>VÄSTERNORRLANDS LÄN</t>
        </is>
      </c>
      <c r="E971" t="inlineStr">
        <is>
          <t>SOLLEFTEÅ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3001-2022</t>
        </is>
      </c>
      <c r="B972" s="1" t="n">
        <v>44581</v>
      </c>
      <c r="C972" s="1" t="n">
        <v>46060</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51505-2024</t>
        </is>
      </c>
      <c r="B973" s="1" t="n">
        <v>45604</v>
      </c>
      <c r="C973" s="1" t="n">
        <v>46060</v>
      </c>
      <c r="D973" t="inlineStr">
        <is>
          <t>VÄSTERNORRLANDS LÄN</t>
        </is>
      </c>
      <c r="E973" t="inlineStr">
        <is>
          <t>SOLLEFTEÅ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41025-2025</t>
        </is>
      </c>
      <c r="B974" s="1" t="n">
        <v>45897</v>
      </c>
      <c r="C974" s="1" t="n">
        <v>46060</v>
      </c>
      <c r="D974" t="inlineStr">
        <is>
          <t>VÄSTERNORRLANDS LÄN</t>
        </is>
      </c>
      <c r="E974" t="inlineStr">
        <is>
          <t>SOLLEFTEÅ</t>
        </is>
      </c>
      <c r="G974" t="n">
        <v>9.1</v>
      </c>
      <c r="H974" t="n">
        <v>0</v>
      </c>
      <c r="I974" t="n">
        <v>0</v>
      </c>
      <c r="J974" t="n">
        <v>0</v>
      </c>
      <c r="K974" t="n">
        <v>0</v>
      </c>
      <c r="L974" t="n">
        <v>0</v>
      </c>
      <c r="M974" t="n">
        <v>0</v>
      </c>
      <c r="N974" t="n">
        <v>0</v>
      </c>
      <c r="O974" t="n">
        <v>0</v>
      </c>
      <c r="P974" t="n">
        <v>0</v>
      </c>
      <c r="Q974" t="n">
        <v>0</v>
      </c>
      <c r="R974" s="2" t="inlineStr"/>
    </row>
    <row r="975" ht="15" customHeight="1">
      <c r="A975" t="inlineStr">
        <is>
          <t>A 600-2025</t>
        </is>
      </c>
      <c r="B975" s="1" t="n">
        <v>45664.59428240741</v>
      </c>
      <c r="C975" s="1" t="n">
        <v>46060</v>
      </c>
      <c r="D975" t="inlineStr">
        <is>
          <t>VÄSTERNORRLANDS LÄN</t>
        </is>
      </c>
      <c r="E975" t="inlineStr">
        <is>
          <t>SOLLEFTEÅ</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21092-2024</t>
        </is>
      </c>
      <c r="B976" s="1" t="n">
        <v>45439.95009259259</v>
      </c>
      <c r="C976" s="1" t="n">
        <v>46060</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40752-2025</t>
        </is>
      </c>
      <c r="B977" s="1" t="n">
        <v>45897.38592592593</v>
      </c>
      <c r="C977" s="1" t="n">
        <v>46060</v>
      </c>
      <c r="D977" t="inlineStr">
        <is>
          <t>VÄSTERNORRLANDS LÄN</t>
        </is>
      </c>
      <c r="E977" t="inlineStr">
        <is>
          <t>SOLLEFTEÅ</t>
        </is>
      </c>
      <c r="G977" t="n">
        <v>3.9</v>
      </c>
      <c r="H977" t="n">
        <v>0</v>
      </c>
      <c r="I977" t="n">
        <v>0</v>
      </c>
      <c r="J977" t="n">
        <v>0</v>
      </c>
      <c r="K977" t="n">
        <v>0</v>
      </c>
      <c r="L977" t="n">
        <v>0</v>
      </c>
      <c r="M977" t="n">
        <v>0</v>
      </c>
      <c r="N977" t="n">
        <v>0</v>
      </c>
      <c r="O977" t="n">
        <v>0</v>
      </c>
      <c r="P977" t="n">
        <v>0</v>
      </c>
      <c r="Q977" t="n">
        <v>0</v>
      </c>
      <c r="R977" s="2" t="inlineStr"/>
    </row>
    <row r="978" ht="15" customHeight="1">
      <c r="A978" t="inlineStr">
        <is>
          <t>A 44661-2024</t>
        </is>
      </c>
      <c r="B978" s="1" t="n">
        <v>45574.53180555555</v>
      </c>
      <c r="C978" s="1" t="n">
        <v>46060</v>
      </c>
      <c r="D978" t="inlineStr">
        <is>
          <t>VÄSTERNORRLANDS LÄN</t>
        </is>
      </c>
      <c r="E978" t="inlineStr">
        <is>
          <t>SOLLEFTEÅ</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40701-2025</t>
        </is>
      </c>
      <c r="B979" s="1" t="n">
        <v>45897.32884259259</v>
      </c>
      <c r="C979" s="1" t="n">
        <v>46060</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40515-2025</t>
        </is>
      </c>
      <c r="B980" s="1" t="n">
        <v>45896</v>
      </c>
      <c r="C980" s="1" t="n">
        <v>46060</v>
      </c>
      <c r="D980" t="inlineStr">
        <is>
          <t>VÄSTERNORRLANDS LÄN</t>
        </is>
      </c>
      <c r="E980" t="inlineStr">
        <is>
          <t>SOLLEFTEÅ</t>
        </is>
      </c>
      <c r="G980" t="n">
        <v>7.3</v>
      </c>
      <c r="H980" t="n">
        <v>0</v>
      </c>
      <c r="I980" t="n">
        <v>0</v>
      </c>
      <c r="J980" t="n">
        <v>0</v>
      </c>
      <c r="K980" t="n">
        <v>0</v>
      </c>
      <c r="L980" t="n">
        <v>0</v>
      </c>
      <c r="M980" t="n">
        <v>0</v>
      </c>
      <c r="N980" t="n">
        <v>0</v>
      </c>
      <c r="O980" t="n">
        <v>0</v>
      </c>
      <c r="P980" t="n">
        <v>0</v>
      </c>
      <c r="Q980" t="n">
        <v>0</v>
      </c>
      <c r="R980" s="2" t="inlineStr"/>
    </row>
    <row r="981" ht="15" customHeight="1">
      <c r="A981" t="inlineStr">
        <is>
          <t>A 28579-2025</t>
        </is>
      </c>
      <c r="B981" s="1" t="n">
        <v>45819.57334490741</v>
      </c>
      <c r="C981" s="1" t="n">
        <v>46060</v>
      </c>
      <c r="D981" t="inlineStr">
        <is>
          <t>VÄSTERNORRLANDS LÄN</t>
        </is>
      </c>
      <c r="E981" t="inlineStr">
        <is>
          <t>SOLLEFTEÅ</t>
        </is>
      </c>
      <c r="G981" t="n">
        <v>5.2</v>
      </c>
      <c r="H981" t="n">
        <v>0</v>
      </c>
      <c r="I981" t="n">
        <v>0</v>
      </c>
      <c r="J981" t="n">
        <v>0</v>
      </c>
      <c r="K981" t="n">
        <v>0</v>
      </c>
      <c r="L981" t="n">
        <v>0</v>
      </c>
      <c r="M981" t="n">
        <v>0</v>
      </c>
      <c r="N981" t="n">
        <v>0</v>
      </c>
      <c r="O981" t="n">
        <v>0</v>
      </c>
      <c r="P981" t="n">
        <v>0</v>
      </c>
      <c r="Q981" t="n">
        <v>0</v>
      </c>
      <c r="R981" s="2" t="inlineStr"/>
    </row>
    <row r="982" ht="15" customHeight="1">
      <c r="A982" t="inlineStr">
        <is>
          <t>A 40754-2025</t>
        </is>
      </c>
      <c r="B982" s="1" t="n">
        <v>45897.38653935185</v>
      </c>
      <c r="C982" s="1" t="n">
        <v>46060</v>
      </c>
      <c r="D982" t="inlineStr">
        <is>
          <t>VÄSTERNORRLANDS LÄN</t>
        </is>
      </c>
      <c r="E982" t="inlineStr">
        <is>
          <t>SOLLEFTEÅ</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1466-2025</t>
        </is>
      </c>
      <c r="B983" s="1" t="n">
        <v>45670</v>
      </c>
      <c r="C983" s="1" t="n">
        <v>46060</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40651-2025</t>
        </is>
      </c>
      <c r="B984" s="1" t="n">
        <v>45896.63585648148</v>
      </c>
      <c r="C984" s="1" t="n">
        <v>46060</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40662-2025</t>
        </is>
      </c>
      <c r="B985" s="1" t="n">
        <v>45896.6487037037</v>
      </c>
      <c r="C985" s="1" t="n">
        <v>46060</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41502-2025</t>
        </is>
      </c>
      <c r="B986" s="1" t="n">
        <v>45901</v>
      </c>
      <c r="C986" s="1" t="n">
        <v>46060</v>
      </c>
      <c r="D986" t="inlineStr">
        <is>
          <t>VÄSTERNORRLANDS LÄN</t>
        </is>
      </c>
      <c r="E986" t="inlineStr">
        <is>
          <t>SOLLEFTEÅ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19556-2024</t>
        </is>
      </c>
      <c r="B987" s="1" t="n">
        <v>45429</v>
      </c>
      <c r="C987" s="1" t="n">
        <v>46060</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41305-2025</t>
        </is>
      </c>
      <c r="B988" s="1" t="n">
        <v>45898.69850694444</v>
      </c>
      <c r="C988" s="1" t="n">
        <v>46060</v>
      </c>
      <c r="D988" t="inlineStr">
        <is>
          <t>VÄSTERNORRLANDS LÄN</t>
        </is>
      </c>
      <c r="E988" t="inlineStr">
        <is>
          <t>SOLLEFTEÅ</t>
        </is>
      </c>
      <c r="F988" t="inlineStr">
        <is>
          <t>SCA</t>
        </is>
      </c>
      <c r="G988" t="n">
        <v>6.3</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46060</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54330-2023</t>
        </is>
      </c>
      <c r="B990" s="1" t="n">
        <v>45232.95814814815</v>
      </c>
      <c r="C990" s="1" t="n">
        <v>46060</v>
      </c>
      <c r="D990" t="inlineStr">
        <is>
          <t>VÄSTERNORRLANDS LÄN</t>
        </is>
      </c>
      <c r="E990" t="inlineStr">
        <is>
          <t>SOLLEFTEÅ</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41513-2025</t>
        </is>
      </c>
      <c r="B991" s="1" t="n">
        <v>45901.54069444445</v>
      </c>
      <c r="C991" s="1" t="n">
        <v>46060</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41543-2025</t>
        </is>
      </c>
      <c r="B992" s="1" t="n">
        <v>45901.57386574074</v>
      </c>
      <c r="C992" s="1" t="n">
        <v>46060</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63529-2023</t>
        </is>
      </c>
      <c r="B993" s="1" t="n">
        <v>45274.94859953703</v>
      </c>
      <c r="C993" s="1" t="n">
        <v>46060</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23488-2023</t>
        </is>
      </c>
      <c r="B994" s="1" t="n">
        <v>45072</v>
      </c>
      <c r="C994" s="1" t="n">
        <v>46060</v>
      </c>
      <c r="D994" t="inlineStr">
        <is>
          <t>VÄSTERNORRLANDS LÄN</t>
        </is>
      </c>
      <c r="E994" t="inlineStr">
        <is>
          <t>SOLLEFTEÅ</t>
        </is>
      </c>
      <c r="G994" t="n">
        <v>3.9</v>
      </c>
      <c r="H994" t="n">
        <v>0</v>
      </c>
      <c r="I994" t="n">
        <v>0</v>
      </c>
      <c r="J994" t="n">
        <v>0</v>
      </c>
      <c r="K994" t="n">
        <v>0</v>
      </c>
      <c r="L994" t="n">
        <v>0</v>
      </c>
      <c r="M994" t="n">
        <v>0</v>
      </c>
      <c r="N994" t="n">
        <v>0</v>
      </c>
      <c r="O994" t="n">
        <v>0</v>
      </c>
      <c r="P994" t="n">
        <v>0</v>
      </c>
      <c r="Q994" t="n">
        <v>0</v>
      </c>
      <c r="R994" s="2" t="inlineStr"/>
    </row>
    <row r="995" ht="15" customHeight="1">
      <c r="A995" t="inlineStr">
        <is>
          <t>A 41001-2025</t>
        </is>
      </c>
      <c r="B995" s="1" t="n">
        <v>45898</v>
      </c>
      <c r="C995" s="1" t="n">
        <v>46060</v>
      </c>
      <c r="D995" t="inlineStr">
        <is>
          <t>VÄSTERNORRLANDS LÄN</t>
        </is>
      </c>
      <c r="E995" t="inlineStr">
        <is>
          <t>SOLLEFTEÅ</t>
        </is>
      </c>
      <c r="F995" t="inlineStr">
        <is>
          <t>SCA</t>
        </is>
      </c>
      <c r="G995" t="n">
        <v>18.3</v>
      </c>
      <c r="H995" t="n">
        <v>0</v>
      </c>
      <c r="I995" t="n">
        <v>0</v>
      </c>
      <c r="J995" t="n">
        <v>0</v>
      </c>
      <c r="K995" t="n">
        <v>0</v>
      </c>
      <c r="L995" t="n">
        <v>0</v>
      </c>
      <c r="M995" t="n">
        <v>0</v>
      </c>
      <c r="N995" t="n">
        <v>0</v>
      </c>
      <c r="O995" t="n">
        <v>0</v>
      </c>
      <c r="P995" t="n">
        <v>0</v>
      </c>
      <c r="Q995" t="n">
        <v>0</v>
      </c>
      <c r="R995" s="2" t="inlineStr"/>
    </row>
    <row r="996" ht="15" customHeight="1">
      <c r="A996" t="inlineStr">
        <is>
          <t>A 28686-2025</t>
        </is>
      </c>
      <c r="B996" s="1" t="n">
        <v>45819</v>
      </c>
      <c r="C996" s="1" t="n">
        <v>46060</v>
      </c>
      <c r="D996" t="inlineStr">
        <is>
          <t>VÄSTERNORRLANDS LÄN</t>
        </is>
      </c>
      <c r="E996" t="inlineStr">
        <is>
          <t>SOLLEFTEÅ</t>
        </is>
      </c>
      <c r="G996" t="n">
        <v>5.7</v>
      </c>
      <c r="H996" t="n">
        <v>0</v>
      </c>
      <c r="I996" t="n">
        <v>0</v>
      </c>
      <c r="J996" t="n">
        <v>0</v>
      </c>
      <c r="K996" t="n">
        <v>0</v>
      </c>
      <c r="L996" t="n">
        <v>0</v>
      </c>
      <c r="M996" t="n">
        <v>0</v>
      </c>
      <c r="N996" t="n">
        <v>0</v>
      </c>
      <c r="O996" t="n">
        <v>0</v>
      </c>
      <c r="P996" t="n">
        <v>0</v>
      </c>
      <c r="Q996" t="n">
        <v>0</v>
      </c>
      <c r="R996" s="2" t="inlineStr"/>
    </row>
    <row r="997" ht="15" customHeight="1">
      <c r="A997" t="inlineStr">
        <is>
          <t>A 41617-2025</t>
        </is>
      </c>
      <c r="B997" s="1" t="n">
        <v>45901.69834490741</v>
      </c>
      <c r="C997" s="1" t="n">
        <v>46060</v>
      </c>
      <c r="D997" t="inlineStr">
        <is>
          <t>VÄSTERNORRLANDS LÄN</t>
        </is>
      </c>
      <c r="E997" t="inlineStr">
        <is>
          <t>SOLLEFTEÅ</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40997-2025</t>
        </is>
      </c>
      <c r="B998" s="1" t="n">
        <v>45898.34453703704</v>
      </c>
      <c r="C998" s="1" t="n">
        <v>46060</v>
      </c>
      <c r="D998" t="inlineStr">
        <is>
          <t>VÄSTERNORRLANDS LÄN</t>
        </is>
      </c>
      <c r="E998" t="inlineStr">
        <is>
          <t>SOLLEFTEÅ</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41449-2025</t>
        </is>
      </c>
      <c r="B999" s="1" t="n">
        <v>45901.42787037037</v>
      </c>
      <c r="C999" s="1" t="n">
        <v>46060</v>
      </c>
      <c r="D999" t="inlineStr">
        <is>
          <t>VÄSTERNORRLANDS LÄN</t>
        </is>
      </c>
      <c r="E999" t="inlineStr">
        <is>
          <t>SOLLEFTEÅ</t>
        </is>
      </c>
      <c r="F999" t="inlineStr">
        <is>
          <t>SCA</t>
        </is>
      </c>
      <c r="G999" t="n">
        <v>5.7</v>
      </c>
      <c r="H999" t="n">
        <v>0</v>
      </c>
      <c r="I999" t="n">
        <v>0</v>
      </c>
      <c r="J999" t="n">
        <v>0</v>
      </c>
      <c r="K999" t="n">
        <v>0</v>
      </c>
      <c r="L999" t="n">
        <v>0</v>
      </c>
      <c r="M999" t="n">
        <v>0</v>
      </c>
      <c r="N999" t="n">
        <v>0</v>
      </c>
      <c r="O999" t="n">
        <v>0</v>
      </c>
      <c r="P999" t="n">
        <v>0</v>
      </c>
      <c r="Q999" t="n">
        <v>0</v>
      </c>
      <c r="R999" s="2" t="inlineStr"/>
    </row>
    <row r="1000" ht="15" customHeight="1">
      <c r="A1000" t="inlineStr">
        <is>
          <t>A 41472-2025</t>
        </is>
      </c>
      <c r="B1000" s="1" t="n">
        <v>45901.4693287037</v>
      </c>
      <c r="C1000" s="1" t="n">
        <v>46060</v>
      </c>
      <c r="D1000" t="inlineStr">
        <is>
          <t>VÄSTERNORRLANDS LÄN</t>
        </is>
      </c>
      <c r="E1000" t="inlineStr">
        <is>
          <t>SOLLEFTEÅ</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49629-2024</t>
        </is>
      </c>
      <c r="B1001" s="1" t="n">
        <v>45596</v>
      </c>
      <c r="C1001" s="1" t="n">
        <v>46060</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46060</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28672-2025</t>
        </is>
      </c>
      <c r="B1003" s="1" t="n">
        <v>45819.6754050926</v>
      </c>
      <c r="C1003" s="1" t="n">
        <v>46060</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50757-2023</t>
        </is>
      </c>
      <c r="B1004" s="1" t="n">
        <v>45217</v>
      </c>
      <c r="C1004" s="1" t="n">
        <v>46060</v>
      </c>
      <c r="D1004" t="inlineStr">
        <is>
          <t>VÄSTERNORRLANDS LÄN</t>
        </is>
      </c>
      <c r="E1004" t="inlineStr">
        <is>
          <t>SOLLEFTEÅ</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9328-2024</t>
        </is>
      </c>
      <c r="B1005" s="1" t="n">
        <v>45358.99144675926</v>
      </c>
      <c r="C1005" s="1" t="n">
        <v>46060</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16709-2024</t>
        </is>
      </c>
      <c r="B1006" s="1" t="n">
        <v>45409.07737268518</v>
      </c>
      <c r="C1006" s="1" t="n">
        <v>46060</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42631-2024</t>
        </is>
      </c>
      <c r="B1007" s="1" t="n">
        <v>45565</v>
      </c>
      <c r="C1007" s="1" t="n">
        <v>46060</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53855-2024</t>
        </is>
      </c>
      <c r="B1008" s="1" t="n">
        <v>45615.63724537037</v>
      </c>
      <c r="C1008" s="1" t="n">
        <v>46060</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41540-2025</t>
        </is>
      </c>
      <c r="B1009" s="1" t="n">
        <v>45901.56833333334</v>
      </c>
      <c r="C1009" s="1" t="n">
        <v>46060</v>
      </c>
      <c r="D1009" t="inlineStr">
        <is>
          <t>VÄSTERNORRLANDS LÄN</t>
        </is>
      </c>
      <c r="E1009" t="inlineStr">
        <is>
          <t>SOLLEFTEÅ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28142-2025</t>
        </is>
      </c>
      <c r="B1010" s="1" t="n">
        <v>45818.34538194445</v>
      </c>
      <c r="C1010" s="1" t="n">
        <v>46060</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54045-2023</t>
        </is>
      </c>
      <c r="B1011" s="1" t="n">
        <v>45231.96743055555</v>
      </c>
      <c r="C1011" s="1" t="n">
        <v>46060</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28195-2025</t>
        </is>
      </c>
      <c r="B1012" s="1" t="n">
        <v>45818</v>
      </c>
      <c r="C1012" s="1" t="n">
        <v>46060</v>
      </c>
      <c r="D1012" t="inlineStr">
        <is>
          <t>VÄSTERNORRLANDS LÄN</t>
        </is>
      </c>
      <c r="E1012" t="inlineStr">
        <is>
          <t>SOLLEFTEÅ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41473-2025</t>
        </is>
      </c>
      <c r="B1013" s="1" t="n">
        <v>45901.46952546296</v>
      </c>
      <c r="C1013" s="1" t="n">
        <v>46060</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29142-2025</t>
        </is>
      </c>
      <c r="B1014" s="1" t="n">
        <v>45821.61518518518</v>
      </c>
      <c r="C1014" s="1" t="n">
        <v>46060</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28698-2025</t>
        </is>
      </c>
      <c r="B1015" s="1" t="n">
        <v>45819.925625</v>
      </c>
      <c r="C1015" s="1" t="n">
        <v>46060</v>
      </c>
      <c r="D1015" t="inlineStr">
        <is>
          <t>VÄSTERNORRLANDS LÄN</t>
        </is>
      </c>
      <c r="E1015" t="inlineStr">
        <is>
          <t>SOLLEFTEÅ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29103-2025</t>
        </is>
      </c>
      <c r="B1016" s="1" t="n">
        <v>45821.57219907407</v>
      </c>
      <c r="C1016" s="1" t="n">
        <v>46060</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16632-2025</t>
        </is>
      </c>
      <c r="B1017" s="1" t="n">
        <v>45754.36490740741</v>
      </c>
      <c r="C1017" s="1" t="n">
        <v>46060</v>
      </c>
      <c r="D1017" t="inlineStr">
        <is>
          <t>VÄSTERNORRLANDS LÄN</t>
        </is>
      </c>
      <c r="E1017" t="inlineStr">
        <is>
          <t>SOLLEFTEÅ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42064-2025</t>
        </is>
      </c>
      <c r="B1018" s="1" t="n">
        <v>45903.6527199074</v>
      </c>
      <c r="C1018" s="1" t="n">
        <v>46060</v>
      </c>
      <c r="D1018" t="inlineStr">
        <is>
          <t>VÄSTERNORRLANDS LÄN</t>
        </is>
      </c>
      <c r="E1018" t="inlineStr">
        <is>
          <t>SOLLEFTEÅ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41925-2025</t>
        </is>
      </c>
      <c r="B1019" s="1" t="n">
        <v>45903.4275</v>
      </c>
      <c r="C1019" s="1" t="n">
        <v>46060</v>
      </c>
      <c r="D1019" t="inlineStr">
        <is>
          <t>VÄSTERNORRLANDS LÄN</t>
        </is>
      </c>
      <c r="E1019" t="inlineStr">
        <is>
          <t>SOLLEFTEÅ</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28715-2025</t>
        </is>
      </c>
      <c r="B1020" s="1" t="n">
        <v>45820</v>
      </c>
      <c r="C1020" s="1" t="n">
        <v>46060</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28719-2025</t>
        </is>
      </c>
      <c r="B1021" s="1" t="n">
        <v>45820</v>
      </c>
      <c r="C1021" s="1" t="n">
        <v>46060</v>
      </c>
      <c r="D1021" t="inlineStr">
        <is>
          <t>VÄSTERNORRLANDS LÄN</t>
        </is>
      </c>
      <c r="E1021" t="inlineStr">
        <is>
          <t>SOLLEFTEÅ</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28993-2025</t>
        </is>
      </c>
      <c r="B1022" s="1" t="n">
        <v>45821.38574074074</v>
      </c>
      <c r="C1022" s="1" t="n">
        <v>46060</v>
      </c>
      <c r="D1022" t="inlineStr">
        <is>
          <t>VÄSTERNORRLANDS LÄN</t>
        </is>
      </c>
      <c r="E1022" t="inlineStr">
        <is>
          <t>SOLLEFTEÅ</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28994-2025</t>
        </is>
      </c>
      <c r="B1023" s="1" t="n">
        <v>45821.38587962963</v>
      </c>
      <c r="C1023" s="1" t="n">
        <v>46060</v>
      </c>
      <c r="D1023" t="inlineStr">
        <is>
          <t>VÄSTERNORRLANDS LÄN</t>
        </is>
      </c>
      <c r="E1023" t="inlineStr">
        <is>
          <t>SOLLEFTEÅ</t>
        </is>
      </c>
      <c r="F1023" t="inlineStr">
        <is>
          <t>SCA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42081-2025</t>
        </is>
      </c>
      <c r="B1024" s="1" t="n">
        <v>45902</v>
      </c>
      <c r="C1024" s="1" t="n">
        <v>46060</v>
      </c>
      <c r="D1024" t="inlineStr">
        <is>
          <t>VÄSTERNORRLANDS LÄN</t>
        </is>
      </c>
      <c r="E1024" t="inlineStr">
        <is>
          <t>SOLLEFTEÅ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11009-2024</t>
        </is>
      </c>
      <c r="B1025" s="1" t="n">
        <v>45370</v>
      </c>
      <c r="C1025" s="1" t="n">
        <v>46060</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41948-2025</t>
        </is>
      </c>
      <c r="B1026" s="1" t="n">
        <v>45903.45092592593</v>
      </c>
      <c r="C1026" s="1" t="n">
        <v>46060</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41829-2025</t>
        </is>
      </c>
      <c r="B1027" s="1" t="n">
        <v>45902</v>
      </c>
      <c r="C1027" s="1" t="n">
        <v>46060</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8880-2023</t>
        </is>
      </c>
      <c r="B1028" s="1" t="n">
        <v>44978.94346064814</v>
      </c>
      <c r="C1028" s="1" t="n">
        <v>46060</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28995-2025</t>
        </is>
      </c>
      <c r="B1029" s="1" t="n">
        <v>45821.38596064815</v>
      </c>
      <c r="C1029" s="1" t="n">
        <v>46060</v>
      </c>
      <c r="D1029" t="inlineStr">
        <is>
          <t>VÄSTERNORRLANDS LÄN</t>
        </is>
      </c>
      <c r="E1029" t="inlineStr">
        <is>
          <t>SOLLEFTEÅ</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51942-2024</t>
        </is>
      </c>
      <c r="B1030" s="1" t="n">
        <v>45607.63592592593</v>
      </c>
      <c r="C1030" s="1" t="n">
        <v>46060</v>
      </c>
      <c r="D1030" t="inlineStr">
        <is>
          <t>VÄSTERNORRLANDS LÄN</t>
        </is>
      </c>
      <c r="E1030" t="inlineStr">
        <is>
          <t>SOLLEFTEÅ</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28743-2025</t>
        </is>
      </c>
      <c r="B1031" s="1" t="n">
        <v>45820.38586805556</v>
      </c>
      <c r="C1031" s="1" t="n">
        <v>46060</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29039-2025</t>
        </is>
      </c>
      <c r="B1032" s="1" t="n">
        <v>45821.44844907407</v>
      </c>
      <c r="C1032" s="1" t="n">
        <v>46060</v>
      </c>
      <c r="D1032" t="inlineStr">
        <is>
          <t>VÄSTERNORRLANDS LÄN</t>
        </is>
      </c>
      <c r="E1032" t="inlineStr">
        <is>
          <t>SOLLEFTEÅ</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22690-2024</t>
        </is>
      </c>
      <c r="B1033" s="1" t="n">
        <v>45448.31293981482</v>
      </c>
      <c r="C1033" s="1" t="n">
        <v>46060</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42041-2025</t>
        </is>
      </c>
      <c r="B1034" s="1" t="n">
        <v>45903.61568287037</v>
      </c>
      <c r="C1034" s="1" t="n">
        <v>46060</v>
      </c>
      <c r="D1034" t="inlineStr">
        <is>
          <t>VÄSTERNORRLANDS LÄN</t>
        </is>
      </c>
      <c r="E1034" t="inlineStr">
        <is>
          <t>SOLLEFTEÅ</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50963-2024</t>
        </is>
      </c>
      <c r="B1035" s="1" t="n">
        <v>45603.32388888889</v>
      </c>
      <c r="C1035" s="1" t="n">
        <v>46060</v>
      </c>
      <c r="D1035" t="inlineStr">
        <is>
          <t>VÄSTERNORRLANDS LÄN</t>
        </is>
      </c>
      <c r="E1035" t="inlineStr">
        <is>
          <t>SOLLEFTEÅ</t>
        </is>
      </c>
      <c r="F1035" t="inlineStr">
        <is>
          <t>Holmen skog AB</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46060</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46060</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45801-2024</t>
        </is>
      </c>
      <c r="B1038" s="1" t="n">
        <v>45579.67798611111</v>
      </c>
      <c r="C1038" s="1" t="n">
        <v>46060</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45802-2024</t>
        </is>
      </c>
      <c r="B1039" s="1" t="n">
        <v>45579.67818287037</v>
      </c>
      <c r="C1039" s="1" t="n">
        <v>46060</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46101-2024</t>
        </is>
      </c>
      <c r="B1040" s="1" t="n">
        <v>45581</v>
      </c>
      <c r="C1040" s="1" t="n">
        <v>46060</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42199-2025</t>
        </is>
      </c>
      <c r="B1041" s="1" t="n">
        <v>45904.48640046296</v>
      </c>
      <c r="C1041" s="1" t="n">
        <v>46060</v>
      </c>
      <c r="D1041" t="inlineStr">
        <is>
          <t>VÄSTERNORRLANDS LÄN</t>
        </is>
      </c>
      <c r="E1041" t="inlineStr">
        <is>
          <t>SOLLEFTEÅ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31428-2025</t>
        </is>
      </c>
      <c r="B1042" s="1" t="n">
        <v>45833.4930787037</v>
      </c>
      <c r="C1042" s="1" t="n">
        <v>46060</v>
      </c>
      <c r="D1042" t="inlineStr">
        <is>
          <t>VÄSTERNORRLANDS LÄN</t>
        </is>
      </c>
      <c r="E1042" t="inlineStr">
        <is>
          <t>SOLLEFTEÅ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42396-2025</t>
        </is>
      </c>
      <c r="B1043" s="1" t="n">
        <v>45905.36559027778</v>
      </c>
      <c r="C1043" s="1" t="n">
        <v>46060</v>
      </c>
      <c r="D1043" t="inlineStr">
        <is>
          <t>VÄSTERNORRLANDS LÄN</t>
        </is>
      </c>
      <c r="E1043" t="inlineStr">
        <is>
          <t>SOLLEFTEÅ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14365-2024</t>
        </is>
      </c>
      <c r="B1044" s="1" t="n">
        <v>45393.94332175926</v>
      </c>
      <c r="C1044" s="1" t="n">
        <v>46060</v>
      </c>
      <c r="D1044" t="inlineStr">
        <is>
          <t>VÄSTERNORRLANDS LÄN</t>
        </is>
      </c>
      <c r="E1044" t="inlineStr">
        <is>
          <t>SOLLEFTEÅ</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29946-2023</t>
        </is>
      </c>
      <c r="B1045" s="1" t="n">
        <v>45107.93818287037</v>
      </c>
      <c r="C1045" s="1" t="n">
        <v>46060</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42127-2025</t>
        </is>
      </c>
      <c r="B1046" s="1" t="n">
        <v>45904.34502314815</v>
      </c>
      <c r="C1046" s="1" t="n">
        <v>46060</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42192-2025</t>
        </is>
      </c>
      <c r="B1047" s="1" t="n">
        <v>45904.47975694444</v>
      </c>
      <c r="C1047" s="1" t="n">
        <v>46060</v>
      </c>
      <c r="D1047" t="inlineStr">
        <is>
          <t>VÄSTERNORRLANDS LÄN</t>
        </is>
      </c>
      <c r="E1047" t="inlineStr">
        <is>
          <t>SOLLEFTEÅ</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42191-2025</t>
        </is>
      </c>
      <c r="B1048" s="1" t="n">
        <v>45904.47394675926</v>
      </c>
      <c r="C1048" s="1" t="n">
        <v>46060</v>
      </c>
      <c r="D1048" t="inlineStr">
        <is>
          <t>VÄSTERNORRLANDS LÄN</t>
        </is>
      </c>
      <c r="E1048" t="inlineStr">
        <is>
          <t>SOLLEFTEÅ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38102-2022</t>
        </is>
      </c>
      <c r="B1049" s="1" t="n">
        <v>44811</v>
      </c>
      <c r="C1049" s="1" t="n">
        <v>46060</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c r="U1049">
        <f>HYPERLINK("https://klasma.github.io/Logging_2283/knärot/A 38102-2022 karta knärot.png", "A 38102-2022")</f>
        <v/>
      </c>
      <c r="V1049">
        <f>HYPERLINK("https://klasma.github.io/Logging_2283/klagomål/A 38102-2022 FSC-klagomål.docx", "A 38102-2022")</f>
        <v/>
      </c>
      <c r="W1049">
        <f>HYPERLINK("https://klasma.github.io/Logging_2283/klagomålsmail/A 38102-2022 FSC-klagomål mail.docx", "A 38102-2022")</f>
        <v/>
      </c>
      <c r="X1049">
        <f>HYPERLINK("https://klasma.github.io/Logging_2283/tillsyn/A 38102-2022 tillsynsbegäran.docx", "A 38102-2022")</f>
        <v/>
      </c>
      <c r="Y1049">
        <f>HYPERLINK("https://klasma.github.io/Logging_2283/tillsynsmail/A 38102-2022 tillsynsbegäran mail.docx", "A 38102-2022")</f>
        <v/>
      </c>
    </row>
    <row r="1050" ht="15" customHeight="1">
      <c r="A1050" t="inlineStr">
        <is>
          <t>A 42201-2025</t>
        </is>
      </c>
      <c r="B1050" s="1" t="n">
        <v>45904.48965277777</v>
      </c>
      <c r="C1050" s="1" t="n">
        <v>46060</v>
      </c>
      <c r="D1050" t="inlineStr">
        <is>
          <t>VÄSTERNORRLANDS LÄN</t>
        </is>
      </c>
      <c r="E1050" t="inlineStr">
        <is>
          <t>SOLLEFTEÅ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29309-2025</t>
        </is>
      </c>
      <c r="B1051" s="1" t="n">
        <v>45824.46333333333</v>
      </c>
      <c r="C1051" s="1" t="n">
        <v>46060</v>
      </c>
      <c r="D1051" t="inlineStr">
        <is>
          <t>VÄSTERNORRLANDS LÄN</t>
        </is>
      </c>
      <c r="E1051" t="inlineStr">
        <is>
          <t>SOLLEFTEÅ</t>
        </is>
      </c>
      <c r="F1051" t="inlineStr">
        <is>
          <t>Holmen skog AB</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42733-2025</t>
        </is>
      </c>
      <c r="B1052" s="1" t="n">
        <v>45908.4071875</v>
      </c>
      <c r="C1052" s="1" t="n">
        <v>46060</v>
      </c>
      <c r="D1052" t="inlineStr">
        <is>
          <t>VÄSTERNORRLANDS LÄN</t>
        </is>
      </c>
      <c r="E1052" t="inlineStr">
        <is>
          <t>SOLLEFTEÅ</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42901-2025</t>
        </is>
      </c>
      <c r="B1053" s="1" t="n">
        <v>45908.67736111111</v>
      </c>
      <c r="C1053" s="1" t="n">
        <v>46060</v>
      </c>
      <c r="D1053" t="inlineStr">
        <is>
          <t>VÄSTERNORRLANDS LÄN</t>
        </is>
      </c>
      <c r="E1053" t="inlineStr">
        <is>
          <t>SOLLEFTEÅ</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42808-2025</t>
        </is>
      </c>
      <c r="B1054" s="1" t="n">
        <v>45908.55265046296</v>
      </c>
      <c r="C1054" s="1" t="n">
        <v>46060</v>
      </c>
      <c r="D1054" t="inlineStr">
        <is>
          <t>VÄSTERNORRLANDS LÄN</t>
        </is>
      </c>
      <c r="E1054" t="inlineStr">
        <is>
          <t>SOLLEFTEÅ</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22166-2025</t>
        </is>
      </c>
      <c r="B1055" s="1" t="n">
        <v>45785.59480324074</v>
      </c>
      <c r="C1055" s="1" t="n">
        <v>46060</v>
      </c>
      <c r="D1055" t="inlineStr">
        <is>
          <t>VÄSTERNORRLANDS LÄN</t>
        </is>
      </c>
      <c r="E1055" t="inlineStr">
        <is>
          <t>SOLLEFTEÅ</t>
        </is>
      </c>
      <c r="F1055" t="inlineStr">
        <is>
          <t>SCA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28580-2024</t>
        </is>
      </c>
      <c r="B1056" s="1" t="n">
        <v>45478</v>
      </c>
      <c r="C1056" s="1" t="n">
        <v>46060</v>
      </c>
      <c r="D1056" t="inlineStr">
        <is>
          <t>VÄSTERNORRLANDS LÄN</t>
        </is>
      </c>
      <c r="E1056" t="inlineStr">
        <is>
          <t>SOLLEFTEÅ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42778-2025</t>
        </is>
      </c>
      <c r="B1057" s="1" t="n">
        <v>45908</v>
      </c>
      <c r="C1057" s="1" t="n">
        <v>46060</v>
      </c>
      <c r="D1057" t="inlineStr">
        <is>
          <t>VÄSTERNORRLANDS LÄN</t>
        </is>
      </c>
      <c r="E1057" t="inlineStr">
        <is>
          <t>SOLLEFTEÅ</t>
        </is>
      </c>
      <c r="F1057" t="inlineStr">
        <is>
          <t>Holmen skog AB</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29435-2025</t>
        </is>
      </c>
      <c r="B1058" s="1" t="n">
        <v>45824.65762731482</v>
      </c>
      <c r="C1058" s="1" t="n">
        <v>46060</v>
      </c>
      <c r="D1058" t="inlineStr">
        <is>
          <t>VÄSTERNORRLANDS LÄN</t>
        </is>
      </c>
      <c r="E1058" t="inlineStr">
        <is>
          <t>SOLLEFTEÅ</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48555-2021</t>
        </is>
      </c>
      <c r="B1059" s="1" t="n">
        <v>44452</v>
      </c>
      <c r="C1059" s="1" t="n">
        <v>46060</v>
      </c>
      <c r="D1059" t="inlineStr">
        <is>
          <t>VÄSTERNORRLANDS LÄN</t>
        </is>
      </c>
      <c r="E1059" t="inlineStr">
        <is>
          <t>SOLLEFTEÅ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42806-2025</t>
        </is>
      </c>
      <c r="B1060" s="1" t="n">
        <v>45908</v>
      </c>
      <c r="C1060" s="1" t="n">
        <v>46060</v>
      </c>
      <c r="D1060" t="inlineStr">
        <is>
          <t>VÄSTERNORRLANDS LÄN</t>
        </is>
      </c>
      <c r="E1060" t="inlineStr">
        <is>
          <t>SOLLEFTEÅ</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6474-2023</t>
        </is>
      </c>
      <c r="B1061" s="1" t="n">
        <v>44965.94128472222</v>
      </c>
      <c r="C1061" s="1" t="n">
        <v>46060</v>
      </c>
      <c r="D1061" t="inlineStr">
        <is>
          <t>VÄSTERNORRLANDS LÄN</t>
        </is>
      </c>
      <c r="E1061" t="inlineStr">
        <is>
          <t>SOLLEFTEÅ</t>
        </is>
      </c>
      <c r="F1061" t="inlineStr">
        <is>
          <t>SCA</t>
        </is>
      </c>
      <c r="G1061" t="n">
        <v>47.3</v>
      </c>
      <c r="H1061" t="n">
        <v>0</v>
      </c>
      <c r="I1061" t="n">
        <v>0</v>
      </c>
      <c r="J1061" t="n">
        <v>0</v>
      </c>
      <c r="K1061" t="n">
        <v>0</v>
      </c>
      <c r="L1061" t="n">
        <v>0</v>
      </c>
      <c r="M1061" t="n">
        <v>0</v>
      </c>
      <c r="N1061" t="n">
        <v>0</v>
      </c>
      <c r="O1061" t="n">
        <v>0</v>
      </c>
      <c r="P1061" t="n">
        <v>0</v>
      </c>
      <c r="Q1061" t="n">
        <v>0</v>
      </c>
      <c r="R1061" s="2" t="inlineStr"/>
    </row>
    <row r="1062" ht="15" customHeight="1">
      <c r="A1062" t="inlineStr">
        <is>
          <t>A 52035-2022</t>
        </is>
      </c>
      <c r="B1062" s="1" t="n">
        <v>44872</v>
      </c>
      <c r="C1062" s="1" t="n">
        <v>46060</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62038-2024</t>
        </is>
      </c>
      <c r="B1063" s="1" t="n">
        <v>45656.34410879629</v>
      </c>
      <c r="C1063" s="1" t="n">
        <v>46060</v>
      </c>
      <c r="D1063" t="inlineStr">
        <is>
          <t>VÄSTERNORRLANDS LÄN</t>
        </is>
      </c>
      <c r="E1063" t="inlineStr">
        <is>
          <t>SOLLEFTEÅ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41478-2022</t>
        </is>
      </c>
      <c r="B1064" s="1" t="n">
        <v>44826.94892361111</v>
      </c>
      <c r="C1064" s="1" t="n">
        <v>46060</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59407-2024</t>
        </is>
      </c>
      <c r="B1065" s="1" t="n">
        <v>45638.38917824074</v>
      </c>
      <c r="C1065" s="1" t="n">
        <v>46060</v>
      </c>
      <c r="D1065" t="inlineStr">
        <is>
          <t>VÄSTERNORRLANDS LÄN</t>
        </is>
      </c>
      <c r="E1065" t="inlineStr">
        <is>
          <t>SOLLEFTEÅ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9163-2025</t>
        </is>
      </c>
      <c r="B1066" s="1" t="n">
        <v>45714.36503472222</v>
      </c>
      <c r="C1066" s="1" t="n">
        <v>46060</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29759-2025</t>
        </is>
      </c>
      <c r="B1067" s="1" t="n">
        <v>45825</v>
      </c>
      <c r="C1067" s="1" t="n">
        <v>46060</v>
      </c>
      <c r="D1067" t="inlineStr">
        <is>
          <t>VÄSTERNORRLANDS LÄN</t>
        </is>
      </c>
      <c r="E1067" t="inlineStr">
        <is>
          <t>SOLLEFTEÅ</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59346-2023</t>
        </is>
      </c>
      <c r="B1068" s="1" t="n">
        <v>45253</v>
      </c>
      <c r="C1068" s="1" t="n">
        <v>46060</v>
      </c>
      <c r="D1068" t="inlineStr">
        <is>
          <t>VÄSTERNORRLANDS LÄN</t>
        </is>
      </c>
      <c r="E1068" t="inlineStr">
        <is>
          <t>SOLLEFTEÅ</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50549-2024</t>
        </is>
      </c>
      <c r="B1069" s="1" t="n">
        <v>45601</v>
      </c>
      <c r="C1069" s="1" t="n">
        <v>46060</v>
      </c>
      <c r="D1069" t="inlineStr">
        <is>
          <t>VÄSTERNORRLANDS LÄN</t>
        </is>
      </c>
      <c r="E1069" t="inlineStr">
        <is>
          <t>SOLLEFTEÅ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38769-2024</t>
        </is>
      </c>
      <c r="B1070" s="1" t="n">
        <v>45547.44914351852</v>
      </c>
      <c r="C1070" s="1" t="n">
        <v>46060</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26014-2025</t>
        </is>
      </c>
      <c r="B1071" s="1" t="n">
        <v>45804.67773148148</v>
      </c>
      <c r="C1071" s="1" t="n">
        <v>46060</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50624-2024</t>
        </is>
      </c>
      <c r="B1072" s="1" t="n">
        <v>45601.65728009259</v>
      </c>
      <c r="C1072" s="1" t="n">
        <v>46060</v>
      </c>
      <c r="D1072" t="inlineStr">
        <is>
          <t>VÄSTERNORRLANDS LÄN</t>
        </is>
      </c>
      <c r="E1072" t="inlineStr">
        <is>
          <t>SOLLEFTEÅ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48019-2024</t>
        </is>
      </c>
      <c r="B1073" s="1" t="n">
        <v>45589.47023148148</v>
      </c>
      <c r="C1073" s="1" t="n">
        <v>46060</v>
      </c>
      <c r="D1073" t="inlineStr">
        <is>
          <t>VÄSTERNORRLANDS LÄN</t>
        </is>
      </c>
      <c r="E1073" t="inlineStr">
        <is>
          <t>SOLLEFTEÅ</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30068-2024</t>
        </is>
      </c>
      <c r="B1074" s="1" t="n">
        <v>45488.94886574074</v>
      </c>
      <c r="C1074" s="1" t="n">
        <v>46060</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29011-2025</t>
        </is>
      </c>
      <c r="B1075" s="1" t="n">
        <v>45821.40659722222</v>
      </c>
      <c r="C1075" s="1" t="n">
        <v>46060</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29535-2025</t>
        </is>
      </c>
      <c r="B1076" s="1" t="n">
        <v>45825.34486111111</v>
      </c>
      <c r="C1076" s="1" t="n">
        <v>46060</v>
      </c>
      <c r="D1076" t="inlineStr">
        <is>
          <t>VÄSTERNORRLANDS LÄN</t>
        </is>
      </c>
      <c r="E1076" t="inlineStr">
        <is>
          <t>SOLLEFTEÅ</t>
        </is>
      </c>
      <c r="F1076" t="inlineStr">
        <is>
          <t>SCA</t>
        </is>
      </c>
      <c r="G1076" t="n">
        <v>20.6</v>
      </c>
      <c r="H1076" t="n">
        <v>0</v>
      </c>
      <c r="I1076" t="n">
        <v>0</v>
      </c>
      <c r="J1076" t="n">
        <v>0</v>
      </c>
      <c r="K1076" t="n">
        <v>0</v>
      </c>
      <c r="L1076" t="n">
        <v>0</v>
      </c>
      <c r="M1076" t="n">
        <v>0</v>
      </c>
      <c r="N1076" t="n">
        <v>0</v>
      </c>
      <c r="O1076" t="n">
        <v>0</v>
      </c>
      <c r="P1076" t="n">
        <v>0</v>
      </c>
      <c r="Q1076" t="n">
        <v>0</v>
      </c>
      <c r="R1076" s="2" t="inlineStr"/>
    </row>
    <row r="1077" ht="15" customHeight="1">
      <c r="A1077" t="inlineStr">
        <is>
          <t>A 29760-2025</t>
        </is>
      </c>
      <c r="B1077" s="1" t="n">
        <v>45825.61805555555</v>
      </c>
      <c r="C1077" s="1" t="n">
        <v>46060</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29769-2025</t>
        </is>
      </c>
      <c r="B1078" s="1" t="n">
        <v>45825.62796296296</v>
      </c>
      <c r="C1078" s="1" t="n">
        <v>46060</v>
      </c>
      <c r="D1078" t="inlineStr">
        <is>
          <t>VÄSTERNORRLANDS LÄN</t>
        </is>
      </c>
      <c r="E1078" t="inlineStr">
        <is>
          <t>SOLLEFTEÅ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35470-2023</t>
        </is>
      </c>
      <c r="B1079" s="1" t="n">
        <v>45146</v>
      </c>
      <c r="C1079" s="1" t="n">
        <v>46060</v>
      </c>
      <c r="D1079" t="inlineStr">
        <is>
          <t>VÄSTERNORRLANDS LÄN</t>
        </is>
      </c>
      <c r="E1079" t="inlineStr">
        <is>
          <t>SOLLEFTEÅ</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42697-2025</t>
        </is>
      </c>
      <c r="B1080" s="1" t="n">
        <v>45908.36498842593</v>
      </c>
      <c r="C1080" s="1" t="n">
        <v>46060</v>
      </c>
      <c r="D1080" t="inlineStr">
        <is>
          <t>VÄSTERNORRLANDS LÄN</t>
        </is>
      </c>
      <c r="E1080" t="inlineStr">
        <is>
          <t>SOLLEFTEÅ</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42789-2025</t>
        </is>
      </c>
      <c r="B1081" s="1" t="n">
        <v>45908</v>
      </c>
      <c r="C1081" s="1" t="n">
        <v>46060</v>
      </c>
      <c r="D1081" t="inlineStr">
        <is>
          <t>VÄSTERNORRLANDS LÄN</t>
        </is>
      </c>
      <c r="E1081" t="inlineStr">
        <is>
          <t>SOLLEFTEÅ</t>
        </is>
      </c>
      <c r="F1081" t="inlineStr">
        <is>
          <t>Holmen skog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29436-2025</t>
        </is>
      </c>
      <c r="B1082" s="1" t="n">
        <v>45824.65766203704</v>
      </c>
      <c r="C1082" s="1" t="n">
        <v>46060</v>
      </c>
      <c r="D1082" t="inlineStr">
        <is>
          <t>VÄSTERNORRLANDS LÄN</t>
        </is>
      </c>
      <c r="E1082" t="inlineStr">
        <is>
          <t>SOLLEFTEÅ</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29445-2025</t>
        </is>
      </c>
      <c r="B1083" s="1" t="n">
        <v>45824.66322916667</v>
      </c>
      <c r="C1083" s="1" t="n">
        <v>46060</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29762-2025</t>
        </is>
      </c>
      <c r="B1084" s="1" t="n">
        <v>45825.61826388889</v>
      </c>
      <c r="C1084" s="1" t="n">
        <v>46060</v>
      </c>
      <c r="D1084" t="inlineStr">
        <is>
          <t>VÄSTERNORRLANDS LÄN</t>
        </is>
      </c>
      <c r="E1084" t="inlineStr">
        <is>
          <t>SOLLEFTEÅ</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56685-2023</t>
        </is>
      </c>
      <c r="B1085" s="1" t="n">
        <v>45243.96600694444</v>
      </c>
      <c r="C1085" s="1" t="n">
        <v>46060</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43503-2025</t>
        </is>
      </c>
      <c r="B1086" s="1" t="n">
        <v>45911.55266203704</v>
      </c>
      <c r="C1086" s="1" t="n">
        <v>46060</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43462-2025</t>
        </is>
      </c>
      <c r="B1087" s="1" t="n">
        <v>45911.46943287037</v>
      </c>
      <c r="C1087" s="1" t="n">
        <v>46060</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43620-2025</t>
        </is>
      </c>
      <c r="B1088" s="1" t="n">
        <v>45911</v>
      </c>
      <c r="C1088" s="1" t="n">
        <v>46060</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28998-2025</t>
        </is>
      </c>
      <c r="B1089" s="1" t="n">
        <v>45821.38626157407</v>
      </c>
      <c r="C1089" s="1" t="n">
        <v>46060</v>
      </c>
      <c r="D1089" t="inlineStr">
        <is>
          <t>VÄSTERNORRLANDS LÄN</t>
        </is>
      </c>
      <c r="E1089" t="inlineStr">
        <is>
          <t>SOLLEFTEÅ</t>
        </is>
      </c>
      <c r="F1089" t="inlineStr">
        <is>
          <t>SCA</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43603-2025</t>
        </is>
      </c>
      <c r="B1090" s="1" t="n">
        <v>45911</v>
      </c>
      <c r="C1090" s="1" t="n">
        <v>46060</v>
      </c>
      <c r="D1090" t="inlineStr">
        <is>
          <t>VÄSTERNORRLANDS LÄN</t>
        </is>
      </c>
      <c r="E1090" t="inlineStr">
        <is>
          <t>SOLLEFTEÅ</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29562-2025</t>
        </is>
      </c>
      <c r="B1091" s="1" t="n">
        <v>45825</v>
      </c>
      <c r="C1091" s="1" t="n">
        <v>46060</v>
      </c>
      <c r="D1091" t="inlineStr">
        <is>
          <t>VÄSTERNORRLANDS LÄN</t>
        </is>
      </c>
      <c r="E1091" t="inlineStr">
        <is>
          <t>SOLLEFTEÅ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30369-2025</t>
        </is>
      </c>
      <c r="B1092" s="1" t="n">
        <v>45827.55729166666</v>
      </c>
      <c r="C1092" s="1" t="n">
        <v>46060</v>
      </c>
      <c r="D1092" t="inlineStr">
        <is>
          <t>VÄSTERNORRLANDS LÄN</t>
        </is>
      </c>
      <c r="E1092" t="inlineStr">
        <is>
          <t>SOLLEFTEÅ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30389-2025</t>
        </is>
      </c>
      <c r="B1093" s="1" t="n">
        <v>45827.57356481482</v>
      </c>
      <c r="C1093" s="1" t="n">
        <v>46060</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29884-2025</t>
        </is>
      </c>
      <c r="B1094" s="1" t="n">
        <v>45826.36582175926</v>
      </c>
      <c r="C1094" s="1" t="n">
        <v>46060</v>
      </c>
      <c r="D1094" t="inlineStr">
        <is>
          <t>VÄSTERNORRLANDS LÄN</t>
        </is>
      </c>
      <c r="E1094" t="inlineStr">
        <is>
          <t>SOLLEFTEÅ</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30279-2025</t>
        </is>
      </c>
      <c r="B1095" s="1" t="n">
        <v>45827</v>
      </c>
      <c r="C1095" s="1" t="n">
        <v>46060</v>
      </c>
      <c r="D1095" t="inlineStr">
        <is>
          <t>VÄSTERNORRLANDS LÄN</t>
        </is>
      </c>
      <c r="E1095" t="inlineStr">
        <is>
          <t>SOLLEFTEÅ</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43510-2025</t>
        </is>
      </c>
      <c r="B1096" s="1" t="n">
        <v>45911</v>
      </c>
      <c r="C1096" s="1" t="n">
        <v>46060</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30311-2025</t>
        </is>
      </c>
      <c r="B1097" s="1" t="n">
        <v>45827.49015046296</v>
      </c>
      <c r="C1097" s="1" t="n">
        <v>46060</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43490-2025</t>
        </is>
      </c>
      <c r="B1098" s="1" t="n">
        <v>45911</v>
      </c>
      <c r="C1098" s="1" t="n">
        <v>46060</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12311-2023</t>
        </is>
      </c>
      <c r="B1099" s="1" t="n">
        <v>44995</v>
      </c>
      <c r="C1099" s="1" t="n">
        <v>46060</v>
      </c>
      <c r="D1099" t="inlineStr">
        <is>
          <t>VÄSTERNORRLANDS LÄN</t>
        </is>
      </c>
      <c r="E1099" t="inlineStr">
        <is>
          <t>SOLLEFTEÅ</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22444-2025</t>
        </is>
      </c>
      <c r="B1100" s="1" t="n">
        <v>45786</v>
      </c>
      <c r="C1100" s="1" t="n">
        <v>46060</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43863-2025</t>
        </is>
      </c>
      <c r="B1101" s="1" t="n">
        <v>45912.65672453704</v>
      </c>
      <c r="C1101" s="1" t="n">
        <v>46060</v>
      </c>
      <c r="D1101" t="inlineStr">
        <is>
          <t>VÄSTERNORRLANDS LÄN</t>
        </is>
      </c>
      <c r="E1101" t="inlineStr">
        <is>
          <t>SOLLEFTEÅ</t>
        </is>
      </c>
      <c r="F1101" t="inlineStr">
        <is>
          <t>SCA</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45915.4221412037</v>
      </c>
      <c r="C1102" s="1" t="n">
        <v>46060</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16710-2024</t>
        </is>
      </c>
      <c r="B1103" s="1" t="n">
        <v>45409.07748842592</v>
      </c>
      <c r="C1103" s="1" t="n">
        <v>46060</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16308-2025</t>
        </is>
      </c>
      <c r="B1104" s="1" t="n">
        <v>45751.34700231482</v>
      </c>
      <c r="C1104" s="1" t="n">
        <v>46060</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46060</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30018-2025</t>
        </is>
      </c>
      <c r="B1106" s="1" t="n">
        <v>45826.55332175926</v>
      </c>
      <c r="C1106" s="1" t="n">
        <v>46060</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30020-2025</t>
        </is>
      </c>
      <c r="B1107" s="1" t="n">
        <v>45826.55337962963</v>
      </c>
      <c r="C1107" s="1" t="n">
        <v>46060</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5111-2022</t>
        </is>
      </c>
      <c r="B1108" s="1" t="n">
        <v>44593.92144675926</v>
      </c>
      <c r="C1108" s="1" t="n">
        <v>46060</v>
      </c>
      <c r="D1108" t="inlineStr">
        <is>
          <t>VÄSTERNORRLANDS LÄN</t>
        </is>
      </c>
      <c r="E1108" t="inlineStr">
        <is>
          <t>SOLLEFTEÅ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44241-2025</t>
        </is>
      </c>
      <c r="B1109" s="1" t="n">
        <v>45915.67747685185</v>
      </c>
      <c r="C1109" s="1" t="n">
        <v>46060</v>
      </c>
      <c r="D1109" t="inlineStr">
        <is>
          <t>VÄSTERNORRLANDS LÄN</t>
        </is>
      </c>
      <c r="E1109" t="inlineStr">
        <is>
          <t>SOLLEFTEÅ</t>
        </is>
      </c>
      <c r="F1109" t="inlineStr">
        <is>
          <t>SCA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44243-2025</t>
        </is>
      </c>
      <c r="B1110" s="1" t="n">
        <v>45915</v>
      </c>
      <c r="C1110" s="1" t="n">
        <v>46060</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42160-2023</t>
        </is>
      </c>
      <c r="B1111" s="1" t="n">
        <v>45177</v>
      </c>
      <c r="C1111" s="1" t="n">
        <v>46060</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18795-2025</t>
        </is>
      </c>
      <c r="B1112" s="1" t="n">
        <v>45764.34564814815</v>
      </c>
      <c r="C1112" s="1" t="n">
        <v>46060</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41456-2022</t>
        </is>
      </c>
      <c r="B1113" s="1" t="n">
        <v>44826</v>
      </c>
      <c r="C1113" s="1" t="n">
        <v>46060</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29883-2025</t>
        </is>
      </c>
      <c r="B1114" s="1" t="n">
        <v>45826.36568287037</v>
      </c>
      <c r="C1114" s="1" t="n">
        <v>46060</v>
      </c>
      <c r="D1114" t="inlineStr">
        <is>
          <t>VÄSTERNORRLANDS LÄN</t>
        </is>
      </c>
      <c r="E1114" t="inlineStr">
        <is>
          <t>SOLLEFTEÅ</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30401-2025</t>
        </is>
      </c>
      <c r="B1115" s="1" t="n">
        <v>45827.59135416667</v>
      </c>
      <c r="C1115" s="1" t="n">
        <v>46060</v>
      </c>
      <c r="D1115" t="inlineStr">
        <is>
          <t>VÄSTERNORRLANDS LÄN</t>
        </is>
      </c>
      <c r="E1115" t="inlineStr">
        <is>
          <t>SOLLEFTEÅ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43845-2024</t>
        </is>
      </c>
      <c r="B1116" s="1" t="n">
        <v>45572.34483796296</v>
      </c>
      <c r="C1116" s="1" t="n">
        <v>46060</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46060</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16670-2022</t>
        </is>
      </c>
      <c r="B1118" s="1" t="n">
        <v>44672.93802083333</v>
      </c>
      <c r="C1118" s="1" t="n">
        <v>46060</v>
      </c>
      <c r="D1118" t="inlineStr">
        <is>
          <t>VÄSTERNORRLANDS LÄN</t>
        </is>
      </c>
      <c r="E1118" t="inlineStr">
        <is>
          <t>SOLLEFTEÅ</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53325-2024</t>
        </is>
      </c>
      <c r="B1119" s="1" t="n">
        <v>45614.41177083334</v>
      </c>
      <c r="C1119" s="1" t="n">
        <v>46060</v>
      </c>
      <c r="D1119" t="inlineStr">
        <is>
          <t>VÄSTERNORRLANDS LÄN</t>
        </is>
      </c>
      <c r="E1119" t="inlineStr">
        <is>
          <t>SOLLEFTEÅ</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35420-2024</t>
        </is>
      </c>
      <c r="B1120" s="1" t="n">
        <v>45531</v>
      </c>
      <c r="C1120" s="1" t="n">
        <v>46060</v>
      </c>
      <c r="D1120" t="inlineStr">
        <is>
          <t>VÄSTERNORRLANDS LÄN</t>
        </is>
      </c>
      <c r="E1120" t="inlineStr">
        <is>
          <t>SOLLEFTEÅ</t>
        </is>
      </c>
      <c r="F1120" t="inlineStr">
        <is>
          <t>SCA</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35147-2023</t>
        </is>
      </c>
      <c r="B1121" s="1" t="n">
        <v>45142</v>
      </c>
      <c r="C1121" s="1" t="n">
        <v>46060</v>
      </c>
      <c r="D1121" t="inlineStr">
        <is>
          <t>VÄSTERNORRLANDS LÄN</t>
        </is>
      </c>
      <c r="E1121" t="inlineStr">
        <is>
          <t>SOLLEFTEÅ</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30073-2025</t>
        </is>
      </c>
      <c r="B1122" s="1" t="n">
        <v>45826.63643518519</v>
      </c>
      <c r="C1122" s="1" t="n">
        <v>46060</v>
      </c>
      <c r="D1122" t="inlineStr">
        <is>
          <t>VÄSTERNORRLANDS LÄN</t>
        </is>
      </c>
      <c r="E1122" t="inlineStr">
        <is>
          <t>SOLLEFTEÅ</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25795-2023</t>
        </is>
      </c>
      <c r="B1123" s="1" t="n">
        <v>45085</v>
      </c>
      <c r="C1123" s="1" t="n">
        <v>46060</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4623-2023</t>
        </is>
      </c>
      <c r="B1124" s="1" t="n">
        <v>44956.94013888889</v>
      </c>
      <c r="C1124" s="1" t="n">
        <v>46060</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44387-2025</t>
        </is>
      </c>
      <c r="B1125" s="1" t="n">
        <v>45916.48994212963</v>
      </c>
      <c r="C1125" s="1" t="n">
        <v>46060</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17682-2025</t>
        </is>
      </c>
      <c r="B1126" s="1" t="n">
        <v>45758</v>
      </c>
      <c r="C1126" s="1" t="n">
        <v>46060</v>
      </c>
      <c r="D1126" t="inlineStr">
        <is>
          <t>VÄSTERNORRLANDS LÄN</t>
        </is>
      </c>
      <c r="E1126" t="inlineStr">
        <is>
          <t>SOLLEFTEÅ</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44746-2025</t>
        </is>
      </c>
      <c r="B1127" s="1" t="n">
        <v>45917.67760416667</v>
      </c>
      <c r="C1127" s="1" t="n">
        <v>46060</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44747-2025</t>
        </is>
      </c>
      <c r="B1128" s="1" t="n">
        <v>45917.67769675926</v>
      </c>
      <c r="C1128" s="1" t="n">
        <v>46060</v>
      </c>
      <c r="D1128" t="inlineStr">
        <is>
          <t>VÄSTERNORRLANDS LÄN</t>
        </is>
      </c>
      <c r="E1128" t="inlineStr">
        <is>
          <t>SOLLEFTEÅ</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3080-2025</t>
        </is>
      </c>
      <c r="B1129" s="1" t="n">
        <v>45678</v>
      </c>
      <c r="C1129" s="1" t="n">
        <v>46060</v>
      </c>
      <c r="D1129" t="inlineStr">
        <is>
          <t>VÄSTERNORRLANDS LÄN</t>
        </is>
      </c>
      <c r="E1129" t="inlineStr">
        <is>
          <t>SOLLEFTEÅ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44335-2025</t>
        </is>
      </c>
      <c r="B1130" s="1" t="n">
        <v>45916.423125</v>
      </c>
      <c r="C1130" s="1" t="n">
        <v>46060</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44736-2025</t>
        </is>
      </c>
      <c r="B1131" s="1" t="n">
        <v>45917.656875</v>
      </c>
      <c r="C1131" s="1" t="n">
        <v>46060</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44295-2025</t>
        </is>
      </c>
      <c r="B1132" s="1" t="n">
        <v>45916.36495370371</v>
      </c>
      <c r="C1132" s="1" t="n">
        <v>46060</v>
      </c>
      <c r="D1132" t="inlineStr">
        <is>
          <t>VÄSTERNORRLANDS LÄN</t>
        </is>
      </c>
      <c r="E1132" t="inlineStr">
        <is>
          <t>SOLLEFTEÅ</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44556-2025</t>
        </is>
      </c>
      <c r="B1133" s="1" t="n">
        <v>45917.34424768519</v>
      </c>
      <c r="C1133" s="1" t="n">
        <v>46060</v>
      </c>
      <c r="D1133" t="inlineStr">
        <is>
          <t>VÄSTERNORRLANDS LÄN</t>
        </is>
      </c>
      <c r="E1133" t="inlineStr">
        <is>
          <t>SOLLEFTEÅ</t>
        </is>
      </c>
      <c r="F1133" t="inlineStr">
        <is>
          <t>SCA</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44327-2025</t>
        </is>
      </c>
      <c r="B1134" s="1" t="n">
        <v>45916.40755787037</v>
      </c>
      <c r="C1134" s="1" t="n">
        <v>46060</v>
      </c>
      <c r="D1134" t="inlineStr">
        <is>
          <t>VÄSTERNORRLANDS LÄN</t>
        </is>
      </c>
      <c r="E1134" t="inlineStr">
        <is>
          <t>SOLLEFTEÅ</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56256-2023</t>
        </is>
      </c>
      <c r="B1135" s="1" t="n">
        <v>45240</v>
      </c>
      <c r="C1135" s="1" t="n">
        <v>46060</v>
      </c>
      <c r="D1135" t="inlineStr">
        <is>
          <t>VÄSTERNORRLANDS LÄN</t>
        </is>
      </c>
      <c r="E1135" t="inlineStr">
        <is>
          <t>SOLLEFTEÅ</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12355-2025</t>
        </is>
      </c>
      <c r="B1136" s="1" t="n">
        <v>45730.36490740741</v>
      </c>
      <c r="C1136" s="1" t="n">
        <v>46060</v>
      </c>
      <c r="D1136" t="inlineStr">
        <is>
          <t>VÄSTERNORRLANDS LÄN</t>
        </is>
      </c>
      <c r="E1136" t="inlineStr">
        <is>
          <t>SOLLEFTEÅ</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44407-2023</t>
        </is>
      </c>
      <c r="B1137" s="1" t="n">
        <v>45188.9465625</v>
      </c>
      <c r="C1137" s="1" t="n">
        <v>46060</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44408-2023</t>
        </is>
      </c>
      <c r="B1138" s="1" t="n">
        <v>45188.94663194445</v>
      </c>
      <c r="C1138" s="1" t="n">
        <v>46060</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30478-2025</t>
        </is>
      </c>
      <c r="B1139" s="1" t="n">
        <v>45828.45866898148</v>
      </c>
      <c r="C1139" s="1" t="n">
        <v>46060</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c r="U1139">
        <f>HYPERLINK("https://klasma.github.io/Logging_2283/knärot/A 30478-2025 karta knärot.png", "A 30478-2025")</f>
        <v/>
      </c>
      <c r="V1139">
        <f>HYPERLINK("https://klasma.github.io/Logging_2283/klagomål/A 30478-2025 FSC-klagomål.docx", "A 30478-2025")</f>
        <v/>
      </c>
      <c r="W1139">
        <f>HYPERLINK("https://klasma.github.io/Logging_2283/klagomålsmail/A 30478-2025 FSC-klagomål mail.docx", "A 30478-2025")</f>
        <v/>
      </c>
      <c r="X1139">
        <f>HYPERLINK("https://klasma.github.io/Logging_2283/tillsyn/A 30478-2025 tillsynsbegäran.docx", "A 30478-2025")</f>
        <v/>
      </c>
      <c r="Y1139">
        <f>HYPERLINK("https://klasma.github.io/Logging_2283/tillsynsmail/A 30478-2025 tillsynsbegäran mail.docx", "A 30478-2025")</f>
        <v/>
      </c>
    </row>
    <row r="1140" ht="15" customHeight="1">
      <c r="A1140" t="inlineStr">
        <is>
          <t>A 30750-2025</t>
        </is>
      </c>
      <c r="B1140" s="1" t="n">
        <v>45831.58900462963</v>
      </c>
      <c r="C1140" s="1" t="n">
        <v>46060</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30754-2025</t>
        </is>
      </c>
      <c r="B1141" s="1" t="n">
        <v>45831.59417824074</v>
      </c>
      <c r="C1141" s="1" t="n">
        <v>46060</v>
      </c>
      <c r="D1141" t="inlineStr">
        <is>
          <t>VÄSTERNORRLANDS LÄN</t>
        </is>
      </c>
      <c r="E1141" t="inlineStr">
        <is>
          <t>SOLLEFTEÅ</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36139-2024</t>
        </is>
      </c>
      <c r="B1142" s="1" t="n">
        <v>45534.35474537037</v>
      </c>
      <c r="C1142" s="1" t="n">
        <v>46060</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44839-2025</t>
        </is>
      </c>
      <c r="B1143" s="1" t="n">
        <v>45918.42751157407</v>
      </c>
      <c r="C1143" s="1" t="n">
        <v>46060</v>
      </c>
      <c r="D1143" t="inlineStr">
        <is>
          <t>VÄSTERNORRLANDS LÄN</t>
        </is>
      </c>
      <c r="E1143" t="inlineStr">
        <is>
          <t>SOLLEFTEÅ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44907-2025</t>
        </is>
      </c>
      <c r="B1144" s="1" t="n">
        <v>45918.531875</v>
      </c>
      <c r="C1144" s="1" t="n">
        <v>46060</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44871-2025</t>
        </is>
      </c>
      <c r="B1145" s="1" t="n">
        <v>45918.46938657408</v>
      </c>
      <c r="C1145" s="1" t="n">
        <v>46060</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23282-2022</t>
        </is>
      </c>
      <c r="B1146" s="1" t="n">
        <v>44720</v>
      </c>
      <c r="C1146" s="1" t="n">
        <v>46060</v>
      </c>
      <c r="D1146" t="inlineStr">
        <is>
          <t>VÄSTERNORRLANDS LÄN</t>
        </is>
      </c>
      <c r="E1146" t="inlineStr">
        <is>
          <t>SOLLEFTEÅ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45252-2025</t>
        </is>
      </c>
      <c r="B1147" s="1" t="n">
        <v>45919.61493055556</v>
      </c>
      <c r="C1147" s="1" t="n">
        <v>46060</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30774-2025</t>
        </is>
      </c>
      <c r="B1148" s="1" t="n">
        <v>45831.61501157407</v>
      </c>
      <c r="C1148" s="1" t="n">
        <v>46060</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30834-2025</t>
        </is>
      </c>
      <c r="B1149" s="1" t="n">
        <v>45831.6984837963</v>
      </c>
      <c r="C1149" s="1" t="n">
        <v>46060</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6066-2024</t>
        </is>
      </c>
      <c r="B1150" s="1" t="n">
        <v>45336.88386574074</v>
      </c>
      <c r="C1150" s="1" t="n">
        <v>46060</v>
      </c>
      <c r="D1150" t="inlineStr">
        <is>
          <t>VÄSTERNORRLANDS LÄN</t>
        </is>
      </c>
      <c r="E1150" t="inlineStr">
        <is>
          <t>SOLLEFTEÅ</t>
        </is>
      </c>
      <c r="F1150" t="inlineStr">
        <is>
          <t>Övriga Aktiebolag</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43842-2025</t>
        </is>
      </c>
      <c r="B1151" s="1" t="n">
        <v>45912.63587962963</v>
      </c>
      <c r="C1151" s="1" t="n">
        <v>46060</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30733-2025</t>
        </is>
      </c>
      <c r="B1152" s="1" t="n">
        <v>45831.57340277778</v>
      </c>
      <c r="C1152" s="1" t="n">
        <v>46060</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30734-2025</t>
        </is>
      </c>
      <c r="B1153" s="1" t="n">
        <v>45831.5734375</v>
      </c>
      <c r="C1153" s="1" t="n">
        <v>46060</v>
      </c>
      <c r="D1153" t="inlineStr">
        <is>
          <t>VÄSTERNORRLANDS LÄN</t>
        </is>
      </c>
      <c r="E1153" t="inlineStr">
        <is>
          <t>SOLLEFTEÅ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45028-2025</t>
        </is>
      </c>
      <c r="B1154" s="1" t="n">
        <v>45918.69828703703</v>
      </c>
      <c r="C1154" s="1" t="n">
        <v>46060</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44906-2025</t>
        </is>
      </c>
      <c r="B1155" s="1" t="n">
        <v>45918.53174768519</v>
      </c>
      <c r="C1155" s="1" t="n">
        <v>46060</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42478-2025</t>
        </is>
      </c>
      <c r="B1156" s="1" t="n">
        <v>45905</v>
      </c>
      <c r="C1156" s="1" t="n">
        <v>46060</v>
      </c>
      <c r="D1156" t="inlineStr">
        <is>
          <t>VÄSTERNORRLANDS LÄN</t>
        </is>
      </c>
      <c r="E1156" t="inlineStr">
        <is>
          <t>SOLLEFTEÅ</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44873-2025</t>
        </is>
      </c>
      <c r="B1157" s="1" t="n">
        <v>45918.46966435185</v>
      </c>
      <c r="C1157" s="1" t="n">
        <v>46060</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42879-2025</t>
        </is>
      </c>
      <c r="B1158" s="1" t="n">
        <v>45908</v>
      </c>
      <c r="C1158" s="1" t="n">
        <v>46060</v>
      </c>
      <c r="D1158" t="inlineStr">
        <is>
          <t>VÄSTERNORRLANDS LÄN</t>
        </is>
      </c>
      <c r="E1158" t="inlineStr">
        <is>
          <t>SOLLEFTEÅ</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45236-2025</t>
        </is>
      </c>
      <c r="B1159" s="1" t="n">
        <v>45919.59450231482</v>
      </c>
      <c r="C1159" s="1" t="n">
        <v>46060</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35261-2025</t>
        </is>
      </c>
      <c r="B1160" s="1" t="n">
        <v>45853</v>
      </c>
      <c r="C1160" s="1" t="n">
        <v>46060</v>
      </c>
      <c r="D1160" t="inlineStr">
        <is>
          <t>VÄSTERNORRLANDS LÄN</t>
        </is>
      </c>
      <c r="E1160" t="inlineStr">
        <is>
          <t>SOLLEFTEÅ</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30889-2025</t>
        </is>
      </c>
      <c r="B1161" s="1" t="n">
        <v>45832.34618055556</v>
      </c>
      <c r="C1161" s="1" t="n">
        <v>46060</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45843-2025</t>
        </is>
      </c>
      <c r="B1162" s="1" t="n">
        <v>45923.61541666667</v>
      </c>
      <c r="C1162" s="1" t="n">
        <v>46060</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46765-2024</t>
        </is>
      </c>
      <c r="B1163" s="1" t="n">
        <v>45583.49491898148</v>
      </c>
      <c r="C1163" s="1" t="n">
        <v>46060</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30964-2025</t>
        </is>
      </c>
      <c r="B1164" s="1" t="n">
        <v>45832.45111111111</v>
      </c>
      <c r="C1164" s="1" t="n">
        <v>46060</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31183-2025</t>
        </is>
      </c>
      <c r="B1165" s="1" t="n">
        <v>45832.67774305555</v>
      </c>
      <c r="C1165" s="1" t="n">
        <v>46060</v>
      </c>
      <c r="D1165" t="inlineStr">
        <is>
          <t>VÄSTERNORRLANDS LÄN</t>
        </is>
      </c>
      <c r="E1165" t="inlineStr">
        <is>
          <t>SOLLEFTEÅ</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21349-2023</t>
        </is>
      </c>
      <c r="B1166" s="1" t="n">
        <v>45062.9390625</v>
      </c>
      <c r="C1166" s="1" t="n">
        <v>46060</v>
      </c>
      <c r="D1166" t="inlineStr">
        <is>
          <t>VÄSTERNORRLANDS LÄN</t>
        </is>
      </c>
      <c r="E1166" t="inlineStr">
        <is>
          <t>SOLLEFTEÅ</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31345-2025</t>
        </is>
      </c>
      <c r="B1167" s="1" t="n">
        <v>45833.42854166667</v>
      </c>
      <c r="C1167" s="1" t="n">
        <v>46060</v>
      </c>
      <c r="D1167" t="inlineStr">
        <is>
          <t>VÄSTERNORRLANDS LÄN</t>
        </is>
      </c>
      <c r="E1167" t="inlineStr">
        <is>
          <t>SOLLEFTEÅ</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31347-2025</t>
        </is>
      </c>
      <c r="B1168" s="1" t="n">
        <v>45833</v>
      </c>
      <c r="C1168" s="1" t="n">
        <v>46060</v>
      </c>
      <c r="D1168" t="inlineStr">
        <is>
          <t>VÄSTERNORRLANDS LÄN</t>
        </is>
      </c>
      <c r="E1168" t="inlineStr">
        <is>
          <t>SOLLEFTEÅ</t>
        </is>
      </c>
      <c r="F1168" t="inlineStr">
        <is>
          <t>SCA</t>
        </is>
      </c>
      <c r="G1168" t="n">
        <v>19.5</v>
      </c>
      <c r="H1168" t="n">
        <v>0</v>
      </c>
      <c r="I1168" t="n">
        <v>0</v>
      </c>
      <c r="J1168" t="n">
        <v>0</v>
      </c>
      <c r="K1168" t="n">
        <v>0</v>
      </c>
      <c r="L1168" t="n">
        <v>0</v>
      </c>
      <c r="M1168" t="n">
        <v>0</v>
      </c>
      <c r="N1168" t="n">
        <v>0</v>
      </c>
      <c r="O1168" t="n">
        <v>0</v>
      </c>
      <c r="P1168" t="n">
        <v>0</v>
      </c>
      <c r="Q1168" t="n">
        <v>0</v>
      </c>
      <c r="R1168" s="2" t="inlineStr"/>
    </row>
    <row r="1169" ht="15" customHeight="1">
      <c r="A1169" t="inlineStr">
        <is>
          <t>A 31435-2025</t>
        </is>
      </c>
      <c r="B1169" s="1" t="n">
        <v>45833.49708333334</v>
      </c>
      <c r="C1169" s="1" t="n">
        <v>46060</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25259-2023</t>
        </is>
      </c>
      <c r="B1170" s="1" t="n">
        <v>45079</v>
      </c>
      <c r="C1170" s="1" t="n">
        <v>46060</v>
      </c>
      <c r="D1170" t="inlineStr">
        <is>
          <t>VÄSTERNORRLANDS LÄN</t>
        </is>
      </c>
      <c r="E1170" t="inlineStr">
        <is>
          <t>SOLLEFTEÅ</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45593-2025</t>
        </is>
      </c>
      <c r="B1171" s="1" t="n">
        <v>45922.67783564814</v>
      </c>
      <c r="C1171" s="1" t="n">
        <v>46060</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46060</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20101-2025</t>
        </is>
      </c>
      <c r="B1173" s="1" t="n">
        <v>45772</v>
      </c>
      <c r="C1173" s="1" t="n">
        <v>46060</v>
      </c>
      <c r="D1173" t="inlineStr">
        <is>
          <t>VÄSTERNORRLANDS LÄN</t>
        </is>
      </c>
      <c r="E1173" t="inlineStr">
        <is>
          <t>SOLLEFTEÅ</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32071-2024</t>
        </is>
      </c>
      <c r="B1174" s="1" t="n">
        <v>45510.97246527778</v>
      </c>
      <c r="C1174" s="1" t="n">
        <v>46060</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58694-2024</t>
        </is>
      </c>
      <c r="B1175" s="1" t="n">
        <v>45635.63575231482</v>
      </c>
      <c r="C1175" s="1" t="n">
        <v>46060</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45340-2025</t>
        </is>
      </c>
      <c r="B1176" s="1" t="n">
        <v>45922.34421296296</v>
      </c>
      <c r="C1176" s="1" t="n">
        <v>46060</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31396-2025</t>
        </is>
      </c>
      <c r="B1177" s="1" t="n">
        <v>45833.4658912037</v>
      </c>
      <c r="C1177" s="1" t="n">
        <v>46060</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27293-2024</t>
        </is>
      </c>
      <c r="B1178" s="1" t="n">
        <v>45471.94259259259</v>
      </c>
      <c r="C1178" s="1" t="n">
        <v>46060</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13257-2025</t>
        </is>
      </c>
      <c r="B1179" s="1" t="n">
        <v>45735.51075231482</v>
      </c>
      <c r="C1179" s="1" t="n">
        <v>46060</v>
      </c>
      <c r="D1179" t="inlineStr">
        <is>
          <t>VÄSTERNORRLANDS LÄN</t>
        </is>
      </c>
      <c r="E1179" t="inlineStr">
        <is>
          <t>SOLLEFTEÅ</t>
        </is>
      </c>
      <c r="F1179" t="inlineStr">
        <is>
          <t>SCA</t>
        </is>
      </c>
      <c r="G1179" t="n">
        <v>15.3</v>
      </c>
      <c r="H1179" t="n">
        <v>0</v>
      </c>
      <c r="I1179" t="n">
        <v>0</v>
      </c>
      <c r="J1179" t="n">
        <v>0</v>
      </c>
      <c r="K1179" t="n">
        <v>0</v>
      </c>
      <c r="L1179" t="n">
        <v>0</v>
      </c>
      <c r="M1179" t="n">
        <v>0</v>
      </c>
      <c r="N1179" t="n">
        <v>0</v>
      </c>
      <c r="O1179" t="n">
        <v>0</v>
      </c>
      <c r="P1179" t="n">
        <v>0</v>
      </c>
      <c r="Q1179" t="n">
        <v>0</v>
      </c>
      <c r="R1179" s="2" t="inlineStr"/>
    </row>
    <row r="1180" ht="15" customHeight="1">
      <c r="A1180" t="inlineStr">
        <is>
          <t>A 45794-2025</t>
        </is>
      </c>
      <c r="B1180" s="1" t="n">
        <v>45923.57380787037</v>
      </c>
      <c r="C1180" s="1" t="n">
        <v>46060</v>
      </c>
      <c r="D1180" t="inlineStr">
        <is>
          <t>VÄSTERNORRLANDS LÄN</t>
        </is>
      </c>
      <c r="E1180" t="inlineStr">
        <is>
          <t>SOLLEFTEÅ</t>
        </is>
      </c>
      <c r="F1180" t="inlineStr">
        <is>
          <t>SCA</t>
        </is>
      </c>
      <c r="G1180" t="n">
        <v>34.9</v>
      </c>
      <c r="H1180" t="n">
        <v>0</v>
      </c>
      <c r="I1180" t="n">
        <v>0</v>
      </c>
      <c r="J1180" t="n">
        <v>0</v>
      </c>
      <c r="K1180" t="n">
        <v>0</v>
      </c>
      <c r="L1180" t="n">
        <v>0</v>
      </c>
      <c r="M1180" t="n">
        <v>0</v>
      </c>
      <c r="N1180" t="n">
        <v>0</v>
      </c>
      <c r="O1180" t="n">
        <v>0</v>
      </c>
      <c r="P1180" t="n">
        <v>0</v>
      </c>
      <c r="Q1180" t="n">
        <v>0</v>
      </c>
      <c r="R1180" s="2" t="inlineStr"/>
    </row>
    <row r="1181" ht="15" customHeight="1">
      <c r="A1181" t="inlineStr">
        <is>
          <t>A 38283-2021</t>
        </is>
      </c>
      <c r="B1181" s="1" t="n">
        <v>44405</v>
      </c>
      <c r="C1181" s="1" t="n">
        <v>46060</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32924-2024</t>
        </is>
      </c>
      <c r="B1182" s="1" t="n">
        <v>45516.95292824074</v>
      </c>
      <c r="C1182" s="1" t="n">
        <v>46060</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45978-2025</t>
        </is>
      </c>
      <c r="B1183" s="1" t="n">
        <v>45924.37491898148</v>
      </c>
      <c r="C1183" s="1" t="n">
        <v>46060</v>
      </c>
      <c r="D1183" t="inlineStr">
        <is>
          <t>VÄSTERNORRLANDS LÄN</t>
        </is>
      </c>
      <c r="E1183" t="inlineStr">
        <is>
          <t>SOLLEFTEÅ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46003-2025</t>
        </is>
      </c>
      <c r="B1184" s="1" t="n">
        <v>45924.40726851852</v>
      </c>
      <c r="C1184" s="1" t="n">
        <v>46060</v>
      </c>
      <c r="D1184" t="inlineStr">
        <is>
          <t>VÄSTERNORRLANDS LÄN</t>
        </is>
      </c>
      <c r="E1184" t="inlineStr">
        <is>
          <t>SOLLEFTEÅ</t>
        </is>
      </c>
      <c r="F1184" t="inlineStr">
        <is>
          <t>SCA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45952-2025</t>
        </is>
      </c>
      <c r="B1185" s="1" t="n">
        <v>45924.34430555555</v>
      </c>
      <c r="C1185" s="1" t="n">
        <v>46060</v>
      </c>
      <c r="D1185" t="inlineStr">
        <is>
          <t>VÄSTERNORRLANDS LÄN</t>
        </is>
      </c>
      <c r="E1185" t="inlineStr">
        <is>
          <t>SOLLEFTEÅ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31423-2025</t>
        </is>
      </c>
      <c r="B1186" s="1" t="n">
        <v>45833.48957175926</v>
      </c>
      <c r="C1186" s="1" t="n">
        <v>46060</v>
      </c>
      <c r="D1186" t="inlineStr">
        <is>
          <t>VÄSTERNORRLANDS LÄN</t>
        </is>
      </c>
      <c r="E1186" t="inlineStr">
        <is>
          <t>SOLLEFTEÅ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31306-2025</t>
        </is>
      </c>
      <c r="B1187" s="1" t="n">
        <v>45833</v>
      </c>
      <c r="C1187" s="1" t="n">
        <v>46060</v>
      </c>
      <c r="D1187" t="inlineStr">
        <is>
          <t>VÄSTERNORRLANDS LÄN</t>
        </is>
      </c>
      <c r="E1187" t="inlineStr">
        <is>
          <t>SOLLEFTEÅ</t>
        </is>
      </c>
      <c r="F1187" t="inlineStr">
        <is>
          <t>SCA</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31337-2025</t>
        </is>
      </c>
      <c r="B1188" s="1" t="n">
        <v>45833.42751157407</v>
      </c>
      <c r="C1188" s="1" t="n">
        <v>46060</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31545-2025</t>
        </is>
      </c>
      <c r="B1189" s="1" t="n">
        <v>45833.63615740741</v>
      </c>
      <c r="C1189" s="1" t="n">
        <v>46060</v>
      </c>
      <c r="D1189" t="inlineStr">
        <is>
          <t>VÄSTERNORRLANDS LÄN</t>
        </is>
      </c>
      <c r="E1189" t="inlineStr">
        <is>
          <t>SOLLEFTEÅ</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31432-2025</t>
        </is>
      </c>
      <c r="B1190" s="1" t="n">
        <v>45833.49442129629</v>
      </c>
      <c r="C1190" s="1" t="n">
        <v>46060</v>
      </c>
      <c r="D1190" t="inlineStr">
        <is>
          <t>VÄSTERNORRLANDS LÄN</t>
        </is>
      </c>
      <c r="E1190" t="inlineStr">
        <is>
          <t>SOLLEFTEÅ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8656-2024</t>
        </is>
      </c>
      <c r="B1191" s="1" t="n">
        <v>45356</v>
      </c>
      <c r="C1191" s="1" t="n">
        <v>46060</v>
      </c>
      <c r="D1191" t="inlineStr">
        <is>
          <t>VÄSTERNORRLANDS LÄN</t>
        </is>
      </c>
      <c r="E1191" t="inlineStr">
        <is>
          <t>SOLLEFTEÅ</t>
        </is>
      </c>
      <c r="F1191" t="inlineStr">
        <is>
          <t>SCA</t>
        </is>
      </c>
      <c r="G1191" t="n">
        <v>18.4</v>
      </c>
      <c r="H1191" t="n">
        <v>0</v>
      </c>
      <c r="I1191" t="n">
        <v>0</v>
      </c>
      <c r="J1191" t="n">
        <v>0</v>
      </c>
      <c r="K1191" t="n">
        <v>0</v>
      </c>
      <c r="L1191" t="n">
        <v>0</v>
      </c>
      <c r="M1191" t="n">
        <v>0</v>
      </c>
      <c r="N1191" t="n">
        <v>0</v>
      </c>
      <c r="O1191" t="n">
        <v>0</v>
      </c>
      <c r="P1191" t="n">
        <v>0</v>
      </c>
      <c r="Q1191" t="n">
        <v>0</v>
      </c>
      <c r="R1191" s="2" t="inlineStr"/>
    </row>
    <row r="1192" ht="15" customHeight="1">
      <c r="A1192" t="inlineStr">
        <is>
          <t>A 31304-2025</t>
        </is>
      </c>
      <c r="B1192" s="1" t="n">
        <v>45833.38600694444</v>
      </c>
      <c r="C1192" s="1" t="n">
        <v>46060</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31338-2025</t>
        </is>
      </c>
      <c r="B1193" s="1" t="n">
        <v>45833.42768518518</v>
      </c>
      <c r="C1193" s="1" t="n">
        <v>46060</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31437-2025</t>
        </is>
      </c>
      <c r="B1194" s="1" t="n">
        <v>45833.49855324074</v>
      </c>
      <c r="C1194" s="1" t="n">
        <v>46060</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46174-2025</t>
        </is>
      </c>
      <c r="B1195" s="1" t="n">
        <v>45924.64704861111</v>
      </c>
      <c r="C1195" s="1" t="n">
        <v>46060</v>
      </c>
      <c r="D1195" t="inlineStr">
        <is>
          <t>VÄSTERNORRLANDS LÄN</t>
        </is>
      </c>
      <c r="E1195" t="inlineStr">
        <is>
          <t>SOLLEFTEÅ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31479-2025</t>
        </is>
      </c>
      <c r="B1196" s="1" t="n">
        <v>45833.57333333333</v>
      </c>
      <c r="C1196" s="1" t="n">
        <v>46060</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46037-2025</t>
        </is>
      </c>
      <c r="B1197" s="1" t="n">
        <v>45924.44836805556</v>
      </c>
      <c r="C1197" s="1" t="n">
        <v>46060</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40280-2025</t>
        </is>
      </c>
      <c r="B1198" s="1" t="n">
        <v>45895</v>
      </c>
      <c r="C1198" s="1" t="n">
        <v>46060</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33739-2024</t>
        </is>
      </c>
      <c r="B1199" s="1" t="n">
        <v>45520.55943287037</v>
      </c>
      <c r="C1199" s="1" t="n">
        <v>46060</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45977-2025</t>
        </is>
      </c>
      <c r="B1200" s="1" t="n">
        <v>45924.37170138889</v>
      </c>
      <c r="C1200" s="1" t="n">
        <v>46060</v>
      </c>
      <c r="D1200" t="inlineStr">
        <is>
          <t>VÄSTERNORRLANDS LÄN</t>
        </is>
      </c>
      <c r="E1200" t="inlineStr">
        <is>
          <t>SOLLEFTEÅ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25703-2024</t>
        </is>
      </c>
      <c r="B1201" s="1" t="n">
        <v>45463</v>
      </c>
      <c r="C1201" s="1" t="n">
        <v>46060</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25704-2024</t>
        </is>
      </c>
      <c r="B1202" s="1" t="n">
        <v>45463.94270833334</v>
      </c>
      <c r="C1202" s="1" t="n">
        <v>46060</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29459-2024</t>
        </is>
      </c>
      <c r="B1203" s="1" t="n">
        <v>45483.96939814815</v>
      </c>
      <c r="C1203" s="1" t="n">
        <v>46060</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32271-2025</t>
        </is>
      </c>
      <c r="B1204" s="1" t="n">
        <v>45835.65662037037</v>
      </c>
      <c r="C1204" s="1" t="n">
        <v>46060</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32291-2025</t>
        </is>
      </c>
      <c r="B1205" s="1" t="n">
        <v>45835.69961805556</v>
      </c>
      <c r="C1205" s="1" t="n">
        <v>46060</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32280-2025</t>
        </is>
      </c>
      <c r="B1206" s="1" t="n">
        <v>45835.67638888889</v>
      </c>
      <c r="C1206" s="1" t="n">
        <v>46060</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32069-2025</t>
        </is>
      </c>
      <c r="B1207" s="1" t="n">
        <v>45835.4487037037</v>
      </c>
      <c r="C1207" s="1" t="n">
        <v>46060</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48235-2024</t>
        </is>
      </c>
      <c r="B1208" s="1" t="n">
        <v>45590</v>
      </c>
      <c r="C1208" s="1" t="n">
        <v>46060</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46873-2025</t>
        </is>
      </c>
      <c r="B1209" s="1" t="n">
        <v>45929.34421296296</v>
      </c>
      <c r="C1209" s="1" t="n">
        <v>46060</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46898-2025</t>
        </is>
      </c>
      <c r="B1210" s="1" t="n">
        <v>45929.38613425926</v>
      </c>
      <c r="C1210" s="1" t="n">
        <v>46060</v>
      </c>
      <c r="D1210" t="inlineStr">
        <is>
          <t>VÄSTERNORRLANDS LÄN</t>
        </is>
      </c>
      <c r="E1210" t="inlineStr">
        <is>
          <t>SOLLEFTEÅ</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3103-2025</t>
        </is>
      </c>
      <c r="B1211" s="1" t="n">
        <v>45678.67739583334</v>
      </c>
      <c r="C1211" s="1" t="n">
        <v>46060</v>
      </c>
      <c r="D1211" t="inlineStr">
        <is>
          <t>VÄSTERNORRLANDS LÄN</t>
        </is>
      </c>
      <c r="E1211" t="inlineStr">
        <is>
          <t>SOLLEFTEÅ</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57078-2024</t>
        </is>
      </c>
      <c r="B1212" s="1" t="n">
        <v>45629.35518518519</v>
      </c>
      <c r="C1212" s="1" t="n">
        <v>46060</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46905-2025</t>
        </is>
      </c>
      <c r="B1213" s="1" t="n">
        <v>45929.40055555556</v>
      </c>
      <c r="C1213" s="1" t="n">
        <v>46060</v>
      </c>
      <c r="D1213" t="inlineStr">
        <is>
          <t>VÄSTERNORRLANDS LÄN</t>
        </is>
      </c>
      <c r="E1213" t="inlineStr">
        <is>
          <t>SOLLEFTEÅ</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46968-2025</t>
        </is>
      </c>
      <c r="B1214" s="1" t="n">
        <v>45929.50158564815</v>
      </c>
      <c r="C1214" s="1" t="n">
        <v>46060</v>
      </c>
      <c r="D1214" t="inlineStr">
        <is>
          <t>VÄSTERNORRLANDS LÄN</t>
        </is>
      </c>
      <c r="E1214" t="inlineStr">
        <is>
          <t>SOLLEFTEÅ</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46784-2025</t>
        </is>
      </c>
      <c r="B1215" s="1" t="n">
        <v>45926</v>
      </c>
      <c r="C1215" s="1" t="n">
        <v>46060</v>
      </c>
      <c r="D1215" t="inlineStr">
        <is>
          <t>VÄSTERNORRLANDS LÄN</t>
        </is>
      </c>
      <c r="E1215" t="inlineStr">
        <is>
          <t>SOLLEFTEÅ</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53545-2024</t>
        </is>
      </c>
      <c r="B1216" s="1" t="n">
        <v>45614.6370949074</v>
      </c>
      <c r="C1216" s="1" t="n">
        <v>46060</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6068-2024</t>
        </is>
      </c>
      <c r="B1217" s="1" t="n">
        <v>45336.89725694444</v>
      </c>
      <c r="C1217" s="1" t="n">
        <v>46060</v>
      </c>
      <c r="D1217" t="inlineStr">
        <is>
          <t>VÄSTERNORRLANDS LÄN</t>
        </is>
      </c>
      <c r="E1217" t="inlineStr">
        <is>
          <t>SOLLEFTEÅ</t>
        </is>
      </c>
      <c r="F1217" t="inlineStr">
        <is>
          <t>Övriga Aktiebolag</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47069-2025</t>
        </is>
      </c>
      <c r="B1218" s="1" t="n">
        <v>45929.63596064815</v>
      </c>
      <c r="C1218" s="1" t="n">
        <v>46060</v>
      </c>
      <c r="D1218" t="inlineStr">
        <is>
          <t>VÄSTERNORRLANDS LÄN</t>
        </is>
      </c>
      <c r="E1218" t="inlineStr">
        <is>
          <t>SOLLEFTEÅ</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32139-2025</t>
        </is>
      </c>
      <c r="B1219" s="1" t="n">
        <v>45835</v>
      </c>
      <c r="C1219" s="1" t="n">
        <v>46060</v>
      </c>
      <c r="D1219" t="inlineStr">
        <is>
          <t>VÄSTERNORRLANDS LÄN</t>
        </is>
      </c>
      <c r="E1219" t="inlineStr">
        <is>
          <t>SOLLEFTEÅ</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27025-2024</t>
        </is>
      </c>
      <c r="B1220" s="1" t="n">
        <v>45471.42071759259</v>
      </c>
      <c r="C1220" s="1" t="n">
        <v>46060</v>
      </c>
      <c r="D1220" t="inlineStr">
        <is>
          <t>VÄSTERNORRLANDS LÄN</t>
        </is>
      </c>
      <c r="E1220" t="inlineStr">
        <is>
          <t>SOLLEFTEÅ</t>
        </is>
      </c>
      <c r="F1220" t="inlineStr">
        <is>
          <t>Holmen skog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32073-2025</t>
        </is>
      </c>
      <c r="B1221" s="1" t="n">
        <v>45835.44931712963</v>
      </c>
      <c r="C1221" s="1" t="n">
        <v>46060</v>
      </c>
      <c r="D1221" t="inlineStr">
        <is>
          <t>VÄSTERNORRLANDS LÄN</t>
        </is>
      </c>
      <c r="E1221" t="inlineStr">
        <is>
          <t>SOLLEFTEÅ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46750-2025</t>
        </is>
      </c>
      <c r="B1222" s="1" t="n">
        <v>45926.61511574074</v>
      </c>
      <c r="C1222" s="1" t="n">
        <v>46060</v>
      </c>
      <c r="D1222" t="inlineStr">
        <is>
          <t>VÄSTERNORRLANDS LÄN</t>
        </is>
      </c>
      <c r="E1222" t="inlineStr">
        <is>
          <t>SOLLEFTEÅ</t>
        </is>
      </c>
      <c r="F1222" t="inlineStr">
        <is>
          <t>SCA</t>
        </is>
      </c>
      <c r="G1222" t="n">
        <v>59.9</v>
      </c>
      <c r="H1222" t="n">
        <v>0</v>
      </c>
      <c r="I1222" t="n">
        <v>0</v>
      </c>
      <c r="J1222" t="n">
        <v>0</v>
      </c>
      <c r="K1222" t="n">
        <v>0</v>
      </c>
      <c r="L1222" t="n">
        <v>0</v>
      </c>
      <c r="M1222" t="n">
        <v>0</v>
      </c>
      <c r="N1222" t="n">
        <v>0</v>
      </c>
      <c r="O1222" t="n">
        <v>0</v>
      </c>
      <c r="P1222" t="n">
        <v>0</v>
      </c>
      <c r="Q1222" t="n">
        <v>0</v>
      </c>
      <c r="R1222" s="2" t="inlineStr"/>
    </row>
    <row r="1223" ht="15" customHeight="1">
      <c r="A1223" t="inlineStr">
        <is>
          <t>A 28658-2025</t>
        </is>
      </c>
      <c r="B1223" s="1" t="n">
        <v>45819</v>
      </c>
      <c r="C1223" s="1" t="n">
        <v>46060</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46973-2025</t>
        </is>
      </c>
      <c r="B1224" s="1" t="n">
        <v>45929.51083333333</v>
      </c>
      <c r="C1224" s="1" t="n">
        <v>46060</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40575-2024</t>
        </is>
      </c>
      <c r="B1225" s="1" t="n">
        <v>45555</v>
      </c>
      <c r="C1225" s="1" t="n">
        <v>46060</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46920-2025</t>
        </is>
      </c>
      <c r="B1226" s="1" t="n">
        <v>45929.43368055556</v>
      </c>
      <c r="C1226" s="1" t="n">
        <v>46060</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10950-2025</t>
        </is>
      </c>
      <c r="B1227" s="1" t="n">
        <v>45723.34474537037</v>
      </c>
      <c r="C1227" s="1" t="n">
        <v>46060</v>
      </c>
      <c r="D1227" t="inlineStr">
        <is>
          <t>VÄSTERNORRLANDS LÄN</t>
        </is>
      </c>
      <c r="E1227" t="inlineStr">
        <is>
          <t>SOLLEFTEÅ</t>
        </is>
      </c>
      <c r="F1227" t="inlineStr">
        <is>
          <t>SCA</t>
        </is>
      </c>
      <c r="G1227" t="n">
        <v>32.3</v>
      </c>
      <c r="H1227" t="n">
        <v>0</v>
      </c>
      <c r="I1227" t="n">
        <v>0</v>
      </c>
      <c r="J1227" t="n">
        <v>0</v>
      </c>
      <c r="K1227" t="n">
        <v>0</v>
      </c>
      <c r="L1227" t="n">
        <v>0</v>
      </c>
      <c r="M1227" t="n">
        <v>0</v>
      </c>
      <c r="N1227" t="n">
        <v>0</v>
      </c>
      <c r="O1227" t="n">
        <v>0</v>
      </c>
      <c r="P1227" t="n">
        <v>0</v>
      </c>
      <c r="Q1227" t="n">
        <v>0</v>
      </c>
      <c r="R1227" s="2" t="inlineStr"/>
    </row>
    <row r="1228" ht="15" customHeight="1">
      <c r="A1228" t="inlineStr">
        <is>
          <t>A 32029-2025</t>
        </is>
      </c>
      <c r="B1228" s="1" t="n">
        <v>45835.40788194445</v>
      </c>
      <c r="C1228" s="1" t="n">
        <v>46060</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32112-2025</t>
        </is>
      </c>
      <c r="B1229" s="1" t="n">
        <v>45835.48392361111</v>
      </c>
      <c r="C1229" s="1" t="n">
        <v>46060</v>
      </c>
      <c r="D1229" t="inlineStr">
        <is>
          <t>VÄSTERNORRLANDS LÄN</t>
        </is>
      </c>
      <c r="E1229" t="inlineStr">
        <is>
          <t>SOLLEFTEÅ</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39446-2024</t>
        </is>
      </c>
      <c r="B1230" s="1" t="n">
        <v>45551</v>
      </c>
      <c r="C1230" s="1" t="n">
        <v>46060</v>
      </c>
      <c r="D1230" t="inlineStr">
        <is>
          <t>VÄSTERNORRLANDS LÄN</t>
        </is>
      </c>
      <c r="E1230" t="inlineStr">
        <is>
          <t>SOLLEFTEÅ</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39469-2024</t>
        </is>
      </c>
      <c r="B1231" s="1" t="n">
        <v>45551</v>
      </c>
      <c r="C1231" s="1" t="n">
        <v>46060</v>
      </c>
      <c r="D1231" t="inlineStr">
        <is>
          <t>VÄSTERNORRLANDS LÄN</t>
        </is>
      </c>
      <c r="E1231" t="inlineStr">
        <is>
          <t>SOLLEFTEÅ</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12965-2025</t>
        </is>
      </c>
      <c r="B1232" s="1" t="n">
        <v>45734.42753472222</v>
      </c>
      <c r="C1232" s="1" t="n">
        <v>46060</v>
      </c>
      <c r="D1232" t="inlineStr">
        <is>
          <t>VÄSTERNORRLANDS LÄN</t>
        </is>
      </c>
      <c r="E1232" t="inlineStr">
        <is>
          <t>SOLLEFTEÅ</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27314-2024</t>
        </is>
      </c>
      <c r="B1233" s="1" t="n">
        <v>45471.94633101852</v>
      </c>
      <c r="C1233" s="1" t="n">
        <v>46060</v>
      </c>
      <c r="D1233" t="inlineStr">
        <is>
          <t>VÄSTERNORRLANDS LÄN</t>
        </is>
      </c>
      <c r="E1233" t="inlineStr">
        <is>
          <t>SOLLEFTEÅ</t>
        </is>
      </c>
      <c r="G1233" t="n">
        <v>3.8</v>
      </c>
      <c r="H1233" t="n">
        <v>0</v>
      </c>
      <c r="I1233" t="n">
        <v>0</v>
      </c>
      <c r="J1233" t="n">
        <v>0</v>
      </c>
      <c r="K1233" t="n">
        <v>0</v>
      </c>
      <c r="L1233" t="n">
        <v>0</v>
      </c>
      <c r="M1233" t="n">
        <v>0</v>
      </c>
      <c r="N1233" t="n">
        <v>0</v>
      </c>
      <c r="O1233" t="n">
        <v>0</v>
      </c>
      <c r="P1233" t="n">
        <v>0</v>
      </c>
      <c r="Q1233" t="n">
        <v>0</v>
      </c>
      <c r="R1233" s="2" t="inlineStr"/>
      <c r="U1233">
        <f>HYPERLINK("https://klasma.github.io/Logging_2283/knärot/A 27314-2024 karta knärot.png", "A 27314-2024")</f>
        <v/>
      </c>
      <c r="V1233">
        <f>HYPERLINK("https://klasma.github.io/Logging_2283/klagomål/A 27314-2024 FSC-klagomål.docx", "A 27314-2024")</f>
        <v/>
      </c>
      <c r="W1233">
        <f>HYPERLINK("https://klasma.github.io/Logging_2283/klagomålsmail/A 27314-2024 FSC-klagomål mail.docx", "A 27314-2024")</f>
        <v/>
      </c>
      <c r="X1233">
        <f>HYPERLINK("https://klasma.github.io/Logging_2283/tillsyn/A 27314-2024 tillsynsbegäran.docx", "A 27314-2024")</f>
        <v/>
      </c>
      <c r="Y1233">
        <f>HYPERLINK("https://klasma.github.io/Logging_2283/tillsynsmail/A 27314-2024 tillsynsbegäran mail.docx", "A 27314-2024")</f>
        <v/>
      </c>
    </row>
    <row r="1234" ht="15" customHeight="1">
      <c r="A1234" t="inlineStr">
        <is>
          <t>A 1623-2025</t>
        </is>
      </c>
      <c r="B1234" s="1" t="n">
        <v>45670.61526620371</v>
      </c>
      <c r="C1234" s="1" t="n">
        <v>46060</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47376-2025</t>
        </is>
      </c>
      <c r="B1235" s="1" t="n">
        <v>45930.59454861111</v>
      </c>
      <c r="C1235" s="1" t="n">
        <v>46060</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47489-2025</t>
        </is>
      </c>
      <c r="B1236" s="1" t="n">
        <v>45930.69912037037</v>
      </c>
      <c r="C1236" s="1" t="n">
        <v>46060</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47490-2025</t>
        </is>
      </c>
      <c r="B1237" s="1" t="n">
        <v>45930.69918981481</v>
      </c>
      <c r="C1237" s="1" t="n">
        <v>46060</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11057-2025</t>
        </is>
      </c>
      <c r="B1238" s="1" t="n">
        <v>45723.51069444444</v>
      </c>
      <c r="C1238" s="1" t="n">
        <v>46060</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47675-2025</t>
        </is>
      </c>
      <c r="B1239" s="1" t="n">
        <v>45931.5742824074</v>
      </c>
      <c r="C1239" s="1" t="n">
        <v>46060</v>
      </c>
      <c r="D1239" t="inlineStr">
        <is>
          <t>VÄSTERNORRLANDS LÄN</t>
        </is>
      </c>
      <c r="E1239" t="inlineStr">
        <is>
          <t>SOLLEFTEÅ</t>
        </is>
      </c>
      <c r="F1239" t="inlineStr">
        <is>
          <t>SCA</t>
        </is>
      </c>
      <c r="G1239" t="n">
        <v>27.8</v>
      </c>
      <c r="H1239" t="n">
        <v>0</v>
      </c>
      <c r="I1239" t="n">
        <v>0</v>
      </c>
      <c r="J1239" t="n">
        <v>0</v>
      </c>
      <c r="K1239" t="n">
        <v>0</v>
      </c>
      <c r="L1239" t="n">
        <v>0</v>
      </c>
      <c r="M1239" t="n">
        <v>0</v>
      </c>
      <c r="N1239" t="n">
        <v>0</v>
      </c>
      <c r="O1239" t="n">
        <v>0</v>
      </c>
      <c r="P1239" t="n">
        <v>0</v>
      </c>
      <c r="Q1239" t="n">
        <v>0</v>
      </c>
      <c r="R1239" s="2" t="inlineStr"/>
    </row>
    <row r="1240" ht="15" customHeight="1">
      <c r="A1240" t="inlineStr">
        <is>
          <t>A 47292-2025</t>
        </is>
      </c>
      <c r="B1240" s="1" t="n">
        <v>45930.4903125</v>
      </c>
      <c r="C1240" s="1" t="n">
        <v>46060</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47293-2025</t>
        </is>
      </c>
      <c r="B1241" s="1" t="n">
        <v>45930.49034722222</v>
      </c>
      <c r="C1241" s="1" t="n">
        <v>46060</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47234-2025</t>
        </is>
      </c>
      <c r="B1242" s="1" t="n">
        <v>45930.40663194445</v>
      </c>
      <c r="C1242" s="1" t="n">
        <v>46060</v>
      </c>
      <c r="D1242" t="inlineStr">
        <is>
          <t>VÄSTERNORRLANDS LÄN</t>
        </is>
      </c>
      <c r="E1242" t="inlineStr">
        <is>
          <t>SOLLEFTEÅ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47647-2025</t>
        </is>
      </c>
      <c r="B1243" s="1" t="n">
        <v>45931.51834490741</v>
      </c>
      <c r="C1243" s="1" t="n">
        <v>46060</v>
      </c>
      <c r="D1243" t="inlineStr">
        <is>
          <t>VÄSTERNORRLANDS LÄN</t>
        </is>
      </c>
      <c r="E1243" t="inlineStr">
        <is>
          <t>SOLLEFTEÅ</t>
        </is>
      </c>
      <c r="F1243" t="inlineStr">
        <is>
          <t>Holmen skog AB</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47641-2025</t>
        </is>
      </c>
      <c r="B1244" s="1" t="n">
        <v>45931.51086805556</v>
      </c>
      <c r="C1244" s="1" t="n">
        <v>46060</v>
      </c>
      <c r="D1244" t="inlineStr">
        <is>
          <t>VÄSTERNORRLANDS LÄN</t>
        </is>
      </c>
      <c r="E1244" t="inlineStr">
        <is>
          <t>SOLLEFTEÅ</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47642-2025</t>
        </is>
      </c>
      <c r="B1245" s="1" t="n">
        <v>45931.51105324074</v>
      </c>
      <c r="C1245" s="1" t="n">
        <v>46060</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31801-2025</t>
        </is>
      </c>
      <c r="B1246" s="1" t="n">
        <v>45834.55290509259</v>
      </c>
      <c r="C1246" s="1" t="n">
        <v>46060</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31665-2025</t>
        </is>
      </c>
      <c r="B1247" s="1" t="n">
        <v>45834.36497685185</v>
      </c>
      <c r="C1247" s="1" t="n">
        <v>46060</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47448-2025</t>
        </is>
      </c>
      <c r="B1248" s="1" t="n">
        <v>45930.64592592593</v>
      </c>
      <c r="C1248" s="1" t="n">
        <v>46060</v>
      </c>
      <c r="D1248" t="inlineStr">
        <is>
          <t>VÄSTERNORRLANDS LÄN</t>
        </is>
      </c>
      <c r="E1248" t="inlineStr">
        <is>
          <t>SOLLEFTEÅ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46060</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59179-2024</t>
        </is>
      </c>
      <c r="B1250" s="1" t="n">
        <v>45637.51149305556</v>
      </c>
      <c r="C1250" s="1" t="n">
        <v>46060</v>
      </c>
      <c r="D1250" t="inlineStr">
        <is>
          <t>VÄSTERNORRLANDS LÄN</t>
        </is>
      </c>
      <c r="E1250" t="inlineStr">
        <is>
          <t>SOLLEFTEÅ</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47771-2025</t>
        </is>
      </c>
      <c r="B1251" s="1" t="n">
        <v>45931.719375</v>
      </c>
      <c r="C1251" s="1" t="n">
        <v>46060</v>
      </c>
      <c r="D1251" t="inlineStr">
        <is>
          <t>VÄSTERNORRLANDS LÄN</t>
        </is>
      </c>
      <c r="E1251" t="inlineStr">
        <is>
          <t>SOLLEFTEÅ</t>
        </is>
      </c>
      <c r="F1251" t="inlineStr">
        <is>
          <t>SCA</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47218-2025</t>
        </is>
      </c>
      <c r="B1252" s="1" t="n">
        <v>45930.38640046296</v>
      </c>
      <c r="C1252" s="1" t="n">
        <v>46060</v>
      </c>
      <c r="D1252" t="inlineStr">
        <is>
          <t>VÄSTERNORRLANDS LÄN</t>
        </is>
      </c>
      <c r="E1252" t="inlineStr">
        <is>
          <t>SOLLEFTEÅ</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47219-2025</t>
        </is>
      </c>
      <c r="B1253" s="1" t="n">
        <v>45930.38649305556</v>
      </c>
      <c r="C1253" s="1" t="n">
        <v>46060</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32749-2025</t>
        </is>
      </c>
      <c r="B1254" s="1" t="n">
        <v>45839.42834490741</v>
      </c>
      <c r="C1254" s="1" t="n">
        <v>46060</v>
      </c>
      <c r="D1254" t="inlineStr">
        <is>
          <t>VÄSTERNORRLANDS LÄN</t>
        </is>
      </c>
      <c r="E1254" t="inlineStr">
        <is>
          <t>SOLLEFTEÅ</t>
        </is>
      </c>
      <c r="F1254" t="inlineStr">
        <is>
          <t>SCA</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30060-2024</t>
        </is>
      </c>
      <c r="B1255" s="1" t="n">
        <v>45488.94813657407</v>
      </c>
      <c r="C1255" s="1" t="n">
        <v>46060</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47702-2025</t>
        </is>
      </c>
      <c r="B1256" s="1" t="n">
        <v>45931.60685185185</v>
      </c>
      <c r="C1256" s="1" t="n">
        <v>46060</v>
      </c>
      <c r="D1256" t="inlineStr">
        <is>
          <t>VÄSTERNORRLANDS LÄN</t>
        </is>
      </c>
      <c r="E1256" t="inlineStr">
        <is>
          <t>SOLLEFTEÅ</t>
        </is>
      </c>
      <c r="F1256" t="inlineStr">
        <is>
          <t>Holmen skog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47636-2025</t>
        </is>
      </c>
      <c r="B1257" s="1" t="n">
        <v>45931.49577546296</v>
      </c>
      <c r="C1257" s="1" t="n">
        <v>46060</v>
      </c>
      <c r="D1257" t="inlineStr">
        <is>
          <t>VÄSTERNORRLANDS LÄN</t>
        </is>
      </c>
      <c r="E1257" t="inlineStr">
        <is>
          <t>SOLLEFTEÅ</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41655-2023</t>
        </is>
      </c>
      <c r="B1258" s="1" t="n">
        <v>45175.95751157407</v>
      </c>
      <c r="C1258" s="1" t="n">
        <v>46060</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13598-2022</t>
        </is>
      </c>
      <c r="B1259" s="1" t="n">
        <v>44648</v>
      </c>
      <c r="C1259" s="1" t="n">
        <v>46060</v>
      </c>
      <c r="D1259" t="inlineStr">
        <is>
          <t>VÄSTERNORRLANDS LÄN</t>
        </is>
      </c>
      <c r="E1259" t="inlineStr">
        <is>
          <t>SOLLEFTEÅ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47536-2025</t>
        </is>
      </c>
      <c r="B1260" s="1" t="n">
        <v>45931.34695601852</v>
      </c>
      <c r="C1260" s="1" t="n">
        <v>46060</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32745-2025</t>
        </is>
      </c>
      <c r="B1261" s="1" t="n">
        <v>45839.42753472222</v>
      </c>
      <c r="C1261" s="1" t="n">
        <v>46060</v>
      </c>
      <c r="D1261" t="inlineStr">
        <is>
          <t>VÄSTERNORRLANDS LÄN</t>
        </is>
      </c>
      <c r="E1261" t="inlineStr">
        <is>
          <t>SOLLEFTEÅ</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47217-2025</t>
        </is>
      </c>
      <c r="B1262" s="1" t="n">
        <v>45930.38625</v>
      </c>
      <c r="C1262" s="1" t="n">
        <v>46060</v>
      </c>
      <c r="D1262" t="inlineStr">
        <is>
          <t>VÄSTERNORRLANDS LÄN</t>
        </is>
      </c>
      <c r="E1262" t="inlineStr">
        <is>
          <t>SOLLEFTEÅ</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41041-2024</t>
        </is>
      </c>
      <c r="B1263" s="1" t="n">
        <v>45558</v>
      </c>
      <c r="C1263" s="1" t="n">
        <v>46060</v>
      </c>
      <c r="D1263" t="inlineStr">
        <is>
          <t>VÄSTERNORRLANDS LÄN</t>
        </is>
      </c>
      <c r="E1263" t="inlineStr">
        <is>
          <t>SOLLEFTEÅ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41042-2024</t>
        </is>
      </c>
      <c r="B1264" s="1" t="n">
        <v>45559.36490740741</v>
      </c>
      <c r="C1264" s="1" t="n">
        <v>46060</v>
      </c>
      <c r="D1264" t="inlineStr">
        <is>
          <t>VÄSTERNORRLANDS LÄN</t>
        </is>
      </c>
      <c r="E1264" t="inlineStr">
        <is>
          <t>SOLLEFTEÅ</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36514-2023</t>
        </is>
      </c>
      <c r="B1265" s="1" t="n">
        <v>45152.95377314815</v>
      </c>
      <c r="C1265" s="1" t="n">
        <v>46060</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47291-2025</t>
        </is>
      </c>
      <c r="B1266" s="1" t="n">
        <v>45930.49019675926</v>
      </c>
      <c r="C1266" s="1" t="n">
        <v>46060</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37977-2022</t>
        </is>
      </c>
      <c r="B1267" s="1" t="n">
        <v>44811</v>
      </c>
      <c r="C1267" s="1" t="n">
        <v>46060</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43469-2022</t>
        </is>
      </c>
      <c r="B1268" s="1" t="n">
        <v>44836.80145833334</v>
      </c>
      <c r="C1268" s="1" t="n">
        <v>46060</v>
      </c>
      <c r="D1268" t="inlineStr">
        <is>
          <t>VÄSTERNORRLANDS LÄN</t>
        </is>
      </c>
      <c r="E1268" t="inlineStr">
        <is>
          <t>SOLLEFTEÅ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47532-2025</t>
        </is>
      </c>
      <c r="B1269" s="1" t="n">
        <v>45931.34635416666</v>
      </c>
      <c r="C1269" s="1" t="n">
        <v>46060</v>
      </c>
      <c r="D1269" t="inlineStr">
        <is>
          <t>VÄSTERNORRLANDS LÄN</t>
        </is>
      </c>
      <c r="E1269" t="inlineStr">
        <is>
          <t>SOLLEFTEÅ</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46060</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48313-2025</t>
        </is>
      </c>
      <c r="B1271" s="1" t="n">
        <v>45933.61605324074</v>
      </c>
      <c r="C1271" s="1" t="n">
        <v>46060</v>
      </c>
      <c r="D1271" t="inlineStr">
        <is>
          <t>VÄSTERNORRLANDS LÄN</t>
        </is>
      </c>
      <c r="E1271" t="inlineStr">
        <is>
          <t>SOLLEFTEÅ</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47962-2025</t>
        </is>
      </c>
      <c r="B1272" s="1" t="n">
        <v>45932.59434027778</v>
      </c>
      <c r="C1272" s="1" t="n">
        <v>46060</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48311-2025</t>
        </is>
      </c>
      <c r="B1273" s="1" t="n">
        <v>45933.61584490741</v>
      </c>
      <c r="C1273" s="1" t="n">
        <v>46060</v>
      </c>
      <c r="D1273" t="inlineStr">
        <is>
          <t>VÄSTERNORRLANDS LÄN</t>
        </is>
      </c>
      <c r="E1273" t="inlineStr">
        <is>
          <t>SOLLEFTEÅ</t>
        </is>
      </c>
      <c r="F1273" t="inlineStr">
        <is>
          <t>SCA</t>
        </is>
      </c>
      <c r="G1273" t="n">
        <v>61.2</v>
      </c>
      <c r="H1273" t="n">
        <v>0</v>
      </c>
      <c r="I1273" t="n">
        <v>0</v>
      </c>
      <c r="J1273" t="n">
        <v>0</v>
      </c>
      <c r="K1273" t="n">
        <v>0</v>
      </c>
      <c r="L1273" t="n">
        <v>0</v>
      </c>
      <c r="M1273" t="n">
        <v>0</v>
      </c>
      <c r="N1273" t="n">
        <v>0</v>
      </c>
      <c r="O1273" t="n">
        <v>0</v>
      </c>
      <c r="P1273" t="n">
        <v>0</v>
      </c>
      <c r="Q1273" t="n">
        <v>0</v>
      </c>
      <c r="R1273" s="2" t="inlineStr"/>
    </row>
    <row r="1274" ht="15" customHeight="1">
      <c r="A1274" t="inlineStr">
        <is>
          <t>A 48351-2025</t>
        </is>
      </c>
      <c r="B1274" s="1" t="n">
        <v>45933.65725694445</v>
      </c>
      <c r="C1274" s="1" t="n">
        <v>46060</v>
      </c>
      <c r="D1274" t="inlineStr">
        <is>
          <t>VÄSTERNORRLANDS LÄN</t>
        </is>
      </c>
      <c r="E1274" t="inlineStr">
        <is>
          <t>SOLLEFTEÅ</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32346-2025</t>
        </is>
      </c>
      <c r="B1275" s="1" t="n">
        <v>45837.44827546296</v>
      </c>
      <c r="C1275" s="1" t="n">
        <v>46060</v>
      </c>
      <c r="D1275" t="inlineStr">
        <is>
          <t>VÄSTERNORRLANDS LÄN</t>
        </is>
      </c>
      <c r="E1275" t="inlineStr">
        <is>
          <t>SOLLEFTEÅ</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48310-2025</t>
        </is>
      </c>
      <c r="B1276" s="1" t="n">
        <v>45933.61559027778</v>
      </c>
      <c r="C1276" s="1" t="n">
        <v>46060</v>
      </c>
      <c r="D1276" t="inlineStr">
        <is>
          <t>VÄSTERNORRLANDS LÄN</t>
        </is>
      </c>
      <c r="E1276" t="inlineStr">
        <is>
          <t>SOLLEFTEÅ</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47851-2025</t>
        </is>
      </c>
      <c r="B1277" s="1" t="n">
        <v>45932.38645833333</v>
      </c>
      <c r="C1277" s="1" t="n">
        <v>46060</v>
      </c>
      <c r="D1277" t="inlineStr">
        <is>
          <t>VÄSTERNORRLANDS LÄN</t>
        </is>
      </c>
      <c r="E1277" t="inlineStr">
        <is>
          <t>SOLLEFTEÅ</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32338-2025</t>
        </is>
      </c>
      <c r="B1278" s="1" t="n">
        <v>45836.67751157407</v>
      </c>
      <c r="C1278" s="1" t="n">
        <v>46060</v>
      </c>
      <c r="D1278" t="inlineStr">
        <is>
          <t>VÄSTERNORRLANDS LÄN</t>
        </is>
      </c>
      <c r="E1278" t="inlineStr">
        <is>
          <t>SOLLEFTEÅ</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37691-2023</t>
        </is>
      </c>
      <c r="B1279" s="1" t="n">
        <v>45156</v>
      </c>
      <c r="C1279" s="1" t="n">
        <v>46060</v>
      </c>
      <c r="D1279" t="inlineStr">
        <is>
          <t>VÄSTERNORRLANDS LÄN</t>
        </is>
      </c>
      <c r="E1279" t="inlineStr">
        <is>
          <t>SOLLEFTEÅ</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48290-2025</t>
        </is>
      </c>
      <c r="B1280" s="1" t="n">
        <v>45933.59497685185</v>
      </c>
      <c r="C1280" s="1" t="n">
        <v>46060</v>
      </c>
      <c r="D1280" t="inlineStr">
        <is>
          <t>VÄSTERNORRLANDS LÄN</t>
        </is>
      </c>
      <c r="E1280" t="inlineStr">
        <is>
          <t>SOLLEFTEÅ</t>
        </is>
      </c>
      <c r="F1280" t="inlineStr">
        <is>
          <t>SCA</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48306-2025</t>
        </is>
      </c>
      <c r="B1281" s="1" t="n">
        <v>45933.615</v>
      </c>
      <c r="C1281" s="1" t="n">
        <v>46060</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46060</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19205-2025</t>
        </is>
      </c>
      <c r="B1283" s="1" t="n">
        <v>45769.42861111111</v>
      </c>
      <c r="C1283" s="1" t="n">
        <v>46060</v>
      </c>
      <c r="D1283" t="inlineStr">
        <is>
          <t>VÄSTERNORRLANDS LÄN</t>
        </is>
      </c>
      <c r="E1283" t="inlineStr">
        <is>
          <t>SOLLEFTEÅ</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19207-2025</t>
        </is>
      </c>
      <c r="B1284" s="1" t="n">
        <v>45769</v>
      </c>
      <c r="C1284" s="1" t="n">
        <v>46060</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18364-2024</t>
        </is>
      </c>
      <c r="B1285" s="1" t="n">
        <v>45422</v>
      </c>
      <c r="C1285" s="1" t="n">
        <v>46060</v>
      </c>
      <c r="D1285" t="inlineStr">
        <is>
          <t>VÄSTERNORRLANDS LÄN</t>
        </is>
      </c>
      <c r="E1285" t="inlineStr">
        <is>
          <t>SOLLEFTEÅ</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32537-2025</t>
        </is>
      </c>
      <c r="B1286" s="1" t="n">
        <v>45838.49689814815</v>
      </c>
      <c r="C1286" s="1" t="n">
        <v>46060</v>
      </c>
      <c r="D1286" t="inlineStr">
        <is>
          <t>VÄSTERNORRLANDS LÄN</t>
        </is>
      </c>
      <c r="E1286" t="inlineStr">
        <is>
          <t>SOLLEFTEÅ</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16633-2025</t>
        </is>
      </c>
      <c r="B1287" s="1" t="n">
        <v>45754.36517361111</v>
      </c>
      <c r="C1287" s="1" t="n">
        <v>46060</v>
      </c>
      <c r="D1287" t="inlineStr">
        <is>
          <t>VÄSTERNORRLANDS LÄN</t>
        </is>
      </c>
      <c r="E1287" t="inlineStr">
        <is>
          <t>SOLLEFTEÅ</t>
        </is>
      </c>
      <c r="F1287" t="inlineStr">
        <is>
          <t>SCA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48349-2025</t>
        </is>
      </c>
      <c r="B1288" s="1" t="n">
        <v>45933.65673611111</v>
      </c>
      <c r="C1288" s="1" t="n">
        <v>46060</v>
      </c>
      <c r="D1288" t="inlineStr">
        <is>
          <t>VÄSTERNORRLANDS LÄN</t>
        </is>
      </c>
      <c r="E1288" t="inlineStr">
        <is>
          <t>SOLLEFTEÅ</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48307-2025</t>
        </is>
      </c>
      <c r="B1289" s="1" t="n">
        <v>45933.61519675926</v>
      </c>
      <c r="C1289" s="1" t="n">
        <v>46060</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48308-2025</t>
        </is>
      </c>
      <c r="B1290" s="1" t="n">
        <v>45933</v>
      </c>
      <c r="C1290" s="1" t="n">
        <v>46060</v>
      </c>
      <c r="D1290" t="inlineStr">
        <is>
          <t>VÄSTERNORRLANDS LÄN</t>
        </is>
      </c>
      <c r="E1290" t="inlineStr">
        <is>
          <t>SOLLEFTEÅ</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48053-2025</t>
        </is>
      </c>
      <c r="B1291" s="1" t="n">
        <v>45932.67856481481</v>
      </c>
      <c r="C1291" s="1" t="n">
        <v>46060</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12834-2025</t>
        </is>
      </c>
      <c r="B1292" s="1" t="n">
        <v>45733.63612268519</v>
      </c>
      <c r="C1292" s="1" t="n">
        <v>46060</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12941-2025</t>
        </is>
      </c>
      <c r="B1293" s="1" t="n">
        <v>45734.36525462963</v>
      </c>
      <c r="C1293" s="1" t="n">
        <v>46060</v>
      </c>
      <c r="D1293" t="inlineStr">
        <is>
          <t>VÄSTERNORRLANDS LÄN</t>
        </is>
      </c>
      <c r="E1293" t="inlineStr">
        <is>
          <t>SOLLEFTEÅ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47947-2025</t>
        </is>
      </c>
      <c r="B1294" s="1" t="n">
        <v>45932.5740625</v>
      </c>
      <c r="C1294" s="1" t="n">
        <v>46060</v>
      </c>
      <c r="D1294" t="inlineStr">
        <is>
          <t>VÄSTERNORRLANDS LÄN</t>
        </is>
      </c>
      <c r="E1294" t="inlineStr">
        <is>
          <t>SOLLEFTEÅ</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36078-2022</t>
        </is>
      </c>
      <c r="B1295" s="1" t="n">
        <v>44802.9459375</v>
      </c>
      <c r="C1295" s="1" t="n">
        <v>46060</v>
      </c>
      <c r="D1295" t="inlineStr">
        <is>
          <t>VÄSTERNORRLANDS LÄN</t>
        </is>
      </c>
      <c r="E1295" t="inlineStr">
        <is>
          <t>SOLLEFTEÅ</t>
        </is>
      </c>
      <c r="F1295" t="inlineStr">
        <is>
          <t>SCA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48126-2025</t>
        </is>
      </c>
      <c r="B1296" s="1" t="n">
        <v>45933.36530092593</v>
      </c>
      <c r="C1296" s="1" t="n">
        <v>46060</v>
      </c>
      <c r="D1296" t="inlineStr">
        <is>
          <t>VÄSTERNORRLANDS LÄN</t>
        </is>
      </c>
      <c r="E1296" t="inlineStr">
        <is>
          <t>SOLLEFTEÅ</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33502-2025</t>
        </is>
      </c>
      <c r="B1297" s="1" t="n">
        <v>45841.51101851852</v>
      </c>
      <c r="C1297" s="1" t="n">
        <v>46060</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48340-2025</t>
        </is>
      </c>
      <c r="B1298" s="1" t="n">
        <v>45933.64240740741</v>
      </c>
      <c r="C1298" s="1" t="n">
        <v>46060</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22235-2024</t>
        </is>
      </c>
      <c r="B1299" s="1" t="n">
        <v>45446</v>
      </c>
      <c r="C1299" s="1" t="n">
        <v>46060</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48052-2025</t>
        </is>
      </c>
      <c r="B1300" s="1" t="n">
        <v>45932.67831018518</v>
      </c>
      <c r="C1300" s="1" t="n">
        <v>46060</v>
      </c>
      <c r="D1300" t="inlineStr">
        <is>
          <t>VÄSTERNORRLANDS LÄN</t>
        </is>
      </c>
      <c r="E1300" t="inlineStr">
        <is>
          <t>SOLLEFTEÅ</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5867-2024</t>
        </is>
      </c>
      <c r="B1301" s="1" t="n">
        <v>45335.64733796296</v>
      </c>
      <c r="C1301" s="1" t="n">
        <v>46060</v>
      </c>
      <c r="D1301" t="inlineStr">
        <is>
          <t>VÄSTERNORRLANDS LÄN</t>
        </is>
      </c>
      <c r="E1301" t="inlineStr">
        <is>
          <t>SOLLEFTEÅ</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48070-2025</t>
        </is>
      </c>
      <c r="B1302" s="1" t="n">
        <v>45932.69886574074</v>
      </c>
      <c r="C1302" s="1" t="n">
        <v>46060</v>
      </c>
      <c r="D1302" t="inlineStr">
        <is>
          <t>VÄSTERNORRLANDS LÄN</t>
        </is>
      </c>
      <c r="E1302" t="inlineStr">
        <is>
          <t>SOLLEFTEÅ</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51681-2023</t>
        </is>
      </c>
      <c r="B1303" s="1" t="n">
        <v>45215</v>
      </c>
      <c r="C1303" s="1" t="n">
        <v>46060</v>
      </c>
      <c r="D1303" t="inlineStr">
        <is>
          <t>VÄSTERNORRLANDS LÄN</t>
        </is>
      </c>
      <c r="E1303" t="inlineStr">
        <is>
          <t>SOLLEFTEÅ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48035-2025</t>
        </is>
      </c>
      <c r="B1304" s="1" t="n">
        <v>45932</v>
      </c>
      <c r="C1304" s="1" t="n">
        <v>46060</v>
      </c>
      <c r="D1304" t="inlineStr">
        <is>
          <t>VÄSTERNORRLANDS LÄN</t>
        </is>
      </c>
      <c r="E1304" t="inlineStr">
        <is>
          <t>SOLLEFTEÅ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48713-2025</t>
        </is>
      </c>
      <c r="B1305" s="1" t="n">
        <v>45936.63592592593</v>
      </c>
      <c r="C1305" s="1" t="n">
        <v>46060</v>
      </c>
      <c r="D1305" t="inlineStr">
        <is>
          <t>VÄSTERNORRLANDS LÄN</t>
        </is>
      </c>
      <c r="E1305" t="inlineStr">
        <is>
          <t>SOLLEFTEÅ</t>
        </is>
      </c>
      <c r="F1305" t="inlineStr">
        <is>
          <t>SCA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48743-2025</t>
        </is>
      </c>
      <c r="B1306" s="1" t="n">
        <v>45936.67827546296</v>
      </c>
      <c r="C1306" s="1" t="n">
        <v>46060</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48603-2025</t>
        </is>
      </c>
      <c r="B1307" s="1" t="n">
        <v>45936.46928240741</v>
      </c>
      <c r="C1307" s="1" t="n">
        <v>46060</v>
      </c>
      <c r="D1307" t="inlineStr">
        <is>
          <t>VÄSTERNORRLANDS LÄN</t>
        </is>
      </c>
      <c r="E1307" t="inlineStr">
        <is>
          <t>SOLLEFTEÅ</t>
        </is>
      </c>
      <c r="F1307" t="inlineStr">
        <is>
          <t>SCA</t>
        </is>
      </c>
      <c r="G1307" t="n">
        <v>25.6</v>
      </c>
      <c r="H1307" t="n">
        <v>0</v>
      </c>
      <c r="I1307" t="n">
        <v>0</v>
      </c>
      <c r="J1307" t="n">
        <v>0</v>
      </c>
      <c r="K1307" t="n">
        <v>0</v>
      </c>
      <c r="L1307" t="n">
        <v>0</v>
      </c>
      <c r="M1307" t="n">
        <v>0</v>
      </c>
      <c r="N1307" t="n">
        <v>0</v>
      </c>
      <c r="O1307" t="n">
        <v>0</v>
      </c>
      <c r="P1307" t="n">
        <v>0</v>
      </c>
      <c r="Q1307" t="n">
        <v>0</v>
      </c>
      <c r="R1307" s="2" t="inlineStr"/>
    </row>
    <row r="1308" ht="15" customHeight="1">
      <c r="A1308" t="inlineStr">
        <is>
          <t>A 48467-2025</t>
        </is>
      </c>
      <c r="B1308" s="1" t="n">
        <v>45936.34452546296</v>
      </c>
      <c r="C1308" s="1" t="n">
        <v>46060</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48425-2025</t>
        </is>
      </c>
      <c r="B1309" s="1" t="n">
        <v>45934.6984837963</v>
      </c>
      <c r="C1309" s="1" t="n">
        <v>46060</v>
      </c>
      <c r="D1309" t="inlineStr">
        <is>
          <t>VÄSTERNORRLANDS LÄN</t>
        </is>
      </c>
      <c r="E1309" t="inlineStr">
        <is>
          <t>SOLLEFTEÅ</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33430-2025</t>
        </is>
      </c>
      <c r="B1310" s="1" t="n">
        <v>45841.44829861111</v>
      </c>
      <c r="C1310" s="1" t="n">
        <v>46060</v>
      </c>
      <c r="D1310" t="inlineStr">
        <is>
          <t>VÄSTERNORRLANDS LÄN</t>
        </is>
      </c>
      <c r="E1310" t="inlineStr">
        <is>
          <t>SOLLEFTEÅ</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33436-2025</t>
        </is>
      </c>
      <c r="B1311" s="1" t="n">
        <v>45841.44898148148</v>
      </c>
      <c r="C1311" s="1" t="n">
        <v>46060</v>
      </c>
      <c r="D1311" t="inlineStr">
        <is>
          <t>VÄSTERNORRLANDS LÄN</t>
        </is>
      </c>
      <c r="E1311" t="inlineStr">
        <is>
          <t>SOLLEFTEÅ</t>
        </is>
      </c>
      <c r="F1311" t="inlineStr">
        <is>
          <t>SCA</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33437-2025</t>
        </is>
      </c>
      <c r="B1312" s="1" t="n">
        <v>45841.4502199074</v>
      </c>
      <c r="C1312" s="1" t="n">
        <v>46060</v>
      </c>
      <c r="D1312" t="inlineStr">
        <is>
          <t>VÄSTERNORRLANDS LÄN</t>
        </is>
      </c>
      <c r="E1312" t="inlineStr">
        <is>
          <t>SOLLEFTEÅ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8652-2024</t>
        </is>
      </c>
      <c r="B1313" s="1" t="n">
        <v>45356</v>
      </c>
      <c r="C1313" s="1" t="n">
        <v>46060</v>
      </c>
      <c r="D1313" t="inlineStr">
        <is>
          <t>VÄSTERNORRLANDS LÄN</t>
        </is>
      </c>
      <c r="E1313" t="inlineStr">
        <is>
          <t>SOLLEFTEÅ</t>
        </is>
      </c>
      <c r="F1313" t="inlineStr">
        <is>
          <t>SCA</t>
        </is>
      </c>
      <c r="G1313" t="n">
        <v>38.6</v>
      </c>
      <c r="H1313" t="n">
        <v>0</v>
      </c>
      <c r="I1313" t="n">
        <v>0</v>
      </c>
      <c r="J1313" t="n">
        <v>0</v>
      </c>
      <c r="K1313" t="n">
        <v>0</v>
      </c>
      <c r="L1313" t="n">
        <v>0</v>
      </c>
      <c r="M1313" t="n">
        <v>0</v>
      </c>
      <c r="N1313" t="n">
        <v>0</v>
      </c>
      <c r="O1313" t="n">
        <v>0</v>
      </c>
      <c r="P1313" t="n">
        <v>0</v>
      </c>
      <c r="Q1313" t="n">
        <v>0</v>
      </c>
      <c r="R1313" s="2" t="inlineStr"/>
    </row>
    <row r="1314" ht="15" customHeight="1">
      <c r="A1314" t="inlineStr">
        <is>
          <t>A 33676-2025</t>
        </is>
      </c>
      <c r="B1314" s="1" t="n">
        <v>45841.67818287037</v>
      </c>
      <c r="C1314" s="1" t="n">
        <v>46060</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48422-2025</t>
        </is>
      </c>
      <c r="B1315" s="1" t="n">
        <v>45934.67761574074</v>
      </c>
      <c r="C1315" s="1" t="n">
        <v>46060</v>
      </c>
      <c r="D1315" t="inlineStr">
        <is>
          <t>VÄSTERNORRLANDS LÄN</t>
        </is>
      </c>
      <c r="E1315" t="inlineStr">
        <is>
          <t>SOLLEFTEÅ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46060</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48848-2025</t>
        </is>
      </c>
      <c r="B1317" s="1" t="n">
        <v>45937</v>
      </c>
      <c r="C1317" s="1" t="n">
        <v>46060</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33013-2025</t>
        </is>
      </c>
      <c r="B1318" s="1" t="n">
        <v>45840.36518518518</v>
      </c>
      <c r="C1318" s="1" t="n">
        <v>46060</v>
      </c>
      <c r="D1318" t="inlineStr">
        <is>
          <t>VÄSTERNORRLANDS LÄN</t>
        </is>
      </c>
      <c r="E1318" t="inlineStr">
        <is>
          <t>SOLLEFTEÅ</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49155-2025</t>
        </is>
      </c>
      <c r="B1319" s="1" t="n">
        <v>45938.34578703704</v>
      </c>
      <c r="C1319" s="1" t="n">
        <v>46060</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48914-2025</t>
        </is>
      </c>
      <c r="B1320" s="1" t="n">
        <v>45937</v>
      </c>
      <c r="C1320" s="1" t="n">
        <v>46060</v>
      </c>
      <c r="D1320" t="inlineStr">
        <is>
          <t>VÄSTERNORRLANDS LÄN</t>
        </is>
      </c>
      <c r="E1320" t="inlineStr">
        <is>
          <t>SOLLEFTEÅ</t>
        </is>
      </c>
      <c r="F1320" t="inlineStr">
        <is>
          <t>SCA</t>
        </is>
      </c>
      <c r="G1320" t="n">
        <v>24.1</v>
      </c>
      <c r="H1320" t="n">
        <v>0</v>
      </c>
      <c r="I1320" t="n">
        <v>0</v>
      </c>
      <c r="J1320" t="n">
        <v>0</v>
      </c>
      <c r="K1320" t="n">
        <v>0</v>
      </c>
      <c r="L1320" t="n">
        <v>0</v>
      </c>
      <c r="M1320" t="n">
        <v>0</v>
      </c>
      <c r="N1320" t="n">
        <v>0</v>
      </c>
      <c r="O1320" t="n">
        <v>0</v>
      </c>
      <c r="P1320" t="n">
        <v>0</v>
      </c>
      <c r="Q1320" t="n">
        <v>0</v>
      </c>
      <c r="R1320" s="2" t="inlineStr"/>
    </row>
    <row r="1321" ht="15" customHeight="1">
      <c r="A1321" t="inlineStr">
        <is>
          <t>A 33607-2025</t>
        </is>
      </c>
      <c r="B1321" s="1" t="n">
        <v>45841.61521990741</v>
      </c>
      <c r="C1321" s="1" t="n">
        <v>46060</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49289-2025</t>
        </is>
      </c>
      <c r="B1322" s="1" t="n">
        <v>45938.52868055556</v>
      </c>
      <c r="C1322" s="1" t="n">
        <v>46060</v>
      </c>
      <c r="D1322" t="inlineStr">
        <is>
          <t>VÄSTERNORRLANDS LÄN</t>
        </is>
      </c>
      <c r="E1322" t="inlineStr">
        <is>
          <t>SOLLEFTEÅ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33673-2025</t>
        </is>
      </c>
      <c r="B1323" s="1" t="n">
        <v>45841.67761574074</v>
      </c>
      <c r="C1323" s="1" t="n">
        <v>46060</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48815-2025</t>
        </is>
      </c>
      <c r="B1324" s="1" t="n">
        <v>45937.36503472222</v>
      </c>
      <c r="C1324" s="1" t="n">
        <v>46060</v>
      </c>
      <c r="D1324" t="inlineStr">
        <is>
          <t>VÄSTERNORRLANDS LÄN</t>
        </is>
      </c>
      <c r="E1324" t="inlineStr">
        <is>
          <t>SOLLEFTEÅ</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48817-2025</t>
        </is>
      </c>
      <c r="B1325" s="1" t="n">
        <v>45937.36546296296</v>
      </c>
      <c r="C1325" s="1" t="n">
        <v>46060</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1465-2025</t>
        </is>
      </c>
      <c r="B1326" s="1" t="n">
        <v>45670.36513888889</v>
      </c>
      <c r="C1326" s="1" t="n">
        <v>46060</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49052-2025</t>
        </is>
      </c>
      <c r="B1327" s="1" t="n">
        <v>45937.63813657407</v>
      </c>
      <c r="C1327" s="1" t="n">
        <v>46060</v>
      </c>
      <c r="D1327" t="inlineStr">
        <is>
          <t>VÄSTERNORRLANDS LÄN</t>
        </is>
      </c>
      <c r="E1327" t="inlineStr">
        <is>
          <t>SOLLEFTEÅ</t>
        </is>
      </c>
      <c r="F1327" t="inlineStr">
        <is>
          <t>SCA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33012-2025</t>
        </is>
      </c>
      <c r="B1328" s="1" t="n">
        <v>45840.36498842593</v>
      </c>
      <c r="C1328" s="1" t="n">
        <v>46060</v>
      </c>
      <c r="D1328" t="inlineStr">
        <is>
          <t>VÄSTERNORRLANDS LÄN</t>
        </is>
      </c>
      <c r="E1328" t="inlineStr">
        <is>
          <t>SOLLEFTEÅ</t>
        </is>
      </c>
      <c r="F1328" t="inlineStr">
        <is>
          <t>SCA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49154-2025</t>
        </is>
      </c>
      <c r="B1329" s="1" t="n">
        <v>45938.34567129629</v>
      </c>
      <c r="C1329" s="1" t="n">
        <v>46060</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33713-2023</t>
        </is>
      </c>
      <c r="B1330" s="1" t="n">
        <v>45132.94952546297</v>
      </c>
      <c r="C1330" s="1" t="n">
        <v>46060</v>
      </c>
      <c r="D1330" t="inlineStr">
        <is>
          <t>VÄSTERNORRLANDS LÄN</t>
        </is>
      </c>
      <c r="E1330" t="inlineStr">
        <is>
          <t>SOLLEFTEÅ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49115-2025</t>
        </is>
      </c>
      <c r="B1331" s="1" t="n">
        <v>45937</v>
      </c>
      <c r="C1331" s="1" t="n">
        <v>46060</v>
      </c>
      <c r="D1331" t="inlineStr">
        <is>
          <t>VÄSTERNORRLANDS LÄN</t>
        </is>
      </c>
      <c r="E1331" t="inlineStr">
        <is>
          <t>SOLLEFTEÅ</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33675-2025</t>
        </is>
      </c>
      <c r="B1332" s="1" t="n">
        <v>45841.67796296296</v>
      </c>
      <c r="C1332" s="1" t="n">
        <v>46060</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49468-2025</t>
        </is>
      </c>
      <c r="B1333" s="1" t="n">
        <v>45939.33886574074</v>
      </c>
      <c r="C1333" s="1" t="n">
        <v>46060</v>
      </c>
      <c r="D1333" t="inlineStr">
        <is>
          <t>VÄSTERNORRLANDS LÄN</t>
        </is>
      </c>
      <c r="E1333" t="inlineStr">
        <is>
          <t>SOLLEFTEÅ</t>
        </is>
      </c>
      <c r="F1333" t="inlineStr">
        <is>
          <t>Holmen skog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49254-2025</t>
        </is>
      </c>
      <c r="B1334" s="1" t="n">
        <v>45938.49143518518</v>
      </c>
      <c r="C1334" s="1" t="n">
        <v>46060</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49171-2022</t>
        </is>
      </c>
      <c r="B1335" s="1" t="n">
        <v>44860.9269212963</v>
      </c>
      <c r="C1335" s="1" t="n">
        <v>46060</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49627-2025</t>
        </is>
      </c>
      <c r="B1336" s="1" t="n">
        <v>45939.59503472222</v>
      </c>
      <c r="C1336" s="1" t="n">
        <v>46060</v>
      </c>
      <c r="D1336" t="inlineStr">
        <is>
          <t>VÄSTERNORRLANDS LÄN</t>
        </is>
      </c>
      <c r="E1336" t="inlineStr">
        <is>
          <t>SOLLEFTEÅ</t>
        </is>
      </c>
      <c r="F1336" t="inlineStr">
        <is>
          <t>SCA</t>
        </is>
      </c>
      <c r="G1336" t="n">
        <v>29.4</v>
      </c>
      <c r="H1336" t="n">
        <v>0</v>
      </c>
      <c r="I1336" t="n">
        <v>0</v>
      </c>
      <c r="J1336" t="n">
        <v>0</v>
      </c>
      <c r="K1336" t="n">
        <v>0</v>
      </c>
      <c r="L1336" t="n">
        <v>0</v>
      </c>
      <c r="M1336" t="n">
        <v>0</v>
      </c>
      <c r="N1336" t="n">
        <v>0</v>
      </c>
      <c r="O1336" t="n">
        <v>0</v>
      </c>
      <c r="P1336" t="n">
        <v>0</v>
      </c>
      <c r="Q1336" t="n">
        <v>0</v>
      </c>
      <c r="R1336" s="2" t="inlineStr"/>
    </row>
    <row r="1337" ht="15" customHeight="1">
      <c r="A1337" t="inlineStr">
        <is>
          <t>A 33442-2025</t>
        </is>
      </c>
      <c r="B1337" s="1" t="n">
        <v>45841.46092592592</v>
      </c>
      <c r="C1337" s="1" t="n">
        <v>46060</v>
      </c>
      <c r="D1337" t="inlineStr">
        <is>
          <t>VÄSTERNORRLANDS LÄN</t>
        </is>
      </c>
      <c r="E1337" t="inlineStr">
        <is>
          <t>SOLLEFTEÅ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33674-2025</t>
        </is>
      </c>
      <c r="B1338" s="1" t="n">
        <v>45841.67770833334</v>
      </c>
      <c r="C1338" s="1" t="n">
        <v>46060</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49491-2025</t>
        </is>
      </c>
      <c r="B1339" s="1" t="n">
        <v>45939.36596064815</v>
      </c>
      <c r="C1339" s="1" t="n">
        <v>46060</v>
      </c>
      <c r="D1339" t="inlineStr">
        <is>
          <t>VÄSTERNORRLANDS LÄN</t>
        </is>
      </c>
      <c r="E1339" t="inlineStr">
        <is>
          <t>SOLLEFTEÅ</t>
        </is>
      </c>
      <c r="F1339" t="inlineStr">
        <is>
          <t>SCA</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48981-2025</t>
        </is>
      </c>
      <c r="B1340" s="1" t="n">
        <v>45937.57354166666</v>
      </c>
      <c r="C1340" s="1" t="n">
        <v>46060</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33452-2025</t>
        </is>
      </c>
      <c r="B1341" s="1" t="n">
        <v>45841.46940972222</v>
      </c>
      <c r="C1341" s="1" t="n">
        <v>46060</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49221-2025</t>
        </is>
      </c>
      <c r="B1342" s="1" t="n">
        <v>45938.46335648148</v>
      </c>
      <c r="C1342" s="1" t="n">
        <v>46060</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49378-2025</t>
        </is>
      </c>
      <c r="B1343" s="1" t="n">
        <v>45938.6364699074</v>
      </c>
      <c r="C1343" s="1" t="n">
        <v>46060</v>
      </c>
      <c r="D1343" t="inlineStr">
        <is>
          <t>VÄSTERNORRLANDS LÄN</t>
        </is>
      </c>
      <c r="E1343" t="inlineStr">
        <is>
          <t>SOLLEFTEÅ</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49380-2025</t>
        </is>
      </c>
      <c r="B1344" s="1" t="n">
        <v>45938.63677083333</v>
      </c>
      <c r="C1344" s="1" t="n">
        <v>46060</v>
      </c>
      <c r="D1344" t="inlineStr">
        <is>
          <t>VÄSTERNORRLANDS LÄN</t>
        </is>
      </c>
      <c r="E1344" t="inlineStr">
        <is>
          <t>SOLLEFTEÅ</t>
        </is>
      </c>
      <c r="F1344" t="inlineStr">
        <is>
          <t>SCA</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49698-2025</t>
        </is>
      </c>
      <c r="B1345" s="1" t="n">
        <v>45939.67790509259</v>
      </c>
      <c r="C1345" s="1" t="n">
        <v>46060</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49701-2025</t>
        </is>
      </c>
      <c r="B1346" s="1" t="n">
        <v>45939.67840277778</v>
      </c>
      <c r="C1346" s="1" t="n">
        <v>46060</v>
      </c>
      <c r="D1346" t="inlineStr">
        <is>
          <t>VÄSTERNORRLANDS LÄN</t>
        </is>
      </c>
      <c r="E1346" t="inlineStr">
        <is>
          <t>SOLLEFTEÅ</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49702-2025</t>
        </is>
      </c>
      <c r="B1347" s="1" t="n">
        <v>45939.67875</v>
      </c>
      <c r="C1347" s="1" t="n">
        <v>46060</v>
      </c>
      <c r="D1347" t="inlineStr">
        <is>
          <t>VÄSTERNORRLANDS LÄN</t>
        </is>
      </c>
      <c r="E1347" t="inlineStr">
        <is>
          <t>SOLLEFTEÅ</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49696-2025</t>
        </is>
      </c>
      <c r="B1348" s="1" t="n">
        <v>45939.6775462963</v>
      </c>
      <c r="C1348" s="1" t="n">
        <v>46060</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40355-2024</t>
        </is>
      </c>
      <c r="B1349" s="1" t="n">
        <v>45555.36541666667</v>
      </c>
      <c r="C1349" s="1" t="n">
        <v>46060</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33825-2025</t>
        </is>
      </c>
      <c r="B1350" s="1" t="n">
        <v>45842.46930555555</v>
      </c>
      <c r="C1350" s="1" t="n">
        <v>46060</v>
      </c>
      <c r="D1350" t="inlineStr">
        <is>
          <t>VÄSTERNORRLANDS LÄN</t>
        </is>
      </c>
      <c r="E1350" t="inlineStr">
        <is>
          <t>SOLLEFTEÅ</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33855-2025</t>
        </is>
      </c>
      <c r="B1351" s="1" t="n">
        <v>45842.51125</v>
      </c>
      <c r="C1351" s="1" t="n">
        <v>46060</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37671-2023</t>
        </is>
      </c>
      <c r="B1352" s="1" t="n">
        <v>45156</v>
      </c>
      <c r="C1352" s="1" t="n">
        <v>46060</v>
      </c>
      <c r="D1352" t="inlineStr">
        <is>
          <t>VÄSTERNORRLANDS LÄN</t>
        </is>
      </c>
      <c r="E1352" t="inlineStr">
        <is>
          <t>SOLLEFTEÅ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54559-2022</t>
        </is>
      </c>
      <c r="B1353" s="1" t="n">
        <v>44882</v>
      </c>
      <c r="C1353" s="1" t="n">
        <v>46060</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49699-2025</t>
        </is>
      </c>
      <c r="B1354" s="1" t="n">
        <v>45939.67807870371</v>
      </c>
      <c r="C1354" s="1" t="n">
        <v>46060</v>
      </c>
      <c r="D1354" t="inlineStr">
        <is>
          <t>VÄSTERNORRLANDS LÄN</t>
        </is>
      </c>
      <c r="E1354" t="inlineStr">
        <is>
          <t>SOLLEFTEÅ</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49700-2025</t>
        </is>
      </c>
      <c r="B1355" s="1" t="n">
        <v>45939.67822916667</v>
      </c>
      <c r="C1355" s="1" t="n">
        <v>46060</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49706-2025</t>
        </is>
      </c>
      <c r="B1356" s="1" t="n">
        <v>45939.67949074074</v>
      </c>
      <c r="C1356" s="1" t="n">
        <v>46060</v>
      </c>
      <c r="D1356" t="inlineStr">
        <is>
          <t>VÄSTERNORRLANDS LÄN</t>
        </is>
      </c>
      <c r="E1356" t="inlineStr">
        <is>
          <t>SOLLEFTEÅ</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29210-2023</t>
        </is>
      </c>
      <c r="B1357" s="1" t="n">
        <v>45097</v>
      </c>
      <c r="C1357" s="1" t="n">
        <v>46060</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29336-2023</t>
        </is>
      </c>
      <c r="B1358" s="1" t="n">
        <v>45105</v>
      </c>
      <c r="C1358" s="1" t="n">
        <v>46060</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46060</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49565-2025</t>
        </is>
      </c>
      <c r="B1360" s="1" t="n">
        <v>45939.46921296296</v>
      </c>
      <c r="C1360" s="1" t="n">
        <v>46060</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59491-2024</t>
        </is>
      </c>
      <c r="B1361" s="1" t="n">
        <v>45637</v>
      </c>
      <c r="C1361" s="1" t="n">
        <v>46060</v>
      </c>
      <c r="D1361" t="inlineStr">
        <is>
          <t>VÄSTERNORRLANDS LÄN</t>
        </is>
      </c>
      <c r="E1361" t="inlineStr">
        <is>
          <t>SOLLEFTEÅ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12561-2022</t>
        </is>
      </c>
      <c r="B1362" s="1" t="n">
        <v>44638</v>
      </c>
      <c r="C1362" s="1" t="n">
        <v>46060</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12820-2023</t>
        </is>
      </c>
      <c r="B1363" s="1" t="n">
        <v>45000</v>
      </c>
      <c r="C1363" s="1" t="n">
        <v>46060</v>
      </c>
      <c r="D1363" t="inlineStr">
        <is>
          <t>VÄSTERNORRLANDS LÄN</t>
        </is>
      </c>
      <c r="E1363" t="inlineStr">
        <is>
          <t>SOLLEFTEÅ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49705-2025</t>
        </is>
      </c>
      <c r="B1364" s="1" t="n">
        <v>45939.67929398148</v>
      </c>
      <c r="C1364" s="1" t="n">
        <v>46060</v>
      </c>
      <c r="D1364" t="inlineStr">
        <is>
          <t>VÄSTERNORRLANDS LÄN</t>
        </is>
      </c>
      <c r="E1364" t="inlineStr">
        <is>
          <t>SOLLEFTEÅ</t>
        </is>
      </c>
      <c r="F1364" t="inlineStr">
        <is>
          <t>SCA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49474-2025</t>
        </is>
      </c>
      <c r="B1365" s="1" t="n">
        <v>45939.34472222222</v>
      </c>
      <c r="C1365" s="1" t="n">
        <v>46060</v>
      </c>
      <c r="D1365" t="inlineStr">
        <is>
          <t>VÄSTERNORRLANDS LÄN</t>
        </is>
      </c>
      <c r="E1365" t="inlineStr">
        <is>
          <t>SOLLEFTEÅ</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49488-2025</t>
        </is>
      </c>
      <c r="B1366" s="1" t="n">
        <v>45939.36506944444</v>
      </c>
      <c r="C1366" s="1" t="n">
        <v>46060</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33936-2025</t>
        </is>
      </c>
      <c r="B1367" s="1" t="n">
        <v>45842.63630787037</v>
      </c>
      <c r="C1367" s="1" t="n">
        <v>46060</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49667-2025</t>
        </is>
      </c>
      <c r="B1368" s="1" t="n">
        <v>45939.63671296297</v>
      </c>
      <c r="C1368" s="1" t="n">
        <v>46060</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49406-2025</t>
        </is>
      </c>
      <c r="B1369" s="1" t="n">
        <v>45938.67761574074</v>
      </c>
      <c r="C1369" s="1" t="n">
        <v>46060</v>
      </c>
      <c r="D1369" t="inlineStr">
        <is>
          <t>VÄSTERNORRLANDS LÄN</t>
        </is>
      </c>
      <c r="E1369" t="inlineStr">
        <is>
          <t>SOLLEFTEÅ</t>
        </is>
      </c>
      <c r="F1369" t="inlineStr">
        <is>
          <t>SCA</t>
        </is>
      </c>
      <c r="G1369" t="n">
        <v>28.6</v>
      </c>
      <c r="H1369" t="n">
        <v>0</v>
      </c>
      <c r="I1369" t="n">
        <v>0</v>
      </c>
      <c r="J1369" t="n">
        <v>0</v>
      </c>
      <c r="K1369" t="n">
        <v>0</v>
      </c>
      <c r="L1369" t="n">
        <v>0</v>
      </c>
      <c r="M1369" t="n">
        <v>0</v>
      </c>
      <c r="N1369" t="n">
        <v>0</v>
      </c>
      <c r="O1369" t="n">
        <v>0</v>
      </c>
      <c r="P1369" t="n">
        <v>0</v>
      </c>
      <c r="Q1369" t="n">
        <v>0</v>
      </c>
      <c r="R1369" s="2" t="inlineStr"/>
    </row>
    <row r="1370" ht="15" customHeight="1">
      <c r="A1370" t="inlineStr">
        <is>
          <t>A 3096-2025</t>
        </is>
      </c>
      <c r="B1370" s="1" t="n">
        <v>45678.66643518519</v>
      </c>
      <c r="C1370" s="1" t="n">
        <v>46060</v>
      </c>
      <c r="D1370" t="inlineStr">
        <is>
          <t>VÄSTERNORRLANDS LÄN</t>
        </is>
      </c>
      <c r="E1370" t="inlineStr">
        <is>
          <t>SOLLEFTEÅ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49932-2025</t>
        </is>
      </c>
      <c r="B1371" s="1" t="n">
        <v>45940.65695601852</v>
      </c>
      <c r="C1371" s="1" t="n">
        <v>46060</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50229-2025</t>
        </is>
      </c>
      <c r="B1372" s="1" t="n">
        <v>45943.69855324074</v>
      </c>
      <c r="C1372" s="1" t="n">
        <v>46060</v>
      </c>
      <c r="D1372" t="inlineStr">
        <is>
          <t>VÄSTERNORRLANDS LÄN</t>
        </is>
      </c>
      <c r="E1372" t="inlineStr">
        <is>
          <t>SOLLEFTEÅ</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43049-2024</t>
        </is>
      </c>
      <c r="B1373" s="1" t="n">
        <v>45567</v>
      </c>
      <c r="C1373" s="1" t="n">
        <v>46060</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49711-2021</t>
        </is>
      </c>
      <c r="B1374" s="1" t="n">
        <v>44455</v>
      </c>
      <c r="C1374" s="1" t="n">
        <v>46060</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33917-2025</t>
        </is>
      </c>
      <c r="B1375" s="1" t="n">
        <v>45842.61491898148</v>
      </c>
      <c r="C1375" s="1" t="n">
        <v>46060</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49904-2025</t>
        </is>
      </c>
      <c r="B1376" s="1" t="n">
        <v>45940.59594907407</v>
      </c>
      <c r="C1376" s="1" t="n">
        <v>46060</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49794-2025</t>
        </is>
      </c>
      <c r="B1377" s="1" t="n">
        <v>45940.40777777778</v>
      </c>
      <c r="C1377" s="1" t="n">
        <v>46060</v>
      </c>
      <c r="D1377" t="inlineStr">
        <is>
          <t>VÄSTERNORRLANDS LÄN</t>
        </is>
      </c>
      <c r="E1377" t="inlineStr">
        <is>
          <t>SOLLEFTEÅ</t>
        </is>
      </c>
      <c r="F1377" t="inlineStr">
        <is>
          <t>SCA</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47185-2023</t>
        </is>
      </c>
      <c r="B1378" s="1" t="n">
        <v>45201</v>
      </c>
      <c r="C1378" s="1" t="n">
        <v>46060</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49919-2025</t>
        </is>
      </c>
      <c r="B1379" s="1" t="n">
        <v>45940.63591435185</v>
      </c>
      <c r="C1379" s="1" t="n">
        <v>46060</v>
      </c>
      <c r="D1379" t="inlineStr">
        <is>
          <t>VÄSTERNORRLANDS LÄN</t>
        </is>
      </c>
      <c r="E1379" t="inlineStr">
        <is>
          <t>SOLLEFTEÅ</t>
        </is>
      </c>
      <c r="F1379" t="inlineStr">
        <is>
          <t>SCA</t>
        </is>
      </c>
      <c r="G1379" t="n">
        <v>41.5</v>
      </c>
      <c r="H1379" t="n">
        <v>0</v>
      </c>
      <c r="I1379" t="n">
        <v>0</v>
      </c>
      <c r="J1379" t="n">
        <v>0</v>
      </c>
      <c r="K1379" t="n">
        <v>0</v>
      </c>
      <c r="L1379" t="n">
        <v>0</v>
      </c>
      <c r="M1379" t="n">
        <v>0</v>
      </c>
      <c r="N1379" t="n">
        <v>0</v>
      </c>
      <c r="O1379" t="n">
        <v>0</v>
      </c>
      <c r="P1379" t="n">
        <v>0</v>
      </c>
      <c r="Q1379" t="n">
        <v>0</v>
      </c>
      <c r="R1379" s="2" t="inlineStr"/>
    </row>
    <row r="1380" ht="15" customHeight="1">
      <c r="A1380" t="inlineStr">
        <is>
          <t>A 49748-2025</t>
        </is>
      </c>
      <c r="B1380" s="1" t="n">
        <v>45940.34472222222</v>
      </c>
      <c r="C1380" s="1" t="n">
        <v>46060</v>
      </c>
      <c r="D1380" t="inlineStr">
        <is>
          <t>VÄSTERNORRLANDS LÄN</t>
        </is>
      </c>
      <c r="E1380" t="inlineStr">
        <is>
          <t>SOLLEFTEÅ</t>
        </is>
      </c>
      <c r="F1380" t="inlineStr">
        <is>
          <t>SCA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4931-2025</t>
        </is>
      </c>
      <c r="B1381" s="1" t="n">
        <v>45688.68476851852</v>
      </c>
      <c r="C1381" s="1" t="n">
        <v>46060</v>
      </c>
      <c r="D1381" t="inlineStr">
        <is>
          <t>VÄSTERNORRLANDS LÄN</t>
        </is>
      </c>
      <c r="E1381" t="inlineStr">
        <is>
          <t>SOLLEFTEÅ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49750-2025</t>
        </is>
      </c>
      <c r="B1382" s="1" t="n">
        <v>45940.34497685185</v>
      </c>
      <c r="C1382" s="1" t="n">
        <v>46060</v>
      </c>
      <c r="D1382" t="inlineStr">
        <is>
          <t>VÄSTERNORRLANDS LÄN</t>
        </is>
      </c>
      <c r="E1382" t="inlineStr">
        <is>
          <t>SOLLEFTEÅ</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15872-2024</t>
        </is>
      </c>
      <c r="B1383" s="1" t="n">
        <v>45405</v>
      </c>
      <c r="C1383" s="1" t="n">
        <v>46060</v>
      </c>
      <c r="D1383" t="inlineStr">
        <is>
          <t>VÄSTERNORRLANDS LÄN</t>
        </is>
      </c>
      <c r="E1383" t="inlineStr">
        <is>
          <t>SOLLEFTEÅ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49920-2025</t>
        </is>
      </c>
      <c r="B1384" s="1" t="n">
        <v>45940.63611111111</v>
      </c>
      <c r="C1384" s="1" t="n">
        <v>46060</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49933-2025</t>
        </is>
      </c>
      <c r="B1385" s="1" t="n">
        <v>45940.65717592592</v>
      </c>
      <c r="C1385" s="1" t="n">
        <v>46060</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12006-2022</t>
        </is>
      </c>
      <c r="B1386" s="1" t="n">
        <v>44635.92496527778</v>
      </c>
      <c r="C1386" s="1" t="n">
        <v>46060</v>
      </c>
      <c r="D1386" t="inlineStr">
        <is>
          <t>VÄSTERNORRLANDS LÄN</t>
        </is>
      </c>
      <c r="E1386" t="inlineStr">
        <is>
          <t>SOLLEFTEÅ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3082-2025</t>
        </is>
      </c>
      <c r="B1387" s="1" t="n">
        <v>45678.64443287037</v>
      </c>
      <c r="C1387" s="1" t="n">
        <v>46060</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33935-2025</t>
        </is>
      </c>
      <c r="B1388" s="1" t="n">
        <v>45842.63614583333</v>
      </c>
      <c r="C1388" s="1" t="n">
        <v>46060</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34051-2025</t>
        </is>
      </c>
      <c r="B1389" s="1" t="n">
        <v>45845.40672453704</v>
      </c>
      <c r="C1389" s="1" t="n">
        <v>46060</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33852-2025</t>
        </is>
      </c>
      <c r="B1390" s="1" t="n">
        <v>45842.51079861111</v>
      </c>
      <c r="C1390" s="1" t="n">
        <v>46060</v>
      </c>
      <c r="D1390" t="inlineStr">
        <is>
          <t>VÄSTERNORRLANDS LÄN</t>
        </is>
      </c>
      <c r="E1390" t="inlineStr">
        <is>
          <t>SOLLEFTEÅ</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50627-2025</t>
        </is>
      </c>
      <c r="B1391" s="1" t="n">
        <v>45945</v>
      </c>
      <c r="C1391" s="1" t="n">
        <v>46060</v>
      </c>
      <c r="D1391" t="inlineStr">
        <is>
          <t>VÄSTERNORRLANDS LÄN</t>
        </is>
      </c>
      <c r="E1391" t="inlineStr">
        <is>
          <t>SOLLEFTEÅ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5874-2024</t>
        </is>
      </c>
      <c r="B1392" s="1" t="n">
        <v>45335.6615625</v>
      </c>
      <c r="C1392" s="1" t="n">
        <v>46060</v>
      </c>
      <c r="D1392" t="inlineStr">
        <is>
          <t>VÄSTERNORRLANDS LÄN</t>
        </is>
      </c>
      <c r="E1392" t="inlineStr">
        <is>
          <t>SOLLEFTEÅ</t>
        </is>
      </c>
      <c r="F1392" t="inlineStr">
        <is>
          <t>Övriga Aktiebolag</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8084-2025</t>
        </is>
      </c>
      <c r="B1393" s="1" t="n">
        <v>45707</v>
      </c>
      <c r="C1393" s="1" t="n">
        <v>46060</v>
      </c>
      <c r="D1393" t="inlineStr">
        <is>
          <t>VÄSTERNORRLANDS LÄN</t>
        </is>
      </c>
      <c r="E1393" t="inlineStr">
        <is>
          <t>SOLLEFTEÅ</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58427-2023</t>
        </is>
      </c>
      <c r="B1394" s="1" t="n">
        <v>45250</v>
      </c>
      <c r="C1394" s="1" t="n">
        <v>46060</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50505-2025</t>
        </is>
      </c>
      <c r="B1395" s="1" t="n">
        <v>45945.42863425926</v>
      </c>
      <c r="C1395" s="1" t="n">
        <v>46060</v>
      </c>
      <c r="D1395" t="inlineStr">
        <is>
          <t>VÄSTERNORRLANDS LÄN</t>
        </is>
      </c>
      <c r="E1395" t="inlineStr">
        <is>
          <t>SOLLEFTEÅ</t>
        </is>
      </c>
      <c r="F1395" t="inlineStr">
        <is>
          <t>SCA</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50522-2025</t>
        </is>
      </c>
      <c r="B1396" s="1" t="n">
        <v>45945</v>
      </c>
      <c r="C1396" s="1" t="n">
        <v>46060</v>
      </c>
      <c r="D1396" t="inlineStr">
        <is>
          <t>VÄSTERNORRLANDS LÄN</t>
        </is>
      </c>
      <c r="E1396" t="inlineStr">
        <is>
          <t>SOLLEFTEÅ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33957-2025</t>
        </is>
      </c>
      <c r="B1397" s="1" t="n">
        <v>45842.67762731481</v>
      </c>
      <c r="C1397" s="1" t="n">
        <v>46060</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34000-2025</t>
        </is>
      </c>
      <c r="B1398" s="1" t="n">
        <v>45844.37024305556</v>
      </c>
      <c r="C1398" s="1" t="n">
        <v>46060</v>
      </c>
      <c r="D1398" t="inlineStr">
        <is>
          <t>VÄSTERNORRLANDS LÄN</t>
        </is>
      </c>
      <c r="E1398" t="inlineStr">
        <is>
          <t>SOLLEFTEÅ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33999-2025</t>
        </is>
      </c>
      <c r="B1399" s="1" t="n">
        <v>45844.36113425926</v>
      </c>
      <c r="C1399" s="1" t="n">
        <v>46060</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50402-2025</t>
        </is>
      </c>
      <c r="B1400" s="1" t="n">
        <v>45944.63606481482</v>
      </c>
      <c r="C1400" s="1" t="n">
        <v>46060</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4859-2025</t>
        </is>
      </c>
      <c r="B1401" s="1" t="n">
        <v>45688.67451388889</v>
      </c>
      <c r="C1401" s="1" t="n">
        <v>46060</v>
      </c>
      <c r="D1401" t="inlineStr">
        <is>
          <t>VÄSTERNORRLANDS LÄN</t>
        </is>
      </c>
      <c r="E1401" t="inlineStr">
        <is>
          <t>SOLLEFTEÅ</t>
        </is>
      </c>
      <c r="F1401" t="inlineStr">
        <is>
          <t>SCA</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50283-2025</t>
        </is>
      </c>
      <c r="B1402" s="1" t="n">
        <v>45944.38641203703</v>
      </c>
      <c r="C1402" s="1" t="n">
        <v>46060</v>
      </c>
      <c r="D1402" t="inlineStr">
        <is>
          <t>VÄSTERNORRLANDS LÄN</t>
        </is>
      </c>
      <c r="E1402" t="inlineStr">
        <is>
          <t>SOLLEFTEÅ</t>
        </is>
      </c>
      <c r="F1402" t="inlineStr">
        <is>
          <t>SCA</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4894-2025</t>
        </is>
      </c>
      <c r="B1403" s="1" t="n">
        <v>45688.67888888889</v>
      </c>
      <c r="C1403" s="1" t="n">
        <v>46060</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34459-2025</t>
        </is>
      </c>
      <c r="B1404" s="1" t="n">
        <v>45847.34442129629</v>
      </c>
      <c r="C1404" s="1" t="n">
        <v>46060</v>
      </c>
      <c r="D1404" t="inlineStr">
        <is>
          <t>VÄSTERNORRLANDS LÄN</t>
        </is>
      </c>
      <c r="E1404" t="inlineStr">
        <is>
          <t>SOLLEFTEÅ</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50281-2025</t>
        </is>
      </c>
      <c r="B1405" s="1" t="n">
        <v>45944.38600694444</v>
      </c>
      <c r="C1405" s="1" t="n">
        <v>46060</v>
      </c>
      <c r="D1405" t="inlineStr">
        <is>
          <t>VÄSTERNORRLANDS LÄN</t>
        </is>
      </c>
      <c r="E1405" t="inlineStr">
        <is>
          <t>SOLLEFTEÅ</t>
        </is>
      </c>
      <c r="F1405" t="inlineStr">
        <is>
          <t>SCA</t>
        </is>
      </c>
      <c r="G1405" t="n">
        <v>29.2</v>
      </c>
      <c r="H1405" t="n">
        <v>0</v>
      </c>
      <c r="I1405" t="n">
        <v>0</v>
      </c>
      <c r="J1405" t="n">
        <v>0</v>
      </c>
      <c r="K1405" t="n">
        <v>0</v>
      </c>
      <c r="L1405" t="n">
        <v>0</v>
      </c>
      <c r="M1405" t="n">
        <v>0</v>
      </c>
      <c r="N1405" t="n">
        <v>0</v>
      </c>
      <c r="O1405" t="n">
        <v>0</v>
      </c>
      <c r="P1405" t="n">
        <v>0</v>
      </c>
      <c r="Q1405" t="n">
        <v>0</v>
      </c>
      <c r="R1405" s="2" t="inlineStr"/>
    </row>
    <row r="1406" ht="15" customHeight="1">
      <c r="A1406" t="inlineStr">
        <is>
          <t>A 46212-2023</t>
        </is>
      </c>
      <c r="B1406" s="1" t="n">
        <v>45190</v>
      </c>
      <c r="C1406" s="1" t="n">
        <v>46060</v>
      </c>
      <c r="D1406" t="inlineStr">
        <is>
          <t>VÄSTERNORRLANDS LÄN</t>
        </is>
      </c>
      <c r="E1406" t="inlineStr">
        <is>
          <t>SOLLEFTEÅ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39399-2023</t>
        </is>
      </c>
      <c r="B1407" s="1" t="n">
        <v>45163</v>
      </c>
      <c r="C1407" s="1" t="n">
        <v>46060</v>
      </c>
      <c r="D1407" t="inlineStr">
        <is>
          <t>VÄSTERNORRLANDS LÄN</t>
        </is>
      </c>
      <c r="E1407" t="inlineStr">
        <is>
          <t>SOLLEFTEÅ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34476-2025</t>
        </is>
      </c>
      <c r="B1408" s="1" t="n">
        <v>45847.36752314815</v>
      </c>
      <c r="C1408" s="1" t="n">
        <v>46060</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15147-2024</t>
        </is>
      </c>
      <c r="B1409" s="1" t="n">
        <v>45399.94372685185</v>
      </c>
      <c r="C1409" s="1" t="n">
        <v>46060</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50245-2025</t>
        </is>
      </c>
      <c r="B1410" s="1" t="n">
        <v>45944.30101851852</v>
      </c>
      <c r="C1410" s="1" t="n">
        <v>46060</v>
      </c>
      <c r="D1410" t="inlineStr">
        <is>
          <t>VÄSTERNORRLANDS LÄN</t>
        </is>
      </c>
      <c r="E1410" t="inlineStr">
        <is>
          <t>SOLLEFTEÅ</t>
        </is>
      </c>
      <c r="F1410" t="inlineStr">
        <is>
          <t>Holmen skog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50645-2025</t>
        </is>
      </c>
      <c r="B1411" s="1" t="n">
        <v>45945.65685185185</v>
      </c>
      <c r="C1411" s="1" t="n">
        <v>46060</v>
      </c>
      <c r="D1411" t="inlineStr">
        <is>
          <t>VÄSTERNORRLANDS LÄN</t>
        </is>
      </c>
      <c r="E1411" t="inlineStr">
        <is>
          <t>SOLLEFTEÅ</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50388-2025</t>
        </is>
      </c>
      <c r="B1412" s="1" t="n">
        <v>45944.61509259259</v>
      </c>
      <c r="C1412" s="1" t="n">
        <v>46060</v>
      </c>
      <c r="D1412" t="inlineStr">
        <is>
          <t>VÄSTERNORRLANDS LÄN</t>
        </is>
      </c>
      <c r="E1412" t="inlineStr">
        <is>
          <t>SOLLEFTEÅ</t>
        </is>
      </c>
      <c r="F1412" t="inlineStr">
        <is>
          <t>SCA</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54574-2024</t>
        </is>
      </c>
      <c r="B1413" s="1" t="n">
        <v>45617.65201388889</v>
      </c>
      <c r="C1413" s="1" t="n">
        <v>46060</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26955-2024</t>
        </is>
      </c>
      <c r="B1414" s="1" t="n">
        <v>45470.97040509259</v>
      </c>
      <c r="C1414" s="1" t="n">
        <v>46060</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14612-2025</t>
        </is>
      </c>
      <c r="B1415" s="1" t="n">
        <v>45742</v>
      </c>
      <c r="C1415" s="1" t="n">
        <v>46060</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34462-2025</t>
        </is>
      </c>
      <c r="B1416" s="1" t="n">
        <v>45847.34498842592</v>
      </c>
      <c r="C1416" s="1" t="n">
        <v>46060</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50493-2025</t>
        </is>
      </c>
      <c r="B1417" s="1" t="n">
        <v>45945.40685185185</v>
      </c>
      <c r="C1417" s="1" t="n">
        <v>46060</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50555-2025</t>
        </is>
      </c>
      <c r="B1418" s="1" t="n">
        <v>45945.53164351852</v>
      </c>
      <c r="C1418" s="1" t="n">
        <v>46060</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34473-2025</t>
        </is>
      </c>
      <c r="B1419" s="1" t="n">
        <v>45847.36511574074</v>
      </c>
      <c r="C1419" s="1" t="n">
        <v>46060</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50859-2025</t>
        </is>
      </c>
      <c r="B1420" s="1" t="n">
        <v>45946.59450231482</v>
      </c>
      <c r="C1420" s="1" t="n">
        <v>46060</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51226-2025</t>
        </is>
      </c>
      <c r="B1421" s="1" t="n">
        <v>45947.65663194445</v>
      </c>
      <c r="C1421" s="1" t="n">
        <v>46060</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61845-2024</t>
        </is>
      </c>
      <c r="B1422" s="1" t="n">
        <v>45646</v>
      </c>
      <c r="C1422" s="1" t="n">
        <v>46060</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61849-2024</t>
        </is>
      </c>
      <c r="B1423" s="1" t="n">
        <v>45646</v>
      </c>
      <c r="C1423" s="1" t="n">
        <v>46060</v>
      </c>
      <c r="D1423" t="inlineStr">
        <is>
          <t>VÄSTERNORRLANDS LÄN</t>
        </is>
      </c>
      <c r="E1423" t="inlineStr">
        <is>
          <t>SOLLEFTEÅ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47329-2023</t>
        </is>
      </c>
      <c r="B1424" s="1" t="n">
        <v>45196</v>
      </c>
      <c r="C1424" s="1" t="n">
        <v>46060</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41925-2024</t>
        </is>
      </c>
      <c r="B1425" s="1" t="n">
        <v>45561</v>
      </c>
      <c r="C1425" s="1" t="n">
        <v>46060</v>
      </c>
      <c r="D1425" t="inlineStr">
        <is>
          <t>VÄSTERNORRLANDS LÄN</t>
        </is>
      </c>
      <c r="E1425" t="inlineStr">
        <is>
          <t>SOLLEFTEÅ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34870-2025</t>
        </is>
      </c>
      <c r="B1426" s="1" t="n">
        <v>45849.44729166666</v>
      </c>
      <c r="C1426" s="1" t="n">
        <v>46060</v>
      </c>
      <c r="D1426" t="inlineStr">
        <is>
          <t>VÄSTERNORRLANDS LÄN</t>
        </is>
      </c>
      <c r="E1426" t="inlineStr">
        <is>
          <t>SOLLEFTEÅ</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51118-2025</t>
        </is>
      </c>
      <c r="B1427" s="1" t="n">
        <v>45947.53177083333</v>
      </c>
      <c r="C1427" s="1" t="n">
        <v>46060</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58808-2024</t>
        </is>
      </c>
      <c r="B1428" s="1" t="n">
        <v>45636.34446759259</v>
      </c>
      <c r="C1428" s="1" t="n">
        <v>46060</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50911-2025</t>
        </is>
      </c>
      <c r="B1429" s="1" t="n">
        <v>45946.65690972222</v>
      </c>
      <c r="C1429" s="1" t="n">
        <v>46060</v>
      </c>
      <c r="D1429" t="inlineStr">
        <is>
          <t>VÄSTERNORRLANDS LÄN</t>
        </is>
      </c>
      <c r="E1429" t="inlineStr">
        <is>
          <t>SOLLEFTEÅ</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51036-2025</t>
        </is>
      </c>
      <c r="B1430" s="1" t="n">
        <v>45947.40709490741</v>
      </c>
      <c r="C1430" s="1" t="n">
        <v>46060</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50843-2025</t>
        </is>
      </c>
      <c r="B1431" s="1" t="n">
        <v>45946.57344907407</v>
      </c>
      <c r="C1431" s="1" t="n">
        <v>46060</v>
      </c>
      <c r="D1431" t="inlineStr">
        <is>
          <t>VÄSTERNORRLANDS LÄN</t>
        </is>
      </c>
      <c r="E1431" t="inlineStr">
        <is>
          <t>SOLLEFTEÅ</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50929-2025</t>
        </is>
      </c>
      <c r="B1432" s="1" t="n">
        <v>45946.67913194445</v>
      </c>
      <c r="C1432" s="1" t="n">
        <v>46060</v>
      </c>
      <c r="D1432" t="inlineStr">
        <is>
          <t>VÄSTERNORRLANDS LÄN</t>
        </is>
      </c>
      <c r="E1432" t="inlineStr">
        <is>
          <t>SOLLEFTEÅ</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50930-2025</t>
        </is>
      </c>
      <c r="B1433" s="1" t="n">
        <v>45946.6796875</v>
      </c>
      <c r="C1433" s="1" t="n">
        <v>46060</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50860-2025</t>
        </is>
      </c>
      <c r="B1434" s="1" t="n">
        <v>45946.59475694445</v>
      </c>
      <c r="C1434" s="1" t="n">
        <v>46060</v>
      </c>
      <c r="D1434" t="inlineStr">
        <is>
          <t>VÄSTERNORRLANDS LÄN</t>
        </is>
      </c>
      <c r="E1434" t="inlineStr">
        <is>
          <t>SOLLEFTEÅ</t>
        </is>
      </c>
      <c r="F1434" t="inlineStr">
        <is>
          <t>SCA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51102-2025</t>
        </is>
      </c>
      <c r="B1435" s="1" t="n">
        <v>45947.49001157407</v>
      </c>
      <c r="C1435" s="1" t="n">
        <v>46060</v>
      </c>
      <c r="D1435" t="inlineStr">
        <is>
          <t>VÄSTERNORRLANDS LÄN</t>
        </is>
      </c>
      <c r="E1435" t="inlineStr">
        <is>
          <t>SOLLEFTEÅ</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46060</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42983-2024</t>
        </is>
      </c>
      <c r="B1437" s="1" t="n">
        <v>45567.37471064815</v>
      </c>
      <c r="C1437" s="1" t="n">
        <v>46060</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42984-2024</t>
        </is>
      </c>
      <c r="B1438" s="1" t="n">
        <v>45567.37532407408</v>
      </c>
      <c r="C1438" s="1" t="n">
        <v>46060</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42985-2024</t>
        </is>
      </c>
      <c r="B1439" s="1" t="n">
        <v>45567.37533564815</v>
      </c>
      <c r="C1439" s="1" t="n">
        <v>46060</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51087-2025</t>
        </is>
      </c>
      <c r="B1440" s="1" t="n">
        <v>45947.46954861111</v>
      </c>
      <c r="C1440" s="1" t="n">
        <v>46060</v>
      </c>
      <c r="D1440" t="inlineStr">
        <is>
          <t>VÄSTERNORRLANDS LÄN</t>
        </is>
      </c>
      <c r="E1440" t="inlineStr">
        <is>
          <t>SOLLEFTEÅ</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51088-2025</t>
        </is>
      </c>
      <c r="B1441" s="1" t="n">
        <v>45947.46975694445</v>
      </c>
      <c r="C1441" s="1" t="n">
        <v>46060</v>
      </c>
      <c r="D1441" t="inlineStr">
        <is>
          <t>VÄSTERNORRLANDS LÄN</t>
        </is>
      </c>
      <c r="E1441" t="inlineStr">
        <is>
          <t>SOLLEFTEÅ</t>
        </is>
      </c>
      <c r="F1441" t="inlineStr">
        <is>
          <t>SCA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25945-2025</t>
        </is>
      </c>
      <c r="B1442" s="1" t="n">
        <v>45804</v>
      </c>
      <c r="C1442" s="1" t="n">
        <v>46060</v>
      </c>
      <c r="D1442" t="inlineStr">
        <is>
          <t>VÄSTERNORRLANDS LÄN</t>
        </is>
      </c>
      <c r="E1442" t="inlineStr">
        <is>
          <t>SOLLEFTEÅ</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35041-2025</t>
        </is>
      </c>
      <c r="B1443" s="1" t="n">
        <v>45852.3443287037</v>
      </c>
      <c r="C1443" s="1" t="n">
        <v>46060</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50733-2025</t>
        </is>
      </c>
      <c r="B1444" s="1" t="n">
        <v>45946.36538194444</v>
      </c>
      <c r="C1444" s="1" t="n">
        <v>46060</v>
      </c>
      <c r="D1444" t="inlineStr">
        <is>
          <t>VÄSTERNORRLANDS LÄN</t>
        </is>
      </c>
      <c r="E1444" t="inlineStr">
        <is>
          <t>SOLLEFTEÅ</t>
        </is>
      </c>
      <c r="F1444" t="inlineStr">
        <is>
          <t>SCA</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48964-2023</t>
        </is>
      </c>
      <c r="B1445" s="1" t="n">
        <v>45204</v>
      </c>
      <c r="C1445" s="1" t="n">
        <v>46060</v>
      </c>
      <c r="D1445" t="inlineStr">
        <is>
          <t>VÄSTERNORRLANDS LÄN</t>
        </is>
      </c>
      <c r="E1445" t="inlineStr">
        <is>
          <t>SOLLEFTEÅ</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51261-2025</t>
        </is>
      </c>
      <c r="B1446" s="1" t="n">
        <v>45949.46915509259</v>
      </c>
      <c r="C1446" s="1" t="n">
        <v>46060</v>
      </c>
      <c r="D1446" t="inlineStr">
        <is>
          <t>VÄSTERNORRLANDS LÄN</t>
        </is>
      </c>
      <c r="E1446" t="inlineStr">
        <is>
          <t>SOLLEFTEÅ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51609-2025</t>
        </is>
      </c>
      <c r="B1447" s="1" t="n">
        <v>45951.39130787037</v>
      </c>
      <c r="C1447" s="1" t="n">
        <v>46060</v>
      </c>
      <c r="D1447" t="inlineStr">
        <is>
          <t>VÄSTERNORRLANDS LÄN</t>
        </is>
      </c>
      <c r="E1447" t="inlineStr">
        <is>
          <t>SOLLEFTEÅ</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35086-2025</t>
        </is>
      </c>
      <c r="B1448" s="1" t="n">
        <v>45852.51719907407</v>
      </c>
      <c r="C1448" s="1" t="n">
        <v>46060</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48785-2024</t>
        </is>
      </c>
      <c r="B1449" s="1" t="n">
        <v>45593</v>
      </c>
      <c r="C1449" s="1" t="n">
        <v>46060</v>
      </c>
      <c r="D1449" t="inlineStr">
        <is>
          <t>VÄSTERNORRLANDS LÄN</t>
        </is>
      </c>
      <c r="E1449" t="inlineStr">
        <is>
          <t>SOLLEFTEÅ</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34100-2023</t>
        </is>
      </c>
      <c r="B1450" s="1" t="n">
        <v>45125</v>
      </c>
      <c r="C1450" s="1" t="n">
        <v>46060</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51559-2025</t>
        </is>
      </c>
      <c r="B1451" s="1" t="n">
        <v>45950.93180555556</v>
      </c>
      <c r="C1451" s="1" t="n">
        <v>46060</v>
      </c>
      <c r="D1451" t="inlineStr">
        <is>
          <t>VÄSTERNORRLANDS LÄN</t>
        </is>
      </c>
      <c r="E1451" t="inlineStr">
        <is>
          <t>SOLLEFTEÅ</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35066-2025</t>
        </is>
      </c>
      <c r="B1452" s="1" t="n">
        <v>45852.45013888889</v>
      </c>
      <c r="C1452" s="1" t="n">
        <v>46060</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51591-2025</t>
        </is>
      </c>
      <c r="B1453" s="1" t="n">
        <v>45951.3653587963</v>
      </c>
      <c r="C1453" s="1" t="n">
        <v>46060</v>
      </c>
      <c r="D1453" t="inlineStr">
        <is>
          <t>VÄSTERNORRLANDS LÄN</t>
        </is>
      </c>
      <c r="E1453" t="inlineStr">
        <is>
          <t>SOLLEFTEÅ</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51575-2025</t>
        </is>
      </c>
      <c r="B1454" s="1" t="n">
        <v>45951.34452546296</v>
      </c>
      <c r="C1454" s="1" t="n">
        <v>46060</v>
      </c>
      <c r="D1454" t="inlineStr">
        <is>
          <t>VÄSTERNORRLANDS LÄN</t>
        </is>
      </c>
      <c r="E1454" t="inlineStr">
        <is>
          <t>SOLLEFTEÅ</t>
        </is>
      </c>
      <c r="F1454" t="inlineStr">
        <is>
          <t>SCA</t>
        </is>
      </c>
      <c r="G1454" t="n">
        <v>35.4</v>
      </c>
      <c r="H1454" t="n">
        <v>0</v>
      </c>
      <c r="I1454" t="n">
        <v>0</v>
      </c>
      <c r="J1454" t="n">
        <v>0</v>
      </c>
      <c r="K1454" t="n">
        <v>0</v>
      </c>
      <c r="L1454" t="n">
        <v>0</v>
      </c>
      <c r="M1454" t="n">
        <v>0</v>
      </c>
      <c r="N1454" t="n">
        <v>0</v>
      </c>
      <c r="O1454" t="n">
        <v>0</v>
      </c>
      <c r="P1454" t="n">
        <v>0</v>
      </c>
      <c r="Q1454" t="n">
        <v>0</v>
      </c>
      <c r="R1454" s="2" t="inlineStr"/>
    </row>
    <row r="1455" ht="15" customHeight="1">
      <c r="A1455" t="inlineStr">
        <is>
          <t>A 54607-2023</t>
        </is>
      </c>
      <c r="B1455" s="1" t="n">
        <v>45233.95748842593</v>
      </c>
      <c r="C1455" s="1" t="n">
        <v>46060</v>
      </c>
      <c r="D1455" t="inlineStr">
        <is>
          <t>VÄSTERNORRLANDS LÄN</t>
        </is>
      </c>
      <c r="E1455" t="inlineStr">
        <is>
          <t>SOLLEFTEÅ</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2582-2025</t>
        </is>
      </c>
      <c r="B1456" s="1" t="n">
        <v>45674.67787037037</v>
      </c>
      <c r="C1456" s="1" t="n">
        <v>46060</v>
      </c>
      <c r="D1456" t="inlineStr">
        <is>
          <t>VÄSTERNORRLANDS LÄN</t>
        </is>
      </c>
      <c r="E1456" t="inlineStr">
        <is>
          <t>SOLLEFTEÅ</t>
        </is>
      </c>
      <c r="F1456" t="inlineStr">
        <is>
          <t>SCA</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41420-2024</t>
        </is>
      </c>
      <c r="B1457" s="1" t="n">
        <v>45560.34616898148</v>
      </c>
      <c r="C1457" s="1" t="n">
        <v>46060</v>
      </c>
      <c r="D1457" t="inlineStr">
        <is>
          <t>VÄSTERNORRLANDS LÄN</t>
        </is>
      </c>
      <c r="E1457" t="inlineStr">
        <is>
          <t>SOLLEFTEÅ</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35132-2025</t>
        </is>
      </c>
      <c r="B1458" s="1" t="n">
        <v>45852.63618055556</v>
      </c>
      <c r="C1458" s="1" t="n">
        <v>46060</v>
      </c>
      <c r="D1458" t="inlineStr">
        <is>
          <t>VÄSTERNORRLANDS LÄN</t>
        </is>
      </c>
      <c r="E1458" t="inlineStr">
        <is>
          <t>SOLLEFTEÅ</t>
        </is>
      </c>
      <c r="F1458" t="inlineStr">
        <is>
          <t>SCA</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3414-2025</t>
        </is>
      </c>
      <c r="B1459" s="1" t="n">
        <v>45680</v>
      </c>
      <c r="C1459" s="1" t="n">
        <v>46060</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51770-2025</t>
        </is>
      </c>
      <c r="B1460" s="1" t="n">
        <v>45951.64315972223</v>
      </c>
      <c r="C1460" s="1" t="n">
        <v>46060</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51603-2025</t>
        </is>
      </c>
      <c r="B1461" s="1" t="n">
        <v>45951.38317129629</v>
      </c>
      <c r="C1461" s="1" t="n">
        <v>46060</v>
      </c>
      <c r="D1461" t="inlineStr">
        <is>
          <t>VÄSTERNORRLANDS LÄN</t>
        </is>
      </c>
      <c r="E1461" t="inlineStr">
        <is>
          <t>SOLLEFTEÅ</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35286-2025</t>
        </is>
      </c>
      <c r="B1462" s="1" t="n">
        <v>45854.36512731481</v>
      </c>
      <c r="C1462" s="1" t="n">
        <v>46060</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35448-2025</t>
        </is>
      </c>
      <c r="B1463" s="1" t="n">
        <v>45855.55247685185</v>
      </c>
      <c r="C1463" s="1" t="n">
        <v>46060</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51303-2025</t>
        </is>
      </c>
      <c r="B1464" s="1" t="n">
        <v>45950.36518518518</v>
      </c>
      <c r="C1464" s="1" t="n">
        <v>46060</v>
      </c>
      <c r="D1464" t="inlineStr">
        <is>
          <t>VÄSTERNORRLANDS LÄN</t>
        </is>
      </c>
      <c r="E1464" t="inlineStr">
        <is>
          <t>SOLLEFTEÅ</t>
        </is>
      </c>
      <c r="F1464" t="inlineStr">
        <is>
          <t>SCA</t>
        </is>
      </c>
      <c r="G1464" t="n">
        <v>29.2</v>
      </c>
      <c r="H1464" t="n">
        <v>0</v>
      </c>
      <c r="I1464" t="n">
        <v>0</v>
      </c>
      <c r="J1464" t="n">
        <v>0</v>
      </c>
      <c r="K1464" t="n">
        <v>0</v>
      </c>
      <c r="L1464" t="n">
        <v>0</v>
      </c>
      <c r="M1464" t="n">
        <v>0</v>
      </c>
      <c r="N1464" t="n">
        <v>0</v>
      </c>
      <c r="O1464" t="n">
        <v>0</v>
      </c>
      <c r="P1464" t="n">
        <v>0</v>
      </c>
      <c r="Q1464" t="n">
        <v>0</v>
      </c>
      <c r="R1464" s="2" t="inlineStr"/>
    </row>
    <row r="1465" ht="15" customHeight="1">
      <c r="A1465" t="inlineStr">
        <is>
          <t>A 12379-2025</t>
        </is>
      </c>
      <c r="B1465" s="1" t="n">
        <v>45730</v>
      </c>
      <c r="C1465" s="1" t="n">
        <v>46060</v>
      </c>
      <c r="D1465" t="inlineStr">
        <is>
          <t>VÄSTERNORRLANDS LÄN</t>
        </is>
      </c>
      <c r="E1465" t="inlineStr">
        <is>
          <t>SOLLEFTEÅ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46060</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51451-2025</t>
        </is>
      </c>
      <c r="B1467" s="1" t="n">
        <v>45950.59311342592</v>
      </c>
      <c r="C1467" s="1" t="n">
        <v>46060</v>
      </c>
      <c r="D1467" t="inlineStr">
        <is>
          <t>VÄSTERNORRLANDS LÄN</t>
        </is>
      </c>
      <c r="E1467" t="inlineStr">
        <is>
          <t>SOLLEFTEÅ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6063-2024</t>
        </is>
      </c>
      <c r="B1468" s="1" t="n">
        <v>45336.86584490741</v>
      </c>
      <c r="C1468" s="1" t="n">
        <v>46060</v>
      </c>
      <c r="D1468" t="inlineStr">
        <is>
          <t>VÄSTERNORRLANDS LÄN</t>
        </is>
      </c>
      <c r="E1468" t="inlineStr">
        <is>
          <t>SOLLEFTEÅ</t>
        </is>
      </c>
      <c r="F1468" t="inlineStr">
        <is>
          <t>Övriga Aktiebolag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9608-2025</t>
        </is>
      </c>
      <c r="B1469" s="1" t="n">
        <v>45715.65699074074</v>
      </c>
      <c r="C1469" s="1" t="n">
        <v>46060</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35572-2025</t>
        </is>
      </c>
      <c r="B1470" s="1" t="n">
        <v>45856.59423611111</v>
      </c>
      <c r="C1470" s="1" t="n">
        <v>46060</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51372-2025</t>
        </is>
      </c>
      <c r="B1471" s="1" t="n">
        <v>45950.44846064815</v>
      </c>
      <c r="C1471" s="1" t="n">
        <v>46060</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35513-2025</t>
        </is>
      </c>
      <c r="B1472" s="1" t="n">
        <v>45856.36520833334</v>
      </c>
      <c r="C1472" s="1" t="n">
        <v>46060</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35506-2025</t>
        </is>
      </c>
      <c r="B1473" s="1" t="n">
        <v>45856</v>
      </c>
      <c r="C1473" s="1" t="n">
        <v>46060</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34376-2024</t>
        </is>
      </c>
      <c r="B1474" s="1" t="n">
        <v>45525</v>
      </c>
      <c r="C1474" s="1" t="n">
        <v>46060</v>
      </c>
      <c r="D1474" t="inlineStr">
        <is>
          <t>VÄSTERNORRLANDS LÄN</t>
        </is>
      </c>
      <c r="E1474" t="inlineStr">
        <is>
          <t>SOLLEFTEÅ</t>
        </is>
      </c>
      <c r="F1474" t="inlineStr">
        <is>
          <t>Övriga statliga verk och myndigheter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51321-2025</t>
        </is>
      </c>
      <c r="B1475" s="1" t="n">
        <v>45950.38615740741</v>
      </c>
      <c r="C1475" s="1" t="n">
        <v>46060</v>
      </c>
      <c r="D1475" t="inlineStr">
        <is>
          <t>VÄSTERNORRLANDS LÄN</t>
        </is>
      </c>
      <c r="E1475" t="inlineStr">
        <is>
          <t>SOLLEFTEÅ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51527-2025</t>
        </is>
      </c>
      <c r="B1476" s="1" t="n">
        <v>45950.67748842593</v>
      </c>
      <c r="C1476" s="1" t="n">
        <v>46060</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51529-2025</t>
        </is>
      </c>
      <c r="B1477" s="1" t="n">
        <v>45950.67769675926</v>
      </c>
      <c r="C1477" s="1" t="n">
        <v>46060</v>
      </c>
      <c r="D1477" t="inlineStr">
        <is>
          <t>VÄSTERNORRLANDS LÄN</t>
        </is>
      </c>
      <c r="E1477" t="inlineStr">
        <is>
          <t>SOLLEFTEÅ</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51617-2025</t>
        </is>
      </c>
      <c r="B1478" s="1" t="n">
        <v>45951.40674768519</v>
      </c>
      <c r="C1478" s="1" t="n">
        <v>46060</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9096-2023</t>
        </is>
      </c>
      <c r="B1479" s="1" t="n">
        <v>44979.94303240741</v>
      </c>
      <c r="C1479" s="1" t="n">
        <v>46060</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35703-2025</t>
        </is>
      </c>
      <c r="B1480" s="1" t="n">
        <v>45860.36497685185</v>
      </c>
      <c r="C1480" s="1" t="n">
        <v>46060</v>
      </c>
      <c r="D1480" t="inlineStr">
        <is>
          <t>VÄSTERNORRLANDS LÄN</t>
        </is>
      </c>
      <c r="E1480" t="inlineStr">
        <is>
          <t>SOLLEFTEÅ</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35704-2025</t>
        </is>
      </c>
      <c r="B1481" s="1" t="n">
        <v>45860.36518518518</v>
      </c>
      <c r="C1481" s="1" t="n">
        <v>46060</v>
      </c>
      <c r="D1481" t="inlineStr">
        <is>
          <t>VÄSTERNORRLANDS LÄN</t>
        </is>
      </c>
      <c r="E1481" t="inlineStr">
        <is>
          <t>SOLLEFTEÅ</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18220-2025</t>
        </is>
      </c>
      <c r="B1482" s="1" t="n">
        <v>45761.7190625</v>
      </c>
      <c r="C1482" s="1" t="n">
        <v>46060</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51755-2025</t>
        </is>
      </c>
      <c r="B1483" s="1" t="n">
        <v>45950</v>
      </c>
      <c r="C1483" s="1" t="n">
        <v>46060</v>
      </c>
      <c r="D1483" t="inlineStr">
        <is>
          <t>VÄSTERNORRLANDS LÄN</t>
        </is>
      </c>
      <c r="E1483" t="inlineStr">
        <is>
          <t>SOLLEFTEÅ</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51259-2025</t>
        </is>
      </c>
      <c r="B1484" s="1" t="n">
        <v>45949.44818287037</v>
      </c>
      <c r="C1484" s="1" t="n">
        <v>46060</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51521-2025</t>
        </is>
      </c>
      <c r="B1485" s="1" t="n">
        <v>45950.65715277778</v>
      </c>
      <c r="C1485" s="1" t="n">
        <v>46060</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31451-2025</t>
        </is>
      </c>
      <c r="B1486" s="1" t="n">
        <v>45833.53167824074</v>
      </c>
      <c r="C1486" s="1" t="n">
        <v>46060</v>
      </c>
      <c r="D1486" t="inlineStr">
        <is>
          <t>VÄSTERNORRLANDS LÄN</t>
        </is>
      </c>
      <c r="E1486" t="inlineStr">
        <is>
          <t>SOLLEFTEÅ</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22446-2025</t>
        </is>
      </c>
      <c r="B1487" s="1" t="n">
        <v>45786.59439814815</v>
      </c>
      <c r="C1487" s="1" t="n">
        <v>46060</v>
      </c>
      <c r="D1487" t="inlineStr">
        <is>
          <t>VÄSTERNORRLANDS LÄN</t>
        </is>
      </c>
      <c r="E1487" t="inlineStr">
        <is>
          <t>SOLLEFTEÅ</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35807-2025</t>
        </is>
      </c>
      <c r="B1488" s="1" t="n">
        <v>45861.40663194445</v>
      </c>
      <c r="C1488" s="1" t="n">
        <v>46060</v>
      </c>
      <c r="D1488" t="inlineStr">
        <is>
          <t>VÄSTERNORRLANDS LÄN</t>
        </is>
      </c>
      <c r="E1488" t="inlineStr">
        <is>
          <t>SOLLEFTEÅ</t>
        </is>
      </c>
      <c r="F1488" t="inlineStr">
        <is>
          <t>SCA</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23160-2025</t>
        </is>
      </c>
      <c r="B1489" s="1" t="n">
        <v>45791.40760416666</v>
      </c>
      <c r="C1489" s="1" t="n">
        <v>46060</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57846-2024</t>
        </is>
      </c>
      <c r="B1490" s="1" t="n">
        <v>45631.40759259259</v>
      </c>
      <c r="C1490" s="1" t="n">
        <v>46060</v>
      </c>
      <c r="D1490" t="inlineStr">
        <is>
          <t>VÄSTERNORRLANDS LÄN</t>
        </is>
      </c>
      <c r="E1490" t="inlineStr">
        <is>
          <t>SOLLEFTEÅ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10870-2024</t>
        </is>
      </c>
      <c r="B1491" s="1" t="n">
        <v>45370.02083333334</v>
      </c>
      <c r="C1491" s="1" t="n">
        <v>46060</v>
      </c>
      <c r="D1491" t="inlineStr">
        <is>
          <t>VÄSTERNORRLANDS LÄN</t>
        </is>
      </c>
      <c r="E1491" t="inlineStr">
        <is>
          <t>SOLLEFTEÅ</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20133-2025</t>
        </is>
      </c>
      <c r="B1492" s="1" t="n">
        <v>45772.51092592593</v>
      </c>
      <c r="C1492" s="1" t="n">
        <v>46060</v>
      </c>
      <c r="D1492" t="inlineStr">
        <is>
          <t>VÄSTERNORRLANDS LÄN</t>
        </is>
      </c>
      <c r="E1492" t="inlineStr">
        <is>
          <t>SOLLEFTEÅ</t>
        </is>
      </c>
      <c r="F1492" t="inlineStr">
        <is>
          <t>SCA</t>
        </is>
      </c>
      <c r="G1492" t="n">
        <v>58.2</v>
      </c>
      <c r="H1492" t="n">
        <v>0</v>
      </c>
      <c r="I1492" t="n">
        <v>0</v>
      </c>
      <c r="J1492" t="n">
        <v>0</v>
      </c>
      <c r="K1492" t="n">
        <v>0</v>
      </c>
      <c r="L1492" t="n">
        <v>0</v>
      </c>
      <c r="M1492" t="n">
        <v>0</v>
      </c>
      <c r="N1492" t="n">
        <v>0</v>
      </c>
      <c r="O1492" t="n">
        <v>0</v>
      </c>
      <c r="P1492" t="n">
        <v>0</v>
      </c>
      <c r="Q1492" t="n">
        <v>0</v>
      </c>
      <c r="R1492" s="2" t="inlineStr"/>
    </row>
    <row r="1493" ht="15" customHeight="1">
      <c r="A1493" t="inlineStr">
        <is>
          <t>A 51899-2025</t>
        </is>
      </c>
      <c r="B1493" s="1" t="n">
        <v>45952.44201388889</v>
      </c>
      <c r="C1493" s="1" t="n">
        <v>46060</v>
      </c>
      <c r="D1493" t="inlineStr">
        <is>
          <t>VÄSTERNORRLANDS LÄN</t>
        </is>
      </c>
      <c r="E1493" t="inlineStr">
        <is>
          <t>SOLLEFTEÅ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55643-2021</t>
        </is>
      </c>
      <c r="B1494" s="1" t="n">
        <v>44475</v>
      </c>
      <c r="C1494" s="1" t="n">
        <v>46060</v>
      </c>
      <c r="D1494" t="inlineStr">
        <is>
          <t>VÄSTERNORRLANDS LÄN</t>
        </is>
      </c>
      <c r="E1494" t="inlineStr">
        <is>
          <t>SOLLEFTEÅ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35924-2025</t>
        </is>
      </c>
      <c r="B1495" s="1" t="n">
        <v>45862.57326388889</v>
      </c>
      <c r="C1495" s="1" t="n">
        <v>46060</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49810-2023</t>
        </is>
      </c>
      <c r="B1496" s="1" t="n">
        <v>45212.66369212963</v>
      </c>
      <c r="C1496" s="1" t="n">
        <v>46060</v>
      </c>
      <c r="D1496" t="inlineStr">
        <is>
          <t>VÄSTERNORRLANDS LÄN</t>
        </is>
      </c>
      <c r="E1496" t="inlineStr">
        <is>
          <t>SOLLEFTEÅ</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52092-2025</t>
        </is>
      </c>
      <c r="B1497" s="1" t="n">
        <v>45952.67827546296</v>
      </c>
      <c r="C1497" s="1" t="n">
        <v>46060</v>
      </c>
      <c r="D1497" t="inlineStr">
        <is>
          <t>VÄSTERNORRLANDS LÄN</t>
        </is>
      </c>
      <c r="E1497" t="inlineStr">
        <is>
          <t>SOLLEFTEÅ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51880-2025</t>
        </is>
      </c>
      <c r="B1498" s="1" t="n">
        <v>45952.40435185185</v>
      </c>
      <c r="C1498" s="1" t="n">
        <v>46060</v>
      </c>
      <c r="D1498" t="inlineStr">
        <is>
          <t>VÄSTERNORRLANDS LÄN</t>
        </is>
      </c>
      <c r="E1498" t="inlineStr">
        <is>
          <t>SOLLEFTEÅ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52236-2025</t>
        </is>
      </c>
      <c r="B1499" s="1" t="n">
        <v>45953.45596064815</v>
      </c>
      <c r="C1499" s="1" t="n">
        <v>46060</v>
      </c>
      <c r="D1499" t="inlineStr">
        <is>
          <t>VÄSTERNORRLANDS LÄN</t>
        </is>
      </c>
      <c r="E1499" t="inlineStr">
        <is>
          <t>SOLLEFTEÅ</t>
        </is>
      </c>
      <c r="F1499" t="inlineStr">
        <is>
          <t>Holmen skog AB</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46060</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32140-2024</t>
        </is>
      </c>
      <c r="B1501" s="1" t="n">
        <v>45511.54391203704</v>
      </c>
      <c r="C1501" s="1" t="n">
        <v>46060</v>
      </c>
      <c r="D1501" t="inlineStr">
        <is>
          <t>VÄSTERNORRLANDS LÄN</t>
        </is>
      </c>
      <c r="E1501" t="inlineStr">
        <is>
          <t>SOLLEFTEÅ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29125-2025</t>
        </is>
      </c>
      <c r="B1502" s="1" t="n">
        <v>45821.59459490741</v>
      </c>
      <c r="C1502" s="1" t="n">
        <v>46060</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36135-2025</t>
        </is>
      </c>
      <c r="B1503" s="1" t="n">
        <v>45866.63594907407</v>
      </c>
      <c r="C1503" s="1" t="n">
        <v>46060</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36068-2025</t>
        </is>
      </c>
      <c r="B1504" s="1" t="n">
        <v>45866.42752314815</v>
      </c>
      <c r="C1504" s="1" t="n">
        <v>46060</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36095-2025</t>
        </is>
      </c>
      <c r="B1505" s="1" t="n">
        <v>45866.49006944444</v>
      </c>
      <c r="C1505" s="1" t="n">
        <v>46060</v>
      </c>
      <c r="D1505" t="inlineStr">
        <is>
          <t>VÄSTERNORRLANDS LÄN</t>
        </is>
      </c>
      <c r="E1505" t="inlineStr">
        <is>
          <t>SOLLEFTEÅ</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13567-2023</t>
        </is>
      </c>
      <c r="B1506" s="1" t="n">
        <v>45005</v>
      </c>
      <c r="C1506" s="1" t="n">
        <v>46060</v>
      </c>
      <c r="D1506" t="inlineStr">
        <is>
          <t>VÄSTERNORRLANDS LÄN</t>
        </is>
      </c>
      <c r="E1506" t="inlineStr">
        <is>
          <t>SOLLEFTEÅ</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13570-2023</t>
        </is>
      </c>
      <c r="B1507" s="1" t="n">
        <v>45005</v>
      </c>
      <c r="C1507" s="1" t="n">
        <v>46060</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52078-2025</t>
        </is>
      </c>
      <c r="B1508" s="1" t="n">
        <v>45952.65828703704</v>
      </c>
      <c r="C1508" s="1" t="n">
        <v>46060</v>
      </c>
      <c r="D1508" t="inlineStr">
        <is>
          <t>VÄSTERNORRLANDS LÄN</t>
        </is>
      </c>
      <c r="E1508" t="inlineStr">
        <is>
          <t>SOLLEFTEÅ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33496-2025</t>
        </is>
      </c>
      <c r="B1509" s="1" t="n">
        <v>45841</v>
      </c>
      <c r="C1509" s="1" t="n">
        <v>46060</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51870-2025</t>
        </is>
      </c>
      <c r="B1510" s="1" t="n">
        <v>45952.38590277778</v>
      </c>
      <c r="C1510" s="1" t="n">
        <v>46060</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36064-2025</t>
        </is>
      </c>
      <c r="B1511" s="1" t="n">
        <v>45866</v>
      </c>
      <c r="C1511" s="1" t="n">
        <v>46060</v>
      </c>
      <c r="D1511" t="inlineStr">
        <is>
          <t>VÄSTERNORRLANDS LÄN</t>
        </is>
      </c>
      <c r="E1511" t="inlineStr">
        <is>
          <t>SOLLEFTEÅ</t>
        </is>
      </c>
      <c r="F1511" t="inlineStr">
        <is>
          <t>SCA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56356-2023</t>
        </is>
      </c>
      <c r="B1512" s="1" t="n">
        <v>45236</v>
      </c>
      <c r="C1512" s="1" t="n">
        <v>46060</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52023-2025</t>
        </is>
      </c>
      <c r="B1513" s="1" t="n">
        <v>45952.60252314815</v>
      </c>
      <c r="C1513" s="1" t="n">
        <v>46060</v>
      </c>
      <c r="D1513" t="inlineStr">
        <is>
          <t>VÄSTERNORRLANDS LÄN</t>
        </is>
      </c>
      <c r="E1513" t="inlineStr">
        <is>
          <t>SOLLEFTEÅ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46060</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57991-2022</t>
        </is>
      </c>
      <c r="B1515" s="1" t="n">
        <v>44900.48915509259</v>
      </c>
      <c r="C1515" s="1" t="n">
        <v>46060</v>
      </c>
      <c r="D1515" t="inlineStr">
        <is>
          <t>VÄSTERNORRLANDS LÄN</t>
        </is>
      </c>
      <c r="E1515" t="inlineStr">
        <is>
          <t>SOLLEFTEÅ</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51918-2025</t>
        </is>
      </c>
      <c r="B1516" s="1" t="n">
        <v>45952.48068287037</v>
      </c>
      <c r="C1516" s="1" t="n">
        <v>46060</v>
      </c>
      <c r="D1516" t="inlineStr">
        <is>
          <t>VÄSTERNORRLANDS LÄN</t>
        </is>
      </c>
      <c r="E1516" t="inlineStr">
        <is>
          <t>SOLLEFTEÅ</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52116-2025</t>
        </is>
      </c>
      <c r="B1517" s="1" t="n">
        <v>45952</v>
      </c>
      <c r="C1517" s="1" t="n">
        <v>46060</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20184-2025</t>
        </is>
      </c>
      <c r="B1518" s="1" t="n">
        <v>45772.59458333333</v>
      </c>
      <c r="C1518" s="1" t="n">
        <v>46060</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6139-2024</t>
        </is>
      </c>
      <c r="B1519" s="1" t="n">
        <v>45337</v>
      </c>
      <c r="C1519" s="1" t="n">
        <v>46060</v>
      </c>
      <c r="D1519" t="inlineStr">
        <is>
          <t>VÄSTERNORRLANDS LÄN</t>
        </is>
      </c>
      <c r="E1519" t="inlineStr">
        <is>
          <t>SOLLEFTEÅ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5254-2024</t>
        </is>
      </c>
      <c r="B1520" s="1" t="n">
        <v>45330</v>
      </c>
      <c r="C1520" s="1" t="n">
        <v>46060</v>
      </c>
      <c r="D1520" t="inlineStr">
        <is>
          <t>VÄSTERNORRLANDS LÄN</t>
        </is>
      </c>
      <c r="E1520" t="inlineStr">
        <is>
          <t>SOLLEFTEÅ</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39504-2021</t>
        </is>
      </c>
      <c r="B1521" s="1" t="n">
        <v>44414.93480324074</v>
      </c>
      <c r="C1521" s="1" t="n">
        <v>46060</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36274-2025</t>
        </is>
      </c>
      <c r="B1522" s="1" t="n">
        <v>45867.63579861111</v>
      </c>
      <c r="C1522" s="1" t="n">
        <v>46060</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33495-2025</t>
        </is>
      </c>
      <c r="B1523" s="1" t="n">
        <v>45841</v>
      </c>
      <c r="C1523" s="1" t="n">
        <v>46060</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58578-2024</t>
        </is>
      </c>
      <c r="B1524" s="1" t="n">
        <v>45635</v>
      </c>
      <c r="C1524" s="1" t="n">
        <v>46060</v>
      </c>
      <c r="D1524" t="inlineStr">
        <is>
          <t>VÄSTERNORRLANDS LÄN</t>
        </is>
      </c>
      <c r="E1524" t="inlineStr">
        <is>
          <t>SOLLEFTEÅ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58588-2024</t>
        </is>
      </c>
      <c r="B1525" s="1" t="n">
        <v>45635.50605324074</v>
      </c>
      <c r="C1525" s="1" t="n">
        <v>46060</v>
      </c>
      <c r="D1525" t="inlineStr">
        <is>
          <t>VÄSTERNORRLANDS LÄN</t>
        </is>
      </c>
      <c r="E1525" t="inlineStr">
        <is>
          <t>SOLLEFTEÅ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12539-2023</t>
        </is>
      </c>
      <c r="B1526" s="1" t="n">
        <v>45000.01452546296</v>
      </c>
      <c r="C1526" s="1" t="n">
        <v>46060</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36224-2025</t>
        </is>
      </c>
      <c r="B1527" s="1" t="n">
        <v>45867.51116898148</v>
      </c>
      <c r="C1527" s="1" t="n">
        <v>46060</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2048-2025</t>
        </is>
      </c>
      <c r="B1528" s="1" t="n">
        <v>45671</v>
      </c>
      <c r="C1528" s="1" t="n">
        <v>46060</v>
      </c>
      <c r="D1528" t="inlineStr">
        <is>
          <t>VÄSTERNORRLANDS LÄN</t>
        </is>
      </c>
      <c r="E1528" t="inlineStr">
        <is>
          <t>SOLLEFTEÅ</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22208-2024</t>
        </is>
      </c>
      <c r="B1529" s="1" t="n">
        <v>45446.38181712963</v>
      </c>
      <c r="C1529" s="1" t="n">
        <v>46060</v>
      </c>
      <c r="D1529" t="inlineStr">
        <is>
          <t>VÄSTERNORRLANDS LÄN</t>
        </is>
      </c>
      <c r="E1529" t="inlineStr">
        <is>
          <t>SOLLEFTEÅ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29860-2025</t>
        </is>
      </c>
      <c r="B1530" s="1" t="n">
        <v>45826.34638888889</v>
      </c>
      <c r="C1530" s="1" t="n">
        <v>46060</v>
      </c>
      <c r="D1530" t="inlineStr">
        <is>
          <t>VÄSTERNORRLANDS LÄN</t>
        </is>
      </c>
      <c r="E1530" t="inlineStr">
        <is>
          <t>SOLLEFTEÅ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36300-2025</t>
        </is>
      </c>
      <c r="B1531" s="1" t="n">
        <v>45867.6984375</v>
      </c>
      <c r="C1531" s="1" t="n">
        <v>46060</v>
      </c>
      <c r="D1531" t="inlineStr">
        <is>
          <t>VÄSTERNORRLANDS LÄN</t>
        </is>
      </c>
      <c r="E1531" t="inlineStr">
        <is>
          <t>SOLLEFTEÅ</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36063-2025</t>
        </is>
      </c>
      <c r="B1532" s="1" t="n">
        <v>45866</v>
      </c>
      <c r="C1532" s="1" t="n">
        <v>46060</v>
      </c>
      <c r="D1532" t="inlineStr">
        <is>
          <t>VÄSTERNORRLANDS LÄN</t>
        </is>
      </c>
      <c r="E1532" t="inlineStr">
        <is>
          <t>SOLLEFTEÅ</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4253-2025</t>
        </is>
      </c>
      <c r="B1533" s="1" t="n">
        <v>45685.61232638889</v>
      </c>
      <c r="C1533" s="1" t="n">
        <v>46060</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36373-2025</t>
        </is>
      </c>
      <c r="B1534" s="1" t="n">
        <v>45868.55256944444</v>
      </c>
      <c r="C1534" s="1" t="n">
        <v>46060</v>
      </c>
      <c r="D1534" t="inlineStr">
        <is>
          <t>VÄSTERNORRLANDS LÄN</t>
        </is>
      </c>
      <c r="E1534" t="inlineStr">
        <is>
          <t>SOLLEFTEÅ</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36432-2025</t>
        </is>
      </c>
      <c r="B1535" s="1" t="n">
        <v>45869.36505787037</v>
      </c>
      <c r="C1535" s="1" t="n">
        <v>46060</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52011-2025</t>
        </is>
      </c>
      <c r="B1536" s="1" t="n">
        <v>45952.59517361111</v>
      </c>
      <c r="C1536" s="1" t="n">
        <v>46060</v>
      </c>
      <c r="D1536" t="inlineStr">
        <is>
          <t>VÄSTERNORRLANDS LÄN</t>
        </is>
      </c>
      <c r="E1536" t="inlineStr">
        <is>
          <t>SOLLEFTEÅ</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36545-2025</t>
        </is>
      </c>
      <c r="B1537" s="1" t="n">
        <v>45869.67761574074</v>
      </c>
      <c r="C1537" s="1" t="n">
        <v>46060</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3194-2025</t>
        </is>
      </c>
      <c r="B1538" s="1" t="n">
        <v>45679.42130787037</v>
      </c>
      <c r="C1538" s="1" t="n">
        <v>46060</v>
      </c>
      <c r="D1538" t="inlineStr">
        <is>
          <t>VÄSTERNORRLANDS LÄN</t>
        </is>
      </c>
      <c r="E1538" t="inlineStr">
        <is>
          <t>SOLLEFTEÅ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59474-2024</t>
        </is>
      </c>
      <c r="B1539" s="1" t="n">
        <v>45638.504375</v>
      </c>
      <c r="C1539" s="1" t="n">
        <v>46060</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36324-2025</t>
        </is>
      </c>
      <c r="B1540" s="1" t="n">
        <v>45868.40707175926</v>
      </c>
      <c r="C1540" s="1" t="n">
        <v>46060</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36312-2025</t>
        </is>
      </c>
      <c r="B1541" s="1" t="n">
        <v>45868.34444444445</v>
      </c>
      <c r="C1541" s="1" t="n">
        <v>46060</v>
      </c>
      <c r="D1541" t="inlineStr">
        <is>
          <t>VÄSTERNORRLANDS LÄN</t>
        </is>
      </c>
      <c r="E1541" t="inlineStr">
        <is>
          <t>SOLLEFTEÅ</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11026-2025</t>
        </is>
      </c>
      <c r="B1542" s="1" t="n">
        <v>45723.46961805555</v>
      </c>
      <c r="C1542" s="1" t="n">
        <v>46060</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52765-2025</t>
        </is>
      </c>
      <c r="B1543" s="1" t="n">
        <v>45957</v>
      </c>
      <c r="C1543" s="1" t="n">
        <v>46060</v>
      </c>
      <c r="D1543" t="inlineStr">
        <is>
          <t>VÄSTERNORRLANDS LÄN</t>
        </is>
      </c>
      <c r="E1543" t="inlineStr">
        <is>
          <t>SOLLEFTEÅ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52767-2025</t>
        </is>
      </c>
      <c r="B1544" s="1" t="n">
        <v>45957.40163194444</v>
      </c>
      <c r="C1544" s="1" t="n">
        <v>46060</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36313-2025</t>
        </is>
      </c>
      <c r="B1545" s="1" t="n">
        <v>45868.34456018519</v>
      </c>
      <c r="C1545" s="1" t="n">
        <v>46060</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52974-2025</t>
        </is>
      </c>
      <c r="B1546" s="1" t="n">
        <v>45957.67858796296</v>
      </c>
      <c r="C1546" s="1" t="n">
        <v>46060</v>
      </c>
      <c r="D1546" t="inlineStr">
        <is>
          <t>VÄSTERNORRLANDS LÄN</t>
        </is>
      </c>
      <c r="E1546" t="inlineStr">
        <is>
          <t>SOLLEFTEÅ</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52393-2025</t>
        </is>
      </c>
      <c r="B1547" s="1" t="n">
        <v>45954.34443287037</v>
      </c>
      <c r="C1547" s="1" t="n">
        <v>46060</v>
      </c>
      <c r="D1547" t="inlineStr">
        <is>
          <t>VÄSTERNORRLANDS LÄN</t>
        </is>
      </c>
      <c r="E1547" t="inlineStr">
        <is>
          <t>SOLLEFTEÅ</t>
        </is>
      </c>
      <c r="F1547" t="inlineStr">
        <is>
          <t>SCA</t>
        </is>
      </c>
      <c r="G1547" t="n">
        <v>29.1</v>
      </c>
      <c r="H1547" t="n">
        <v>0</v>
      </c>
      <c r="I1547" t="n">
        <v>0</v>
      </c>
      <c r="J1547" t="n">
        <v>0</v>
      </c>
      <c r="K1547" t="n">
        <v>0</v>
      </c>
      <c r="L1547" t="n">
        <v>0</v>
      </c>
      <c r="M1547" t="n">
        <v>0</v>
      </c>
      <c r="N1547" t="n">
        <v>0</v>
      </c>
      <c r="O1547" t="n">
        <v>0</v>
      </c>
      <c r="P1547" t="n">
        <v>0</v>
      </c>
      <c r="Q1547" t="n">
        <v>0</v>
      </c>
      <c r="R1547" s="2" t="inlineStr"/>
    </row>
    <row r="1548" ht="15" customHeight="1">
      <c r="A1548" t="inlineStr">
        <is>
          <t>A 52780-2025</t>
        </is>
      </c>
      <c r="B1548" s="1" t="n">
        <v>45957.42261574074</v>
      </c>
      <c r="C1548" s="1" t="n">
        <v>46060</v>
      </c>
      <c r="D1548" t="inlineStr">
        <is>
          <t>VÄSTERNORRLANDS LÄN</t>
        </is>
      </c>
      <c r="E1548" t="inlineStr">
        <is>
          <t>SOLLEFTEÅ</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46060</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46060</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36571-2025</t>
        </is>
      </c>
      <c r="B1551" s="1" t="n">
        <v>45870.38778935185</v>
      </c>
      <c r="C1551" s="1" t="n">
        <v>46060</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52665-2025</t>
        </is>
      </c>
      <c r="B1552" s="1" t="n">
        <v>45955.65716435185</v>
      </c>
      <c r="C1552" s="1" t="n">
        <v>46060</v>
      </c>
      <c r="D1552" t="inlineStr">
        <is>
          <t>VÄSTERNORRLANDS LÄN</t>
        </is>
      </c>
      <c r="E1552" t="inlineStr">
        <is>
          <t>SOLLEFTEÅ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46060</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62100-2023</t>
        </is>
      </c>
      <c r="B1554" s="1" t="n">
        <v>45266.92689814815</v>
      </c>
      <c r="C1554" s="1" t="n">
        <v>46060</v>
      </c>
      <c r="D1554" t="inlineStr">
        <is>
          <t>VÄSTERNORRLANDS LÄN</t>
        </is>
      </c>
      <c r="E1554" t="inlineStr">
        <is>
          <t>SOLLEFTEÅ</t>
        </is>
      </c>
      <c r="G1554" t="n">
        <v>16.6</v>
      </c>
      <c r="H1554" t="n">
        <v>0</v>
      </c>
      <c r="I1554" t="n">
        <v>0</v>
      </c>
      <c r="J1554" t="n">
        <v>0</v>
      </c>
      <c r="K1554" t="n">
        <v>0</v>
      </c>
      <c r="L1554" t="n">
        <v>0</v>
      </c>
      <c r="M1554" t="n">
        <v>0</v>
      </c>
      <c r="N1554" t="n">
        <v>0</v>
      </c>
      <c r="O1554" t="n">
        <v>0</v>
      </c>
      <c r="P1554" t="n">
        <v>0</v>
      </c>
      <c r="Q1554" t="n">
        <v>0</v>
      </c>
      <c r="R1554" s="2" t="inlineStr"/>
    </row>
    <row r="1555" ht="15" customHeight="1">
      <c r="A1555" t="inlineStr">
        <is>
          <t>A 14252-2025</t>
        </is>
      </c>
      <c r="B1555" s="1" t="n">
        <v>45740.61601851852</v>
      </c>
      <c r="C1555" s="1" t="n">
        <v>46060</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36567-2025</t>
        </is>
      </c>
      <c r="B1556" s="1" t="n">
        <v>45870.38320601852</v>
      </c>
      <c r="C1556" s="1" t="n">
        <v>46060</v>
      </c>
      <c r="D1556" t="inlineStr">
        <is>
          <t>VÄSTERNORRLANDS LÄN</t>
        </is>
      </c>
      <c r="E1556" t="inlineStr">
        <is>
          <t>SOLLEFTEÅ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46060</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52483-2025</t>
        </is>
      </c>
      <c r="B1558" s="1" t="n">
        <v>45954.47412037037</v>
      </c>
      <c r="C1558" s="1" t="n">
        <v>46060</v>
      </c>
      <c r="D1558" t="inlineStr">
        <is>
          <t>VÄSTERNORRLANDS LÄN</t>
        </is>
      </c>
      <c r="E1558" t="inlineStr">
        <is>
          <t>SOLLEFTEÅ</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21089-2025</t>
        </is>
      </c>
      <c r="B1559" s="1" t="n">
        <v>45777</v>
      </c>
      <c r="C1559" s="1" t="n">
        <v>46060</v>
      </c>
      <c r="D1559" t="inlineStr">
        <is>
          <t>VÄSTERNORRLANDS LÄN</t>
        </is>
      </c>
      <c r="E1559" t="inlineStr">
        <is>
          <t>SOLLEFTEÅ</t>
        </is>
      </c>
      <c r="F1559" t="inlineStr">
        <is>
          <t>SCA</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52499-2025</t>
        </is>
      </c>
      <c r="B1560" s="1" t="n">
        <v>45954.49407407407</v>
      </c>
      <c r="C1560" s="1" t="n">
        <v>46060</v>
      </c>
      <c r="D1560" t="inlineStr">
        <is>
          <t>VÄSTERNORRLANDS LÄN</t>
        </is>
      </c>
      <c r="E1560" t="inlineStr">
        <is>
          <t>SOLLEFTEÅ</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56408-2024</t>
        </is>
      </c>
      <c r="B1561" s="1" t="n">
        <v>45625</v>
      </c>
      <c r="C1561" s="1" t="n">
        <v>46060</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52739-2025</t>
        </is>
      </c>
      <c r="B1562" s="1" t="n">
        <v>45957.37555555555</v>
      </c>
      <c r="C1562" s="1" t="n">
        <v>46060</v>
      </c>
      <c r="D1562" t="inlineStr">
        <is>
          <t>VÄSTERNORRLANDS LÄN</t>
        </is>
      </c>
      <c r="E1562" t="inlineStr">
        <is>
          <t>SOLLEFTEÅ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18951-2025</t>
        </is>
      </c>
      <c r="B1563" s="1" t="n">
        <v>45764.51086805556</v>
      </c>
      <c r="C1563" s="1" t="n">
        <v>46060</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49160-2021</t>
        </is>
      </c>
      <c r="B1564" s="1" t="n">
        <v>44453.94021990741</v>
      </c>
      <c r="C1564" s="1" t="n">
        <v>46060</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53030-2025</t>
        </is>
      </c>
      <c r="B1565" s="1" t="n">
        <v>45958.34442129629</v>
      </c>
      <c r="C1565" s="1" t="n">
        <v>46060</v>
      </c>
      <c r="D1565" t="inlineStr">
        <is>
          <t>VÄSTERNORRLANDS LÄN</t>
        </is>
      </c>
      <c r="E1565" t="inlineStr">
        <is>
          <t>SOLLEFTEÅ</t>
        </is>
      </c>
      <c r="F1565" t="inlineStr">
        <is>
          <t>SCA</t>
        </is>
      </c>
      <c r="G1565" t="n">
        <v>11.7</v>
      </c>
      <c r="H1565" t="n">
        <v>0</v>
      </c>
      <c r="I1565" t="n">
        <v>0</v>
      </c>
      <c r="J1565" t="n">
        <v>0</v>
      </c>
      <c r="K1565" t="n">
        <v>0</v>
      </c>
      <c r="L1565" t="n">
        <v>0</v>
      </c>
      <c r="M1565" t="n">
        <v>0</v>
      </c>
      <c r="N1565" t="n">
        <v>0</v>
      </c>
      <c r="O1565" t="n">
        <v>0</v>
      </c>
      <c r="P1565" t="n">
        <v>0</v>
      </c>
      <c r="Q1565" t="n">
        <v>0</v>
      </c>
      <c r="R1565" s="2" t="inlineStr"/>
    </row>
    <row r="1566" ht="15" customHeight="1">
      <c r="A1566" t="inlineStr">
        <is>
          <t>A 53468-2025</t>
        </is>
      </c>
      <c r="B1566" s="1" t="n">
        <v>45959.69859953703</v>
      </c>
      <c r="C1566" s="1" t="n">
        <v>46060</v>
      </c>
      <c r="D1566" t="inlineStr">
        <is>
          <t>VÄSTERNORRLANDS LÄN</t>
        </is>
      </c>
      <c r="E1566" t="inlineStr">
        <is>
          <t>SOLLEFTEÅ</t>
        </is>
      </c>
      <c r="F1566" t="inlineStr">
        <is>
          <t>SCA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7234-2024</t>
        </is>
      </c>
      <c r="B1567" s="1" t="n">
        <v>45344.65627314815</v>
      </c>
      <c r="C1567" s="1" t="n">
        <v>46060</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53428-2025</t>
        </is>
      </c>
      <c r="B1568" s="1" t="n">
        <v>45959.61526620371</v>
      </c>
      <c r="C1568" s="1" t="n">
        <v>46060</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25131-2024</t>
        </is>
      </c>
      <c r="B1569" s="1" t="n">
        <v>45462.46725694444</v>
      </c>
      <c r="C1569" s="1" t="n">
        <v>46060</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17034-2025</t>
        </is>
      </c>
      <c r="B1570" s="1" t="n">
        <v>45755.57385416667</v>
      </c>
      <c r="C1570" s="1" t="n">
        <v>46060</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22205-2025</t>
        </is>
      </c>
      <c r="B1571" s="1" t="n">
        <v>45785.65686342592</v>
      </c>
      <c r="C1571" s="1" t="n">
        <v>46060</v>
      </c>
      <c r="D1571" t="inlineStr">
        <is>
          <t>VÄSTERNORRLANDS LÄN</t>
        </is>
      </c>
      <c r="E1571" t="inlineStr">
        <is>
          <t>SOLLEFTEÅ</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53240-2025</t>
        </is>
      </c>
      <c r="B1572" s="1" t="n">
        <v>45958.63600694444</v>
      </c>
      <c r="C1572" s="1" t="n">
        <v>46060</v>
      </c>
      <c r="D1572" t="inlineStr">
        <is>
          <t>VÄSTERNORRLANDS LÄN</t>
        </is>
      </c>
      <c r="E1572" t="inlineStr">
        <is>
          <t>SOLLEFTEÅ</t>
        </is>
      </c>
      <c r="F1572" t="inlineStr">
        <is>
          <t>SCA</t>
        </is>
      </c>
      <c r="G1572" t="n">
        <v>36.2</v>
      </c>
      <c r="H1572" t="n">
        <v>0</v>
      </c>
      <c r="I1572" t="n">
        <v>0</v>
      </c>
      <c r="J1572" t="n">
        <v>0</v>
      </c>
      <c r="K1572" t="n">
        <v>0</v>
      </c>
      <c r="L1572" t="n">
        <v>0</v>
      </c>
      <c r="M1572" t="n">
        <v>0</v>
      </c>
      <c r="N1572" t="n">
        <v>0</v>
      </c>
      <c r="O1572" t="n">
        <v>0</v>
      </c>
      <c r="P1572" t="n">
        <v>0</v>
      </c>
      <c r="Q1572" t="n">
        <v>0</v>
      </c>
      <c r="R1572" s="2" t="inlineStr"/>
    </row>
    <row r="1573" ht="15" customHeight="1">
      <c r="A1573" t="inlineStr">
        <is>
          <t>A 22390-2025</t>
        </is>
      </c>
      <c r="B1573" s="1" t="n">
        <v>45786.51107638889</v>
      </c>
      <c r="C1573" s="1" t="n">
        <v>46060</v>
      </c>
      <c r="D1573" t="inlineStr">
        <is>
          <t>VÄSTERNORRLANDS LÄN</t>
        </is>
      </c>
      <c r="E1573" t="inlineStr">
        <is>
          <t>SOLLEFTEÅ</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36967-2025</t>
        </is>
      </c>
      <c r="B1574" s="1" t="n">
        <v>45874.63642361111</v>
      </c>
      <c r="C1574" s="1" t="n">
        <v>46060</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37018-2025</t>
        </is>
      </c>
      <c r="B1575" s="1" t="n">
        <v>45874</v>
      </c>
      <c r="C1575" s="1" t="n">
        <v>46060</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37053-2025</t>
        </is>
      </c>
      <c r="B1576" s="1" t="n">
        <v>45875.36493055556</v>
      </c>
      <c r="C1576" s="1" t="n">
        <v>46060</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36850-2025</t>
        </is>
      </c>
      <c r="B1577" s="1" t="n">
        <v>45874.39098379629</v>
      </c>
      <c r="C1577" s="1" t="n">
        <v>46060</v>
      </c>
      <c r="D1577" t="inlineStr">
        <is>
          <t>VÄSTERNORRLANDS LÄN</t>
        </is>
      </c>
      <c r="E1577" t="inlineStr">
        <is>
          <t>SOLLEFTEÅ</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37065-2025</t>
        </is>
      </c>
      <c r="B1578" s="1" t="n">
        <v>45875.38619212963</v>
      </c>
      <c r="C1578" s="1" t="n">
        <v>46060</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28749-2023</t>
        </is>
      </c>
      <c r="B1579" s="1" t="n">
        <v>45103</v>
      </c>
      <c r="C1579" s="1" t="n">
        <v>46060</v>
      </c>
      <c r="D1579" t="inlineStr">
        <is>
          <t>VÄSTERNORRLANDS LÄN</t>
        </is>
      </c>
      <c r="E1579" t="inlineStr">
        <is>
          <t>SOLLEFTEÅ</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36968-2025</t>
        </is>
      </c>
      <c r="B1580" s="1" t="n">
        <v>45874.63667824074</v>
      </c>
      <c r="C1580" s="1" t="n">
        <v>46060</v>
      </c>
      <c r="D1580" t="inlineStr">
        <is>
          <t>VÄSTERNORRLANDS LÄN</t>
        </is>
      </c>
      <c r="E1580" t="inlineStr">
        <is>
          <t>SOLLEFTEÅ</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37084-2025</t>
        </is>
      </c>
      <c r="B1581" s="1" t="n">
        <v>45875.44826388889</v>
      </c>
      <c r="C1581" s="1" t="n">
        <v>46060</v>
      </c>
      <c r="D1581" t="inlineStr">
        <is>
          <t>VÄSTERNORRLANDS LÄN</t>
        </is>
      </c>
      <c r="E1581" t="inlineStr">
        <is>
          <t>SOLLEFTEÅ</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43177-2023</t>
        </is>
      </c>
      <c r="B1582" s="1" t="n">
        <v>45181</v>
      </c>
      <c r="C1582" s="1" t="n">
        <v>46060</v>
      </c>
      <c r="D1582" t="inlineStr">
        <is>
          <t>VÄSTERNORRLANDS LÄN</t>
        </is>
      </c>
      <c r="E1582" t="inlineStr">
        <is>
          <t>SOLLEFTEÅ</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36928-2025</t>
        </is>
      </c>
      <c r="B1583" s="1" t="n">
        <v>45874.55299768518</v>
      </c>
      <c r="C1583" s="1" t="n">
        <v>46060</v>
      </c>
      <c r="D1583" t="inlineStr">
        <is>
          <t>VÄSTERNORRLANDS LÄN</t>
        </is>
      </c>
      <c r="E1583" t="inlineStr">
        <is>
          <t>SOLLEFTEÅ</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36966-2025</t>
        </is>
      </c>
      <c r="B1584" s="1" t="n">
        <v>45874.63614583333</v>
      </c>
      <c r="C1584" s="1" t="n">
        <v>46060</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2185-2025</t>
        </is>
      </c>
      <c r="B1585" s="1" t="n">
        <v>45673</v>
      </c>
      <c r="C1585" s="1" t="n">
        <v>46060</v>
      </c>
      <c r="D1585" t="inlineStr">
        <is>
          <t>VÄSTERNORRLANDS LÄN</t>
        </is>
      </c>
      <c r="E1585" t="inlineStr">
        <is>
          <t>SOLLEFTEÅ</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37019-2025</t>
        </is>
      </c>
      <c r="B1586" s="1" t="n">
        <v>45874</v>
      </c>
      <c r="C1586" s="1" t="n">
        <v>46060</v>
      </c>
      <c r="D1586" t="inlineStr">
        <is>
          <t>VÄSTERNORRLANDS LÄN</t>
        </is>
      </c>
      <c r="E1586" t="inlineStr">
        <is>
          <t>SOLLEFTEÅ</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37073-2025</t>
        </is>
      </c>
      <c r="B1587" s="1" t="n">
        <v>45875.40703703704</v>
      </c>
      <c r="C1587" s="1" t="n">
        <v>46060</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36927-2025</t>
        </is>
      </c>
      <c r="B1588" s="1" t="n">
        <v>45874.55273148148</v>
      </c>
      <c r="C1588" s="1" t="n">
        <v>46060</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14274-2025</t>
        </is>
      </c>
      <c r="B1589" s="1" t="n">
        <v>45740.64412037037</v>
      </c>
      <c r="C1589" s="1" t="n">
        <v>46060</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37278-2025</t>
        </is>
      </c>
      <c r="B1590" s="1" t="n">
        <v>45876.490625</v>
      </c>
      <c r="C1590" s="1" t="n">
        <v>46060</v>
      </c>
      <c r="D1590" t="inlineStr">
        <is>
          <t>VÄSTERNORRLANDS LÄN</t>
        </is>
      </c>
      <c r="E1590" t="inlineStr">
        <is>
          <t>SOLLEFTEÅ</t>
        </is>
      </c>
      <c r="F1590" t="inlineStr">
        <is>
          <t>SCA</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30069-2024</t>
        </is>
      </c>
      <c r="B1591" s="1" t="n">
        <v>45488.9489699074</v>
      </c>
      <c r="C1591" s="1" t="n">
        <v>46060</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19295-2022</t>
        </is>
      </c>
      <c r="B1592" s="1" t="n">
        <v>44692</v>
      </c>
      <c r="C1592" s="1" t="n">
        <v>46060</v>
      </c>
      <c r="D1592" t="inlineStr">
        <is>
          <t>VÄSTERNORRLANDS LÄN</t>
        </is>
      </c>
      <c r="E1592" t="inlineStr">
        <is>
          <t>SOLLEFTEÅ</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16253-2024</t>
        </is>
      </c>
      <c r="B1593" s="1" t="n">
        <v>45407.0587962963</v>
      </c>
      <c r="C1593" s="1" t="n">
        <v>46060</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53097-2025</t>
        </is>
      </c>
      <c r="B1594" s="1" t="n">
        <v>45958.42767361111</v>
      </c>
      <c r="C1594" s="1" t="n">
        <v>46060</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53098-2025</t>
        </is>
      </c>
      <c r="B1595" s="1" t="n">
        <v>45958.42774305555</v>
      </c>
      <c r="C1595" s="1" t="n">
        <v>46060</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61081-2023</t>
        </is>
      </c>
      <c r="B1596" s="1" t="n">
        <v>45261</v>
      </c>
      <c r="C1596" s="1" t="n">
        <v>46060</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53269-2025</t>
        </is>
      </c>
      <c r="B1597" s="1" t="n">
        <v>45958.6985300926</v>
      </c>
      <c r="C1597" s="1" t="n">
        <v>46060</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53055-2025</t>
        </is>
      </c>
      <c r="B1598" s="1" t="n">
        <v>45958.36517361111</v>
      </c>
      <c r="C1598" s="1" t="n">
        <v>46060</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25364-2024</t>
        </is>
      </c>
      <c r="B1599" s="1" t="n">
        <v>45462.95849537037</v>
      </c>
      <c r="C1599" s="1" t="n">
        <v>46060</v>
      </c>
      <c r="D1599" t="inlineStr">
        <is>
          <t>VÄSTERNORRLANDS LÄN</t>
        </is>
      </c>
      <c r="E1599" t="inlineStr">
        <is>
          <t>SOLLEFTEÅ</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26962-2024</t>
        </is>
      </c>
      <c r="B1600" s="1" t="n">
        <v>45470.9716087963</v>
      </c>
      <c r="C1600" s="1" t="n">
        <v>46060</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33743-2025</t>
        </is>
      </c>
      <c r="B1601" s="1" t="n">
        <v>45842.34496527778</v>
      </c>
      <c r="C1601" s="1" t="n">
        <v>46060</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40655-2024</t>
        </is>
      </c>
      <c r="B1602" s="1" t="n">
        <v>45558.34414351852</v>
      </c>
      <c r="C1602" s="1" t="n">
        <v>46060</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49789-2025</t>
        </is>
      </c>
      <c r="B1603" s="1" t="n">
        <v>45940</v>
      </c>
      <c r="C1603" s="1" t="n">
        <v>46060</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37304-2025</t>
        </is>
      </c>
      <c r="B1604" s="1" t="n">
        <v>45876.59458333333</v>
      </c>
      <c r="C1604" s="1" t="n">
        <v>46060</v>
      </c>
      <c r="D1604" t="inlineStr">
        <is>
          <t>VÄSTERNORRLANDS LÄN</t>
        </is>
      </c>
      <c r="E1604" t="inlineStr">
        <is>
          <t>SOLLEFTEÅ</t>
        </is>
      </c>
      <c r="F1604" t="inlineStr">
        <is>
          <t>SCA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53974-2025</t>
        </is>
      </c>
      <c r="B1605" s="1" t="n">
        <v>45961.55261574074</v>
      </c>
      <c r="C1605" s="1" t="n">
        <v>46060</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38054-2024</t>
        </is>
      </c>
      <c r="B1606" s="1" t="n">
        <v>45544.71916666667</v>
      </c>
      <c r="C1606" s="1" t="n">
        <v>46060</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49249-2025</t>
        </is>
      </c>
      <c r="B1607" s="1" t="n">
        <v>45938</v>
      </c>
      <c r="C1607" s="1" t="n">
        <v>46060</v>
      </c>
      <c r="D1607" t="inlineStr">
        <is>
          <t>VÄSTERNORRLANDS LÄN</t>
        </is>
      </c>
      <c r="E1607" t="inlineStr">
        <is>
          <t>SOLLEFTEÅ</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37242-2025</t>
        </is>
      </c>
      <c r="B1608" s="1" t="n">
        <v>45876.38614583333</v>
      </c>
      <c r="C1608" s="1" t="n">
        <v>46060</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37325-2025</t>
        </is>
      </c>
      <c r="B1609" s="1" t="n">
        <v>45876.63581018519</v>
      </c>
      <c r="C1609" s="1" t="n">
        <v>46060</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50674-2023</t>
        </is>
      </c>
      <c r="B1610" s="1" t="n">
        <v>45210</v>
      </c>
      <c r="C1610" s="1" t="n">
        <v>46060</v>
      </c>
      <c r="D1610" t="inlineStr">
        <is>
          <t>VÄSTERNORRLANDS LÄN</t>
        </is>
      </c>
      <c r="E1610" t="inlineStr">
        <is>
          <t>SOLLEFTEÅ</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53639-2025</t>
        </is>
      </c>
      <c r="B1611" s="1" t="n">
        <v>45960</v>
      </c>
      <c r="C1611" s="1" t="n">
        <v>46060</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218-2025</t>
        </is>
      </c>
      <c r="B1612" s="1" t="n">
        <v>45660</v>
      </c>
      <c r="C1612" s="1" t="n">
        <v>46060</v>
      </c>
      <c r="D1612" t="inlineStr">
        <is>
          <t>VÄSTERNORRLANDS LÄN</t>
        </is>
      </c>
      <c r="E1612" t="inlineStr">
        <is>
          <t>SOLLEFTEÅ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53530-2025</t>
        </is>
      </c>
      <c r="B1613" s="1" t="n">
        <v>45960.36521990741</v>
      </c>
      <c r="C1613" s="1" t="n">
        <v>46060</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53550-2025</t>
        </is>
      </c>
      <c r="B1614" s="1" t="n">
        <v>45960.38583333333</v>
      </c>
      <c r="C1614" s="1" t="n">
        <v>46060</v>
      </c>
      <c r="D1614" t="inlineStr">
        <is>
          <t>VÄSTERNORRLANDS LÄN</t>
        </is>
      </c>
      <c r="E1614" t="inlineStr">
        <is>
          <t>SOLLEFTEÅ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37581-2025</t>
        </is>
      </c>
      <c r="B1615" s="1" t="n">
        <v>45880.38623842593</v>
      </c>
      <c r="C1615" s="1" t="n">
        <v>46060</v>
      </c>
      <c r="D1615" t="inlineStr">
        <is>
          <t>VÄSTERNORRLANDS LÄN</t>
        </is>
      </c>
      <c r="E1615" t="inlineStr">
        <is>
          <t>SOLLEFTEÅ</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53833-2025</t>
        </is>
      </c>
      <c r="B1616" s="1" t="n">
        <v>45961.34518518519</v>
      </c>
      <c r="C1616" s="1" t="n">
        <v>46060</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53896-2025</t>
        </is>
      </c>
      <c r="B1617" s="1" t="n">
        <v>45961.42748842593</v>
      </c>
      <c r="C1617" s="1" t="n">
        <v>46060</v>
      </c>
      <c r="D1617" t="inlineStr">
        <is>
          <t>VÄSTERNORRLANDS LÄN</t>
        </is>
      </c>
      <c r="E1617" t="inlineStr">
        <is>
          <t>SOLLEFTEÅ</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37607-2025</t>
        </is>
      </c>
      <c r="B1618" s="1" t="n">
        <v>45880</v>
      </c>
      <c r="C1618" s="1" t="n">
        <v>46060</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49791-2025</t>
        </is>
      </c>
      <c r="B1619" s="1" t="n">
        <v>45940</v>
      </c>
      <c r="C1619" s="1" t="n">
        <v>46060</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21344-2023</t>
        </is>
      </c>
      <c r="B1620" s="1" t="n">
        <v>45062</v>
      </c>
      <c r="C1620" s="1" t="n">
        <v>46060</v>
      </c>
      <c r="D1620" t="inlineStr">
        <is>
          <t>VÄSTERNORRLANDS LÄN</t>
        </is>
      </c>
      <c r="E1620" t="inlineStr">
        <is>
          <t>SOLLEFTEÅ</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53867-2025</t>
        </is>
      </c>
      <c r="B1621" s="1" t="n">
        <v>45961.38581018519</v>
      </c>
      <c r="C1621" s="1" t="n">
        <v>46060</v>
      </c>
      <c r="D1621" t="inlineStr">
        <is>
          <t>VÄSTERNORRLANDS LÄN</t>
        </is>
      </c>
      <c r="E1621" t="inlineStr">
        <is>
          <t>SOLLEFTEÅ</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54193-2025</t>
        </is>
      </c>
      <c r="B1622" s="1" t="n">
        <v>45964.57373842593</v>
      </c>
      <c r="C1622" s="1" t="n">
        <v>46060</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54194-2025</t>
        </is>
      </c>
      <c r="B1623" s="1" t="n">
        <v>45964.57395833333</v>
      </c>
      <c r="C1623" s="1" t="n">
        <v>46060</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54271-2025</t>
        </is>
      </c>
      <c r="B1624" s="1" t="n">
        <v>45964.67839120371</v>
      </c>
      <c r="C1624" s="1" t="n">
        <v>46060</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54471-2025</t>
        </is>
      </c>
      <c r="B1625" s="1" t="n">
        <v>45965.57357638889</v>
      </c>
      <c r="C1625" s="1" t="n">
        <v>46060</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3095-2025</t>
        </is>
      </c>
      <c r="B1626" s="1" t="n">
        <v>45678.66633101852</v>
      </c>
      <c r="C1626" s="1" t="n">
        <v>46060</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54397-2025</t>
        </is>
      </c>
      <c r="B1627" s="1" t="n">
        <v>45965.44869212963</v>
      </c>
      <c r="C1627" s="1" t="n">
        <v>46060</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53466-2025</t>
        </is>
      </c>
      <c r="B1628" s="1" t="n">
        <v>45959</v>
      </c>
      <c r="C1628" s="1" t="n">
        <v>46060</v>
      </c>
      <c r="D1628" t="inlineStr">
        <is>
          <t>VÄSTERNORRLANDS LÄN</t>
        </is>
      </c>
      <c r="E1628" t="inlineStr">
        <is>
          <t>SOLLEFTEÅ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18648-2024</t>
        </is>
      </c>
      <c r="B1629" s="1" t="n">
        <v>45425.9678125</v>
      </c>
      <c r="C1629" s="1" t="n">
        <v>46060</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54165-2025</t>
        </is>
      </c>
      <c r="B1630" s="1" t="n">
        <v>45964</v>
      </c>
      <c r="C1630" s="1" t="n">
        <v>46060</v>
      </c>
      <c r="D1630" t="inlineStr">
        <is>
          <t>VÄSTERNORRLANDS LÄN</t>
        </is>
      </c>
      <c r="E1630" t="inlineStr">
        <is>
          <t>SOLLEFTEÅ</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3323-2025</t>
        </is>
      </c>
      <c r="B1631" s="1" t="n">
        <v>45679.69921296297</v>
      </c>
      <c r="C1631" s="1" t="n">
        <v>46060</v>
      </c>
      <c r="D1631" t="inlineStr">
        <is>
          <t>VÄSTERNORRLANDS LÄN</t>
        </is>
      </c>
      <c r="E1631" t="inlineStr">
        <is>
          <t>SOLLEFTEÅ</t>
        </is>
      </c>
      <c r="F1631" t="inlineStr">
        <is>
          <t>SCA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17173-2024</t>
        </is>
      </c>
      <c r="B1632" s="1" t="n">
        <v>45412.97866898148</v>
      </c>
      <c r="C1632" s="1" t="n">
        <v>46060</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54486-2025</t>
        </is>
      </c>
      <c r="B1633" s="1" t="n">
        <v>45965.59438657408</v>
      </c>
      <c r="C1633" s="1" t="n">
        <v>46060</v>
      </c>
      <c r="D1633" t="inlineStr">
        <is>
          <t>VÄSTERNORRLANDS LÄN</t>
        </is>
      </c>
      <c r="E1633" t="inlineStr">
        <is>
          <t>SOLLEFTEÅ</t>
        </is>
      </c>
      <c r="F1633" t="inlineStr">
        <is>
          <t>SCA</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54487-2025</t>
        </is>
      </c>
      <c r="B1634" s="1" t="n">
        <v>45965.59460648148</v>
      </c>
      <c r="C1634" s="1" t="n">
        <v>46060</v>
      </c>
      <c r="D1634" t="inlineStr">
        <is>
          <t>VÄSTERNORRLANDS LÄN</t>
        </is>
      </c>
      <c r="E1634" t="inlineStr">
        <is>
          <t>SOLLEFTEÅ</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54256-2025</t>
        </is>
      </c>
      <c r="B1635" s="1" t="n">
        <v>45964.65710648148</v>
      </c>
      <c r="C1635" s="1" t="n">
        <v>46060</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656-2024</t>
        </is>
      </c>
      <c r="B1636" s="1" t="n">
        <v>45299</v>
      </c>
      <c r="C1636" s="1" t="n">
        <v>46060</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27572-2022</t>
        </is>
      </c>
      <c r="B1637" s="1" t="n">
        <v>44742.94329861111</v>
      </c>
      <c r="C1637" s="1" t="n">
        <v>46060</v>
      </c>
      <c r="D1637" t="inlineStr">
        <is>
          <t>VÄSTERNORRLANDS LÄN</t>
        </is>
      </c>
      <c r="E1637" t="inlineStr">
        <is>
          <t>SOLLEFTEÅ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54192-2025</t>
        </is>
      </c>
      <c r="B1638" s="1" t="n">
        <v>45964.57350694444</v>
      </c>
      <c r="C1638" s="1" t="n">
        <v>46060</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53382-2025</t>
        </is>
      </c>
      <c r="B1639" s="1" t="n">
        <v>45959</v>
      </c>
      <c r="C1639" s="1" t="n">
        <v>46060</v>
      </c>
      <c r="D1639" t="inlineStr">
        <is>
          <t>VÄSTERNORRLANDS LÄN</t>
        </is>
      </c>
      <c r="E1639" t="inlineStr">
        <is>
          <t>SOLLEFTEÅ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57518-2023</t>
        </is>
      </c>
      <c r="B1640" s="1" t="n">
        <v>45242</v>
      </c>
      <c r="C1640" s="1" t="n">
        <v>46060</v>
      </c>
      <c r="D1640" t="inlineStr">
        <is>
          <t>VÄSTERNORRLANDS LÄN</t>
        </is>
      </c>
      <c r="E1640" t="inlineStr">
        <is>
          <t>SOLLEFTEÅ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54255-2025</t>
        </is>
      </c>
      <c r="B1641" s="1" t="n">
        <v>45964.65692129629</v>
      </c>
      <c r="C1641" s="1" t="n">
        <v>46060</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54272-2025</t>
        </is>
      </c>
      <c r="B1642" s="1" t="n">
        <v>45964.67846064815</v>
      </c>
      <c r="C1642" s="1" t="n">
        <v>46060</v>
      </c>
      <c r="D1642" t="inlineStr">
        <is>
          <t>VÄSTERNORRLANDS LÄN</t>
        </is>
      </c>
      <c r="E1642" t="inlineStr">
        <is>
          <t>SOLLEFTEÅ</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54472-2025</t>
        </is>
      </c>
      <c r="B1643" s="1" t="n">
        <v>45965.57381944444</v>
      </c>
      <c r="C1643" s="1" t="n">
        <v>46060</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37921-2025</t>
        </is>
      </c>
      <c r="B1644" s="1" t="n">
        <v>45881.57491898148</v>
      </c>
      <c r="C1644" s="1" t="n">
        <v>46060</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37880-2025</t>
        </is>
      </c>
      <c r="B1645" s="1" t="n">
        <v>45881.48998842593</v>
      </c>
      <c r="C1645" s="1" t="n">
        <v>46060</v>
      </c>
      <c r="D1645" t="inlineStr">
        <is>
          <t>VÄSTERNORRLANDS LÄN</t>
        </is>
      </c>
      <c r="E1645" t="inlineStr">
        <is>
          <t>SOLLEFTEÅ</t>
        </is>
      </c>
      <c r="F1645" t="inlineStr">
        <is>
          <t>SCA</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1480-2025</t>
        </is>
      </c>
      <c r="B1646" s="1" t="n">
        <v>45670.38575231482</v>
      </c>
      <c r="C1646" s="1" t="n">
        <v>46060</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39495-2023</t>
        </is>
      </c>
      <c r="B1647" s="1" t="n">
        <v>45166.95712962963</v>
      </c>
      <c r="C1647" s="1" t="n">
        <v>46060</v>
      </c>
      <c r="D1647" t="inlineStr">
        <is>
          <t>VÄSTERNORRLANDS LÄN</t>
        </is>
      </c>
      <c r="E1647" t="inlineStr">
        <is>
          <t>SOLLEFTEÅ</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55053-2025</t>
        </is>
      </c>
      <c r="B1648" s="1" t="n">
        <v>45967.67755787037</v>
      </c>
      <c r="C1648" s="1" t="n">
        <v>46060</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10140-2022</t>
        </is>
      </c>
      <c r="B1649" s="1" t="n">
        <v>44621</v>
      </c>
      <c r="C1649" s="1" t="n">
        <v>46060</v>
      </c>
      <c r="D1649" t="inlineStr">
        <is>
          <t>VÄSTERNORRLANDS LÄN</t>
        </is>
      </c>
      <c r="E1649" t="inlineStr">
        <is>
          <t>SOLLEFTEÅ</t>
        </is>
      </c>
      <c r="F1649" t="inlineStr">
        <is>
          <t>SCA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38271-2025</t>
        </is>
      </c>
      <c r="B1650" s="1" t="n">
        <v>45883.4071412037</v>
      </c>
      <c r="C1650" s="1" t="n">
        <v>46060</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54934-2025</t>
        </is>
      </c>
      <c r="B1651" s="1" t="n">
        <v>45967.42795138889</v>
      </c>
      <c r="C1651" s="1" t="n">
        <v>46060</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46973-2024</t>
        </is>
      </c>
      <c r="B1652" s="1" t="n">
        <v>45586.34424768519</v>
      </c>
      <c r="C1652" s="1" t="n">
        <v>46060</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54950-2025</t>
        </is>
      </c>
      <c r="B1653" s="1" t="n">
        <v>45967.44888888889</v>
      </c>
      <c r="C1653" s="1" t="n">
        <v>46060</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54697-2025</t>
        </is>
      </c>
      <c r="B1654" s="1" t="n">
        <v>45966.47638888889</v>
      </c>
      <c r="C1654" s="1" t="n">
        <v>46060</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54936-2025</t>
        </is>
      </c>
      <c r="B1655" s="1" t="n">
        <v>45967.42828703704</v>
      </c>
      <c r="C1655" s="1" t="n">
        <v>46060</v>
      </c>
      <c r="D1655" t="inlineStr">
        <is>
          <t>VÄSTERNORRLANDS LÄN</t>
        </is>
      </c>
      <c r="E1655" t="inlineStr">
        <is>
          <t>SOLLEFTEÅ</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54951-2025</t>
        </is>
      </c>
      <c r="B1656" s="1" t="n">
        <v>45967.44902777778</v>
      </c>
      <c r="C1656" s="1" t="n">
        <v>46060</v>
      </c>
      <c r="D1656" t="inlineStr">
        <is>
          <t>VÄSTERNORRLANDS LÄN</t>
        </is>
      </c>
      <c r="E1656" t="inlineStr">
        <is>
          <t>SOLLEFTEÅ</t>
        </is>
      </c>
      <c r="F1656" t="inlineStr">
        <is>
          <t>Kyrkan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54956-2025</t>
        </is>
      </c>
      <c r="B1657" s="1" t="n">
        <v>45967.46923611111</v>
      </c>
      <c r="C1657" s="1" t="n">
        <v>46060</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22207-2025</t>
        </is>
      </c>
      <c r="B1658" s="1" t="n">
        <v>45785.65710648148</v>
      </c>
      <c r="C1658" s="1" t="n">
        <v>46060</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55756-2024</t>
        </is>
      </c>
      <c r="B1659" s="1" t="n">
        <v>45623</v>
      </c>
      <c r="C1659" s="1" t="n">
        <v>46060</v>
      </c>
      <c r="D1659" t="inlineStr">
        <is>
          <t>VÄSTERNORRLANDS LÄN</t>
        </is>
      </c>
      <c r="E1659" t="inlineStr">
        <is>
          <t>SOLLEFTEÅ</t>
        </is>
      </c>
      <c r="F1659" t="inlineStr">
        <is>
          <t>Holmen skog AB</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54932-2025</t>
        </is>
      </c>
      <c r="B1660" s="1" t="n">
        <v>45967.42759259259</v>
      </c>
      <c r="C1660" s="1" t="n">
        <v>46060</v>
      </c>
      <c r="D1660" t="inlineStr">
        <is>
          <t>VÄSTERNORRLANDS LÄN</t>
        </is>
      </c>
      <c r="E1660" t="inlineStr">
        <is>
          <t>SOLLEFTEÅ</t>
        </is>
      </c>
      <c r="F1660" t="inlineStr">
        <is>
          <t>SCA</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54935-2025</t>
        </is>
      </c>
      <c r="B1661" s="1" t="n">
        <v>45967.428125</v>
      </c>
      <c r="C1661" s="1" t="n">
        <v>46060</v>
      </c>
      <c r="D1661" t="inlineStr">
        <is>
          <t>VÄSTERNORRLANDS LÄN</t>
        </is>
      </c>
      <c r="E1661" t="inlineStr">
        <is>
          <t>SOLLEFTEÅ</t>
        </is>
      </c>
      <c r="F1661" t="inlineStr">
        <is>
          <t>Kyrkan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54947-2025</t>
        </is>
      </c>
      <c r="B1662" s="1" t="n">
        <v>45967.4485300926</v>
      </c>
      <c r="C1662" s="1" t="n">
        <v>46060</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55769-2024</t>
        </is>
      </c>
      <c r="B1663" s="1" t="n">
        <v>45623.38574074074</v>
      </c>
      <c r="C1663" s="1" t="n">
        <v>46060</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55824-2024</t>
        </is>
      </c>
      <c r="B1664" s="1" t="n">
        <v>45623.47813657407</v>
      </c>
      <c r="C1664" s="1" t="n">
        <v>46060</v>
      </c>
      <c r="D1664" t="inlineStr">
        <is>
          <t>VÄSTERNORRLANDS LÄN</t>
        </is>
      </c>
      <c r="E1664" t="inlineStr">
        <is>
          <t>SOLLEFTEÅ</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54619-2025</t>
        </is>
      </c>
      <c r="B1665" s="1" t="n">
        <v>45966.34471064815</v>
      </c>
      <c r="C1665" s="1" t="n">
        <v>46060</v>
      </c>
      <c r="D1665" t="inlineStr">
        <is>
          <t>VÄSTERNORRLANDS LÄN</t>
        </is>
      </c>
      <c r="E1665" t="inlineStr">
        <is>
          <t>SOLLEFTEÅ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54946-2025</t>
        </is>
      </c>
      <c r="B1666" s="1" t="n">
        <v>45967.44832175926</v>
      </c>
      <c r="C1666" s="1" t="n">
        <v>46060</v>
      </c>
      <c r="D1666" t="inlineStr">
        <is>
          <t>VÄSTERNORRLANDS LÄN</t>
        </is>
      </c>
      <c r="E1666" t="inlineStr">
        <is>
          <t>SOLLEFTEÅ</t>
        </is>
      </c>
      <c r="F1666" t="inlineStr">
        <is>
          <t>Kyrkan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55013-2025</t>
        </is>
      </c>
      <c r="B1667" s="1" t="n">
        <v>45967.61578703704</v>
      </c>
      <c r="C1667" s="1" t="n">
        <v>46060</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55014-2025</t>
        </is>
      </c>
      <c r="B1668" s="1" t="n">
        <v>45967.61597222222</v>
      </c>
      <c r="C1668" s="1" t="n">
        <v>46060</v>
      </c>
      <c r="D1668" t="inlineStr">
        <is>
          <t>VÄSTERNORRLANDS LÄN</t>
        </is>
      </c>
      <c r="E1668" t="inlineStr">
        <is>
          <t>SOLLEFTEÅ</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54816-2025</t>
        </is>
      </c>
      <c r="B1669" s="1" t="n">
        <v>45966.65668981482</v>
      </c>
      <c r="C1669" s="1" t="n">
        <v>46060</v>
      </c>
      <c r="D1669" t="inlineStr">
        <is>
          <t>VÄSTERNORRLANDS LÄN</t>
        </is>
      </c>
      <c r="E1669" t="inlineStr">
        <is>
          <t>SOLLEFTEÅ</t>
        </is>
      </c>
      <c r="F1669" t="inlineStr">
        <is>
          <t>SCA</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54903-2025</t>
        </is>
      </c>
      <c r="B1670" s="1" t="n">
        <v>45967.36623842592</v>
      </c>
      <c r="C1670" s="1" t="n">
        <v>46060</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54802-2025</t>
        </is>
      </c>
      <c r="B1671" s="1" t="n">
        <v>45966</v>
      </c>
      <c r="C1671" s="1" t="n">
        <v>46060</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8038-2024</t>
        </is>
      </c>
      <c r="B1672" s="1" t="n">
        <v>45350</v>
      </c>
      <c r="C1672" s="1" t="n">
        <v>46060</v>
      </c>
      <c r="D1672" t="inlineStr">
        <is>
          <t>VÄSTERNORRLANDS LÄN</t>
        </is>
      </c>
      <c r="E1672" t="inlineStr">
        <is>
          <t>SOLLEFTEÅ</t>
        </is>
      </c>
      <c r="F1672" t="inlineStr">
        <is>
          <t>SCA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8039-2024</t>
        </is>
      </c>
      <c r="B1673" s="1" t="n">
        <v>45350</v>
      </c>
      <c r="C1673" s="1" t="n">
        <v>46060</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55068-2025</t>
        </is>
      </c>
      <c r="B1674" s="1" t="n">
        <v>45967.7225462963</v>
      </c>
      <c r="C1674" s="1" t="n">
        <v>46060</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55289-2025</t>
        </is>
      </c>
      <c r="B1675" s="1" t="n">
        <v>45969.344375</v>
      </c>
      <c r="C1675" s="1" t="n">
        <v>46060</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55096-2025</t>
        </is>
      </c>
      <c r="B1676" s="1" t="n">
        <v>45968.34510416666</v>
      </c>
      <c r="C1676" s="1" t="n">
        <v>46060</v>
      </c>
      <c r="D1676" t="inlineStr">
        <is>
          <t>VÄSTERNORRLANDS LÄN</t>
        </is>
      </c>
      <c r="E1676" t="inlineStr">
        <is>
          <t>SOLLEFTEÅ</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55137-2025</t>
        </is>
      </c>
      <c r="B1677" s="1" t="n">
        <v>45968.42770833334</v>
      </c>
      <c r="C1677" s="1" t="n">
        <v>46060</v>
      </c>
      <c r="D1677" t="inlineStr">
        <is>
          <t>VÄSTERNORRLANDS LÄN</t>
        </is>
      </c>
      <c r="E1677" t="inlineStr">
        <is>
          <t>SOLLEFTEÅ</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38330-2025</t>
        </is>
      </c>
      <c r="B1678" s="1" t="n">
        <v>45883.49123842592</v>
      </c>
      <c r="C1678" s="1" t="n">
        <v>46060</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55136-2025</t>
        </is>
      </c>
      <c r="B1679" s="1" t="n">
        <v>45968.42752314815</v>
      </c>
      <c r="C1679" s="1" t="n">
        <v>46060</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38156-2025</t>
        </is>
      </c>
      <c r="B1680" s="1" t="n">
        <v>45882.61491898148</v>
      </c>
      <c r="C1680" s="1" t="n">
        <v>46060</v>
      </c>
      <c r="D1680" t="inlineStr">
        <is>
          <t>VÄSTERNORRLANDS LÄN</t>
        </is>
      </c>
      <c r="E1680" t="inlineStr">
        <is>
          <t>SOLLEFTEÅ</t>
        </is>
      </c>
      <c r="F1680" t="inlineStr">
        <is>
          <t>SCA</t>
        </is>
      </c>
      <c r="G1680" t="n">
        <v>13.5</v>
      </c>
      <c r="H1680" t="n">
        <v>0</v>
      </c>
      <c r="I1680" t="n">
        <v>0</v>
      </c>
      <c r="J1680" t="n">
        <v>0</v>
      </c>
      <c r="K1680" t="n">
        <v>0</v>
      </c>
      <c r="L1680" t="n">
        <v>0</v>
      </c>
      <c r="M1680" t="n">
        <v>0</v>
      </c>
      <c r="N1680" t="n">
        <v>0</v>
      </c>
      <c r="O1680" t="n">
        <v>0</v>
      </c>
      <c r="P1680" t="n">
        <v>0</v>
      </c>
      <c r="Q1680" t="n">
        <v>0</v>
      </c>
      <c r="R1680" s="2" t="inlineStr"/>
    </row>
    <row r="1681" ht="15" customHeight="1">
      <c r="A1681" t="inlineStr">
        <is>
          <t>A 55471-2025</t>
        </is>
      </c>
      <c r="B1681" s="1" t="n">
        <v>45971</v>
      </c>
      <c r="C1681" s="1" t="n">
        <v>46060</v>
      </c>
      <c r="D1681" t="inlineStr">
        <is>
          <t>VÄSTERNORRLANDS LÄN</t>
        </is>
      </c>
      <c r="E1681" t="inlineStr">
        <is>
          <t>SOLLEFTEÅ</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55529-2025</t>
        </is>
      </c>
      <c r="B1682" s="1" t="n">
        <v>45971.62087962963</v>
      </c>
      <c r="C1682" s="1" t="n">
        <v>46060</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19489-2025</t>
        </is>
      </c>
      <c r="B1683" s="1" t="n">
        <v>45770.38847222222</v>
      </c>
      <c r="C1683" s="1" t="n">
        <v>46060</v>
      </c>
      <c r="D1683" t="inlineStr">
        <is>
          <t>VÄSTERNORRLANDS LÄN</t>
        </is>
      </c>
      <c r="E1683" t="inlineStr">
        <is>
          <t>SOLLEFTEÅ</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35042-2025</t>
        </is>
      </c>
      <c r="B1684" s="1" t="n">
        <v>45852.34447916667</v>
      </c>
      <c r="C1684" s="1" t="n">
        <v>46060</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55116-2025</t>
        </is>
      </c>
      <c r="B1685" s="1" t="n">
        <v>45968.38623842593</v>
      </c>
      <c r="C1685" s="1" t="n">
        <v>46060</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55583-2025</t>
        </is>
      </c>
      <c r="B1686" s="1" t="n">
        <v>45971.67804398148</v>
      </c>
      <c r="C1686" s="1" t="n">
        <v>46060</v>
      </c>
      <c r="D1686" t="inlineStr">
        <is>
          <t>VÄSTERNORRLANDS LÄN</t>
        </is>
      </c>
      <c r="E1686" t="inlineStr">
        <is>
          <t>SOLLEFTEÅ</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55584-2025</t>
        </is>
      </c>
      <c r="B1687" s="1" t="n">
        <v>45971.67821759259</v>
      </c>
      <c r="C1687" s="1" t="n">
        <v>46060</v>
      </c>
      <c r="D1687" t="inlineStr">
        <is>
          <t>VÄSTERNORRLANDS LÄN</t>
        </is>
      </c>
      <c r="E1687" t="inlineStr">
        <is>
          <t>SOLLEFTEÅ</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55585-2025</t>
        </is>
      </c>
      <c r="B1688" s="1" t="n">
        <v>45971.6784375</v>
      </c>
      <c r="C1688" s="1" t="n">
        <v>46060</v>
      </c>
      <c r="D1688" t="inlineStr">
        <is>
          <t>VÄSTERNORRLANDS LÄN</t>
        </is>
      </c>
      <c r="E1688" t="inlineStr">
        <is>
          <t>SOLLEFTEÅ</t>
        </is>
      </c>
      <c r="F1688" t="inlineStr">
        <is>
          <t>SCA</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55510-2025</t>
        </is>
      </c>
      <c r="B1689" s="1" t="n">
        <v>45971.60037037037</v>
      </c>
      <c r="C1689" s="1" t="n">
        <v>46060</v>
      </c>
      <c r="D1689" t="inlineStr">
        <is>
          <t>VÄSTERNORRLANDS LÄN</t>
        </is>
      </c>
      <c r="E1689" t="inlineStr">
        <is>
          <t>SOLLEFTEÅ</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16564-2025</t>
        </is>
      </c>
      <c r="B1690" s="1" t="n">
        <v>45752</v>
      </c>
      <c r="C1690" s="1" t="n">
        <v>46060</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61616-2024</t>
        </is>
      </c>
      <c r="B1691" s="1" t="n">
        <v>45645</v>
      </c>
      <c r="C1691" s="1" t="n">
        <v>46060</v>
      </c>
      <c r="D1691" t="inlineStr">
        <is>
          <t>VÄSTERNORRLANDS LÄN</t>
        </is>
      </c>
      <c r="E1691" t="inlineStr">
        <is>
          <t>SOLLEFTEÅ</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37801-2025</t>
        </is>
      </c>
      <c r="B1692" s="1" t="n">
        <v>45881.34436342592</v>
      </c>
      <c r="C1692" s="1" t="n">
        <v>46060</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55094-2025</t>
        </is>
      </c>
      <c r="B1693" s="1" t="n">
        <v>45968.34483796296</v>
      </c>
      <c r="C1693" s="1" t="n">
        <v>46060</v>
      </c>
      <c r="D1693" t="inlineStr">
        <is>
          <t>VÄSTERNORRLANDS LÄN</t>
        </is>
      </c>
      <c r="E1693" t="inlineStr">
        <is>
          <t>SOLLEFTEÅ</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55582-2025</t>
        </is>
      </c>
      <c r="B1694" s="1" t="n">
        <v>45971.67768518518</v>
      </c>
      <c r="C1694" s="1" t="n">
        <v>46060</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55586-2025</t>
        </is>
      </c>
      <c r="B1695" s="1" t="n">
        <v>45971</v>
      </c>
      <c r="C1695" s="1" t="n">
        <v>46060</v>
      </c>
      <c r="D1695" t="inlineStr">
        <is>
          <t>VÄSTERNORRLANDS LÄN</t>
        </is>
      </c>
      <c r="E1695" t="inlineStr">
        <is>
          <t>SOLLEFTEÅ</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19577-2024</t>
        </is>
      </c>
      <c r="B1696" s="1" t="n">
        <v>45429</v>
      </c>
      <c r="C1696" s="1" t="n">
        <v>46060</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55115-2025</t>
        </is>
      </c>
      <c r="B1697" s="1" t="n">
        <v>45968</v>
      </c>
      <c r="C1697" s="1" t="n">
        <v>46060</v>
      </c>
      <c r="D1697" t="inlineStr">
        <is>
          <t>VÄSTERNORRLANDS LÄN</t>
        </is>
      </c>
      <c r="E1697" t="inlineStr">
        <is>
          <t>SOLLEFTEÅ</t>
        </is>
      </c>
      <c r="F1697" t="inlineStr">
        <is>
          <t>SCA</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8653-2024</t>
        </is>
      </c>
      <c r="B1698" s="1" t="n">
        <v>45356</v>
      </c>
      <c r="C1698" s="1" t="n">
        <v>46060</v>
      </c>
      <c r="D1698" t="inlineStr">
        <is>
          <t>VÄSTERNORRLANDS LÄN</t>
        </is>
      </c>
      <c r="E1698" t="inlineStr">
        <is>
          <t>SOLLEFTEÅ</t>
        </is>
      </c>
      <c r="F1698" t="inlineStr">
        <is>
          <t>SCA</t>
        </is>
      </c>
      <c r="G1698" t="n">
        <v>67.8</v>
      </c>
      <c r="H1698" t="n">
        <v>0</v>
      </c>
      <c r="I1698" t="n">
        <v>0</v>
      </c>
      <c r="J1698" t="n">
        <v>0</v>
      </c>
      <c r="K1698" t="n">
        <v>0</v>
      </c>
      <c r="L1698" t="n">
        <v>0</v>
      </c>
      <c r="M1698" t="n">
        <v>0</v>
      </c>
      <c r="N1698" t="n">
        <v>0</v>
      </c>
      <c r="O1698" t="n">
        <v>0</v>
      </c>
      <c r="P1698" t="n">
        <v>0</v>
      </c>
      <c r="Q1698" t="n">
        <v>0</v>
      </c>
      <c r="R1698" s="2" t="inlineStr"/>
    </row>
    <row r="1699" ht="15" customHeight="1">
      <c r="A1699" t="inlineStr">
        <is>
          <t>A 55360-2025</t>
        </is>
      </c>
      <c r="B1699" s="1" t="n">
        <v>45971.38597222222</v>
      </c>
      <c r="C1699" s="1" t="n">
        <v>46060</v>
      </c>
      <c r="D1699" t="inlineStr">
        <is>
          <t>VÄSTERNORRLANDS LÄN</t>
        </is>
      </c>
      <c r="E1699" t="inlineStr">
        <is>
          <t>SOLLEFTEÅ</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44554-2024</t>
        </is>
      </c>
      <c r="B1700" s="1" t="n">
        <v>45574.46940972222</v>
      </c>
      <c r="C1700" s="1" t="n">
        <v>46060</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55950-2025</t>
        </is>
      </c>
      <c r="B1701" s="1" t="n">
        <v>45973.46942129629</v>
      </c>
      <c r="C1701" s="1" t="n">
        <v>46060</v>
      </c>
      <c r="D1701" t="inlineStr">
        <is>
          <t>VÄSTERNORRLANDS LÄN</t>
        </is>
      </c>
      <c r="E1701" t="inlineStr">
        <is>
          <t>SOLLEFTEÅ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55168-2025</t>
        </is>
      </c>
      <c r="B1702" s="1" t="n">
        <v>45968</v>
      </c>
      <c r="C1702" s="1" t="n">
        <v>46060</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46060</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55725-2025</t>
        </is>
      </c>
      <c r="B1704" s="1" t="n">
        <v>45972.53172453704</v>
      </c>
      <c r="C1704" s="1" t="n">
        <v>46060</v>
      </c>
      <c r="D1704" t="inlineStr">
        <is>
          <t>VÄSTERNORRLANDS LÄN</t>
        </is>
      </c>
      <c r="E1704" t="inlineStr">
        <is>
          <t>SOLLEFTEÅ</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8729-2024</t>
        </is>
      </c>
      <c r="B1705" s="1" t="n">
        <v>45356.43958333333</v>
      </c>
      <c r="C1705" s="1" t="n">
        <v>46060</v>
      </c>
      <c r="D1705" t="inlineStr">
        <is>
          <t>VÄSTERNORRLANDS LÄN</t>
        </is>
      </c>
      <c r="E1705" t="inlineStr">
        <is>
          <t>SOLLEFTEÅ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46060</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46060</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38240-2025</t>
        </is>
      </c>
      <c r="B1708" s="1" t="n">
        <v>45883.36532407408</v>
      </c>
      <c r="C1708" s="1" t="n">
        <v>46060</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36685-2024</t>
        </is>
      </c>
      <c r="B1709" s="1" t="n">
        <v>45537.66467592592</v>
      </c>
      <c r="C1709" s="1" t="n">
        <v>46060</v>
      </c>
      <c r="D1709" t="inlineStr">
        <is>
          <t>VÄSTERNORRLANDS LÄN</t>
        </is>
      </c>
      <c r="E1709" t="inlineStr">
        <is>
          <t>SOLLEFTEÅ</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55790-2025</t>
        </is>
      </c>
      <c r="B1710" s="1" t="n">
        <v>45972.64644675926</v>
      </c>
      <c r="C1710" s="1" t="n">
        <v>46060</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55819-2025</t>
        </is>
      </c>
      <c r="B1711" s="1" t="n">
        <v>45972</v>
      </c>
      <c r="C1711" s="1" t="n">
        <v>46060</v>
      </c>
      <c r="D1711" t="inlineStr">
        <is>
          <t>VÄSTERNORRLANDS LÄN</t>
        </is>
      </c>
      <c r="E1711" t="inlineStr">
        <is>
          <t>SOLLEFTEÅ</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9689-2024</t>
        </is>
      </c>
      <c r="B1712" s="1" t="n">
        <v>45362</v>
      </c>
      <c r="C1712" s="1" t="n">
        <v>46060</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55686-2025</t>
        </is>
      </c>
      <c r="B1713" s="1" t="n">
        <v>45972.42771990741</v>
      </c>
      <c r="C1713" s="1" t="n">
        <v>46060</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2481-2025</t>
        </is>
      </c>
      <c r="B1714" s="1" t="n">
        <v>45674.48996527777</v>
      </c>
      <c r="C1714" s="1" t="n">
        <v>46060</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55886-2025</t>
        </is>
      </c>
      <c r="B1715" s="1" t="n">
        <v>45973</v>
      </c>
      <c r="C1715" s="1" t="n">
        <v>46060</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25986-2023</t>
        </is>
      </c>
      <c r="B1716" s="1" t="n">
        <v>45090</v>
      </c>
      <c r="C1716" s="1" t="n">
        <v>46060</v>
      </c>
      <c r="D1716" t="inlineStr">
        <is>
          <t>VÄSTERNORRLANDS LÄN</t>
        </is>
      </c>
      <c r="E1716" t="inlineStr">
        <is>
          <t>SOLLEFTEÅ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8851-2025</t>
        </is>
      </c>
      <c r="B1717" s="1" t="n">
        <v>45713.34465277778</v>
      </c>
      <c r="C1717" s="1" t="n">
        <v>46060</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56076-2025</t>
        </is>
      </c>
      <c r="B1718" s="1" t="n">
        <v>45973.65740740741</v>
      </c>
      <c r="C1718" s="1" t="n">
        <v>46060</v>
      </c>
      <c r="D1718" t="inlineStr">
        <is>
          <t>VÄSTERNORRLANDS LÄN</t>
        </is>
      </c>
      <c r="E1718" t="inlineStr">
        <is>
          <t>SOLLEFTEÅ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38596-2025</t>
        </is>
      </c>
      <c r="B1719" s="1" t="n">
        <v>45884.49040509259</v>
      </c>
      <c r="C1719" s="1" t="n">
        <v>46060</v>
      </c>
      <c r="D1719" t="inlineStr">
        <is>
          <t>VÄSTERNORRLANDS LÄN</t>
        </is>
      </c>
      <c r="E1719" t="inlineStr">
        <is>
          <t>SOLLEFTEÅ</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38598-2025</t>
        </is>
      </c>
      <c r="B1720" s="1" t="n">
        <v>45884.49074074074</v>
      </c>
      <c r="C1720" s="1" t="n">
        <v>46060</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46060</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56074-2025</t>
        </is>
      </c>
      <c r="B1722" s="1" t="n">
        <v>45973.65700231482</v>
      </c>
      <c r="C1722" s="1" t="n">
        <v>46060</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56075-2025</t>
        </is>
      </c>
      <c r="B1723" s="1" t="n">
        <v>45973.65723379629</v>
      </c>
      <c r="C1723" s="1" t="n">
        <v>46060</v>
      </c>
      <c r="D1723" t="inlineStr">
        <is>
          <t>VÄSTERNORRLANDS LÄN</t>
        </is>
      </c>
      <c r="E1723" t="inlineStr">
        <is>
          <t>SOLLEFTEÅ</t>
        </is>
      </c>
      <c r="F1723" t="inlineStr">
        <is>
          <t>SCA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8476-2025</t>
        </is>
      </c>
      <c r="B1724" s="1" t="n">
        <v>45709.47894675926</v>
      </c>
      <c r="C1724" s="1" t="n">
        <v>46060</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21711-2022</t>
        </is>
      </c>
      <c r="B1725" s="1" t="n">
        <v>44707</v>
      </c>
      <c r="C1725" s="1" t="n">
        <v>46060</v>
      </c>
      <c r="D1725" t="inlineStr">
        <is>
          <t>VÄSTERNORRLANDS LÄN</t>
        </is>
      </c>
      <c r="E1725" t="inlineStr">
        <is>
          <t>SOLLEFTEÅ</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64120-2023</t>
        </is>
      </c>
      <c r="B1726" s="1" t="n">
        <v>45279</v>
      </c>
      <c r="C1726" s="1" t="n">
        <v>46060</v>
      </c>
      <c r="D1726" t="inlineStr">
        <is>
          <t>VÄSTERNORRLANDS LÄN</t>
        </is>
      </c>
      <c r="E1726" t="inlineStr">
        <is>
          <t>SOLLEFTEÅ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37726-2023</t>
        </is>
      </c>
      <c r="B1727" s="1" t="n">
        <v>45156</v>
      </c>
      <c r="C1727" s="1" t="n">
        <v>46060</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56425-2025</t>
        </is>
      </c>
      <c r="B1728" s="1" t="n">
        <v>45975.34559027778</v>
      </c>
      <c r="C1728" s="1" t="n">
        <v>46060</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56393-2025</t>
        </is>
      </c>
      <c r="B1729" s="1" t="n">
        <v>45974.74042824074</v>
      </c>
      <c r="C1729" s="1" t="n">
        <v>46060</v>
      </c>
      <c r="D1729" t="inlineStr">
        <is>
          <t>VÄSTERNORRLANDS LÄN</t>
        </is>
      </c>
      <c r="E1729" t="inlineStr">
        <is>
          <t>SOLLEFTEÅ</t>
        </is>
      </c>
      <c r="F1729" t="inlineStr">
        <is>
          <t>Holmen skog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59339-2023</t>
        </is>
      </c>
      <c r="B1730" s="1" t="n">
        <v>45253</v>
      </c>
      <c r="C1730" s="1" t="n">
        <v>46060</v>
      </c>
      <c r="D1730" t="inlineStr">
        <is>
          <t>VÄSTERNORRLANDS LÄN</t>
        </is>
      </c>
      <c r="E1730" t="inlineStr">
        <is>
          <t>SOLLEFTEÅ</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38493-2025</t>
        </is>
      </c>
      <c r="B1731" s="1" t="n">
        <v>45884.36516203704</v>
      </c>
      <c r="C1731" s="1" t="n">
        <v>46060</v>
      </c>
      <c r="D1731" t="inlineStr">
        <is>
          <t>VÄSTERNORRLANDS LÄN</t>
        </is>
      </c>
      <c r="E1731" t="inlineStr">
        <is>
          <t>SOLLEFTEÅ</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46060</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38507-2025</t>
        </is>
      </c>
      <c r="B1733" s="1" t="n">
        <v>45884.38591435185</v>
      </c>
      <c r="C1733" s="1" t="n">
        <v>46060</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56438-2025</t>
        </is>
      </c>
      <c r="B1734" s="1" t="n">
        <v>45975.34724537037</v>
      </c>
      <c r="C1734" s="1" t="n">
        <v>46060</v>
      </c>
      <c r="D1734" t="inlineStr">
        <is>
          <t>VÄSTERNORRLANDS LÄN</t>
        </is>
      </c>
      <c r="E1734" t="inlineStr">
        <is>
          <t>SOLLEFTEÅ</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56443-2025</t>
        </is>
      </c>
      <c r="B1735" s="1" t="n">
        <v>45975.34791666667</v>
      </c>
      <c r="C1735" s="1" t="n">
        <v>46060</v>
      </c>
      <c r="D1735" t="inlineStr">
        <is>
          <t>VÄSTERNORRLANDS LÄN</t>
        </is>
      </c>
      <c r="E1735" t="inlineStr">
        <is>
          <t>SOLLEFTEÅ</t>
        </is>
      </c>
      <c r="F1735" t="inlineStr">
        <is>
          <t>SCA</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56458-2025</t>
        </is>
      </c>
      <c r="B1736" s="1" t="n">
        <v>45975.3650462963</v>
      </c>
      <c r="C1736" s="1" t="n">
        <v>46060</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38959-2025</t>
        </is>
      </c>
      <c r="B1737" s="1" t="n">
        <v>45887.67769675926</v>
      </c>
      <c r="C1737" s="1" t="n">
        <v>46060</v>
      </c>
      <c r="D1737" t="inlineStr">
        <is>
          <t>VÄSTERNORRLANDS LÄN</t>
        </is>
      </c>
      <c r="E1737" t="inlineStr">
        <is>
          <t>SOLLEFTEÅ</t>
        </is>
      </c>
      <c r="F1737" t="inlineStr">
        <is>
          <t>SCA</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56631-2025</t>
        </is>
      </c>
      <c r="B1738" s="1" t="n">
        <v>45975.61549768518</v>
      </c>
      <c r="C1738" s="1" t="n">
        <v>46060</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56632-2025</t>
        </is>
      </c>
      <c r="B1739" s="1" t="n">
        <v>45975.61571759259</v>
      </c>
      <c r="C1739" s="1" t="n">
        <v>46060</v>
      </c>
      <c r="D1739" t="inlineStr">
        <is>
          <t>VÄSTERNORRLANDS LÄN</t>
        </is>
      </c>
      <c r="E1739" t="inlineStr">
        <is>
          <t>SOLLEFTEÅ</t>
        </is>
      </c>
      <c r="F1739" t="inlineStr">
        <is>
          <t>SCA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38910-2025</t>
        </is>
      </c>
      <c r="B1740" s="1" t="n">
        <v>45887.61509259259</v>
      </c>
      <c r="C1740" s="1" t="n">
        <v>46060</v>
      </c>
      <c r="D1740" t="inlineStr">
        <is>
          <t>VÄSTERNORRLANDS LÄN</t>
        </is>
      </c>
      <c r="E1740" t="inlineStr">
        <is>
          <t>SOLLEFTEÅ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56434-2025</t>
        </is>
      </c>
      <c r="B1741" s="1" t="n">
        <v>45975.34666666666</v>
      </c>
      <c r="C1741" s="1" t="n">
        <v>46060</v>
      </c>
      <c r="D1741" t="inlineStr">
        <is>
          <t>VÄSTERNORRLANDS LÄN</t>
        </is>
      </c>
      <c r="E1741" t="inlineStr">
        <is>
          <t>SOLLEFTEÅ</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50008-2024</t>
        </is>
      </c>
      <c r="B1742" s="1" t="n">
        <v>45598.57908564815</v>
      </c>
      <c r="C1742" s="1" t="n">
        <v>46060</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55692-2024</t>
        </is>
      </c>
      <c r="B1743" s="1" t="n">
        <v>45622</v>
      </c>
      <c r="C1743" s="1" t="n">
        <v>46060</v>
      </c>
      <c r="D1743" t="inlineStr">
        <is>
          <t>VÄSTERNORRLANDS LÄN</t>
        </is>
      </c>
      <c r="E1743" t="inlineStr">
        <is>
          <t>SOLLEFTEÅ</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55759-2024</t>
        </is>
      </c>
      <c r="B1744" s="1" t="n">
        <v>45623.3647337963</v>
      </c>
      <c r="C1744" s="1" t="n">
        <v>46060</v>
      </c>
      <c r="D1744" t="inlineStr">
        <is>
          <t>VÄSTERNORRLANDS LÄN</t>
        </is>
      </c>
      <c r="E1744" t="inlineStr">
        <is>
          <t>SOLLEFTEÅ</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55792-2024</t>
        </is>
      </c>
      <c r="B1745" s="1" t="n">
        <v>45623</v>
      </c>
      <c r="C1745" s="1" t="n">
        <v>46060</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44172-2024</t>
        </is>
      </c>
      <c r="B1746" s="1" t="n">
        <v>45572.74454861111</v>
      </c>
      <c r="C1746" s="1" t="n">
        <v>46060</v>
      </c>
      <c r="D1746" t="inlineStr">
        <is>
          <t>VÄSTERNORRLANDS LÄN</t>
        </is>
      </c>
      <c r="E1746" t="inlineStr">
        <is>
          <t>SOLLEFTEÅ</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38581-2025</t>
        </is>
      </c>
      <c r="B1747" s="1" t="n">
        <v>45884.46965277778</v>
      </c>
      <c r="C1747" s="1" t="n">
        <v>46060</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59647-2022</t>
        </is>
      </c>
      <c r="B1748" s="1" t="n">
        <v>44907.96577546297</v>
      </c>
      <c r="C1748" s="1" t="n">
        <v>46060</v>
      </c>
      <c r="D1748" t="inlineStr">
        <is>
          <t>VÄSTERNORRLANDS LÄN</t>
        </is>
      </c>
      <c r="E1748" t="inlineStr">
        <is>
          <t>SOLLEFTEÅ</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49829-2024</t>
        </is>
      </c>
      <c r="B1749" s="1" t="n">
        <v>45597</v>
      </c>
      <c r="C1749" s="1" t="n">
        <v>46060</v>
      </c>
      <c r="D1749" t="inlineStr">
        <is>
          <t>VÄSTERNORRLANDS LÄN</t>
        </is>
      </c>
      <c r="E1749" t="inlineStr">
        <is>
          <t>SOLLEFTEÅ</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57224-2025</t>
        </is>
      </c>
      <c r="B1750" s="1" t="n">
        <v>45979.61547453704</v>
      </c>
      <c r="C1750" s="1" t="n">
        <v>46060</v>
      </c>
      <c r="D1750" t="inlineStr">
        <is>
          <t>VÄSTERNORRLANDS LÄN</t>
        </is>
      </c>
      <c r="E1750" t="inlineStr">
        <is>
          <t>SOLLEFTEÅ</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57225-2025</t>
        </is>
      </c>
      <c r="B1751" s="1" t="n">
        <v>45979.61555555555</v>
      </c>
      <c r="C1751" s="1" t="n">
        <v>46060</v>
      </c>
      <c r="D1751" t="inlineStr">
        <is>
          <t>VÄSTERNORRLANDS LÄN</t>
        </is>
      </c>
      <c r="E1751" t="inlineStr">
        <is>
          <t>SOLLEFTEÅ</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49567-2024</t>
        </is>
      </c>
      <c r="B1752" s="1" t="n">
        <v>45596.49003472222</v>
      </c>
      <c r="C1752" s="1" t="n">
        <v>46060</v>
      </c>
      <c r="D1752" t="inlineStr">
        <is>
          <t>VÄSTERNORRLANDS LÄN</t>
        </is>
      </c>
      <c r="E1752" t="inlineStr">
        <is>
          <t>SOLLEFTEÅ</t>
        </is>
      </c>
      <c r="F1752" t="inlineStr">
        <is>
          <t>SCA</t>
        </is>
      </c>
      <c r="G1752" t="n">
        <v>4.3</v>
      </c>
      <c r="H1752" t="n">
        <v>0</v>
      </c>
      <c r="I1752" t="n">
        <v>0</v>
      </c>
      <c r="J1752" t="n">
        <v>0</v>
      </c>
      <c r="K1752" t="n">
        <v>0</v>
      </c>
      <c r="L1752" t="n">
        <v>0</v>
      </c>
      <c r="M1752" t="n">
        <v>0</v>
      </c>
      <c r="N1752" t="n">
        <v>0</v>
      </c>
      <c r="O1752" t="n">
        <v>0</v>
      </c>
      <c r="P1752" t="n">
        <v>0</v>
      </c>
      <c r="Q1752" t="n">
        <v>0</v>
      </c>
      <c r="R1752" s="2" t="inlineStr"/>
      <c r="U1752">
        <f>HYPERLINK("https://klasma.github.io/Logging_2283/knärot/A 49567-2024 karta knärot.png", "A 49567-2024")</f>
        <v/>
      </c>
      <c r="V1752">
        <f>HYPERLINK("https://klasma.github.io/Logging_2283/klagomål/A 49567-2024 FSC-klagomål.docx", "A 49567-2024")</f>
        <v/>
      </c>
      <c r="W1752">
        <f>HYPERLINK("https://klasma.github.io/Logging_2283/klagomålsmail/A 49567-2024 FSC-klagomål mail.docx", "A 49567-2024")</f>
        <v/>
      </c>
      <c r="X1752">
        <f>HYPERLINK("https://klasma.github.io/Logging_2283/tillsyn/A 49567-2024 tillsynsbegäran.docx", "A 49567-2024")</f>
        <v/>
      </c>
      <c r="Y1752">
        <f>HYPERLINK("https://klasma.github.io/Logging_2283/tillsynsmail/A 49567-2024 tillsynsbegäran mail.docx", "A 49567-2024")</f>
        <v/>
      </c>
    </row>
    <row r="1753" ht="15" customHeight="1">
      <c r="A1753" t="inlineStr">
        <is>
          <t>A 56987-2025</t>
        </is>
      </c>
      <c r="B1753" s="1" t="n">
        <v>45978.71915509259</v>
      </c>
      <c r="C1753" s="1" t="n">
        <v>46060</v>
      </c>
      <c r="D1753" t="inlineStr">
        <is>
          <t>VÄSTERNORRLANDS LÄN</t>
        </is>
      </c>
      <c r="E1753" t="inlineStr">
        <is>
          <t>SOLLEFTEÅ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38231-2024</t>
        </is>
      </c>
      <c r="B1754" s="1" t="n">
        <v>45545.55601851852</v>
      </c>
      <c r="C1754" s="1" t="n">
        <v>46060</v>
      </c>
      <c r="D1754" t="inlineStr">
        <is>
          <t>VÄSTERNORRLANDS LÄN</t>
        </is>
      </c>
      <c r="E1754" t="inlineStr">
        <is>
          <t>SOLLEFTEÅ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57061-2025</t>
        </is>
      </c>
      <c r="B1755" s="1" t="n">
        <v>45979.37059027778</v>
      </c>
      <c r="C1755" s="1" t="n">
        <v>46060</v>
      </c>
      <c r="D1755" t="inlineStr">
        <is>
          <t>VÄSTERNORRLANDS LÄN</t>
        </is>
      </c>
      <c r="E1755" t="inlineStr">
        <is>
          <t>SOLLEFTEÅ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58172-2022</t>
        </is>
      </c>
      <c r="B1756" s="1" t="n">
        <v>44900.95525462963</v>
      </c>
      <c r="C1756" s="1" t="n">
        <v>46060</v>
      </c>
      <c r="D1756" t="inlineStr">
        <is>
          <t>VÄSTERNORRLANDS LÄN</t>
        </is>
      </c>
      <c r="E1756" t="inlineStr">
        <is>
          <t>SOLLEFTEÅ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57176-2025</t>
        </is>
      </c>
      <c r="B1757" s="1" t="n">
        <v>45979.55251157407</v>
      </c>
      <c r="C1757" s="1" t="n">
        <v>46060</v>
      </c>
      <c r="D1757" t="inlineStr">
        <is>
          <t>VÄSTERNORRLANDS LÄN</t>
        </is>
      </c>
      <c r="E1757" t="inlineStr">
        <is>
          <t>SOLLEFTEÅ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35793-2024</t>
        </is>
      </c>
      <c r="B1758" s="1" t="n">
        <v>45532</v>
      </c>
      <c r="C1758" s="1" t="n">
        <v>46060</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35794-2024</t>
        </is>
      </c>
      <c r="B1759" s="1" t="n">
        <v>45532.62974537037</v>
      </c>
      <c r="C1759" s="1" t="n">
        <v>46060</v>
      </c>
      <c r="D1759" t="inlineStr">
        <is>
          <t>VÄSTERNORRLANDS LÄN</t>
        </is>
      </c>
      <c r="E1759" t="inlineStr">
        <is>
          <t>SOLLEFTEÅ</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15875-2024</t>
        </is>
      </c>
      <c r="B1760" s="1" t="n">
        <v>45405.32438657407</v>
      </c>
      <c r="C1760" s="1" t="n">
        <v>46060</v>
      </c>
      <c r="D1760" t="inlineStr">
        <is>
          <t>VÄSTERNORRLANDS LÄN</t>
        </is>
      </c>
      <c r="E1760" t="inlineStr">
        <is>
          <t>SOLLEFTEÅ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14134-2023</t>
        </is>
      </c>
      <c r="B1761" s="1" t="n">
        <v>45008</v>
      </c>
      <c r="C1761" s="1" t="n">
        <v>46060</v>
      </c>
      <c r="D1761" t="inlineStr">
        <is>
          <t>VÄSTERNORRLANDS LÄN</t>
        </is>
      </c>
      <c r="E1761" t="inlineStr">
        <is>
          <t>SOLLEFTEÅ</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7463-2024</t>
        </is>
      </c>
      <c r="B1762" s="1" t="n">
        <v>45345.94887731481</v>
      </c>
      <c r="C1762" s="1" t="n">
        <v>46060</v>
      </c>
      <c r="D1762" t="inlineStr">
        <is>
          <t>VÄSTERNORRLANDS LÄN</t>
        </is>
      </c>
      <c r="E1762" t="inlineStr">
        <is>
          <t>SOLLEFTEÅ</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57205-2025</t>
        </is>
      </c>
      <c r="B1763" s="1" t="n">
        <v>45979.59429398148</v>
      </c>
      <c r="C1763" s="1" t="n">
        <v>46060</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57042-2025</t>
        </is>
      </c>
      <c r="B1764" s="1" t="n">
        <v>45979.34598379629</v>
      </c>
      <c r="C1764" s="1" t="n">
        <v>46060</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43525-2021</t>
        </is>
      </c>
      <c r="B1765" s="1" t="n">
        <v>44433</v>
      </c>
      <c r="C1765" s="1" t="n">
        <v>46060</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33591-2023</t>
        </is>
      </c>
      <c r="B1766" s="1" t="n">
        <v>45131</v>
      </c>
      <c r="C1766" s="1" t="n">
        <v>46060</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57019-2025</t>
        </is>
      </c>
      <c r="B1767" s="1" t="n">
        <v>45978.85565972222</v>
      </c>
      <c r="C1767" s="1" t="n">
        <v>46060</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11338-2025</t>
        </is>
      </c>
      <c r="B1768" s="1" t="n">
        <v>45726.48987268518</v>
      </c>
      <c r="C1768" s="1" t="n">
        <v>46060</v>
      </c>
      <c r="D1768" t="inlineStr">
        <is>
          <t>VÄSTERNORRLANDS LÄN</t>
        </is>
      </c>
      <c r="E1768" t="inlineStr">
        <is>
          <t>SOLLEFTEÅ</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5447-2025</t>
        </is>
      </c>
      <c r="B1769" s="1" t="n">
        <v>45692</v>
      </c>
      <c r="C1769" s="1" t="n">
        <v>46060</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42755-2022</t>
        </is>
      </c>
      <c r="B1770" s="1" t="n">
        <v>44832</v>
      </c>
      <c r="C1770" s="1" t="n">
        <v>46060</v>
      </c>
      <c r="D1770" t="inlineStr">
        <is>
          <t>VÄSTERNORRLANDS LÄN</t>
        </is>
      </c>
      <c r="E1770" t="inlineStr">
        <is>
          <t>SOLLEFTEÅ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12734-2023</t>
        </is>
      </c>
      <c r="B1771" s="1" t="n">
        <v>45000.92436342593</v>
      </c>
      <c r="C1771" s="1" t="n">
        <v>46060</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52266-2023</t>
        </is>
      </c>
      <c r="B1772" s="1" t="n">
        <v>45217</v>
      </c>
      <c r="C1772" s="1" t="n">
        <v>46060</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51107-2023</t>
        </is>
      </c>
      <c r="B1773" s="1" t="n">
        <v>45218.92530092593</v>
      </c>
      <c r="C1773" s="1" t="n">
        <v>46060</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57373-2025</t>
        </is>
      </c>
      <c r="B1774" s="1" t="n">
        <v>45980.38606481482</v>
      </c>
      <c r="C1774" s="1" t="n">
        <v>46060</v>
      </c>
      <c r="D1774" t="inlineStr">
        <is>
          <t>VÄSTERNORRLANDS LÄN</t>
        </is>
      </c>
      <c r="E1774" t="inlineStr">
        <is>
          <t>SOLLEFTEÅ</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21362-2021</t>
        </is>
      </c>
      <c r="B1775" s="1" t="n">
        <v>44320.95611111111</v>
      </c>
      <c r="C1775" s="1" t="n">
        <v>46060</v>
      </c>
      <c r="D1775" t="inlineStr">
        <is>
          <t>VÄSTERNORRLANDS LÄN</t>
        </is>
      </c>
      <c r="E1775" t="inlineStr">
        <is>
          <t>SOLLEFTEÅ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60077-2024</t>
        </is>
      </c>
      <c r="B1776" s="1" t="n">
        <v>45642</v>
      </c>
      <c r="C1776" s="1" t="n">
        <v>46060</v>
      </c>
      <c r="D1776" t="inlineStr">
        <is>
          <t>VÄSTERNORRLANDS LÄN</t>
        </is>
      </c>
      <c r="E1776" t="inlineStr">
        <is>
          <t>SOLLEFTEÅ</t>
        </is>
      </c>
      <c r="F1776" t="inlineStr">
        <is>
          <t>SCA</t>
        </is>
      </c>
      <c r="G1776" t="n">
        <v>21.5</v>
      </c>
      <c r="H1776" t="n">
        <v>0</v>
      </c>
      <c r="I1776" t="n">
        <v>0</v>
      </c>
      <c r="J1776" t="n">
        <v>0</v>
      </c>
      <c r="K1776" t="n">
        <v>0</v>
      </c>
      <c r="L1776" t="n">
        <v>0</v>
      </c>
      <c r="M1776" t="n">
        <v>0</v>
      </c>
      <c r="N1776" t="n">
        <v>0</v>
      </c>
      <c r="O1776" t="n">
        <v>0</v>
      </c>
      <c r="P1776" t="n">
        <v>0</v>
      </c>
      <c r="Q1776" t="n">
        <v>0</v>
      </c>
      <c r="R1776" s="2" t="inlineStr"/>
    </row>
    <row r="1777" ht="15" customHeight="1">
      <c r="A1777" t="inlineStr">
        <is>
          <t>A 11711-2025</t>
        </is>
      </c>
      <c r="B1777" s="1" t="n">
        <v>45727.59398148148</v>
      </c>
      <c r="C1777" s="1" t="n">
        <v>46060</v>
      </c>
      <c r="D1777" t="inlineStr">
        <is>
          <t>VÄSTERNORRLANDS LÄN</t>
        </is>
      </c>
      <c r="E1777" t="inlineStr">
        <is>
          <t>SOLLEFTEÅ</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27936-2024</t>
        </is>
      </c>
      <c r="B1778" s="1" t="n">
        <v>45475.95054398148</v>
      </c>
      <c r="C1778" s="1" t="n">
        <v>46060</v>
      </c>
      <c r="D1778" t="inlineStr">
        <is>
          <t>VÄSTERNORRLANDS LÄN</t>
        </is>
      </c>
      <c r="E1778" t="inlineStr">
        <is>
          <t>SOLLEFTEÅ</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60360-2024</t>
        </is>
      </c>
      <c r="B1779" s="1" t="n">
        <v>45643.44837962963</v>
      </c>
      <c r="C1779" s="1" t="n">
        <v>46060</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57784-2025</t>
        </is>
      </c>
      <c r="B1780" s="1" t="n">
        <v>45981.57376157407</v>
      </c>
      <c r="C1780" s="1" t="n">
        <v>46060</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58151-2025</t>
        </is>
      </c>
      <c r="B1781" s="1" t="n">
        <v>45982.65255787037</v>
      </c>
      <c r="C1781" s="1" t="n">
        <v>46060</v>
      </c>
      <c r="D1781" t="inlineStr">
        <is>
          <t>VÄSTERNORRLANDS LÄN</t>
        </is>
      </c>
      <c r="E1781" t="inlineStr">
        <is>
          <t>SOLLEFTEÅ</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57990-2025</t>
        </is>
      </c>
      <c r="B1782" s="1" t="n">
        <v>45982.4240625</v>
      </c>
      <c r="C1782" s="1" t="n">
        <v>46060</v>
      </c>
      <c r="D1782" t="inlineStr">
        <is>
          <t>VÄSTERNORRLANDS LÄN</t>
        </is>
      </c>
      <c r="E1782" t="inlineStr">
        <is>
          <t>SOLLEFTEÅ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58313-2025</t>
        </is>
      </c>
      <c r="B1783" s="1" t="n">
        <v>45985.47021990741</v>
      </c>
      <c r="C1783" s="1" t="n">
        <v>46060</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53278-2021</t>
        </is>
      </c>
      <c r="B1784" s="1" t="n">
        <v>44467</v>
      </c>
      <c r="C1784" s="1" t="n">
        <v>46060</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58383-2025</t>
        </is>
      </c>
      <c r="B1785" s="1" t="n">
        <v>45985.54152777778</v>
      </c>
      <c r="C1785" s="1" t="n">
        <v>46060</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58512-2025</t>
        </is>
      </c>
      <c r="B1786" s="1" t="n">
        <v>45982</v>
      </c>
      <c r="C1786" s="1" t="n">
        <v>46060</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55726-2024</t>
        </is>
      </c>
      <c r="B1787" s="1" t="n">
        <v>45622.84653935185</v>
      </c>
      <c r="C1787" s="1" t="n">
        <v>46060</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58509-2025</t>
        </is>
      </c>
      <c r="B1788" s="1" t="n">
        <v>45982</v>
      </c>
      <c r="C1788" s="1" t="n">
        <v>46060</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58510-2025</t>
        </is>
      </c>
      <c r="B1789" s="1" t="n">
        <v>45982</v>
      </c>
      <c r="C1789" s="1" t="n">
        <v>46060</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12590-2024</t>
        </is>
      </c>
      <c r="B1790" s="1" t="n">
        <v>45379.93686342592</v>
      </c>
      <c r="C1790" s="1" t="n">
        <v>46060</v>
      </c>
      <c r="D1790" t="inlineStr">
        <is>
          <t>VÄSTERNORRLANDS LÄN</t>
        </is>
      </c>
      <c r="E1790" t="inlineStr">
        <is>
          <t>SOLLEFTEÅ</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34329-2023</t>
        </is>
      </c>
      <c r="B1791" s="1" t="n">
        <v>45138.94997685185</v>
      </c>
      <c r="C1791" s="1" t="n">
        <v>46060</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58032-2025</t>
        </is>
      </c>
      <c r="B1792" s="1" t="n">
        <v>45982.48753472222</v>
      </c>
      <c r="C1792" s="1" t="n">
        <v>46060</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60831-2024</t>
        </is>
      </c>
      <c r="B1793" s="1" t="n">
        <v>45644</v>
      </c>
      <c r="C1793" s="1" t="n">
        <v>46060</v>
      </c>
      <c r="D1793" t="inlineStr">
        <is>
          <t>VÄSTERNORRLANDS LÄN</t>
        </is>
      </c>
      <c r="E1793" t="inlineStr">
        <is>
          <t>SOLLEFTEÅ</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127-2026</t>
        </is>
      </c>
      <c r="B1794" s="1" t="n">
        <v>46020</v>
      </c>
      <c r="C1794" s="1" t="n">
        <v>46060</v>
      </c>
      <c r="D1794" t="inlineStr">
        <is>
          <t>VÄSTERNORRLANDS LÄN</t>
        </is>
      </c>
      <c r="E1794" t="inlineStr">
        <is>
          <t>SOLLEFTEÅ</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58034-2025</t>
        </is>
      </c>
      <c r="B1795" s="1" t="n">
        <v>45982.48967592593</v>
      </c>
      <c r="C1795" s="1" t="n">
        <v>46060</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58505-2025</t>
        </is>
      </c>
      <c r="B1796" s="1" t="n">
        <v>45985.69831018519</v>
      </c>
      <c r="C1796" s="1" t="n">
        <v>46060</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58511-2025</t>
        </is>
      </c>
      <c r="B1797" s="1" t="n">
        <v>45982</v>
      </c>
      <c r="C1797" s="1" t="n">
        <v>46060</v>
      </c>
      <c r="D1797" t="inlineStr">
        <is>
          <t>VÄSTERNORRLANDS LÄN</t>
        </is>
      </c>
      <c r="E1797" t="inlineStr">
        <is>
          <t>SOLLEFTEÅ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58445-2025</t>
        </is>
      </c>
      <c r="B1798" s="1" t="n">
        <v>45985.62047453703</v>
      </c>
      <c r="C1798" s="1" t="n">
        <v>46060</v>
      </c>
      <c r="D1798" t="inlineStr">
        <is>
          <t>VÄSTERNORRLANDS LÄN</t>
        </is>
      </c>
      <c r="E1798" t="inlineStr">
        <is>
          <t>SOLLEFTEÅ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58030-2025</t>
        </is>
      </c>
      <c r="B1799" s="1" t="n">
        <v>45982.48627314815</v>
      </c>
      <c r="C1799" s="1" t="n">
        <v>46060</v>
      </c>
      <c r="D1799" t="inlineStr">
        <is>
          <t>VÄSTERNORRLANDS LÄN</t>
        </is>
      </c>
      <c r="E1799" t="inlineStr">
        <is>
          <t>SOLLEFTEÅ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58046-2025</t>
        </is>
      </c>
      <c r="B1800" s="1" t="n">
        <v>45982.50449074074</v>
      </c>
      <c r="C1800" s="1" t="n">
        <v>46060</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13860-2025</t>
        </is>
      </c>
      <c r="B1801" s="1" t="n">
        <v>45737.57387731481</v>
      </c>
      <c r="C1801" s="1" t="n">
        <v>46060</v>
      </c>
      <c r="D1801" t="inlineStr">
        <is>
          <t>VÄSTERNORRLANDS LÄN</t>
        </is>
      </c>
      <c r="E1801" t="inlineStr">
        <is>
          <t>SOLLEFTEÅ</t>
        </is>
      </c>
      <c r="F1801" t="inlineStr">
        <is>
          <t>SCA</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58126-2025</t>
        </is>
      </c>
      <c r="B1802" s="1" t="n">
        <v>45982.61518518518</v>
      </c>
      <c r="C1802" s="1" t="n">
        <v>46060</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149-2026</t>
        </is>
      </c>
      <c r="B1803" s="1" t="n">
        <v>46020</v>
      </c>
      <c r="C1803" s="1" t="n">
        <v>46060</v>
      </c>
      <c r="D1803" t="inlineStr">
        <is>
          <t>VÄSTERNORRLANDS LÄN</t>
        </is>
      </c>
      <c r="E1803" t="inlineStr">
        <is>
          <t>SOLLEFTEÅ</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52461-2024</t>
        </is>
      </c>
      <c r="B1804" s="1" t="n">
        <v>45609.51947916667</v>
      </c>
      <c r="C1804" s="1" t="n">
        <v>46060</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358-2026</t>
        </is>
      </c>
      <c r="B1805" s="1" t="n">
        <v>46027.65996527778</v>
      </c>
      <c r="C1805" s="1" t="n">
        <v>46060</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58276-2021</t>
        </is>
      </c>
      <c r="B1806" s="1" t="n">
        <v>44487.94453703704</v>
      </c>
      <c r="C1806" s="1" t="n">
        <v>46060</v>
      </c>
      <c r="D1806" t="inlineStr">
        <is>
          <t>VÄSTERNORRLANDS LÄN</t>
        </is>
      </c>
      <c r="E1806" t="inlineStr">
        <is>
          <t>SOLLEFTEÅ</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14353-2025</t>
        </is>
      </c>
      <c r="B1807" s="1" t="n">
        <v>45741.36502314815</v>
      </c>
      <c r="C1807" s="1" t="n">
        <v>46060</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58384-2025</t>
        </is>
      </c>
      <c r="B1808" s="1" t="n">
        <v>45985.54319444444</v>
      </c>
      <c r="C1808" s="1" t="n">
        <v>46060</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58386-2025</t>
        </is>
      </c>
      <c r="B1809" s="1" t="n">
        <v>45985.54576388889</v>
      </c>
      <c r="C1809" s="1" t="n">
        <v>46060</v>
      </c>
      <c r="D1809" t="inlineStr">
        <is>
          <t>VÄSTERNORRLANDS LÄN</t>
        </is>
      </c>
      <c r="E1809" t="inlineStr">
        <is>
          <t>SOLLEFTEÅ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16463-2024</t>
        </is>
      </c>
      <c r="B1810" s="1" t="n">
        <v>45408.05027777778</v>
      </c>
      <c r="C1810" s="1" t="n">
        <v>46060</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16467-2024</t>
        </is>
      </c>
      <c r="B1811" s="1" t="n">
        <v>45408</v>
      </c>
      <c r="C1811" s="1" t="n">
        <v>46060</v>
      </c>
      <c r="D1811" t="inlineStr">
        <is>
          <t>VÄSTERNORRLANDS LÄN</t>
        </is>
      </c>
      <c r="E1811" t="inlineStr">
        <is>
          <t>SOLLEFTEÅ</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58314-2025</t>
        </is>
      </c>
      <c r="B1812" s="1" t="n">
        <v>45985.47027777778</v>
      </c>
      <c r="C1812" s="1" t="n">
        <v>46060</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58205-2025</t>
        </is>
      </c>
      <c r="B1813" s="1" t="n">
        <v>45984.64722222222</v>
      </c>
      <c r="C1813" s="1" t="n">
        <v>46060</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12972-2023</t>
        </is>
      </c>
      <c r="B1814" s="1" t="n">
        <v>45001</v>
      </c>
      <c r="C1814" s="1" t="n">
        <v>46060</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58152-2025</t>
        </is>
      </c>
      <c r="B1815" s="1" t="n">
        <v>45982.65260416667</v>
      </c>
      <c r="C1815" s="1" t="n">
        <v>46060</v>
      </c>
      <c r="D1815" t="inlineStr">
        <is>
          <t>VÄSTERNORRLANDS LÄN</t>
        </is>
      </c>
      <c r="E1815" t="inlineStr">
        <is>
          <t>SOLLEFTEÅ</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58153-2025</t>
        </is>
      </c>
      <c r="B1816" s="1" t="n">
        <v>45982.65262731481</v>
      </c>
      <c r="C1816" s="1" t="n">
        <v>46060</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58027-2025</t>
        </is>
      </c>
      <c r="B1817" s="1" t="n">
        <v>45982.48417824074</v>
      </c>
      <c r="C1817" s="1" t="n">
        <v>46060</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58315-2025</t>
        </is>
      </c>
      <c r="B1818" s="1" t="n">
        <v>45985.47033564815</v>
      </c>
      <c r="C1818" s="1" t="n">
        <v>46060</v>
      </c>
      <c r="D1818" t="inlineStr">
        <is>
          <t>VÄSTERNORRLANDS LÄN</t>
        </is>
      </c>
      <c r="E1818" t="inlineStr">
        <is>
          <t>SOLLEFTEÅ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17512-2024</t>
        </is>
      </c>
      <c r="B1819" s="1" t="n">
        <v>45415</v>
      </c>
      <c r="C1819" s="1" t="n">
        <v>46060</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58234-2025</t>
        </is>
      </c>
      <c r="B1820" s="1" t="n">
        <v>45985.38688657407</v>
      </c>
      <c r="C1820" s="1" t="n">
        <v>46060</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56311-2023</t>
        </is>
      </c>
      <c r="B1821" s="1" t="n">
        <v>45242.94203703704</v>
      </c>
      <c r="C1821" s="1" t="n">
        <v>46060</v>
      </c>
      <c r="D1821" t="inlineStr">
        <is>
          <t>VÄSTERNORRLANDS LÄN</t>
        </is>
      </c>
      <c r="E1821" t="inlineStr">
        <is>
          <t>SOLLEFTEÅ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58845-2025</t>
        </is>
      </c>
      <c r="B1822" s="1" t="n">
        <v>45987.3859375</v>
      </c>
      <c r="C1822" s="1" t="n">
        <v>46060</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738-2026</t>
        </is>
      </c>
      <c r="B1823" s="1" t="n">
        <v>46029.65686342592</v>
      </c>
      <c r="C1823" s="1" t="n">
        <v>46060</v>
      </c>
      <c r="D1823" t="inlineStr">
        <is>
          <t>VÄSTERNORRLANDS LÄN</t>
        </is>
      </c>
      <c r="E1823" t="inlineStr">
        <is>
          <t>SOLLEFTEÅ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46060</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774-2025</t>
        </is>
      </c>
      <c r="B1825" s="1" t="n">
        <v>45659</v>
      </c>
      <c r="C1825" s="1" t="n">
        <v>46060</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775-2025</t>
        </is>
      </c>
      <c r="B1826" s="1" t="n">
        <v>45659</v>
      </c>
      <c r="C1826" s="1" t="n">
        <v>46060</v>
      </c>
      <c r="D1826" t="inlineStr">
        <is>
          <t>VÄSTERNORRLANDS LÄN</t>
        </is>
      </c>
      <c r="E1826" t="inlineStr">
        <is>
          <t>SOLLEFTEÅ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58973-2025</t>
        </is>
      </c>
      <c r="B1827" s="1" t="n">
        <v>45987</v>
      </c>
      <c r="C1827" s="1" t="n">
        <v>46060</v>
      </c>
      <c r="D1827" t="inlineStr">
        <is>
          <t>VÄSTERNORRLANDS LÄN</t>
        </is>
      </c>
      <c r="E1827" t="inlineStr">
        <is>
          <t>SOLLEFTEÅ</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58999-2025</t>
        </is>
      </c>
      <c r="B1828" s="1" t="n">
        <v>45987</v>
      </c>
      <c r="C1828" s="1" t="n">
        <v>46060</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403-2026</t>
        </is>
      </c>
      <c r="B1829" s="1" t="n">
        <v>46028.66550925926</v>
      </c>
      <c r="C1829" s="1" t="n">
        <v>46060</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5394-2025</t>
        </is>
      </c>
      <c r="B1830" s="1" t="n">
        <v>45692.63591435185</v>
      </c>
      <c r="C1830" s="1" t="n">
        <v>46060</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13252-2023</t>
        </is>
      </c>
      <c r="B1831" s="1" t="n">
        <v>45002</v>
      </c>
      <c r="C1831" s="1" t="n">
        <v>46060</v>
      </c>
      <c r="D1831" t="inlineStr">
        <is>
          <t>VÄSTERNORRLANDS LÄN</t>
        </is>
      </c>
      <c r="E1831" t="inlineStr">
        <is>
          <t>SOLLEFTEÅ</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658-2026</t>
        </is>
      </c>
      <c r="B1832" s="1" t="n">
        <v>46029.58168981481</v>
      </c>
      <c r="C1832" s="1" t="n">
        <v>46060</v>
      </c>
      <c r="D1832" t="inlineStr">
        <is>
          <t>VÄSTERNORRLANDS LÄN</t>
        </is>
      </c>
      <c r="E1832" t="inlineStr">
        <is>
          <t>SOLLEFTEÅ</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48001-2024</t>
        </is>
      </c>
      <c r="B1833" s="1" t="n">
        <v>45589.44826388889</v>
      </c>
      <c r="C1833" s="1" t="n">
        <v>46060</v>
      </c>
      <c r="D1833" t="inlineStr">
        <is>
          <t>VÄSTERNORRLANDS LÄN</t>
        </is>
      </c>
      <c r="E1833" t="inlineStr">
        <is>
          <t>SOLLEFTEÅ</t>
        </is>
      </c>
      <c r="F1833" t="inlineStr">
        <is>
          <t>SCA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61997-2022</t>
        </is>
      </c>
      <c r="B1834" s="1" t="n">
        <v>44914</v>
      </c>
      <c r="C1834" s="1" t="n">
        <v>46060</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58948-2025</t>
        </is>
      </c>
      <c r="B1835" s="1" t="n">
        <v>45987</v>
      </c>
      <c r="C1835" s="1" t="n">
        <v>46060</v>
      </c>
      <c r="D1835" t="inlineStr">
        <is>
          <t>VÄSTERNORRLANDS LÄN</t>
        </is>
      </c>
      <c r="E1835" t="inlineStr">
        <is>
          <t>SOLLEFTEÅ</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39429-2024</t>
        </is>
      </c>
      <c r="B1836" s="1" t="n">
        <v>45551.59427083333</v>
      </c>
      <c r="C1836" s="1" t="n">
        <v>46060</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58558-2025</t>
        </is>
      </c>
      <c r="B1837" s="1" t="n">
        <v>45986.34451388889</v>
      </c>
      <c r="C1837" s="1" t="n">
        <v>46060</v>
      </c>
      <c r="D1837" t="inlineStr">
        <is>
          <t>VÄSTERNORRLANDS LÄN</t>
        </is>
      </c>
      <c r="E1837" t="inlineStr">
        <is>
          <t>SOLLEFTEÅ</t>
        </is>
      </c>
      <c r="F1837" t="inlineStr">
        <is>
          <t>SCA</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11551-2023</t>
        </is>
      </c>
      <c r="B1838" s="1" t="n">
        <v>44993</v>
      </c>
      <c r="C1838" s="1" t="n">
        <v>46060</v>
      </c>
      <c r="D1838" t="inlineStr">
        <is>
          <t>VÄSTERNORRLANDS LÄN</t>
        </is>
      </c>
      <c r="E1838" t="inlineStr">
        <is>
          <t>SOLLEFTEÅ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58998-2025</t>
        </is>
      </c>
      <c r="B1839" s="1" t="n">
        <v>45987</v>
      </c>
      <c r="C1839" s="1" t="n">
        <v>46060</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59002-2025</t>
        </is>
      </c>
      <c r="B1840" s="1" t="n">
        <v>45987</v>
      </c>
      <c r="C1840" s="1" t="n">
        <v>46060</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58772-2025</t>
        </is>
      </c>
      <c r="B1841" s="1" t="n">
        <v>45986</v>
      </c>
      <c r="C1841" s="1" t="n">
        <v>46060</v>
      </c>
      <c r="D1841" t="inlineStr">
        <is>
          <t>VÄSTERNORRLANDS LÄN</t>
        </is>
      </c>
      <c r="E1841" t="inlineStr">
        <is>
          <t>SOLLEFTEÅ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9072-2025</t>
        </is>
      </c>
      <c r="B1842" s="1" t="n">
        <v>45713.65673611111</v>
      </c>
      <c r="C1842" s="1" t="n">
        <v>46060</v>
      </c>
      <c r="D1842" t="inlineStr">
        <is>
          <t>VÄSTERNORRLANDS LÄN</t>
        </is>
      </c>
      <c r="E1842" t="inlineStr">
        <is>
          <t>SOLLEFTEÅ</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10737-2025</t>
        </is>
      </c>
      <c r="B1843" s="1" t="n">
        <v>45722</v>
      </c>
      <c r="C1843" s="1" t="n">
        <v>46060</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61778-2024</t>
        </is>
      </c>
      <c r="B1844" s="1" t="n">
        <v>45649.46961805555</v>
      </c>
      <c r="C1844" s="1" t="n">
        <v>46060</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11117-2022</t>
        </is>
      </c>
      <c r="B1845" s="1" t="n">
        <v>44628.94248842593</v>
      </c>
      <c r="C1845" s="1" t="n">
        <v>46060</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58382-2025</t>
        </is>
      </c>
      <c r="B1846" s="1" t="n">
        <v>45982</v>
      </c>
      <c r="C1846" s="1" t="n">
        <v>46060</v>
      </c>
      <c r="D1846" t="inlineStr">
        <is>
          <t>VÄSTERNORRLANDS LÄN</t>
        </is>
      </c>
      <c r="E1846" t="inlineStr">
        <is>
          <t>SOLLEFTEÅ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58391-2025</t>
        </is>
      </c>
      <c r="B1847" s="1" t="n">
        <v>45982</v>
      </c>
      <c r="C1847" s="1" t="n">
        <v>46060</v>
      </c>
      <c r="D1847" t="inlineStr">
        <is>
          <t>VÄSTERNORRLANDS LÄN</t>
        </is>
      </c>
      <c r="E1847" t="inlineStr">
        <is>
          <t>SOLLEFTEÅ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59181-2025</t>
        </is>
      </c>
      <c r="B1848" s="1" t="n">
        <v>45988.57390046296</v>
      </c>
      <c r="C1848" s="1" t="n">
        <v>46060</v>
      </c>
      <c r="D1848" t="inlineStr">
        <is>
          <t>VÄSTERNORRLANDS LÄN</t>
        </is>
      </c>
      <c r="E1848" t="inlineStr">
        <is>
          <t>SOLLEFTEÅ</t>
        </is>
      </c>
      <c r="F1848" t="inlineStr">
        <is>
          <t>SCA</t>
        </is>
      </c>
      <c r="G1848" t="n">
        <v>28.3</v>
      </c>
      <c r="H1848" t="n">
        <v>0</v>
      </c>
      <c r="I1848" t="n">
        <v>0</v>
      </c>
      <c r="J1848" t="n">
        <v>0</v>
      </c>
      <c r="K1848" t="n">
        <v>0</v>
      </c>
      <c r="L1848" t="n">
        <v>0</v>
      </c>
      <c r="M1848" t="n">
        <v>0</v>
      </c>
      <c r="N1848" t="n">
        <v>0</v>
      </c>
      <c r="O1848" t="n">
        <v>0</v>
      </c>
      <c r="P1848" t="n">
        <v>0</v>
      </c>
      <c r="Q1848" t="n">
        <v>0</v>
      </c>
      <c r="R1848" s="2" t="inlineStr"/>
    </row>
    <row r="1849" ht="15" customHeight="1">
      <c r="A1849" t="inlineStr">
        <is>
          <t>A 18621-2024</t>
        </is>
      </c>
      <c r="B1849" s="1" t="n">
        <v>45425</v>
      </c>
      <c r="C1849" s="1" t="n">
        <v>46060</v>
      </c>
      <c r="D1849" t="inlineStr">
        <is>
          <t>VÄSTERNORRLANDS LÄN</t>
        </is>
      </c>
      <c r="E1849" t="inlineStr">
        <is>
          <t>SOLLEFTEÅ</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18622-2024</t>
        </is>
      </c>
      <c r="B1850" s="1" t="n">
        <v>45425.96364583333</v>
      </c>
      <c r="C1850" s="1" t="n">
        <v>46060</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59408-2025</t>
        </is>
      </c>
      <c r="B1851" s="1" t="n">
        <v>45989.49541666666</v>
      </c>
      <c r="C1851" s="1" t="n">
        <v>46060</v>
      </c>
      <c r="D1851" t="inlineStr">
        <is>
          <t>VÄSTERNORRLANDS LÄN</t>
        </is>
      </c>
      <c r="E1851" t="inlineStr">
        <is>
          <t>SOLLEFTEÅ</t>
        </is>
      </c>
      <c r="F1851" t="inlineStr">
        <is>
          <t>Holmen skog AB</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40569-2024</t>
        </is>
      </c>
      <c r="B1852" s="1" t="n">
        <v>45555.67744212963</v>
      </c>
      <c r="C1852" s="1" t="n">
        <v>46060</v>
      </c>
      <c r="D1852" t="inlineStr">
        <is>
          <t>VÄSTERNORRLANDS LÄN</t>
        </is>
      </c>
      <c r="E1852" t="inlineStr">
        <is>
          <t>SOLLEFTEÅ</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59436-2025</t>
        </is>
      </c>
      <c r="B1853" s="1" t="n">
        <v>45989.55641203704</v>
      </c>
      <c r="C1853" s="1" t="n">
        <v>46060</v>
      </c>
      <c r="D1853" t="inlineStr">
        <is>
          <t>VÄSTERNORRLANDS LÄN</t>
        </is>
      </c>
      <c r="E1853" t="inlineStr">
        <is>
          <t>SOLLEFTEÅ</t>
        </is>
      </c>
      <c r="F1853" t="inlineStr">
        <is>
          <t>Holmen skog AB</t>
        </is>
      </c>
      <c r="G1853" t="n">
        <v>20</v>
      </c>
      <c r="H1853" t="n">
        <v>0</v>
      </c>
      <c r="I1853" t="n">
        <v>0</v>
      </c>
      <c r="J1853" t="n">
        <v>0</v>
      </c>
      <c r="K1853" t="n">
        <v>0</v>
      </c>
      <c r="L1853" t="n">
        <v>0</v>
      </c>
      <c r="M1853" t="n">
        <v>0</v>
      </c>
      <c r="N1853" t="n">
        <v>0</v>
      </c>
      <c r="O1853" t="n">
        <v>0</v>
      </c>
      <c r="P1853" t="n">
        <v>0</v>
      </c>
      <c r="Q1853" t="n">
        <v>0</v>
      </c>
      <c r="R1853" s="2" t="inlineStr"/>
    </row>
    <row r="1854" ht="15" customHeight="1">
      <c r="A1854" t="inlineStr">
        <is>
          <t>A 58508-2025</t>
        </is>
      </c>
      <c r="B1854" s="1" t="n">
        <v>45982</v>
      </c>
      <c r="C1854" s="1" t="n">
        <v>46060</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1066-2026</t>
        </is>
      </c>
      <c r="B1855" s="1" t="n">
        <v>46030.64322916666</v>
      </c>
      <c r="C1855" s="1" t="n">
        <v>46060</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13539-2024</t>
        </is>
      </c>
      <c r="B1856" s="1" t="n">
        <v>45387.92583333333</v>
      </c>
      <c r="C1856" s="1" t="n">
        <v>46060</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59038-2025</t>
        </is>
      </c>
      <c r="B1857" s="1" t="n">
        <v>45988.36515046296</v>
      </c>
      <c r="C1857" s="1" t="n">
        <v>46060</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59051-2025</t>
        </is>
      </c>
      <c r="B1858" s="1" t="n">
        <v>45988.38612268519</v>
      </c>
      <c r="C1858" s="1" t="n">
        <v>46060</v>
      </c>
      <c r="D1858" t="inlineStr">
        <is>
          <t>VÄSTERNORRLANDS LÄN</t>
        </is>
      </c>
      <c r="E1858" t="inlineStr">
        <is>
          <t>SOLLEFTEÅ</t>
        </is>
      </c>
      <c r="F1858" t="inlineStr">
        <is>
          <t>SCA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34543-2022</t>
        </is>
      </c>
      <c r="B1859" s="1" t="n">
        <v>44793</v>
      </c>
      <c r="C1859" s="1" t="n">
        <v>46060</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42115-2024</t>
        </is>
      </c>
      <c r="B1860" s="1" t="n">
        <v>45562.38615740741</v>
      </c>
      <c r="C1860" s="1" t="n">
        <v>46060</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896-2026</t>
        </is>
      </c>
      <c r="B1861" s="1" t="n">
        <v>46030.46054398148</v>
      </c>
      <c r="C1861" s="1" t="n">
        <v>46060</v>
      </c>
      <c r="D1861" t="inlineStr">
        <is>
          <t>VÄSTERNORRLANDS LÄN</t>
        </is>
      </c>
      <c r="E1861" t="inlineStr">
        <is>
          <t>SOLLEFTEÅ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1031-2026</t>
        </is>
      </c>
      <c r="B1862" s="1" t="n">
        <v>46030.61530092593</v>
      </c>
      <c r="C1862" s="1" t="n">
        <v>46060</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67702-2021</t>
        </is>
      </c>
      <c r="B1863" s="1" t="n">
        <v>44524.94660879629</v>
      </c>
      <c r="C1863" s="1" t="n">
        <v>46060</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3633-2024</t>
        </is>
      </c>
      <c r="B1864" s="1" t="n">
        <v>45320</v>
      </c>
      <c r="C1864" s="1" t="n">
        <v>46060</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46060</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59260-2025</t>
        </is>
      </c>
      <c r="B1866" s="1" t="n">
        <v>45988.65762731482</v>
      </c>
      <c r="C1866" s="1" t="n">
        <v>46060</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51573-2024</t>
        </is>
      </c>
      <c r="B1867" s="1" t="n">
        <v>45604</v>
      </c>
      <c r="C1867" s="1" t="n">
        <v>46060</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59648-2025</t>
        </is>
      </c>
      <c r="B1868" s="1" t="n">
        <v>45992.42827546296</v>
      </c>
      <c r="C1868" s="1" t="n">
        <v>46060</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60063-2025</t>
        </is>
      </c>
      <c r="B1869" s="1" t="n">
        <v>45993.65711805555</v>
      </c>
      <c r="C1869" s="1" t="n">
        <v>46060</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18459-2021</t>
        </is>
      </c>
      <c r="B1870" s="1" t="n">
        <v>44305.93701388889</v>
      </c>
      <c r="C1870" s="1" t="n">
        <v>46060</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9254-2025</t>
        </is>
      </c>
      <c r="B1871" s="1" t="n">
        <v>45714.59442129629</v>
      </c>
      <c r="C1871" s="1" t="n">
        <v>46060</v>
      </c>
      <c r="D1871" t="inlineStr">
        <is>
          <t>VÄSTERNORRLANDS LÄN</t>
        </is>
      </c>
      <c r="E1871" t="inlineStr">
        <is>
          <t>SOLLEFTEÅ</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59865-2025</t>
        </is>
      </c>
      <c r="B1872" s="1" t="n">
        <v>45992.86313657407</v>
      </c>
      <c r="C1872" s="1" t="n">
        <v>46060</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59766-2025</t>
        </is>
      </c>
      <c r="B1873" s="1" t="n">
        <v>45992.59480324074</v>
      </c>
      <c r="C1873" s="1" t="n">
        <v>46060</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59999-2025</t>
        </is>
      </c>
      <c r="B1874" s="1" t="n">
        <v>45993.57372685185</v>
      </c>
      <c r="C1874" s="1" t="n">
        <v>46060</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1812-2026</t>
        </is>
      </c>
      <c r="B1875" s="1" t="n">
        <v>46035.34425925926</v>
      </c>
      <c r="C1875" s="1" t="n">
        <v>46060</v>
      </c>
      <c r="D1875" t="inlineStr">
        <is>
          <t>VÄSTERNORRLANDS LÄN</t>
        </is>
      </c>
      <c r="E1875" t="inlineStr">
        <is>
          <t>SOLLEFTEÅ</t>
        </is>
      </c>
      <c r="F1875" t="inlineStr">
        <is>
          <t>SCA</t>
        </is>
      </c>
      <c r="G1875" t="n">
        <v>25.8</v>
      </c>
      <c r="H1875" t="n">
        <v>0</v>
      </c>
      <c r="I1875" t="n">
        <v>0</v>
      </c>
      <c r="J1875" t="n">
        <v>0</v>
      </c>
      <c r="K1875" t="n">
        <v>0</v>
      </c>
      <c r="L1875" t="n">
        <v>0</v>
      </c>
      <c r="M1875" t="n">
        <v>0</v>
      </c>
      <c r="N1875" t="n">
        <v>0</v>
      </c>
      <c r="O1875" t="n">
        <v>0</v>
      </c>
      <c r="P1875" t="n">
        <v>0</v>
      </c>
      <c r="Q1875" t="n">
        <v>0</v>
      </c>
      <c r="R1875" s="2" t="inlineStr"/>
    </row>
    <row r="1876" ht="15" customHeight="1">
      <c r="A1876" t="inlineStr">
        <is>
          <t>A 42164-2023</t>
        </is>
      </c>
      <c r="B1876" s="1" t="n">
        <v>45177.93747685185</v>
      </c>
      <c r="C1876" s="1" t="n">
        <v>46060</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42514-2023</t>
        </is>
      </c>
      <c r="B1877" s="1" t="n">
        <v>45180.95969907408</v>
      </c>
      <c r="C1877" s="1" t="n">
        <v>46060</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59541-2025</t>
        </is>
      </c>
      <c r="B1878" s="1" t="n">
        <v>45990.34443287037</v>
      </c>
      <c r="C1878" s="1" t="n">
        <v>46060</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59789-2025</t>
        </is>
      </c>
      <c r="B1879" s="1" t="n">
        <v>45992.61519675926</v>
      </c>
      <c r="C1879" s="1" t="n">
        <v>46060</v>
      </c>
      <c r="D1879" t="inlineStr">
        <is>
          <t>VÄSTERNORRLANDS LÄN</t>
        </is>
      </c>
      <c r="E1879" t="inlineStr">
        <is>
          <t>SOLLEFTEÅ</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37696-2023</t>
        </is>
      </c>
      <c r="B1880" s="1" t="n">
        <v>45156</v>
      </c>
      <c r="C1880" s="1" t="n">
        <v>46060</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59842-2025</t>
        </is>
      </c>
      <c r="B1881" s="1" t="n">
        <v>45992.67807870371</v>
      </c>
      <c r="C1881" s="1" t="n">
        <v>46060</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59849-2025</t>
        </is>
      </c>
      <c r="B1882" s="1" t="n">
        <v>45992.70704861111</v>
      </c>
      <c r="C1882" s="1" t="n">
        <v>46060</v>
      </c>
      <c r="D1882" t="inlineStr">
        <is>
          <t>VÄSTERNORRLANDS LÄN</t>
        </is>
      </c>
      <c r="E1882" t="inlineStr">
        <is>
          <t>SOLLEFTEÅ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34878-2024</t>
        </is>
      </c>
      <c r="B1883" s="1" t="n">
        <v>45527</v>
      </c>
      <c r="C1883" s="1" t="n">
        <v>46060</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59679-2025</t>
        </is>
      </c>
      <c r="B1884" s="1" t="n">
        <v>45992.46934027778</v>
      </c>
      <c r="C1884" s="1" t="n">
        <v>46060</v>
      </c>
      <c r="D1884" t="inlineStr">
        <is>
          <t>VÄSTERNORRLANDS LÄN</t>
        </is>
      </c>
      <c r="E1884" t="inlineStr">
        <is>
          <t>SOLLEFTEÅ</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59764-2025</t>
        </is>
      </c>
      <c r="B1885" s="1" t="n">
        <v>45992.59456018519</v>
      </c>
      <c r="C1885" s="1" t="n">
        <v>46060</v>
      </c>
      <c r="D1885" t="inlineStr">
        <is>
          <t>VÄSTERNORRLANDS LÄN</t>
        </is>
      </c>
      <c r="E1885" t="inlineStr">
        <is>
          <t>SOLLEFTEÅ</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59765-2025</t>
        </is>
      </c>
      <c r="B1886" s="1" t="n">
        <v>45992.59473379629</v>
      </c>
      <c r="C1886" s="1" t="n">
        <v>46060</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31681-2024</t>
        </is>
      </c>
      <c r="B1887" s="1" t="n">
        <v>45506.94902777778</v>
      </c>
      <c r="C1887" s="1" t="n">
        <v>46060</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59758-2025</t>
        </is>
      </c>
      <c r="B1888" s="1" t="n">
        <v>45992.59136574074</v>
      </c>
      <c r="C1888" s="1" t="n">
        <v>46060</v>
      </c>
      <c r="D1888" t="inlineStr">
        <is>
          <t>VÄSTERNORRLANDS LÄN</t>
        </is>
      </c>
      <c r="E1888" t="inlineStr">
        <is>
          <t>SOLLEFTEÅ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54233-2024</t>
        </is>
      </c>
      <c r="B1889" s="1" t="n">
        <v>45616.67791666667</v>
      </c>
      <c r="C1889" s="1" t="n">
        <v>46060</v>
      </c>
      <c r="D1889" t="inlineStr">
        <is>
          <t>VÄSTERNORRLANDS LÄN</t>
        </is>
      </c>
      <c r="E1889" t="inlineStr">
        <is>
          <t>SOLLEFTEÅ</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59645-2025</t>
        </is>
      </c>
      <c r="B1890" s="1" t="n">
        <v>45992.42796296296</v>
      </c>
      <c r="C1890" s="1" t="n">
        <v>46060</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38100-2023</t>
        </is>
      </c>
      <c r="B1891" s="1" t="n">
        <v>45160.9647800926</v>
      </c>
      <c r="C1891" s="1" t="n">
        <v>46060</v>
      </c>
      <c r="D1891" t="inlineStr">
        <is>
          <t>VÄSTERNORRLANDS LÄN</t>
        </is>
      </c>
      <c r="E1891" t="inlineStr">
        <is>
          <t>SOLLEFTEÅ</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59767-2025</t>
        </is>
      </c>
      <c r="B1892" s="1" t="n">
        <v>45992.59505787037</v>
      </c>
      <c r="C1892" s="1" t="n">
        <v>46060</v>
      </c>
      <c r="D1892" t="inlineStr">
        <is>
          <t>VÄSTERNORRLANDS LÄN</t>
        </is>
      </c>
      <c r="E1892" t="inlineStr">
        <is>
          <t>SOLLEFTEÅ</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2027-2026</t>
        </is>
      </c>
      <c r="B1893" s="1" t="n">
        <v>46035.72739583333</v>
      </c>
      <c r="C1893" s="1" t="n">
        <v>46060</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1964-2026</t>
        </is>
      </c>
      <c r="B1894" s="1" t="n">
        <v>46035.63594907407</v>
      </c>
      <c r="C1894" s="1" t="n">
        <v>46060</v>
      </c>
      <c r="D1894" t="inlineStr">
        <is>
          <t>VÄSTERNORRLANDS LÄN</t>
        </is>
      </c>
      <c r="E1894" t="inlineStr">
        <is>
          <t>SOLLEFTEÅ</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25877-2021</t>
        </is>
      </c>
      <c r="B1895" s="1" t="n">
        <v>44344</v>
      </c>
      <c r="C1895" s="1" t="n">
        <v>46060</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60036-2025</t>
        </is>
      </c>
      <c r="B1896" s="1" t="n">
        <v>45993.61569444444</v>
      </c>
      <c r="C1896" s="1" t="n">
        <v>46060</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23542-2024</t>
        </is>
      </c>
      <c r="B1897" s="1" t="n">
        <v>45453.95262731481</v>
      </c>
      <c r="C1897" s="1" t="n">
        <v>46060</v>
      </c>
      <c r="D1897" t="inlineStr">
        <is>
          <t>VÄSTERNORRLANDS LÄN</t>
        </is>
      </c>
      <c r="E1897" t="inlineStr">
        <is>
          <t>SOLLEFTEÅ</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59680-2025</t>
        </is>
      </c>
      <c r="B1898" s="1" t="n">
        <v>45992.46940972222</v>
      </c>
      <c r="C1898" s="1" t="n">
        <v>46060</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1601-2026</t>
        </is>
      </c>
      <c r="B1899" s="1" t="n">
        <v>46034.45820601852</v>
      </c>
      <c r="C1899" s="1" t="n">
        <v>46060</v>
      </c>
      <c r="D1899" t="inlineStr">
        <is>
          <t>VÄSTERNORRLANDS LÄN</t>
        </is>
      </c>
      <c r="E1899" t="inlineStr">
        <is>
          <t>SOLLEFTEÅ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18861-2023</t>
        </is>
      </c>
      <c r="B1900" s="1" t="n">
        <v>45042</v>
      </c>
      <c r="C1900" s="1" t="n">
        <v>46060</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17993-2025</t>
        </is>
      </c>
      <c r="B1901" s="1" t="n">
        <v>45761.40673611111</v>
      </c>
      <c r="C1901" s="1" t="n">
        <v>46060</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59866-2025</t>
        </is>
      </c>
      <c r="B1902" s="1" t="n">
        <v>45992.86497685185</v>
      </c>
      <c r="C1902" s="1" t="n">
        <v>46060</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59592-2025</t>
        </is>
      </c>
      <c r="B1903" s="1" t="n">
        <v>45992.34443287037</v>
      </c>
      <c r="C1903" s="1" t="n">
        <v>46060</v>
      </c>
      <c r="D1903" t="inlineStr">
        <is>
          <t>VÄSTERNORRLANDS LÄN</t>
        </is>
      </c>
      <c r="E1903" t="inlineStr">
        <is>
          <t>SOLLEFTEÅ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2023-2026</t>
        </is>
      </c>
      <c r="B1904" s="1" t="n">
        <v>46035.72098379629</v>
      </c>
      <c r="C1904" s="1" t="n">
        <v>46060</v>
      </c>
      <c r="D1904" t="inlineStr">
        <is>
          <t>VÄSTERNORRLANDS LÄN</t>
        </is>
      </c>
      <c r="E1904" t="inlineStr">
        <is>
          <t>SOLLEFTEÅ</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1999-2026</t>
        </is>
      </c>
      <c r="B1905" s="1" t="n">
        <v>46035.67773148148</v>
      </c>
      <c r="C1905" s="1" t="n">
        <v>46060</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59896-2025</t>
        </is>
      </c>
      <c r="B1906" s="1" t="n">
        <v>45993.34427083333</v>
      </c>
      <c r="C1906" s="1" t="n">
        <v>46060</v>
      </c>
      <c r="D1906" t="inlineStr">
        <is>
          <t>VÄSTERNORRLANDS LÄN</t>
        </is>
      </c>
      <c r="E1906" t="inlineStr">
        <is>
          <t>SOLLEFTEÅ</t>
        </is>
      </c>
      <c r="F1906" t="inlineStr">
        <is>
          <t>SCA</t>
        </is>
      </c>
      <c r="G1906" t="n">
        <v>16.1</v>
      </c>
      <c r="H1906" t="n">
        <v>0</v>
      </c>
      <c r="I1906" t="n">
        <v>0</v>
      </c>
      <c r="J1906" t="n">
        <v>0</v>
      </c>
      <c r="K1906" t="n">
        <v>0</v>
      </c>
      <c r="L1906" t="n">
        <v>0</v>
      </c>
      <c r="M1906" t="n">
        <v>0</v>
      </c>
      <c r="N1906" t="n">
        <v>0</v>
      </c>
      <c r="O1906" t="n">
        <v>0</v>
      </c>
      <c r="P1906" t="n">
        <v>0</v>
      </c>
      <c r="Q1906" t="n">
        <v>0</v>
      </c>
      <c r="R1906" s="2" t="inlineStr"/>
    </row>
    <row r="1907" ht="15" customHeight="1">
      <c r="A1907" t="inlineStr">
        <is>
          <t>A 2391-2026</t>
        </is>
      </c>
      <c r="B1907" s="1" t="n">
        <v>46035</v>
      </c>
      <c r="C1907" s="1" t="n">
        <v>46060</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2453-2026</t>
        </is>
      </c>
      <c r="B1908" s="1" t="n">
        <v>46037.34457175926</v>
      </c>
      <c r="C1908" s="1" t="n">
        <v>46060</v>
      </c>
      <c r="D1908" t="inlineStr">
        <is>
          <t>VÄSTERNORRLANDS LÄN</t>
        </is>
      </c>
      <c r="E1908" t="inlineStr">
        <is>
          <t>SOLLEFTEÅ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49253-2024</t>
        </is>
      </c>
      <c r="B1909" s="1" t="n">
        <v>45595</v>
      </c>
      <c r="C1909" s="1" t="n">
        <v>46060</v>
      </c>
      <c r="D1909" t="inlineStr">
        <is>
          <t>VÄSTERNORRLANDS LÄN</t>
        </is>
      </c>
      <c r="E1909" t="inlineStr">
        <is>
          <t>SOLLEFTEÅ</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60515-2025</t>
        </is>
      </c>
      <c r="B1910" s="1" t="n">
        <v>45995</v>
      </c>
      <c r="C1910" s="1" t="n">
        <v>46060</v>
      </c>
      <c r="D1910" t="inlineStr">
        <is>
          <t>VÄSTERNORRLANDS LÄN</t>
        </is>
      </c>
      <c r="E1910" t="inlineStr">
        <is>
          <t>SOLLEFTEÅ</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2376-2026</t>
        </is>
      </c>
      <c r="B1911" s="1" t="n">
        <v>46036.65675925926</v>
      </c>
      <c r="C1911" s="1" t="n">
        <v>46060</v>
      </c>
      <c r="D1911" t="inlineStr">
        <is>
          <t>VÄSTERNORRLANDS LÄN</t>
        </is>
      </c>
      <c r="E1911" t="inlineStr">
        <is>
          <t>SOLLEFTEÅ</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11455-2025</t>
        </is>
      </c>
      <c r="B1912" s="1" t="n">
        <v>45726.64886574074</v>
      </c>
      <c r="C1912" s="1" t="n">
        <v>46060</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10138-2022</t>
        </is>
      </c>
      <c r="B1913" s="1" t="n">
        <v>44621.94612268519</v>
      </c>
      <c r="C1913" s="1" t="n">
        <v>46060</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2459-2026</t>
        </is>
      </c>
      <c r="B1914" s="1" t="n">
        <v>46035</v>
      </c>
      <c r="C1914" s="1" t="n">
        <v>46060</v>
      </c>
      <c r="D1914" t="inlineStr">
        <is>
          <t>VÄSTERNORRLANDS LÄN</t>
        </is>
      </c>
      <c r="E1914" t="inlineStr">
        <is>
          <t>SOLLEFTEÅ</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11746-2025</t>
        </is>
      </c>
      <c r="B1915" s="1" t="n">
        <v>45727.63577546296</v>
      </c>
      <c r="C1915" s="1" t="n">
        <v>46060</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60514-2025</t>
        </is>
      </c>
      <c r="B1916" s="1" t="n">
        <v>45995.63584490741</v>
      </c>
      <c r="C1916" s="1" t="n">
        <v>46060</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60516-2025</t>
        </is>
      </c>
      <c r="B1917" s="1" t="n">
        <v>45995.63630787037</v>
      </c>
      <c r="C1917" s="1" t="n">
        <v>46060</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51847-2021</t>
        </is>
      </c>
      <c r="B1918" s="1" t="n">
        <v>44462.69077546296</v>
      </c>
      <c r="C1918" s="1" t="n">
        <v>46060</v>
      </c>
      <c r="D1918" t="inlineStr">
        <is>
          <t>VÄSTERNORRLANDS LÄN</t>
        </is>
      </c>
      <c r="E1918" t="inlineStr">
        <is>
          <t>SOLLEFTEÅ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30063-2024</t>
        </is>
      </c>
      <c r="B1919" s="1" t="n">
        <v>45488.94841435185</v>
      </c>
      <c r="C1919" s="1" t="n">
        <v>46060</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2263-2026</t>
        </is>
      </c>
      <c r="B1920" s="1" t="n">
        <v>46036.56760416667</v>
      </c>
      <c r="C1920" s="1" t="n">
        <v>46060</v>
      </c>
      <c r="D1920" t="inlineStr">
        <is>
          <t>VÄSTERNORRLANDS LÄN</t>
        </is>
      </c>
      <c r="E1920" t="inlineStr">
        <is>
          <t>SOLLEFTEÅ</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59317-2024</t>
        </is>
      </c>
      <c r="B1921" s="1" t="n">
        <v>45637.69873842593</v>
      </c>
      <c r="C1921" s="1" t="n">
        <v>46060</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59388-2024</t>
        </is>
      </c>
      <c r="B1922" s="1" t="n">
        <v>45638.365</v>
      </c>
      <c r="C1922" s="1" t="n">
        <v>46060</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23527-2023</t>
        </is>
      </c>
      <c r="B1923" s="1" t="n">
        <v>45076</v>
      </c>
      <c r="C1923" s="1" t="n">
        <v>46060</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51341-2024</t>
        </is>
      </c>
      <c r="B1924" s="1" t="n">
        <v>45604.34481481482</v>
      </c>
      <c r="C1924" s="1" t="n">
        <v>46060</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19407-2025</t>
        </is>
      </c>
      <c r="B1925" s="1" t="n">
        <v>45769.67832175926</v>
      </c>
      <c r="C1925" s="1" t="n">
        <v>46060</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20551-2022</t>
        </is>
      </c>
      <c r="B1926" s="1" t="n">
        <v>44699</v>
      </c>
      <c r="C1926" s="1" t="n">
        <v>46060</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2074-2026</t>
        </is>
      </c>
      <c r="B1927" s="1" t="n">
        <v>46036.34439814815</v>
      </c>
      <c r="C1927" s="1" t="n">
        <v>46060</v>
      </c>
      <c r="D1927" t="inlineStr">
        <is>
          <t>VÄSTERNORRLANDS LÄN</t>
        </is>
      </c>
      <c r="E1927" t="inlineStr">
        <is>
          <t>SOLLEFTEÅ</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60410-2025</t>
        </is>
      </c>
      <c r="B1928" s="1" t="n">
        <v>45995.44840277778</v>
      </c>
      <c r="C1928" s="1" t="n">
        <v>46060</v>
      </c>
      <c r="D1928" t="inlineStr">
        <is>
          <t>VÄSTERNORRLANDS LÄN</t>
        </is>
      </c>
      <c r="E1928" t="inlineStr">
        <is>
          <t>SOLLEFTEÅ</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60123-2025</t>
        </is>
      </c>
      <c r="B1929" s="1" t="n">
        <v>45994.33506944445</v>
      </c>
      <c r="C1929" s="1" t="n">
        <v>46060</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2080-2026</t>
        </is>
      </c>
      <c r="B1930" s="1" t="n">
        <v>46036.35287037037</v>
      </c>
      <c r="C1930" s="1" t="n">
        <v>46060</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59635-2025</t>
        </is>
      </c>
      <c r="B1931" s="1" t="n">
        <v>45992.4065625</v>
      </c>
      <c r="C1931" s="1" t="n">
        <v>46060</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60645-2025</t>
        </is>
      </c>
      <c r="B1932" s="1" t="n">
        <v>45996.44834490741</v>
      </c>
      <c r="C1932" s="1" t="n">
        <v>46060</v>
      </c>
      <c r="D1932" t="inlineStr">
        <is>
          <t>VÄSTERNORRLANDS LÄN</t>
        </is>
      </c>
      <c r="E1932" t="inlineStr">
        <is>
          <t>SOLLEFTEÅ</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60764-2025</t>
        </is>
      </c>
      <c r="B1933" s="1" t="n">
        <v>45999.38659722222</v>
      </c>
      <c r="C1933" s="1" t="n">
        <v>46060</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10094-2023</t>
        </is>
      </c>
      <c r="B1934" s="1" t="n">
        <v>44985</v>
      </c>
      <c r="C1934" s="1" t="n">
        <v>46060</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60854-2025</t>
        </is>
      </c>
      <c r="B1935" s="1" t="n">
        <v>45999</v>
      </c>
      <c r="C1935" s="1" t="n">
        <v>46060</v>
      </c>
      <c r="D1935" t="inlineStr">
        <is>
          <t>VÄSTERNORRLANDS LÄN</t>
        </is>
      </c>
      <c r="E1935" t="inlineStr">
        <is>
          <t>SOLLEFTEÅ</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60591-2025</t>
        </is>
      </c>
      <c r="B1936" s="1" t="n">
        <v>45996.34302083333</v>
      </c>
      <c r="C1936" s="1" t="n">
        <v>46060</v>
      </c>
      <c r="D1936" t="inlineStr">
        <is>
          <t>VÄSTERNORRLANDS LÄN</t>
        </is>
      </c>
      <c r="E1936" t="inlineStr">
        <is>
          <t>SOLLEFTEÅ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3179-2026</t>
        </is>
      </c>
      <c r="B1937" s="1" t="n">
        <v>46041.44837962963</v>
      </c>
      <c r="C1937" s="1" t="n">
        <v>46060</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10865-2025</t>
        </is>
      </c>
      <c r="B1938" s="1" t="n">
        <v>45722.61526620371</v>
      </c>
      <c r="C1938" s="1" t="n">
        <v>46060</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60803-2025</t>
        </is>
      </c>
      <c r="B1939" s="1" t="n">
        <v>45999.43230324074</v>
      </c>
      <c r="C1939" s="1" t="n">
        <v>46060</v>
      </c>
      <c r="D1939" t="inlineStr">
        <is>
          <t>VÄSTERNORRLANDS LÄN</t>
        </is>
      </c>
      <c r="E1939" t="inlineStr">
        <is>
          <t>SOLLEFTEÅ</t>
        </is>
      </c>
      <c r="F1939" t="inlineStr">
        <is>
          <t>Holmen skog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60956-2025</t>
        </is>
      </c>
      <c r="B1940" s="1" t="n">
        <v>45999.65674768519</v>
      </c>
      <c r="C1940" s="1" t="n">
        <v>46060</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17279-2025</t>
        </is>
      </c>
      <c r="B1941" s="1" t="n">
        <v>45756.56396990741</v>
      </c>
      <c r="C1941" s="1" t="n">
        <v>46060</v>
      </c>
      <c r="D1941" t="inlineStr">
        <is>
          <t>VÄSTERNORRLANDS LÄN</t>
        </is>
      </c>
      <c r="E1941" t="inlineStr">
        <is>
          <t>SOLLEFTEÅ</t>
        </is>
      </c>
      <c r="G1941" t="n">
        <v>22.4</v>
      </c>
      <c r="H1941" t="n">
        <v>0</v>
      </c>
      <c r="I1941" t="n">
        <v>0</v>
      </c>
      <c r="J1941" t="n">
        <v>0</v>
      </c>
      <c r="K1941" t="n">
        <v>0</v>
      </c>
      <c r="L1941" t="n">
        <v>0</v>
      </c>
      <c r="M1941" t="n">
        <v>0</v>
      </c>
      <c r="N1941" t="n">
        <v>0</v>
      </c>
      <c r="O1941" t="n">
        <v>0</v>
      </c>
      <c r="P1941" t="n">
        <v>0</v>
      </c>
      <c r="Q1941" t="n">
        <v>0</v>
      </c>
      <c r="R1941" s="2" t="inlineStr"/>
    </row>
    <row r="1942" ht="15" customHeight="1">
      <c r="A1942" t="inlineStr">
        <is>
          <t>A 52702-2024</t>
        </is>
      </c>
      <c r="B1942" s="1" t="n">
        <v>45610</v>
      </c>
      <c r="C1942" s="1" t="n">
        <v>46060</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25017-2022</t>
        </is>
      </c>
      <c r="B1943" s="1" t="n">
        <v>44728.94331018518</v>
      </c>
      <c r="C1943" s="1" t="n">
        <v>46060</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58226-2024</t>
        </is>
      </c>
      <c r="B1944" s="1" t="n">
        <v>45632.51076388889</v>
      </c>
      <c r="C1944" s="1" t="n">
        <v>46060</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13554-2023</t>
        </is>
      </c>
      <c r="B1945" s="1" t="n">
        <v>45005</v>
      </c>
      <c r="C1945" s="1" t="n">
        <v>46060</v>
      </c>
      <c r="D1945" t="inlineStr">
        <is>
          <t>VÄSTERNORRLANDS LÄN</t>
        </is>
      </c>
      <c r="E1945" t="inlineStr">
        <is>
          <t>SOLLEFTEÅ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26391-2024</t>
        </is>
      </c>
      <c r="B1946" s="1" t="n">
        <v>45468</v>
      </c>
      <c r="C1946" s="1" t="n">
        <v>46060</v>
      </c>
      <c r="D1946" t="inlineStr">
        <is>
          <t>VÄSTERNORRLANDS LÄN</t>
        </is>
      </c>
      <c r="E1946" t="inlineStr">
        <is>
          <t>SOLLEFTEÅ</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3210-2026</t>
        </is>
      </c>
      <c r="B1947" s="1" t="n">
        <v>46041.48989583334</v>
      </c>
      <c r="C1947" s="1" t="n">
        <v>46060</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34309-2023</t>
        </is>
      </c>
      <c r="B1948" s="1" t="n">
        <v>45138.92300925926</v>
      </c>
      <c r="C1948" s="1" t="n">
        <v>46060</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13009-2023</t>
        </is>
      </c>
      <c r="B1949" s="1" t="n">
        <v>45002.03643518518</v>
      </c>
      <c r="C1949" s="1" t="n">
        <v>46060</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3052-2026</t>
        </is>
      </c>
      <c r="B1950" s="1" t="n">
        <v>46039.26511574074</v>
      </c>
      <c r="C1950" s="1" t="n">
        <v>46060</v>
      </c>
      <c r="D1950" t="inlineStr">
        <is>
          <t>VÄSTERNORRLANDS LÄN</t>
        </is>
      </c>
      <c r="E1950" t="inlineStr">
        <is>
          <t>SOLLEFTEÅ</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2834-2026</t>
        </is>
      </c>
      <c r="B1951" s="1" t="n">
        <v>46036</v>
      </c>
      <c r="C1951" s="1" t="n">
        <v>46060</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46060</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60709-2025</t>
        </is>
      </c>
      <c r="B1953" s="1" t="n">
        <v>45996.62238425926</v>
      </c>
      <c r="C1953" s="1" t="n">
        <v>46060</v>
      </c>
      <c r="D1953" t="inlineStr">
        <is>
          <t>VÄSTERNORRLANDS LÄN</t>
        </is>
      </c>
      <c r="E1953" t="inlineStr">
        <is>
          <t>SOLLEFTEÅ</t>
        </is>
      </c>
      <c r="F1953" t="inlineStr">
        <is>
          <t>Holmen skog AB</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2987-2026</t>
        </is>
      </c>
      <c r="B1954" s="1" t="n">
        <v>46038.63591435185</v>
      </c>
      <c r="C1954" s="1" t="n">
        <v>46060</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3229-2026</t>
        </is>
      </c>
      <c r="B1955" s="1" t="n">
        <v>46041.55244212963</v>
      </c>
      <c r="C1955" s="1" t="n">
        <v>46060</v>
      </c>
      <c r="D1955" t="inlineStr">
        <is>
          <t>VÄSTERNORRLANDS LÄN</t>
        </is>
      </c>
      <c r="E1955" t="inlineStr">
        <is>
          <t>SOLLEFTEÅ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5036-2024</t>
        </is>
      </c>
      <c r="B1956" s="1" t="n">
        <v>45329.87555555555</v>
      </c>
      <c r="C1956" s="1" t="n">
        <v>46060</v>
      </c>
      <c r="D1956" t="inlineStr">
        <is>
          <t>VÄSTERNORRLANDS LÄN</t>
        </is>
      </c>
      <c r="E1956" t="inlineStr">
        <is>
          <t>SOLLEFTEÅ</t>
        </is>
      </c>
      <c r="F1956" t="inlineStr">
        <is>
          <t>Övriga Aktiebolag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2836-2026</t>
        </is>
      </c>
      <c r="B1957" s="1" t="n">
        <v>46036</v>
      </c>
      <c r="C1957" s="1" t="n">
        <v>46060</v>
      </c>
      <c r="D1957" t="inlineStr">
        <is>
          <t>VÄSTERNORRLANDS LÄN</t>
        </is>
      </c>
      <c r="E1957" t="inlineStr">
        <is>
          <t>SOLLEFTEÅ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60597-2025</t>
        </is>
      </c>
      <c r="B1958" s="1" t="n">
        <v>45996</v>
      </c>
      <c r="C1958" s="1" t="n">
        <v>46060</v>
      </c>
      <c r="D1958" t="inlineStr">
        <is>
          <t>VÄSTERNORRLANDS LÄN</t>
        </is>
      </c>
      <c r="E1958" t="inlineStr">
        <is>
          <t>SOLLEFTEÅ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42512-2023</t>
        </is>
      </c>
      <c r="B1959" s="1" t="n">
        <v>45180.95953703704</v>
      </c>
      <c r="C1959" s="1" t="n">
        <v>46060</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60677-2025</t>
        </is>
      </c>
      <c r="B1960" s="1" t="n">
        <v>45996.56097222222</v>
      </c>
      <c r="C1960" s="1" t="n">
        <v>46060</v>
      </c>
      <c r="D1960" t="inlineStr">
        <is>
          <t>VÄSTERNORRLANDS LÄN</t>
        </is>
      </c>
      <c r="E1960" t="inlineStr">
        <is>
          <t>SOLLEFTEÅ</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44591-2024</t>
        </is>
      </c>
      <c r="B1961" s="1" t="n">
        <v>45574</v>
      </c>
      <c r="C1961" s="1" t="n">
        <v>46060</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3274-2026</t>
        </is>
      </c>
      <c r="B1962" s="1" t="n">
        <v>46041.61489583334</v>
      </c>
      <c r="C1962" s="1" t="n">
        <v>46060</v>
      </c>
      <c r="D1962" t="inlineStr">
        <is>
          <t>VÄSTERNORRLANDS LÄN</t>
        </is>
      </c>
      <c r="E1962" t="inlineStr">
        <is>
          <t>SOLLEFTEÅ</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3314-2026</t>
        </is>
      </c>
      <c r="B1963" s="1" t="n">
        <v>46041</v>
      </c>
      <c r="C1963" s="1" t="n">
        <v>46060</v>
      </c>
      <c r="D1963" t="inlineStr">
        <is>
          <t>VÄSTERNORRLANDS LÄN</t>
        </is>
      </c>
      <c r="E1963" t="inlineStr">
        <is>
          <t>SOLLEFTEÅ</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60601-2025</t>
        </is>
      </c>
      <c r="B1964" s="1" t="n">
        <v>45996.3521412037</v>
      </c>
      <c r="C1964" s="1" t="n">
        <v>46060</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31177-2023</t>
        </is>
      </c>
      <c r="B1965" s="1" t="n">
        <v>45113</v>
      </c>
      <c r="C1965" s="1" t="n">
        <v>46060</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53669-2023</t>
        </is>
      </c>
      <c r="B1966" s="1" t="n">
        <v>45230</v>
      </c>
      <c r="C1966" s="1" t="n">
        <v>46060</v>
      </c>
      <c r="D1966" t="inlineStr">
        <is>
          <t>VÄSTERNORRLANDS LÄN</t>
        </is>
      </c>
      <c r="E1966" t="inlineStr">
        <is>
          <t>SOLLEFTEÅ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3398-2026</t>
        </is>
      </c>
      <c r="B1967" s="1" t="n">
        <v>46042.38586805556</v>
      </c>
      <c r="C1967" s="1" t="n">
        <v>46060</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23287-2023</t>
        </is>
      </c>
      <c r="B1968" s="1" t="n">
        <v>45075</v>
      </c>
      <c r="C1968" s="1" t="n">
        <v>46060</v>
      </c>
      <c r="D1968" t="inlineStr">
        <is>
          <t>VÄSTERNORRLANDS LÄN</t>
        </is>
      </c>
      <c r="E1968" t="inlineStr">
        <is>
          <t>SOLLEFTEÅ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3400-2026</t>
        </is>
      </c>
      <c r="B1969" s="1" t="n">
        <v>46042.38619212963</v>
      </c>
      <c r="C1969" s="1" t="n">
        <v>46060</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37197-2024</t>
        </is>
      </c>
      <c r="B1970" s="1" t="n">
        <v>45539</v>
      </c>
      <c r="C1970" s="1" t="n">
        <v>46060</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46060</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3805-2026</t>
        </is>
      </c>
      <c r="B1972" s="1" t="n">
        <v>46043.58320601852</v>
      </c>
      <c r="C1972" s="1" t="n">
        <v>46060</v>
      </c>
      <c r="D1972" t="inlineStr">
        <is>
          <t>VÄSTERNORRLANDS LÄN</t>
        </is>
      </c>
      <c r="E1972" t="inlineStr">
        <is>
          <t>SOLLEFTEÅ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3426-2026</t>
        </is>
      </c>
      <c r="B1973" s="1" t="n">
        <v>46042.44835648148</v>
      </c>
      <c r="C1973" s="1" t="n">
        <v>46060</v>
      </c>
      <c r="D1973" t="inlineStr">
        <is>
          <t>VÄSTERNORRLANDS LÄN</t>
        </is>
      </c>
      <c r="E1973" t="inlineStr">
        <is>
          <t>SOLLEFTEÅ</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61488-2025</t>
        </is>
      </c>
      <c r="B1974" s="1" t="n">
        <v>46001.63652777778</v>
      </c>
      <c r="C1974" s="1" t="n">
        <v>46060</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61523-2025</t>
        </is>
      </c>
      <c r="B1975" s="1" t="n">
        <v>46001.68748842592</v>
      </c>
      <c r="C1975" s="1" t="n">
        <v>46060</v>
      </c>
      <c r="D1975" t="inlineStr">
        <is>
          <t>VÄSTERNORRLANDS LÄN</t>
        </is>
      </c>
      <c r="E1975" t="inlineStr">
        <is>
          <t>SOLLEFTEÅ</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18456-2023</t>
        </is>
      </c>
      <c r="B1976" s="1" t="n">
        <v>45041</v>
      </c>
      <c r="C1976" s="1" t="n">
        <v>46060</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54532-2024</t>
        </is>
      </c>
      <c r="B1977" s="1" t="n">
        <v>45617.60480324074</v>
      </c>
      <c r="C1977" s="1" t="n">
        <v>46060</v>
      </c>
      <c r="D1977" t="inlineStr">
        <is>
          <t>VÄSTERNORRLANDS LÄN</t>
        </is>
      </c>
      <c r="E1977" t="inlineStr">
        <is>
          <t>SOLLEFTEÅ</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61265-2025</t>
        </is>
      </c>
      <c r="B1978" s="1" t="n">
        <v>46000.67771990741</v>
      </c>
      <c r="C1978" s="1" t="n">
        <v>46060</v>
      </c>
      <c r="D1978" t="inlineStr">
        <is>
          <t>VÄSTERNORRLANDS LÄN</t>
        </is>
      </c>
      <c r="E1978" t="inlineStr">
        <is>
          <t>SOLLEFTEÅ</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48606-2024</t>
        </is>
      </c>
      <c r="B1979" s="1" t="n">
        <v>45593.4485300926</v>
      </c>
      <c r="C1979" s="1" t="n">
        <v>46060</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61347-2025</t>
        </is>
      </c>
      <c r="B1980" s="1" t="n">
        <v>46001.3863425926</v>
      </c>
      <c r="C1980" s="1" t="n">
        <v>46060</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3807-2026</t>
        </is>
      </c>
      <c r="B1981" s="1" t="n">
        <v>46043.5834375</v>
      </c>
      <c r="C1981" s="1" t="n">
        <v>46060</v>
      </c>
      <c r="D1981" t="inlineStr">
        <is>
          <t>VÄSTERNORRLANDS LÄN</t>
        </is>
      </c>
      <c r="E1981" t="inlineStr">
        <is>
          <t>SOLLEFTEÅ</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61485-2025</t>
        </is>
      </c>
      <c r="B1982" s="1" t="n">
        <v>46001.63587962963</v>
      </c>
      <c r="C1982" s="1" t="n">
        <v>46060</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6065-2024</t>
        </is>
      </c>
      <c r="B1983" s="1" t="n">
        <v>45336.87826388889</v>
      </c>
      <c r="C1983" s="1" t="n">
        <v>46060</v>
      </c>
      <c r="D1983" t="inlineStr">
        <is>
          <t>VÄSTERNORRLANDS LÄN</t>
        </is>
      </c>
      <c r="E1983" t="inlineStr">
        <is>
          <t>SOLLEFTEÅ</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54485-2024</t>
        </is>
      </c>
      <c r="B1984" s="1" t="n">
        <v>45617.5625462963</v>
      </c>
      <c r="C1984" s="1" t="n">
        <v>46060</v>
      </c>
      <c r="D1984" t="inlineStr">
        <is>
          <t>VÄSTERNORRLANDS LÄN</t>
        </is>
      </c>
      <c r="E1984" t="inlineStr">
        <is>
          <t>SOLLEFTEÅ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3812-2026</t>
        </is>
      </c>
      <c r="B1985" s="1" t="n">
        <v>46043.58417824074</v>
      </c>
      <c r="C1985" s="1" t="n">
        <v>46060</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51711-2025</t>
        </is>
      </c>
      <c r="B1986" s="1" t="n">
        <v>45951.57133101852</v>
      </c>
      <c r="C1986" s="1" t="n">
        <v>46060</v>
      </c>
      <c r="D1986" t="inlineStr">
        <is>
          <t>VÄSTERNORRLANDS LÄN</t>
        </is>
      </c>
      <c r="E1986" t="inlineStr">
        <is>
          <t>SOLLEFTEÅ</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61062-2025</t>
        </is>
      </c>
      <c r="B1987" s="1" t="n">
        <v>46000.36528935185</v>
      </c>
      <c r="C1987" s="1" t="n">
        <v>46060</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14875-2023</t>
        </is>
      </c>
      <c r="B1988" s="1" t="n">
        <v>45015.07292824074</v>
      </c>
      <c r="C1988" s="1" t="n">
        <v>46060</v>
      </c>
      <c r="D1988" t="inlineStr">
        <is>
          <t>VÄSTERNORRLANDS LÄN</t>
        </is>
      </c>
      <c r="E1988" t="inlineStr">
        <is>
          <t>SOLLEFTEÅ</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3425-2026</t>
        </is>
      </c>
      <c r="B1989" s="1" t="n">
        <v>46042.44827546296</v>
      </c>
      <c r="C1989" s="1" t="n">
        <v>46060</v>
      </c>
      <c r="D1989" t="inlineStr">
        <is>
          <t>VÄSTERNORRLANDS LÄN</t>
        </is>
      </c>
      <c r="E1989" t="inlineStr">
        <is>
          <t>SOLLEFTEÅ</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14975-2024</t>
        </is>
      </c>
      <c r="B1990" s="1" t="n">
        <v>45398.94100694444</v>
      </c>
      <c r="C1990" s="1" t="n">
        <v>46060</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14983-2024</t>
        </is>
      </c>
      <c r="B1991" s="1" t="n">
        <v>45398.94237268518</v>
      </c>
      <c r="C1991" s="1" t="n">
        <v>46060</v>
      </c>
      <c r="D1991" t="inlineStr">
        <is>
          <t>VÄSTERNORRLANDS LÄN</t>
        </is>
      </c>
      <c r="E1991" t="inlineStr">
        <is>
          <t>SOLLEFTEÅ</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50721-2024</t>
        </is>
      </c>
      <c r="B1992" s="1" t="n">
        <v>45602.3863425926</v>
      </c>
      <c r="C1992" s="1" t="n">
        <v>46060</v>
      </c>
      <c r="D1992" t="inlineStr">
        <is>
          <t>VÄSTERNORRLANDS LÄN</t>
        </is>
      </c>
      <c r="E1992" t="inlineStr">
        <is>
          <t>SOLLEFTEÅ</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15621-2025</t>
        </is>
      </c>
      <c r="B1993" s="1" t="n">
        <v>45748.35635416667</v>
      </c>
      <c r="C1993" s="1" t="n">
        <v>46060</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53477-2024</t>
        </is>
      </c>
      <c r="B1994" s="1" t="n">
        <v>45611</v>
      </c>
      <c r="C1994" s="1" t="n">
        <v>46060</v>
      </c>
      <c r="D1994" t="inlineStr">
        <is>
          <t>VÄSTERNORRLANDS LÄN</t>
        </is>
      </c>
      <c r="E1994" t="inlineStr">
        <is>
          <t>SOLLEFTEÅ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1986-2025</t>
        </is>
      </c>
      <c r="B1995" s="1" t="n">
        <v>45672.40684027778</v>
      </c>
      <c r="C1995" s="1" t="n">
        <v>46060</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16492-2025</t>
        </is>
      </c>
      <c r="B1996" s="1" t="n">
        <v>45751.59414351852</v>
      </c>
      <c r="C1996" s="1" t="n">
        <v>46060</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61428-2025</t>
        </is>
      </c>
      <c r="B1997" s="1" t="n">
        <v>46001.55237268518</v>
      </c>
      <c r="C1997" s="1" t="n">
        <v>46060</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61429-2025</t>
        </is>
      </c>
      <c r="B1998" s="1" t="n">
        <v>46001.55243055556</v>
      </c>
      <c r="C1998" s="1" t="n">
        <v>46060</v>
      </c>
      <c r="D1998" t="inlineStr">
        <is>
          <t>VÄSTERNORRLANDS LÄN</t>
        </is>
      </c>
      <c r="E1998" t="inlineStr">
        <is>
          <t>SOLLEFTEÅ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7330-2023</t>
        </is>
      </c>
      <c r="B1999" s="1" t="n">
        <v>44970.97920138889</v>
      </c>
      <c r="C1999" s="1" t="n">
        <v>46060</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7333-2023</t>
        </is>
      </c>
      <c r="B2000" s="1" t="n">
        <v>44970.97947916666</v>
      </c>
      <c r="C2000" s="1" t="n">
        <v>46060</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3584-2026</t>
        </is>
      </c>
      <c r="B2001" s="1" t="n">
        <v>46042.73206018518</v>
      </c>
      <c r="C2001" s="1" t="n">
        <v>46060</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61442-2025</t>
        </is>
      </c>
      <c r="B2002" s="1" t="n">
        <v>46001</v>
      </c>
      <c r="C2002" s="1" t="n">
        <v>46060</v>
      </c>
      <c r="D2002" t="inlineStr">
        <is>
          <t>VÄSTERNORRLANDS LÄN</t>
        </is>
      </c>
      <c r="E2002" t="inlineStr">
        <is>
          <t>SOLLEFTEÅ</t>
        </is>
      </c>
      <c r="F2002" t="inlineStr">
        <is>
          <t>SCA</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61061-2025</t>
        </is>
      </c>
      <c r="B2003" s="1" t="n">
        <v>46000.36512731481</v>
      </c>
      <c r="C2003" s="1" t="n">
        <v>46060</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61278-2025</t>
        </is>
      </c>
      <c r="B2004" s="1" t="n">
        <v>46000.69827546296</v>
      </c>
      <c r="C2004" s="1" t="n">
        <v>46060</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61280-2025</t>
        </is>
      </c>
      <c r="B2005" s="1" t="n">
        <v>46000.6985300926</v>
      </c>
      <c r="C2005" s="1" t="n">
        <v>46060</v>
      </c>
      <c r="D2005" t="inlineStr">
        <is>
          <t>VÄSTERNORRLANDS LÄN</t>
        </is>
      </c>
      <c r="E2005" t="inlineStr">
        <is>
          <t>SOLLEFTEÅ</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61507-2025</t>
        </is>
      </c>
      <c r="B2006" s="1" t="n">
        <v>46001.68109953704</v>
      </c>
      <c r="C2006" s="1" t="n">
        <v>46060</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3435-2026</t>
        </is>
      </c>
      <c r="B2007" s="1" t="n">
        <v>46042.46942129629</v>
      </c>
      <c r="C2007" s="1" t="n">
        <v>46060</v>
      </c>
      <c r="D2007" t="inlineStr">
        <is>
          <t>VÄSTERNORRLANDS LÄN</t>
        </is>
      </c>
      <c r="E2007" t="inlineStr">
        <is>
          <t>SOLLEFTEÅ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3436-2026</t>
        </is>
      </c>
      <c r="B2008" s="1" t="n">
        <v>46042.46947916667</v>
      </c>
      <c r="C2008" s="1" t="n">
        <v>46060</v>
      </c>
      <c r="D2008" t="inlineStr">
        <is>
          <t>VÄSTERNORRLANDS LÄN</t>
        </is>
      </c>
      <c r="E2008" t="inlineStr">
        <is>
          <t>SOLLEFTEÅ</t>
        </is>
      </c>
      <c r="G2008" t="n">
        <v>18.4</v>
      </c>
      <c r="H2008" t="n">
        <v>0</v>
      </c>
      <c r="I2008" t="n">
        <v>0</v>
      </c>
      <c r="J2008" t="n">
        <v>0</v>
      </c>
      <c r="K2008" t="n">
        <v>0</v>
      </c>
      <c r="L2008" t="n">
        <v>0</v>
      </c>
      <c r="M2008" t="n">
        <v>0</v>
      </c>
      <c r="N2008" t="n">
        <v>0</v>
      </c>
      <c r="O2008" t="n">
        <v>0</v>
      </c>
      <c r="P2008" t="n">
        <v>0</v>
      </c>
      <c r="Q2008" t="n">
        <v>0</v>
      </c>
      <c r="R2008" s="2" t="inlineStr"/>
    </row>
    <row r="2009" ht="15" customHeight="1">
      <c r="A2009" t="inlineStr">
        <is>
          <t>A 4905-2025</t>
        </is>
      </c>
      <c r="B2009" s="1" t="n">
        <v>45688.68043981482</v>
      </c>
      <c r="C2009" s="1" t="n">
        <v>46060</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61242-2025</t>
        </is>
      </c>
      <c r="B2010" s="1" t="n">
        <v>46000</v>
      </c>
      <c r="C2010" s="1" t="n">
        <v>46060</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61333-2025</t>
        </is>
      </c>
      <c r="B2011" s="1" t="n">
        <v>46001.34421296296</v>
      </c>
      <c r="C2011" s="1" t="n">
        <v>46060</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56204-2024</t>
        </is>
      </c>
      <c r="B2012" s="1" t="n">
        <v>45624</v>
      </c>
      <c r="C2012" s="1" t="n">
        <v>46060</v>
      </c>
      <c r="D2012" t="inlineStr">
        <is>
          <t>VÄSTERNORRLANDS LÄN</t>
        </is>
      </c>
      <c r="E2012" t="inlineStr">
        <is>
          <t>SOLLEFTEÅ</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2346-2025</t>
        </is>
      </c>
      <c r="B2013" s="1" t="n">
        <v>45673.67767361111</v>
      </c>
      <c r="C2013" s="1" t="n">
        <v>46060</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55149-2024</t>
        </is>
      </c>
      <c r="B2014" s="1" t="n">
        <v>45621.49055555555</v>
      </c>
      <c r="C2014" s="1" t="n">
        <v>46060</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34284-2023</t>
        </is>
      </c>
      <c r="B2015" s="1" t="n">
        <v>45128</v>
      </c>
      <c r="C2015" s="1" t="n">
        <v>46060</v>
      </c>
      <c r="D2015" t="inlineStr">
        <is>
          <t>VÄSTERNORRLANDS LÄN</t>
        </is>
      </c>
      <c r="E2015" t="inlineStr">
        <is>
          <t>SOLLEFTEÅ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4052-2026</t>
        </is>
      </c>
      <c r="B2016" s="1" t="n">
        <v>46044.47467592593</v>
      </c>
      <c r="C2016" s="1" t="n">
        <v>46060</v>
      </c>
      <c r="D2016" t="inlineStr">
        <is>
          <t>VÄSTERNORRLANDS LÄN</t>
        </is>
      </c>
      <c r="E2016" t="inlineStr">
        <is>
          <t>SOLLEFTEÅ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54235-2024</t>
        </is>
      </c>
      <c r="B2017" s="1" t="n">
        <v>45616.67806712963</v>
      </c>
      <c r="C2017" s="1" t="n">
        <v>46060</v>
      </c>
      <c r="D2017" t="inlineStr">
        <is>
          <t>VÄSTERNORRLANDS LÄN</t>
        </is>
      </c>
      <c r="E2017" t="inlineStr">
        <is>
          <t>SOLLEFTEÅ</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61832-2025</t>
        </is>
      </c>
      <c r="B2018" s="1" t="n">
        <v>46003.34456018519</v>
      </c>
      <c r="C2018" s="1" t="n">
        <v>46060</v>
      </c>
      <c r="D2018" t="inlineStr">
        <is>
          <t>VÄSTERNORRLANDS LÄN</t>
        </is>
      </c>
      <c r="E2018" t="inlineStr">
        <is>
          <t>SOLLEFTEÅ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61915-2025</t>
        </is>
      </c>
      <c r="B2019" s="1" t="n">
        <v>46003.49025462963</v>
      </c>
      <c r="C2019" s="1" t="n">
        <v>46060</v>
      </c>
      <c r="D2019" t="inlineStr">
        <is>
          <t>VÄSTERNORRLANDS LÄN</t>
        </is>
      </c>
      <c r="E2019" t="inlineStr">
        <is>
          <t>SOLLEFTEÅ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61920-2025</t>
        </is>
      </c>
      <c r="B2020" s="1" t="n">
        <v>46003.51108796296</v>
      </c>
      <c r="C2020" s="1" t="n">
        <v>46060</v>
      </c>
      <c r="D2020" t="inlineStr">
        <is>
          <t>VÄSTERNORRLANDS LÄN</t>
        </is>
      </c>
      <c r="E2020" t="inlineStr">
        <is>
          <t>SOLLEFTEÅ</t>
        </is>
      </c>
      <c r="F2020" t="inlineStr">
        <is>
          <t>SCA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60426-2025</t>
        </is>
      </c>
      <c r="B2021" s="1" t="n">
        <v>45995.46984953704</v>
      </c>
      <c r="C2021" s="1" t="n">
        <v>46060</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4461-2026</t>
        </is>
      </c>
      <c r="B2022" s="1" t="n">
        <v>46045.65018518519</v>
      </c>
      <c r="C2022" s="1" t="n">
        <v>46060</v>
      </c>
      <c r="D2022" t="inlineStr">
        <is>
          <t>VÄSTERNORRLANDS LÄN</t>
        </is>
      </c>
      <c r="E2022" t="inlineStr">
        <is>
          <t>SOLLEFTEÅ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61953-2025</t>
        </is>
      </c>
      <c r="B2023" s="1" t="n">
        <v>46003.57358796296</v>
      </c>
      <c r="C2023" s="1" t="n">
        <v>46060</v>
      </c>
      <c r="D2023" t="inlineStr">
        <is>
          <t>VÄSTERNORRLANDS LÄN</t>
        </is>
      </c>
      <c r="E2023" t="inlineStr">
        <is>
          <t>SOLLEFTEÅ</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61980-2025</t>
        </is>
      </c>
      <c r="B2024" s="1" t="n">
        <v>46003.61520833334</v>
      </c>
      <c r="C2024" s="1" t="n">
        <v>46060</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61861-2025</t>
        </is>
      </c>
      <c r="B2025" s="1" t="n">
        <v>46003.3868287037</v>
      </c>
      <c r="C2025" s="1" t="n">
        <v>46060</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31547-2024</t>
        </is>
      </c>
      <c r="B2026" s="1" t="n">
        <v>45505.96362268519</v>
      </c>
      <c r="C2026" s="1" t="n">
        <v>46060</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2076-2026</t>
        </is>
      </c>
      <c r="B2027" s="1" t="n">
        <v>46036</v>
      </c>
      <c r="C2027" s="1" t="n">
        <v>46060</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1030-2025</t>
        </is>
      </c>
      <c r="B2028" s="1" t="n">
        <v>45666</v>
      </c>
      <c r="C2028" s="1" t="n">
        <v>46060</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61775-2025</t>
        </is>
      </c>
      <c r="B2029" s="1" t="n">
        <v>46002.65674768519</v>
      </c>
      <c r="C2029" s="1" t="n">
        <v>46060</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14731-2025</t>
        </is>
      </c>
      <c r="B2030" s="1" t="n">
        <v>45742.6360300926</v>
      </c>
      <c r="C2030" s="1" t="n">
        <v>46060</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61914-2025</t>
        </is>
      </c>
      <c r="B2031" s="1" t="n">
        <v>46003.49018518518</v>
      </c>
      <c r="C2031" s="1" t="n">
        <v>46060</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31925-2023</t>
        </is>
      </c>
      <c r="B2032" s="1" t="n">
        <v>45118</v>
      </c>
      <c r="C2032" s="1" t="n">
        <v>46060</v>
      </c>
      <c r="D2032" t="inlineStr">
        <is>
          <t>VÄSTERNORRLANDS LÄN</t>
        </is>
      </c>
      <c r="E2032" t="inlineStr">
        <is>
          <t>SOLLEFTEÅ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62001-2025</t>
        </is>
      </c>
      <c r="B2033" s="1" t="n">
        <v>46003.65665509259</v>
      </c>
      <c r="C2033" s="1" t="n">
        <v>46060</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469-2025</t>
        </is>
      </c>
      <c r="B2034" s="1" t="n">
        <v>45664</v>
      </c>
      <c r="C2034" s="1" t="n">
        <v>46060</v>
      </c>
      <c r="D2034" t="inlineStr">
        <is>
          <t>VÄSTERNORRLANDS LÄN</t>
        </is>
      </c>
      <c r="E2034" t="inlineStr">
        <is>
          <t>SOLLEFTEÅ</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3324-2025</t>
        </is>
      </c>
      <c r="B2035" s="1" t="n">
        <v>45679.69924768519</v>
      </c>
      <c r="C2035" s="1" t="n">
        <v>46060</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4149-2026</t>
        </is>
      </c>
      <c r="B2036" s="1" t="n">
        <v>46044.64534722222</v>
      </c>
      <c r="C2036" s="1" t="n">
        <v>46060</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6876-2025</t>
        </is>
      </c>
      <c r="B2037" s="1" t="n">
        <v>45701.34446759259</v>
      </c>
      <c r="C2037" s="1" t="n">
        <v>46060</v>
      </c>
      <c r="D2037" t="inlineStr">
        <is>
          <t>VÄSTERNORRLANDS LÄN</t>
        </is>
      </c>
      <c r="E2037" t="inlineStr">
        <is>
          <t>SOLLEFTEÅ</t>
        </is>
      </c>
      <c r="F2037" t="inlineStr">
        <is>
          <t>SCA</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46759-2024</t>
        </is>
      </c>
      <c r="B2038" s="1" t="n">
        <v>45583.49101851852</v>
      </c>
      <c r="C2038" s="1" t="n">
        <v>46060</v>
      </c>
      <c r="D2038" t="inlineStr">
        <is>
          <t>VÄSTERNORRLANDS LÄN</t>
        </is>
      </c>
      <c r="E2038" t="inlineStr">
        <is>
          <t>SOLLEFTEÅ</t>
        </is>
      </c>
      <c r="F2038" t="inlineStr">
        <is>
          <t>SCA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59424-2024</t>
        </is>
      </c>
      <c r="B2039" s="1" t="n">
        <v>45638</v>
      </c>
      <c r="C2039" s="1" t="n">
        <v>46060</v>
      </c>
      <c r="D2039" t="inlineStr">
        <is>
          <t>VÄSTERNORRLANDS LÄN</t>
        </is>
      </c>
      <c r="E2039" t="inlineStr">
        <is>
          <t>SOLLEFTEÅ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59434-2024</t>
        </is>
      </c>
      <c r="B2040" s="1" t="n">
        <v>45638.43040509259</v>
      </c>
      <c r="C2040" s="1" t="n">
        <v>46060</v>
      </c>
      <c r="D2040" t="inlineStr">
        <is>
          <t>VÄSTERNORRLANDS LÄN</t>
        </is>
      </c>
      <c r="E2040" t="inlineStr">
        <is>
          <t>SOLLEFTEÅ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61732-2025</t>
        </is>
      </c>
      <c r="B2041" s="1" t="n">
        <v>46002.59408564815</v>
      </c>
      <c r="C2041" s="1" t="n">
        <v>46060</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61733-2025</t>
        </is>
      </c>
      <c r="B2042" s="1" t="n">
        <v>46002.59412037037</v>
      </c>
      <c r="C2042" s="1" t="n">
        <v>46060</v>
      </c>
      <c r="D2042" t="inlineStr">
        <is>
          <t>VÄSTERNORRLANDS LÄN</t>
        </is>
      </c>
      <c r="E2042" t="inlineStr">
        <is>
          <t>SOLLEFTEÅ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60430-2025</t>
        </is>
      </c>
      <c r="B2043" s="1" t="n">
        <v>45995.47020833333</v>
      </c>
      <c r="C2043" s="1" t="n">
        <v>46060</v>
      </c>
      <c r="D2043" t="inlineStr">
        <is>
          <t>VÄSTERNORRLANDS LÄN</t>
        </is>
      </c>
      <c r="E2043" t="inlineStr">
        <is>
          <t>SOLLEFTEÅ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50655-2022</t>
        </is>
      </c>
      <c r="B2044" s="1" t="n">
        <v>44866</v>
      </c>
      <c r="C2044" s="1" t="n">
        <v>46060</v>
      </c>
      <c r="D2044" t="inlineStr">
        <is>
          <t>VÄSTERNORRLANDS LÄN</t>
        </is>
      </c>
      <c r="E2044" t="inlineStr">
        <is>
          <t>SOLLEFTEÅ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61588-2025</t>
        </is>
      </c>
      <c r="B2045" s="1" t="n">
        <v>46002.34503472222</v>
      </c>
      <c r="C2045" s="1" t="n">
        <v>46060</v>
      </c>
      <c r="D2045" t="inlineStr">
        <is>
          <t>VÄSTERNORRLANDS LÄN</t>
        </is>
      </c>
      <c r="E2045" t="inlineStr">
        <is>
          <t>SOLLEFTEÅ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10926-2022</t>
        </is>
      </c>
      <c r="B2046" s="1" t="n">
        <v>44627.94447916667</v>
      </c>
      <c r="C2046" s="1" t="n">
        <v>46060</v>
      </c>
      <c r="D2046" t="inlineStr">
        <is>
          <t>VÄSTERNORRLANDS LÄN</t>
        </is>
      </c>
      <c r="E2046" t="inlineStr">
        <is>
          <t>SOLLEFTEÅ</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4064-2026</t>
        </is>
      </c>
      <c r="B2047" s="1" t="n">
        <v>46044.5109837963</v>
      </c>
      <c r="C2047" s="1" t="n">
        <v>46060</v>
      </c>
      <c r="D2047" t="inlineStr">
        <is>
          <t>VÄSTERNORRLANDS LÄN</t>
        </is>
      </c>
      <c r="E2047" t="inlineStr">
        <is>
          <t>SOLLEFTEÅ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4058-2026</t>
        </is>
      </c>
      <c r="B2048" s="1" t="n">
        <v>46044.49015046296</v>
      </c>
      <c r="C2048" s="1" t="n">
        <v>46060</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61663-2025</t>
        </is>
      </c>
      <c r="B2049" s="1" t="n">
        <v>46002.46935185185</v>
      </c>
      <c r="C2049" s="1" t="n">
        <v>46060</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21191-2022</t>
        </is>
      </c>
      <c r="B2050" s="1" t="n">
        <v>44704.94193287037</v>
      </c>
      <c r="C2050" s="1" t="n">
        <v>46060</v>
      </c>
      <c r="D2050" t="inlineStr">
        <is>
          <t>VÄSTERNORRLANDS LÄN</t>
        </is>
      </c>
      <c r="E2050" t="inlineStr">
        <is>
          <t>SOLLEFTEÅ</t>
        </is>
      </c>
      <c r="F2050" t="inlineStr">
        <is>
          <t>SCA</t>
        </is>
      </c>
      <c r="G2050" t="n">
        <v>26.5</v>
      </c>
      <c r="H2050" t="n">
        <v>0</v>
      </c>
      <c r="I2050" t="n">
        <v>0</v>
      </c>
      <c r="J2050" t="n">
        <v>0</v>
      </c>
      <c r="K2050" t="n">
        <v>0</v>
      </c>
      <c r="L2050" t="n">
        <v>0</v>
      </c>
      <c r="M2050" t="n">
        <v>0</v>
      </c>
      <c r="N2050" t="n">
        <v>0</v>
      </c>
      <c r="O2050" t="n">
        <v>0</v>
      </c>
      <c r="P2050" t="n">
        <v>0</v>
      </c>
      <c r="Q2050" t="n">
        <v>0</v>
      </c>
      <c r="R2050" s="2" t="inlineStr"/>
    </row>
    <row r="2051" ht="15" customHeight="1">
      <c r="A2051" t="inlineStr">
        <is>
          <t>A 61967-2025</t>
        </is>
      </c>
      <c r="B2051" s="1" t="n">
        <v>46003.59440972222</v>
      </c>
      <c r="C2051" s="1" t="n">
        <v>46060</v>
      </c>
      <c r="D2051" t="inlineStr">
        <is>
          <t>VÄSTERNORRLANDS LÄN</t>
        </is>
      </c>
      <c r="E2051" t="inlineStr">
        <is>
          <t>SOLLEFTEÅ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37046-2024</t>
        </is>
      </c>
      <c r="B2052" s="1" t="n">
        <v>45539.42739583334</v>
      </c>
      <c r="C2052" s="1" t="n">
        <v>46060</v>
      </c>
      <c r="D2052" t="inlineStr">
        <is>
          <t>VÄSTERNORRLANDS LÄN</t>
        </is>
      </c>
      <c r="E2052" t="inlineStr">
        <is>
          <t>SOLLEFTEÅ</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61669-2025</t>
        </is>
      </c>
      <c r="B2053" s="1" t="n">
        <v>46002.46998842592</v>
      </c>
      <c r="C2053" s="1" t="n">
        <v>46060</v>
      </c>
      <c r="D2053" t="inlineStr">
        <is>
          <t>VÄSTERNORRLANDS LÄN</t>
        </is>
      </c>
      <c r="E2053" t="inlineStr">
        <is>
          <t>SOLLEFTEÅ</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50688-2023</t>
        </is>
      </c>
      <c r="B2054" s="1" t="n">
        <v>45210</v>
      </c>
      <c r="C2054" s="1" t="n">
        <v>46060</v>
      </c>
      <c r="D2054" t="inlineStr">
        <is>
          <t>VÄSTERNORRLANDS LÄN</t>
        </is>
      </c>
      <c r="E2054" t="inlineStr">
        <is>
          <t>SOLLEFTEÅ</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50745-2023</t>
        </is>
      </c>
      <c r="B2055" s="1" t="n">
        <v>45210</v>
      </c>
      <c r="C2055" s="1" t="n">
        <v>46060</v>
      </c>
      <c r="D2055" t="inlineStr">
        <is>
          <t>VÄSTERNORRLANDS LÄN</t>
        </is>
      </c>
      <c r="E2055" t="inlineStr">
        <is>
          <t>SOLLEFTEÅ</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43772-2022</t>
        </is>
      </c>
      <c r="B2056" s="1" t="n">
        <v>44837</v>
      </c>
      <c r="C2056" s="1" t="n">
        <v>46060</v>
      </c>
      <c r="D2056" t="inlineStr">
        <is>
          <t>VÄSTERNORRLANDS LÄN</t>
        </is>
      </c>
      <c r="E2056" t="inlineStr">
        <is>
          <t>SOLLEFTEÅ</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48038-2024</t>
        </is>
      </c>
      <c r="B2057" s="1" t="n">
        <v>45589.49350694445</v>
      </c>
      <c r="C2057" s="1" t="n">
        <v>46060</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4722-2025</t>
        </is>
      </c>
      <c r="B2058" s="1" t="n">
        <v>45688.41627314815</v>
      </c>
      <c r="C2058" s="1" t="n">
        <v>46060</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4726-2025</t>
        </is>
      </c>
      <c r="B2059" s="1" t="n">
        <v>45688</v>
      </c>
      <c r="C2059" s="1" t="n">
        <v>46060</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62544-2025</t>
        </is>
      </c>
      <c r="B2060" s="1" t="n">
        <v>46007.65690972222</v>
      </c>
      <c r="C2060" s="1" t="n">
        <v>46060</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6282-2024</t>
        </is>
      </c>
      <c r="B2061" s="1" t="n">
        <v>45337</v>
      </c>
      <c r="C2061" s="1" t="n">
        <v>46060</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62526-2025</t>
        </is>
      </c>
      <c r="B2062" s="1" t="n">
        <v>46007.63583333333</v>
      </c>
      <c r="C2062" s="1" t="n">
        <v>46060</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62195-2025</t>
        </is>
      </c>
      <c r="B2063" s="1" t="n">
        <v>46006.55266203704</v>
      </c>
      <c r="C2063" s="1" t="n">
        <v>46060</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62280-2025</t>
        </is>
      </c>
      <c r="B2064" s="1" t="n">
        <v>46006.63635416667</v>
      </c>
      <c r="C2064" s="1" t="n">
        <v>46060</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62312-2025</t>
        </is>
      </c>
      <c r="B2065" s="1" t="n">
        <v>46006.67767361111</v>
      </c>
      <c r="C2065" s="1" t="n">
        <v>46060</v>
      </c>
      <c r="D2065" t="inlineStr">
        <is>
          <t>VÄSTERNORRLANDS LÄN</t>
        </is>
      </c>
      <c r="E2065" t="inlineStr">
        <is>
          <t>SOLLEFTEÅ</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55654-2023</t>
        </is>
      </c>
      <c r="B2066" s="1" t="n">
        <v>45238.96642361111</v>
      </c>
      <c r="C2066" s="1" t="n">
        <v>46060</v>
      </c>
      <c r="D2066" t="inlineStr">
        <is>
          <t>VÄSTERNORRLANDS LÄN</t>
        </is>
      </c>
      <c r="E2066" t="inlineStr">
        <is>
          <t>SOLLEFTEÅ</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62311-2025</t>
        </is>
      </c>
      <c r="B2067" s="1" t="n">
        <v>46006.67753472222</v>
      </c>
      <c r="C2067" s="1" t="n">
        <v>46060</v>
      </c>
      <c r="D2067" t="inlineStr">
        <is>
          <t>VÄSTERNORRLANDS LÄN</t>
        </is>
      </c>
      <c r="E2067" t="inlineStr">
        <is>
          <t>SOLLEFTEÅ</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5159-2026</t>
        </is>
      </c>
      <c r="B2068" s="1" t="n">
        <v>46049.61608796296</v>
      </c>
      <c r="C2068" s="1" t="n">
        <v>46060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46060</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46060</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17664-2023</t>
        </is>
      </c>
      <c r="B2071" s="1" t="n">
        <v>45036.94416666667</v>
      </c>
      <c r="C2071" s="1" t="n">
        <v>46060</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62283-2025</t>
        </is>
      </c>
      <c r="B2072" s="1" t="n">
        <v>46006.63672453703</v>
      </c>
      <c r="C2072" s="1" t="n">
        <v>46060</v>
      </c>
      <c r="D2072" t="inlineStr">
        <is>
          <t>VÄSTERNORRLANDS LÄN</t>
        </is>
      </c>
      <c r="E2072" t="inlineStr">
        <is>
          <t>SOLLEFTEÅ</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18741-2021</t>
        </is>
      </c>
      <c r="B2073" s="1" t="n">
        <v>44306</v>
      </c>
      <c r="C2073" s="1" t="n">
        <v>46060</v>
      </c>
      <c r="D2073" t="inlineStr">
        <is>
          <t>VÄSTERNORRLANDS LÄN</t>
        </is>
      </c>
      <c r="E2073" t="inlineStr">
        <is>
          <t>SOLLEFTEÅ</t>
        </is>
      </c>
      <c r="F2073" t="inlineStr">
        <is>
          <t>Kyrkan</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62371-2025</t>
        </is>
      </c>
      <c r="B2074" s="1" t="n">
        <v>46007.34425925926</v>
      </c>
      <c r="C2074" s="1" t="n">
        <v>46060</v>
      </c>
      <c r="D2074" t="inlineStr">
        <is>
          <t>VÄSTERNORRLANDS LÄN</t>
        </is>
      </c>
      <c r="E2074" t="inlineStr">
        <is>
          <t>SOLLEFTEÅ</t>
        </is>
      </c>
      <c r="F2074" t="inlineStr">
        <is>
          <t>SCA</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7007-2025</t>
        </is>
      </c>
      <c r="B2075" s="1" t="n">
        <v>45701</v>
      </c>
      <c r="C2075" s="1" t="n">
        <v>46060</v>
      </c>
      <c r="D2075" t="inlineStr">
        <is>
          <t>VÄSTERNORRLANDS LÄN</t>
        </is>
      </c>
      <c r="E2075" t="inlineStr">
        <is>
          <t>SOLLEFTEÅ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62064-2025</t>
        </is>
      </c>
      <c r="B2076" s="1" t="n">
        <v>46006.3446875</v>
      </c>
      <c r="C2076" s="1" t="n">
        <v>46060</v>
      </c>
      <c r="D2076" t="inlineStr">
        <is>
          <t>VÄSTERNORRLANDS LÄN</t>
        </is>
      </c>
      <c r="E2076" t="inlineStr">
        <is>
          <t>SOLLEFTEÅ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62065-2025</t>
        </is>
      </c>
      <c r="B2077" s="1" t="n">
        <v>46006.34474537037</v>
      </c>
      <c r="C2077" s="1" t="n">
        <v>46060</v>
      </c>
      <c r="D2077" t="inlineStr">
        <is>
          <t>VÄSTERNORRLANDS LÄN</t>
        </is>
      </c>
      <c r="E2077" t="inlineStr">
        <is>
          <t>SOLLEFTEÅ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5059-2026</t>
        </is>
      </c>
      <c r="B2078" s="1" t="n">
        <v>46049.48384259259</v>
      </c>
      <c r="C2078" s="1" t="n">
        <v>46060</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62279-2025</t>
        </is>
      </c>
      <c r="B2079" s="1" t="n">
        <v>46006.63605324074</v>
      </c>
      <c r="C2079" s="1" t="n">
        <v>46060</v>
      </c>
      <c r="D2079" t="inlineStr">
        <is>
          <t>VÄSTERNORRLANDS LÄN</t>
        </is>
      </c>
      <c r="E2079" t="inlineStr">
        <is>
          <t>SOLLEFTEÅ</t>
        </is>
      </c>
      <c r="F2079" t="inlineStr">
        <is>
          <t>SCA</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23285-2023</t>
        </is>
      </c>
      <c r="B2080" s="1" t="n">
        <v>45075</v>
      </c>
      <c r="C2080" s="1" t="n">
        <v>46060</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3320-2026</t>
        </is>
      </c>
      <c r="B2081" s="1" t="n">
        <v>46041</v>
      </c>
      <c r="C2081" s="1" t="n">
        <v>46060</v>
      </c>
      <c r="D2081" t="inlineStr">
        <is>
          <t>VÄSTERNORRLANDS LÄN</t>
        </is>
      </c>
      <c r="E2081" t="inlineStr">
        <is>
          <t>SOLLEFTEÅ</t>
        </is>
      </c>
      <c r="F2081" t="inlineStr">
        <is>
          <t>Övriga statliga verk och myndigheter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3583-2026</t>
        </is>
      </c>
      <c r="B2082" s="1" t="n">
        <v>46042.72951388889</v>
      </c>
      <c r="C2082" s="1" t="n">
        <v>46060</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19936-2025</t>
        </is>
      </c>
      <c r="B2083" s="1" t="n">
        <v>45771.64130787037</v>
      </c>
      <c r="C2083" s="1" t="n">
        <v>46060</v>
      </c>
      <c r="D2083" t="inlineStr">
        <is>
          <t>VÄSTERNORRLANDS LÄN</t>
        </is>
      </c>
      <c r="E2083" t="inlineStr">
        <is>
          <t>SOLLEFTEÅ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62458-2025</t>
        </is>
      </c>
      <c r="B2084" s="1" t="n">
        <v>46007.50270833333</v>
      </c>
      <c r="C2084" s="1" t="n">
        <v>46060</v>
      </c>
      <c r="D2084" t="inlineStr">
        <is>
          <t>VÄSTERNORRLANDS LÄN</t>
        </is>
      </c>
      <c r="E2084" t="inlineStr">
        <is>
          <t>SOLLEFTEÅ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56252-2024</t>
        </is>
      </c>
      <c r="B2085" s="1" t="n">
        <v>45624</v>
      </c>
      <c r="C2085" s="1" t="n">
        <v>46060</v>
      </c>
      <c r="D2085" t="inlineStr">
        <is>
          <t>VÄSTERNORRLANDS LÄN</t>
        </is>
      </c>
      <c r="E2085" t="inlineStr">
        <is>
          <t>SOLLEFTEÅ</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62494-2025</t>
        </is>
      </c>
      <c r="B2086" s="1" t="n">
        <v>46007.5735300926</v>
      </c>
      <c r="C2086" s="1" t="n">
        <v>46060</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20183-2025</t>
        </is>
      </c>
      <c r="B2087" s="1" t="n">
        <v>45772.59440972222</v>
      </c>
      <c r="C2087" s="1" t="n">
        <v>46060</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20334-2025</t>
        </is>
      </c>
      <c r="B2088" s="1" t="n">
        <v>45775.36496527777</v>
      </c>
      <c r="C2088" s="1" t="n">
        <v>46060</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39230-2021</t>
        </is>
      </c>
      <c r="B2089" s="1" t="n">
        <v>44413.43902777778</v>
      </c>
      <c r="C2089" s="1" t="n">
        <v>46060</v>
      </c>
      <c r="D2089" t="inlineStr">
        <is>
          <t>VÄSTERNORRLANDS LÄN</t>
        </is>
      </c>
      <c r="E2089" t="inlineStr">
        <is>
          <t>SOLLEFTEÅ</t>
        </is>
      </c>
      <c r="G2089" t="n">
        <v>13.6</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46060</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40571-2024</t>
        </is>
      </c>
      <c r="B2091" s="1" t="n">
        <v>45555.67759259259</v>
      </c>
      <c r="C2091" s="1" t="n">
        <v>46060</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40679-2024</t>
        </is>
      </c>
      <c r="B2092" s="1" t="n">
        <v>45558</v>
      </c>
      <c r="C2092" s="1" t="n">
        <v>46060</v>
      </c>
      <c r="D2092" t="inlineStr">
        <is>
          <t>VÄSTERNORRLANDS LÄN</t>
        </is>
      </c>
      <c r="E2092" t="inlineStr">
        <is>
          <t>SOLLEFTEÅ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14308-2022</t>
        </is>
      </c>
      <c r="B2093" s="1" t="n">
        <v>44651.93954861111</v>
      </c>
      <c r="C2093" s="1" t="n">
        <v>46060</v>
      </c>
      <c r="D2093" t="inlineStr">
        <is>
          <t>VÄSTERNORRLANDS LÄN</t>
        </is>
      </c>
      <c r="E2093" t="inlineStr">
        <is>
          <t>SOLLEFTEÅ</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62181-2025</t>
        </is>
      </c>
      <c r="B2094" s="1" t="n">
        <v>46006.53164351852</v>
      </c>
      <c r="C2094" s="1" t="n">
        <v>46060</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42663-2022</t>
        </is>
      </c>
      <c r="B2095" s="1" t="n">
        <v>44831</v>
      </c>
      <c r="C2095" s="1" t="n">
        <v>46060</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5032-2026</t>
        </is>
      </c>
      <c r="B2096" s="1" t="n">
        <v>46049.45354166667</v>
      </c>
      <c r="C2096" s="1" t="n">
        <v>46060</v>
      </c>
      <c r="D2096" t="inlineStr">
        <is>
          <t>VÄSTERNORRLANDS LÄN</t>
        </is>
      </c>
      <c r="E2096" t="inlineStr">
        <is>
          <t>SOLLEFTEÅ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19749-2025</t>
        </is>
      </c>
      <c r="B2097" s="1" t="n">
        <v>45771.38582175926</v>
      </c>
      <c r="C2097" s="1" t="n">
        <v>46060</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17172-2024</t>
        </is>
      </c>
      <c r="B2098" s="1" t="n">
        <v>45412.97858796296</v>
      </c>
      <c r="C2098" s="1" t="n">
        <v>46060</v>
      </c>
      <c r="D2098" t="inlineStr">
        <is>
          <t>VÄSTERNORRLANDS LÄN</t>
        </is>
      </c>
      <c r="E2098" t="inlineStr">
        <is>
          <t>SOLLEFTEÅ</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2939-2025</t>
        </is>
      </c>
      <c r="B2099" s="1" t="n">
        <v>45678.38581018519</v>
      </c>
      <c r="C2099" s="1" t="n">
        <v>46060</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5511-2026</t>
        </is>
      </c>
      <c r="B2100" s="1" t="n">
        <v>46050.6358912037</v>
      </c>
      <c r="C2100" s="1" t="n">
        <v>46060</v>
      </c>
      <c r="D2100" t="inlineStr">
        <is>
          <t>VÄSTERNORRLANDS LÄN</t>
        </is>
      </c>
      <c r="E2100" t="inlineStr">
        <is>
          <t>SOLLEFTEÅ</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20461-2023</t>
        </is>
      </c>
      <c r="B2101" s="1" t="n">
        <v>45056.95284722222</v>
      </c>
      <c r="C2101" s="1" t="n">
        <v>46060</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3081-2025</t>
        </is>
      </c>
      <c r="B2102" s="1" t="n">
        <v>45678.644375</v>
      </c>
      <c r="C2102" s="1" t="n">
        <v>46060</v>
      </c>
      <c r="D2102" t="inlineStr">
        <is>
          <t>VÄSTERNORRLANDS LÄN</t>
        </is>
      </c>
      <c r="E2102" t="inlineStr">
        <is>
          <t>SOLLEFTEÅ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62585-2025</t>
        </is>
      </c>
      <c r="B2103" s="1" t="n">
        <v>46007.84189814814</v>
      </c>
      <c r="C2103" s="1" t="n">
        <v>46060</v>
      </c>
      <c r="D2103" t="inlineStr">
        <is>
          <t>VÄSTERNORRLANDS LÄN</t>
        </is>
      </c>
      <c r="E2103" t="inlineStr">
        <is>
          <t>SOLLEFTEÅ</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19929-2025</t>
        </is>
      </c>
      <c r="B2104" s="1" t="n">
        <v>45771.6359837963</v>
      </c>
      <c r="C2104" s="1" t="n">
        <v>46060</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19932-2025</t>
        </is>
      </c>
      <c r="B2105" s="1" t="n">
        <v>45771.63940972222</v>
      </c>
      <c r="C2105" s="1" t="n">
        <v>46060</v>
      </c>
      <c r="D2105" t="inlineStr">
        <is>
          <t>VÄSTERNORRLANDS LÄN</t>
        </is>
      </c>
      <c r="E2105" t="inlineStr">
        <is>
          <t>SOLLEFTEÅ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18949-2025</t>
        </is>
      </c>
      <c r="B2106" s="1" t="n">
        <v>45764</v>
      </c>
      <c r="C2106" s="1" t="n">
        <v>46060</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48396-2024</t>
        </is>
      </c>
      <c r="B2107" s="1" t="n">
        <v>45590.61503472222</v>
      </c>
      <c r="C2107" s="1" t="n">
        <v>46060</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51314-2022</t>
        </is>
      </c>
      <c r="B2108" s="1" t="n">
        <v>44868.950625</v>
      </c>
      <c r="C2108" s="1" t="n">
        <v>46060</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62901-2025</t>
        </is>
      </c>
      <c r="B2109" s="1" t="n">
        <v>46009.34457175926</v>
      </c>
      <c r="C2109" s="1" t="n">
        <v>46060</v>
      </c>
      <c r="D2109" t="inlineStr">
        <is>
          <t>VÄSTERNORRLANDS LÄN</t>
        </is>
      </c>
      <c r="E2109" t="inlineStr">
        <is>
          <t>SOLLEFTEÅ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62902-2025</t>
        </is>
      </c>
      <c r="B2110" s="1" t="n">
        <v>46009.34462962963</v>
      </c>
      <c r="C2110" s="1" t="n">
        <v>46060</v>
      </c>
      <c r="D2110" t="inlineStr">
        <is>
          <t>VÄSTERNORRLANDS LÄN</t>
        </is>
      </c>
      <c r="E2110" t="inlineStr">
        <is>
          <t>SOLLEFTEÅ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4181-2026</t>
        </is>
      </c>
      <c r="B2111" s="1" t="n">
        <v>46044</v>
      </c>
      <c r="C2111" s="1" t="n">
        <v>46060</v>
      </c>
      <c r="D2111" t="inlineStr">
        <is>
          <t>VÄSTERNORRLANDS LÄN</t>
        </is>
      </c>
      <c r="E2111" t="inlineStr">
        <is>
          <t>SOLLEFTEÅ</t>
        </is>
      </c>
      <c r="F2111" t="inlineStr">
        <is>
          <t>Kommuner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4212-2026</t>
        </is>
      </c>
      <c r="B2112" s="1" t="n">
        <v>46044</v>
      </c>
      <c r="C2112" s="1" t="n">
        <v>46060</v>
      </c>
      <c r="D2112" t="inlineStr">
        <is>
          <t>VÄSTERNORRLANDS LÄN</t>
        </is>
      </c>
      <c r="E2112" t="inlineStr">
        <is>
          <t>SOLLEFTEÅ</t>
        </is>
      </c>
      <c r="F2112" t="inlineStr">
        <is>
          <t>Kommuner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4211-2026</t>
        </is>
      </c>
      <c r="B2113" s="1" t="n">
        <v>46044</v>
      </c>
      <c r="C2113" s="1" t="n">
        <v>46060</v>
      </c>
      <c r="D2113" t="inlineStr">
        <is>
          <t>VÄSTERNORRLANDS LÄN</t>
        </is>
      </c>
      <c r="E2113" t="inlineStr">
        <is>
          <t>SOLLEFTEÅ</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5390-2026</t>
        </is>
      </c>
      <c r="B2114" s="1" t="n">
        <v>46050.46929398148</v>
      </c>
      <c r="C2114" s="1" t="n">
        <v>46060</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62903-2025</t>
        </is>
      </c>
      <c r="B2115" s="1" t="n">
        <v>46009.34466435185</v>
      </c>
      <c r="C2115" s="1" t="n">
        <v>46060</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5434-2026</t>
        </is>
      </c>
      <c r="B2116" s="1" t="n">
        <v>46050.55648148148</v>
      </c>
      <c r="C2116" s="1" t="n">
        <v>46060</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62847-2025</t>
        </is>
      </c>
      <c r="B2117" s="1" t="n">
        <v>46008.69819444444</v>
      </c>
      <c r="C2117" s="1" t="n">
        <v>46060</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63038-2025</t>
        </is>
      </c>
      <c r="B2118" s="1" t="n">
        <v>46009.61511574074</v>
      </c>
      <c r="C2118" s="1" t="n">
        <v>46060</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5489-2026</t>
        </is>
      </c>
      <c r="B2119" s="1" t="n">
        <v>46050.61511574074</v>
      </c>
      <c r="C2119" s="1" t="n">
        <v>46060</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26407-2022</t>
        </is>
      </c>
      <c r="B2120" s="1" t="n">
        <v>44735</v>
      </c>
      <c r="C2120" s="1" t="n">
        <v>46060</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19326-2024</t>
        </is>
      </c>
      <c r="B2121" s="1" t="n">
        <v>45428</v>
      </c>
      <c r="C2121" s="1" t="n">
        <v>46060</v>
      </c>
      <c r="D2121" t="inlineStr">
        <is>
          <t>VÄSTERNORRLANDS LÄN</t>
        </is>
      </c>
      <c r="E2121" t="inlineStr">
        <is>
          <t>SOLLEFTEÅ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17604-2021</t>
        </is>
      </c>
      <c r="B2122" s="1" t="n">
        <v>44299</v>
      </c>
      <c r="C2122" s="1" t="n">
        <v>46060</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62981-2025</t>
        </is>
      </c>
      <c r="B2123" s="1" t="n">
        <v>46009.49001157407</v>
      </c>
      <c r="C2123" s="1" t="n">
        <v>46060</v>
      </c>
      <c r="D2123" t="inlineStr">
        <is>
          <t>VÄSTERNORRLANDS LÄN</t>
        </is>
      </c>
      <c r="E2123" t="inlineStr">
        <is>
          <t>SOLLEFTEÅ</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16238-2024</t>
        </is>
      </c>
      <c r="B2124" s="1" t="n">
        <v>45407.05692129629</v>
      </c>
      <c r="C2124" s="1" t="n">
        <v>46060</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62982-2025</t>
        </is>
      </c>
      <c r="B2125" s="1" t="n">
        <v>46009.49017361111</v>
      </c>
      <c r="C2125" s="1" t="n">
        <v>46060</v>
      </c>
      <c r="D2125" t="inlineStr">
        <is>
          <t>VÄSTERNORRLANDS LÄN</t>
        </is>
      </c>
      <c r="E2125" t="inlineStr">
        <is>
          <t>SOLLEFTEÅ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62900-2025</t>
        </is>
      </c>
      <c r="B2126" s="1" t="n">
        <v>46009.34457175926</v>
      </c>
      <c r="C2126" s="1" t="n">
        <v>46060</v>
      </c>
      <c r="D2126" t="inlineStr">
        <is>
          <t>VÄSTERNORRLANDS LÄN</t>
        </is>
      </c>
      <c r="E2126" t="inlineStr">
        <is>
          <t>SOLLEFTEÅ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14554-2024</t>
        </is>
      </c>
      <c r="B2127" s="1" t="n">
        <v>45394</v>
      </c>
      <c r="C2127" s="1" t="n">
        <v>46060</v>
      </c>
      <c r="D2127" t="inlineStr">
        <is>
          <t>VÄSTERNORRLANDS LÄN</t>
        </is>
      </c>
      <c r="E2127" t="inlineStr">
        <is>
          <t>SOLLEFTEÅ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5646-2026</t>
        </is>
      </c>
      <c r="B2128" s="1" t="n">
        <v>46051.42618055556</v>
      </c>
      <c r="C2128" s="1" t="n">
        <v>46060</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4208-2026</t>
        </is>
      </c>
      <c r="B2129" s="1" t="n">
        <v>46044</v>
      </c>
      <c r="C2129" s="1" t="n">
        <v>46060</v>
      </c>
      <c r="D2129" t="inlineStr">
        <is>
          <t>VÄSTERNORRLANDS LÄN</t>
        </is>
      </c>
      <c r="E2129" t="inlineStr">
        <is>
          <t>SOLLEFTEÅ</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1840-2024</t>
        </is>
      </c>
      <c r="B2130" s="1" t="n">
        <v>45307</v>
      </c>
      <c r="C2130" s="1" t="n">
        <v>46060</v>
      </c>
      <c r="D2130" t="inlineStr">
        <is>
          <t>VÄSTERNORRLANDS LÄN</t>
        </is>
      </c>
      <c r="E2130" t="inlineStr">
        <is>
          <t>SOLLEFTEÅ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1844-2024</t>
        </is>
      </c>
      <c r="B2131" s="1" t="n">
        <v>45307</v>
      </c>
      <c r="C2131" s="1" t="n">
        <v>46060</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63433-2025</t>
        </is>
      </c>
      <c r="B2132" s="1" t="n">
        <v>46013.36335648148</v>
      </c>
      <c r="C2132" s="1" t="n">
        <v>46060</v>
      </c>
      <c r="D2132" t="inlineStr">
        <is>
          <t>VÄSTERNORRLANDS LÄN</t>
        </is>
      </c>
      <c r="E2132" t="inlineStr">
        <is>
          <t>SOLLEFTEÅ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63456-2025</t>
        </is>
      </c>
      <c r="B2133" s="1" t="n">
        <v>46013.42209490741</v>
      </c>
      <c r="C2133" s="1" t="n">
        <v>46060</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39177-2024</t>
        </is>
      </c>
      <c r="B2134" s="1" t="n">
        <v>45548.65681712963</v>
      </c>
      <c r="C2134" s="1" t="n">
        <v>46060</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6053-2026</t>
        </is>
      </c>
      <c r="B2135" s="1" t="n">
        <v>46052.6358912037</v>
      </c>
      <c r="C2135" s="1" t="n">
        <v>46060</v>
      </c>
      <c r="D2135" t="inlineStr">
        <is>
          <t>VÄSTERNORRLANDS LÄN</t>
        </is>
      </c>
      <c r="E2135" t="inlineStr">
        <is>
          <t>SOLLEFTEÅ</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15080-2023</t>
        </is>
      </c>
      <c r="B2136" s="1" t="n">
        <v>45016.07525462963</v>
      </c>
      <c r="C2136" s="1" t="n">
        <v>46060</v>
      </c>
      <c r="D2136" t="inlineStr">
        <is>
          <t>VÄSTERNORRLANDS LÄN</t>
        </is>
      </c>
      <c r="E2136" t="inlineStr">
        <is>
          <t>SOLLEFTEÅ</t>
        </is>
      </c>
      <c r="F2136" t="inlineStr">
        <is>
          <t>SCA</t>
        </is>
      </c>
      <c r="G2136" t="n">
        <v>33.6</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46060</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63296-2025</t>
        </is>
      </c>
      <c r="B2138" s="1" t="n">
        <v>46010.5952662037</v>
      </c>
      <c r="C2138" s="1" t="n">
        <v>46060</v>
      </c>
      <c r="D2138" t="inlineStr">
        <is>
          <t>VÄSTERNORRLANDS LÄN</t>
        </is>
      </c>
      <c r="E2138" t="inlineStr">
        <is>
          <t>SOLLEFTEÅ</t>
        </is>
      </c>
      <c r="F2138" t="inlineStr">
        <is>
          <t>Holmen skog AB</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47181-2023</t>
        </is>
      </c>
      <c r="B2139" s="1" t="n">
        <v>45201.94876157407</v>
      </c>
      <c r="C2139" s="1" t="n">
        <v>46060</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63728-2025</t>
        </is>
      </c>
      <c r="B2140" s="1" t="n">
        <v>46010</v>
      </c>
      <c r="C2140" s="1" t="n">
        <v>46060</v>
      </c>
      <c r="D2140" t="inlineStr">
        <is>
          <t>VÄSTERNORRLANDS LÄN</t>
        </is>
      </c>
      <c r="E2140" t="inlineStr">
        <is>
          <t>SOLLEFTEÅ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63180-2025</t>
        </is>
      </c>
      <c r="B2141" s="1" t="n">
        <v>46010.42760416667</v>
      </c>
      <c r="C2141" s="1" t="n">
        <v>46060</v>
      </c>
      <c r="D2141" t="inlineStr">
        <is>
          <t>VÄSTERNORRLANDS LÄN</t>
        </is>
      </c>
      <c r="E2141" t="inlineStr">
        <is>
          <t>SOLLEFTEÅ</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3495-2026</t>
        </is>
      </c>
      <c r="B2142" s="1" t="n">
        <v>46042</v>
      </c>
      <c r="C2142" s="1" t="n">
        <v>46060</v>
      </c>
      <c r="D2142" t="inlineStr">
        <is>
          <t>VÄSTERNORRLANDS LÄN</t>
        </is>
      </c>
      <c r="E2142" t="inlineStr">
        <is>
          <t>SOLLEFTEÅ</t>
        </is>
      </c>
      <c r="F2142" t="inlineStr">
        <is>
          <t>Kyrkan</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63727-2025</t>
        </is>
      </c>
      <c r="B2143" s="1" t="n">
        <v>46010</v>
      </c>
      <c r="C2143" s="1" t="n">
        <v>46060</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63382-2025</t>
        </is>
      </c>
      <c r="B2144" s="1" t="n">
        <v>46011.34420138889</v>
      </c>
      <c r="C2144" s="1" t="n">
        <v>46060</v>
      </c>
      <c r="D2144" t="inlineStr">
        <is>
          <t>VÄSTERNORRLANDS LÄN</t>
        </is>
      </c>
      <c r="E2144" t="inlineStr">
        <is>
          <t>SOLLEFTEÅ</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46804-2023</t>
        </is>
      </c>
      <c r="B2145" s="1" t="n">
        <v>45198</v>
      </c>
      <c r="C2145" s="1" t="n">
        <v>46060</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4501-2023</t>
        </is>
      </c>
      <c r="B2146" s="1" t="n">
        <v>44952</v>
      </c>
      <c r="C2146" s="1" t="n">
        <v>46060</v>
      </c>
      <c r="D2146" t="inlineStr">
        <is>
          <t>VÄSTERNORRLANDS LÄN</t>
        </is>
      </c>
      <c r="E2146" t="inlineStr">
        <is>
          <t>SOLLEFTEÅ</t>
        </is>
      </c>
      <c r="F2146" t="inlineStr">
        <is>
          <t>Övriga Aktiebolag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63273-2025</t>
        </is>
      </c>
      <c r="B2147" s="1" t="n">
        <v>46010.57322916666</v>
      </c>
      <c r="C2147" s="1" t="n">
        <v>46060</v>
      </c>
      <c r="D2147" t="inlineStr">
        <is>
          <t>VÄSTERNORRLANDS LÄN</t>
        </is>
      </c>
      <c r="E2147" t="inlineStr">
        <is>
          <t>SOLLEFTEÅ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12064-2025</t>
        </is>
      </c>
      <c r="B2148" s="1" t="n">
        <v>45728.69861111111</v>
      </c>
      <c r="C2148" s="1" t="n">
        <v>46060</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5842-2026</t>
        </is>
      </c>
      <c r="B2149" s="1" t="n">
        <v>46052.34503472222</v>
      </c>
      <c r="C2149" s="1" t="n">
        <v>46060</v>
      </c>
      <c r="D2149" t="inlineStr">
        <is>
          <t>VÄSTERNORRLANDS LÄN</t>
        </is>
      </c>
      <c r="E2149" t="inlineStr">
        <is>
          <t>SOLLEFTEÅ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63412-2025</t>
        </is>
      </c>
      <c r="B2150" s="1" t="n">
        <v>46013.31016203704</v>
      </c>
      <c r="C2150" s="1" t="n">
        <v>46060</v>
      </c>
      <c r="D2150" t="inlineStr">
        <is>
          <t>VÄSTERNORRLANDS LÄN</t>
        </is>
      </c>
      <c r="E2150" t="inlineStr">
        <is>
          <t>SOLLEFTEÅ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63470-2025</t>
        </is>
      </c>
      <c r="B2151" s="1" t="n">
        <v>46013.4347337963</v>
      </c>
      <c r="C2151" s="1" t="n">
        <v>46060</v>
      </c>
      <c r="D2151" t="inlineStr">
        <is>
          <t>VÄSTERNORRLANDS LÄN</t>
        </is>
      </c>
      <c r="E2151" t="inlineStr">
        <is>
          <t>SOLLEFTEÅ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63471-2025</t>
        </is>
      </c>
      <c r="B2152" s="1" t="n">
        <v>46013.43973379629</v>
      </c>
      <c r="C2152" s="1" t="n">
        <v>46060</v>
      </c>
      <c r="D2152" t="inlineStr">
        <is>
          <t>VÄSTERNORRLANDS LÄN</t>
        </is>
      </c>
      <c r="E2152" t="inlineStr">
        <is>
          <t>SOLLEFTEÅ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59038-2022</t>
        </is>
      </c>
      <c r="B2153" s="1" t="n">
        <v>44903.9496412037</v>
      </c>
      <c r="C2153" s="1" t="n">
        <v>46060</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59402-2025</t>
        </is>
      </c>
      <c r="B2154" s="1" t="n">
        <v>45989</v>
      </c>
      <c r="C2154" s="1" t="n">
        <v>46060</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63158-2025</t>
        </is>
      </c>
      <c r="B2155" s="1" t="n">
        <v>46010.36509259259</v>
      </c>
      <c r="C2155" s="1" t="n">
        <v>46060</v>
      </c>
      <c r="D2155" t="inlineStr">
        <is>
          <t>VÄSTERNORRLANDS LÄN</t>
        </is>
      </c>
      <c r="E2155" t="inlineStr">
        <is>
          <t>SOLLEFTEÅ</t>
        </is>
      </c>
      <c r="F2155" t="inlineStr">
        <is>
          <t>SCA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48296-2022</t>
        </is>
      </c>
      <c r="B2156" s="1" t="n">
        <v>44858.51815972223</v>
      </c>
      <c r="C2156" s="1" t="n">
        <v>46060</v>
      </c>
      <c r="D2156" t="inlineStr">
        <is>
          <t>VÄSTERNORRLANDS LÄN</t>
        </is>
      </c>
      <c r="E2156" t="inlineStr">
        <is>
          <t>SOLLEFTEÅ</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11318-2022</t>
        </is>
      </c>
      <c r="B2157" s="1" t="n">
        <v>44629.94743055556</v>
      </c>
      <c r="C2157" s="1" t="n">
        <v>46060</v>
      </c>
      <c r="D2157" t="inlineStr">
        <is>
          <t>VÄSTERNORRLANDS LÄN</t>
        </is>
      </c>
      <c r="E2157" t="inlineStr">
        <is>
          <t>SOLLEFTEÅ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63442-2025</t>
        </is>
      </c>
      <c r="B2158" s="1" t="n">
        <v>46013.38599537037</v>
      </c>
      <c r="C2158" s="1" t="n">
        <v>46060</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63443-2025</t>
        </is>
      </c>
      <c r="B2159" s="1" t="n">
        <v>46013.38929398148</v>
      </c>
      <c r="C2159" s="1" t="n">
        <v>46060</v>
      </c>
      <c r="D2159" t="inlineStr">
        <is>
          <t>VÄSTERNORRLANDS LÄN</t>
        </is>
      </c>
      <c r="E2159" t="inlineStr">
        <is>
          <t>SOLLEFTEÅ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50557-2024</t>
        </is>
      </c>
      <c r="B2160" s="1" t="n">
        <v>45601</v>
      </c>
      <c r="C2160" s="1" t="n">
        <v>46060</v>
      </c>
      <c r="D2160" t="inlineStr">
        <is>
          <t>VÄSTERNORRLANDS LÄN</t>
        </is>
      </c>
      <c r="E2160" t="inlineStr">
        <is>
          <t>SOLLEFTEÅ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14094-2025</t>
        </is>
      </c>
      <c r="B2161" s="1" t="n">
        <v>45740.44827546296</v>
      </c>
      <c r="C2161" s="1" t="n">
        <v>46060</v>
      </c>
      <c r="D2161" t="inlineStr">
        <is>
          <t>VÄSTERNORRLANDS LÄN</t>
        </is>
      </c>
      <c r="E2161" t="inlineStr">
        <is>
          <t>SOLLEFTEÅ</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14096-2025</t>
        </is>
      </c>
      <c r="B2162" s="1" t="n">
        <v>45740.44858796296</v>
      </c>
      <c r="C2162" s="1" t="n">
        <v>46060</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14097-2025</t>
        </is>
      </c>
      <c r="B2163" s="1" t="n">
        <v>45740.44875</v>
      </c>
      <c r="C2163" s="1" t="n">
        <v>46060</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3496-2026</t>
        </is>
      </c>
      <c r="B2164" s="1" t="n">
        <v>46042</v>
      </c>
      <c r="C2164" s="1" t="n">
        <v>46060</v>
      </c>
      <c r="D2164" t="inlineStr">
        <is>
          <t>VÄSTERNORRLANDS LÄN</t>
        </is>
      </c>
      <c r="E2164" t="inlineStr">
        <is>
          <t>SOLLEFTEÅ</t>
        </is>
      </c>
      <c r="F2164" t="inlineStr">
        <is>
          <t>Kyrkan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63569-2025</t>
        </is>
      </c>
      <c r="B2165" s="1" t="n">
        <v>46013.63601851852</v>
      </c>
      <c r="C2165" s="1" t="n">
        <v>46060</v>
      </c>
      <c r="D2165" t="inlineStr">
        <is>
          <t>VÄSTERNORRLANDS LÄN</t>
        </is>
      </c>
      <c r="E2165" t="inlineStr">
        <is>
          <t>SOLLEFTEÅ</t>
        </is>
      </c>
      <c r="G2165" t="n">
        <v>20.6</v>
      </c>
      <c r="H2165" t="n">
        <v>0</v>
      </c>
      <c r="I2165" t="n">
        <v>0</v>
      </c>
      <c r="J2165" t="n">
        <v>0</v>
      </c>
      <c r="K2165" t="n">
        <v>0</v>
      </c>
      <c r="L2165" t="n">
        <v>0</v>
      </c>
      <c r="M2165" t="n">
        <v>0</v>
      </c>
      <c r="N2165" t="n">
        <v>0</v>
      </c>
      <c r="O2165" t="n">
        <v>0</v>
      </c>
      <c r="P2165" t="n">
        <v>0</v>
      </c>
      <c r="Q2165" t="n">
        <v>0</v>
      </c>
      <c r="R2165" s="2" t="inlineStr"/>
    </row>
    <row r="2166" ht="15" customHeight="1">
      <c r="A2166" t="inlineStr">
        <is>
          <t>A 63568-2025</t>
        </is>
      </c>
      <c r="B2166" s="1" t="n">
        <v>46013.63594907407</v>
      </c>
      <c r="C2166" s="1" t="n">
        <v>46060</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61391-2022</t>
        </is>
      </c>
      <c r="B2167" s="1" t="n">
        <v>44915.94334490741</v>
      </c>
      <c r="C2167" s="1" t="n">
        <v>46060</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46060</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63579-2025</t>
        </is>
      </c>
      <c r="B2169" s="1" t="n">
        <v>46013.67748842593</v>
      </c>
      <c r="C2169" s="1" t="n">
        <v>46060</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63726-2025</t>
        </is>
      </c>
      <c r="B2170" s="1" t="n">
        <v>46010</v>
      </c>
      <c r="C2170" s="1" t="n">
        <v>46060</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46032-2022</t>
        </is>
      </c>
      <c r="B2171" s="1" t="n">
        <v>44846</v>
      </c>
      <c r="C2171" s="1" t="n">
        <v>46060</v>
      </c>
      <c r="D2171" t="inlineStr">
        <is>
          <t>VÄSTERNORRLANDS LÄN</t>
        </is>
      </c>
      <c r="E2171" t="inlineStr">
        <is>
          <t>SOLLEFTEÅ</t>
        </is>
      </c>
      <c r="F2171" t="inlineStr">
        <is>
          <t>SCA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35276-2023</t>
        </is>
      </c>
      <c r="B2172" s="1" t="n">
        <v>45145.95409722222</v>
      </c>
      <c r="C2172" s="1" t="n">
        <v>46060</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46060</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56249-2023</t>
        </is>
      </c>
      <c r="B2174" s="1" t="n">
        <v>45240.9468287037</v>
      </c>
      <c r="C2174" s="1" t="n">
        <v>46060</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47272-2022</t>
        </is>
      </c>
      <c r="B2175" s="1" t="n">
        <v>44852.95016203704</v>
      </c>
      <c r="C2175" s="1" t="n">
        <v>46060</v>
      </c>
      <c r="D2175" t="inlineStr">
        <is>
          <t>VÄSTERNORRLANDS LÄN</t>
        </is>
      </c>
      <c r="E2175" t="inlineStr">
        <is>
          <t>SOLLEFTEÅ</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23030-2021</t>
        </is>
      </c>
      <c r="B2176" s="1" t="n">
        <v>44328.94091435185</v>
      </c>
      <c r="C2176" s="1" t="n">
        <v>46060</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52455-2024</t>
        </is>
      </c>
      <c r="B2177" s="1" t="n">
        <v>45609.50984953704</v>
      </c>
      <c r="C2177" s="1" t="n">
        <v>46060</v>
      </c>
      <c r="D2177" t="inlineStr">
        <is>
          <t>VÄSTERNORRLANDS LÄN</t>
        </is>
      </c>
      <c r="E2177" t="inlineStr">
        <is>
          <t>SOLLEFTEÅ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31918-2023</t>
        </is>
      </c>
      <c r="B2178" s="1" t="n">
        <v>45118</v>
      </c>
      <c r="C2178" s="1" t="n">
        <v>46060</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31922-2023</t>
        </is>
      </c>
      <c r="B2179" s="1" t="n">
        <v>45118.94021990741</v>
      </c>
      <c r="C2179" s="1" t="n">
        <v>46060</v>
      </c>
      <c r="D2179" t="inlineStr">
        <is>
          <t>VÄSTERNORRLANDS LÄN</t>
        </is>
      </c>
      <c r="E2179" t="inlineStr">
        <is>
          <t>SOLLEFTEÅ</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13300-2022</t>
        </is>
      </c>
      <c r="B2180" s="1" t="n">
        <v>44644</v>
      </c>
      <c r="C2180" s="1" t="n">
        <v>46060</v>
      </c>
      <c r="D2180" t="inlineStr">
        <is>
          <t>VÄSTERNORRLANDS LÄN</t>
        </is>
      </c>
      <c r="E2180" t="inlineStr">
        <is>
          <t>SOLLEFTEÅ</t>
        </is>
      </c>
      <c r="F2180" t="inlineStr">
        <is>
          <t>SCA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6725-2026</t>
        </is>
      </c>
      <c r="B2181" s="1" t="n">
        <v>46056.67760416667</v>
      </c>
      <c r="C2181" s="1" t="n">
        <v>46060</v>
      </c>
      <c r="D2181" t="inlineStr">
        <is>
          <t>VÄSTERNORRLANDS LÄN</t>
        </is>
      </c>
      <c r="E2181" t="inlineStr">
        <is>
          <t>SOLLEFTEÅ</t>
        </is>
      </c>
      <c r="F2181" t="inlineStr">
        <is>
          <t>SCA</t>
        </is>
      </c>
      <c r="G2181" t="n">
        <v>27.7</v>
      </c>
      <c r="H2181" t="n">
        <v>0</v>
      </c>
      <c r="I2181" t="n">
        <v>0</v>
      </c>
      <c r="J2181" t="n">
        <v>0</v>
      </c>
      <c r="K2181" t="n">
        <v>0</v>
      </c>
      <c r="L2181" t="n">
        <v>0</v>
      </c>
      <c r="M2181" t="n">
        <v>0</v>
      </c>
      <c r="N2181" t="n">
        <v>0</v>
      </c>
      <c r="O2181" t="n">
        <v>0</v>
      </c>
      <c r="P2181" t="n">
        <v>0</v>
      </c>
      <c r="Q2181" t="n">
        <v>0</v>
      </c>
      <c r="R2181" s="2" t="inlineStr"/>
    </row>
    <row r="2182" ht="15" customHeight="1">
      <c r="A2182" t="inlineStr">
        <is>
          <t>A 27908-2024</t>
        </is>
      </c>
      <c r="B2182" s="1" t="n">
        <v>45475.94615740741</v>
      </c>
      <c r="C2182" s="1" t="n">
        <v>46060</v>
      </c>
      <c r="D2182" t="inlineStr">
        <is>
          <t>VÄSTERNORRLANDS LÄN</t>
        </is>
      </c>
      <c r="E2182" t="inlineStr">
        <is>
          <t>SOLLEFTEÅ</t>
        </is>
      </c>
      <c r="F2182" t="inlineStr">
        <is>
          <t>SCA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27916-2024</t>
        </is>
      </c>
      <c r="B2183" s="1" t="n">
        <v>45475.94834490741</v>
      </c>
      <c r="C2183" s="1" t="n">
        <v>46060</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63646-2025</t>
        </is>
      </c>
      <c r="B2184" s="1" t="n">
        <v>46014.42746527777</v>
      </c>
      <c r="C2184" s="1" t="n">
        <v>46060</v>
      </c>
      <c r="D2184" t="inlineStr">
        <is>
          <t>VÄSTERNORRLANDS LÄN</t>
        </is>
      </c>
      <c r="E2184" t="inlineStr">
        <is>
          <t>SOLLEFTEÅ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63677-2025</t>
        </is>
      </c>
      <c r="B2185" s="1" t="n">
        <v>46014.48986111111</v>
      </c>
      <c r="C2185" s="1" t="n">
        <v>46060</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7585-2024</t>
        </is>
      </c>
      <c r="B2186" s="1" t="n">
        <v>45348</v>
      </c>
      <c r="C2186" s="1" t="n">
        <v>46060</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27633-2024</t>
        </is>
      </c>
      <c r="B2187" s="1" t="n">
        <v>45474.94590277778</v>
      </c>
      <c r="C2187" s="1" t="n">
        <v>46060</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27634-2024</t>
        </is>
      </c>
      <c r="B2188" s="1" t="n">
        <v>45474.94599537037</v>
      </c>
      <c r="C2188" s="1" t="n">
        <v>46060</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46261-2024</t>
        </is>
      </c>
      <c r="B2189" s="1" t="n">
        <v>45581.61048611111</v>
      </c>
      <c r="C2189" s="1" t="n">
        <v>46060</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25702-2024</t>
        </is>
      </c>
      <c r="B2190" s="1" t="n">
        <v>45463</v>
      </c>
      <c r="C2190" s="1" t="n">
        <v>46060</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25711-2024</t>
        </is>
      </c>
      <c r="B2191" s="1" t="n">
        <v>45463</v>
      </c>
      <c r="C2191" s="1" t="n">
        <v>46060</v>
      </c>
      <c r="D2191" t="inlineStr">
        <is>
          <t>VÄSTERNORRLANDS LÄN</t>
        </is>
      </c>
      <c r="E2191" t="inlineStr">
        <is>
          <t>SOLLEFTEÅ</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25356-2024</t>
        </is>
      </c>
      <c r="B2192" s="1" t="n">
        <v>45462.9565162037</v>
      </c>
      <c r="C2192" s="1" t="n">
        <v>46060</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62662-2022</t>
        </is>
      </c>
      <c r="B2193" s="1" t="n">
        <v>44917</v>
      </c>
      <c r="C2193" s="1" t="n">
        <v>46060</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63413-2023</t>
        </is>
      </c>
      <c r="B2194" s="1" t="n">
        <v>45274</v>
      </c>
      <c r="C2194" s="1" t="n">
        <v>46060</v>
      </c>
      <c r="D2194" t="inlineStr">
        <is>
          <t>VÄSTERNORRLANDS LÄN</t>
        </is>
      </c>
      <c r="E2194" t="inlineStr">
        <is>
          <t>SOLLEFTEÅ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63422-2023</t>
        </is>
      </c>
      <c r="B2195" s="1" t="n">
        <v>45274</v>
      </c>
      <c r="C2195" s="1" t="n">
        <v>46060</v>
      </c>
      <c r="D2195" t="inlineStr">
        <is>
          <t>VÄSTERNORRLANDS LÄN</t>
        </is>
      </c>
      <c r="E2195" t="inlineStr">
        <is>
          <t>SOLLEFTEÅ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64638-2021</t>
        </is>
      </c>
      <c r="B2196" s="1" t="n">
        <v>44511</v>
      </c>
      <c r="C2196" s="1" t="n">
        <v>46060</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6544-2026</t>
        </is>
      </c>
      <c r="B2197" s="1" t="n">
        <v>46056.42792824074</v>
      </c>
      <c r="C2197" s="1" t="n">
        <v>46060</v>
      </c>
      <c r="D2197" t="inlineStr">
        <is>
          <t>VÄSTERNORRLANDS LÄN</t>
        </is>
      </c>
      <c r="E2197" t="inlineStr">
        <is>
          <t>SOLLEFTEÅ</t>
        </is>
      </c>
      <c r="F2197" t="inlineStr">
        <is>
          <t>SCA</t>
        </is>
      </c>
      <c r="G2197" t="n">
        <v>28.3</v>
      </c>
      <c r="H2197" t="n">
        <v>0</v>
      </c>
      <c r="I2197" t="n">
        <v>0</v>
      </c>
      <c r="J2197" t="n">
        <v>0</v>
      </c>
      <c r="K2197" t="n">
        <v>0</v>
      </c>
      <c r="L2197" t="n">
        <v>0</v>
      </c>
      <c r="M2197" t="n">
        <v>0</v>
      </c>
      <c r="N2197" t="n">
        <v>0</v>
      </c>
      <c r="O2197" t="n">
        <v>0</v>
      </c>
      <c r="P2197" t="n">
        <v>0</v>
      </c>
      <c r="Q2197" t="n">
        <v>0</v>
      </c>
      <c r="R2197" s="2" t="inlineStr"/>
    </row>
    <row r="2198" ht="15" customHeight="1">
      <c r="A2198" t="inlineStr">
        <is>
          <t>A 6468-2026</t>
        </is>
      </c>
      <c r="B2198" s="1" t="n">
        <v>46056.32021990741</v>
      </c>
      <c r="C2198" s="1" t="n">
        <v>46060</v>
      </c>
      <c r="D2198" t="inlineStr">
        <is>
          <t>VÄSTERNORRLANDS LÄN</t>
        </is>
      </c>
      <c r="E2198" t="inlineStr">
        <is>
          <t>SOLLEFTEÅ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46060</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31670-2024</t>
        </is>
      </c>
      <c r="B2200" s="1" t="n">
        <v>45506.94805555556</v>
      </c>
      <c r="C2200" s="1" t="n">
        <v>46060</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32157-2024</t>
        </is>
      </c>
      <c r="B2201" s="1" t="n">
        <v>45511.57340277778</v>
      </c>
      <c r="C2201" s="1" t="n">
        <v>46060</v>
      </c>
      <c r="D2201" t="inlineStr">
        <is>
          <t>VÄSTERNORRLANDS LÄN</t>
        </is>
      </c>
      <c r="E2201" t="inlineStr">
        <is>
          <t>SOLLEFTEÅ</t>
        </is>
      </c>
      <c r="F2201" t="inlineStr">
        <is>
          <t>Holmen skog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45169.93973379629</v>
      </c>
      <c r="C2202" s="1" t="n">
        <v>46060</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7528-2026</t>
        </is>
      </c>
      <c r="B2203" s="1" t="n">
        <v>46059.61530092593</v>
      </c>
      <c r="C2203" s="1" t="n">
        <v>46060</v>
      </c>
      <c r="D2203" t="inlineStr">
        <is>
          <t>VÄSTERNORRLANDS LÄN</t>
        </is>
      </c>
      <c r="E2203" t="inlineStr">
        <is>
          <t>SOLLEFTEÅ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7161-2026</t>
        </is>
      </c>
      <c r="B2204" s="1" t="n">
        <v>46058.44846064815</v>
      </c>
      <c r="C2204" s="1" t="n">
        <v>46060</v>
      </c>
      <c r="D2204" t="inlineStr">
        <is>
          <t>VÄSTERNORRLANDS LÄN</t>
        </is>
      </c>
      <c r="E2204" t="inlineStr">
        <is>
          <t>SOLLEFTEÅ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7304-2026</t>
        </is>
      </c>
      <c r="B2205" s="1" t="n">
        <v>46058.65677083333</v>
      </c>
      <c r="C2205" s="1" t="n">
        <v>46060</v>
      </c>
      <c r="D2205" t="inlineStr">
        <is>
          <t>VÄSTERNORRLANDS LÄN</t>
        </is>
      </c>
      <c r="E2205" t="inlineStr">
        <is>
          <t>SOLLEFTEÅ</t>
        </is>
      </c>
      <c r="F2205" t="inlineStr">
        <is>
          <t>SCA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7387-2026</t>
        </is>
      </c>
      <c r="B2206" s="1" t="n">
        <v>46059.36527777778</v>
      </c>
      <c r="C2206" s="1" t="n">
        <v>46060</v>
      </c>
      <c r="D2206" t="inlineStr">
        <is>
          <t>VÄSTERNORRLANDS LÄN</t>
        </is>
      </c>
      <c r="E2206" t="inlineStr">
        <is>
          <t>SOLLEFTEÅ</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45120-2022</t>
        </is>
      </c>
      <c r="B2207" s="1" t="n">
        <v>44843</v>
      </c>
      <c r="C2207" s="1" t="n">
        <v>46060</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34473-2021</t>
        </is>
      </c>
      <c r="B2208" s="1" t="n">
        <v>44381.93096064815</v>
      </c>
      <c r="C2208" s="1" t="n">
        <v>46060</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57094-2024</t>
        </is>
      </c>
      <c r="B2209" s="1" t="n">
        <v>45629.35780092593</v>
      </c>
      <c r="C2209" s="1" t="n">
        <v>46060</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35975-2023</t>
        </is>
      </c>
      <c r="B2210" s="1" t="n">
        <v>45148</v>
      </c>
      <c r="C2210" s="1" t="n">
        <v>46060</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4031-2025</t>
        </is>
      </c>
      <c r="B2211" s="1" t="n">
        <v>45684.5978125</v>
      </c>
      <c r="C2211" s="1" t="n">
        <v>46060</v>
      </c>
      <c r="D2211" t="inlineStr">
        <is>
          <t>VÄSTERNORRLANDS LÄN</t>
        </is>
      </c>
      <c r="E2211" t="inlineStr">
        <is>
          <t>SOLLEFTEÅ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56684-2023</t>
        </is>
      </c>
      <c r="B2212" s="1" t="n">
        <v>45243.96592592593</v>
      </c>
      <c r="C2212" s="1" t="n">
        <v>46060</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7386-2026</t>
        </is>
      </c>
      <c r="B2213" s="1" t="n">
        <v>46059.36519675926</v>
      </c>
      <c r="C2213" s="1" t="n">
        <v>46060</v>
      </c>
      <c r="D2213" t="inlineStr">
        <is>
          <t>VÄSTERNORRLANDS LÄN</t>
        </is>
      </c>
      <c r="E2213" t="inlineStr">
        <is>
          <t>SOLLEFTEÅ</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7397-2026</t>
        </is>
      </c>
      <c r="B2214" s="1" t="n">
        <v>46059.37511574074</v>
      </c>
      <c r="C2214" s="1" t="n">
        <v>46060</v>
      </c>
      <c r="D2214" t="inlineStr">
        <is>
          <t>VÄSTERNORRLANDS LÄN</t>
        </is>
      </c>
      <c r="E2214" t="inlineStr">
        <is>
          <t>SOLLEFTEÅ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1269-2024</t>
        </is>
      </c>
      <c r="B2215" s="1" t="n">
        <v>45302</v>
      </c>
      <c r="C2215" s="1" t="n">
        <v>46060</v>
      </c>
      <c r="D2215" t="inlineStr">
        <is>
          <t>VÄSTERNORRLANDS LÄN</t>
        </is>
      </c>
      <c r="E2215" t="inlineStr">
        <is>
          <t>SOLLEFTEÅ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12706-2025</t>
        </is>
      </c>
      <c r="B2216" s="1" t="n">
        <v>45733.46958333333</v>
      </c>
      <c r="C2216" s="1" t="n">
        <v>46060</v>
      </c>
      <c r="D2216" t="inlineStr">
        <is>
          <t>VÄSTERNORRLANDS LÄN</t>
        </is>
      </c>
      <c r="E2216" t="inlineStr">
        <is>
          <t>SOLLEFTEÅ</t>
        </is>
      </c>
      <c r="F2216" t="inlineStr">
        <is>
          <t>SCA</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7154-2026</t>
        </is>
      </c>
      <c r="B2217" s="1" t="n">
        <v>46058.42788194444</v>
      </c>
      <c r="C2217" s="1" t="n">
        <v>46060</v>
      </c>
      <c r="D2217" t="inlineStr">
        <is>
          <t>VÄSTERNORRLANDS LÄN</t>
        </is>
      </c>
      <c r="E2217" t="inlineStr">
        <is>
          <t>SOLLEFTEÅ</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31179-2023</t>
        </is>
      </c>
      <c r="B2218" s="1" t="n">
        <v>45113.92564814815</v>
      </c>
      <c r="C2218" s="1" t="n">
        <v>46060</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45644-2023</t>
        </is>
      </c>
      <c r="B2219" s="1" t="n">
        <v>45188</v>
      </c>
      <c r="C2219" s="1" t="n">
        <v>46060</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c r="U2219">
        <f>HYPERLINK("https://klasma.github.io/Logging_2283/knärot/A 45644-2023 karta knärot.png", "A 45644-2023")</f>
        <v/>
      </c>
      <c r="V2219">
        <f>HYPERLINK("https://klasma.github.io/Logging_2283/klagomål/A 45644-2023 FSC-klagomål.docx", "A 45644-2023")</f>
        <v/>
      </c>
      <c r="W2219">
        <f>HYPERLINK("https://klasma.github.io/Logging_2283/klagomålsmail/A 45644-2023 FSC-klagomål mail.docx", "A 45644-2023")</f>
        <v/>
      </c>
      <c r="X2219">
        <f>HYPERLINK("https://klasma.github.io/Logging_2283/tillsyn/A 45644-2023 tillsynsbegäran.docx", "A 45644-2023")</f>
        <v/>
      </c>
      <c r="Y2219">
        <f>HYPERLINK("https://klasma.github.io/Logging_2283/tillsynsmail/A 45644-2023 tillsynsbegäran mail.docx", "A 45644-2023")</f>
        <v/>
      </c>
    </row>
    <row r="2220" ht="15" customHeight="1">
      <c r="A2220" t="inlineStr">
        <is>
          <t>A 34765-2024</t>
        </is>
      </c>
      <c r="B2220" s="1" t="n">
        <v>45526</v>
      </c>
      <c r="C2220" s="1" t="n">
        <v>46060</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5359-2025</t>
        </is>
      </c>
      <c r="B2221" s="1" t="n">
        <v>45692</v>
      </c>
      <c r="C2221" s="1" t="n">
        <v>46060</v>
      </c>
      <c r="D2221" t="inlineStr">
        <is>
          <t>VÄSTERNORRLANDS LÄN</t>
        </is>
      </c>
      <c r="E2221" t="inlineStr">
        <is>
          <t>SOLLEFTEÅ</t>
        </is>
      </c>
      <c r="F2221" t="inlineStr">
        <is>
          <t>Övriga statliga verk och myndigheter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52718-2022</t>
        </is>
      </c>
      <c r="B2222" s="1" t="n">
        <v>44874</v>
      </c>
      <c r="C2222" s="1" t="n">
        <v>46060</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18761-2023</t>
        </is>
      </c>
      <c r="B2223" s="1" t="n">
        <v>45043</v>
      </c>
      <c r="C2223" s="1" t="n">
        <v>46060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18762-2023</t>
        </is>
      </c>
      <c r="B2224" s="1" t="n">
        <v>45043</v>
      </c>
      <c r="C2224" s="1" t="n">
        <v>46060</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5519-2023</t>
        </is>
      </c>
      <c r="B2225" s="1" t="n">
        <v>44960.42409722223</v>
      </c>
      <c r="C2225" s="1" t="n">
        <v>46060</v>
      </c>
      <c r="D2225" t="inlineStr">
        <is>
          <t>VÄSTERNORRLANDS LÄN</t>
        </is>
      </c>
      <c r="E2225" t="inlineStr">
        <is>
          <t>SOLLEFTEÅ</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27392-2023</t>
        </is>
      </c>
      <c r="B2226" s="1" t="n">
        <v>45096.93997685185</v>
      </c>
      <c r="C2226" s="1" t="n">
        <v>46060</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12062-2025</t>
        </is>
      </c>
      <c r="B2227" s="1" t="n">
        <v>45728.6984837963</v>
      </c>
      <c r="C2227" s="1" t="n">
        <v>46060</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12063-2025</t>
        </is>
      </c>
      <c r="B2228" s="1" t="n">
        <v>45728.69851851852</v>
      </c>
      <c r="C2228" s="1" t="n">
        <v>46060</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7261-2024</t>
        </is>
      </c>
      <c r="B2229" s="1" t="n">
        <v>45344</v>
      </c>
      <c r="C2229" s="1" t="n">
        <v>46060</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1096-2025</t>
        </is>
      </c>
      <c r="B2230" s="1" t="n">
        <v>45666</v>
      </c>
      <c r="C2230" s="1" t="n">
        <v>46060</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52471-2024</t>
        </is>
      </c>
      <c r="B2231" s="1" t="n">
        <v>45609.53076388889</v>
      </c>
      <c r="C2231" s="1" t="n">
        <v>46060</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25139-2024</t>
        </is>
      </c>
      <c r="B2232" s="1" t="n">
        <v>45462.48130787037</v>
      </c>
      <c r="C2232" s="1" t="n">
        <v>46060</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63712-2023</t>
        </is>
      </c>
      <c r="B2233" s="1" t="n">
        <v>45275.95094907407</v>
      </c>
      <c r="C2233" s="1" t="n">
        <v>46060</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33628-2024</t>
        </is>
      </c>
      <c r="B2234" s="1" t="n">
        <v>45520.4302662037</v>
      </c>
      <c r="C2234" s="1" t="n">
        <v>46060</v>
      </c>
      <c r="D2234" t="inlineStr">
        <is>
          <t>VÄSTERNORRLANDS LÄN</t>
        </is>
      </c>
      <c r="E2234" t="inlineStr">
        <is>
          <t>SOLLEFTEÅ</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49403-2024</t>
        </is>
      </c>
      <c r="B2235" s="1" t="n">
        <v>45595.67730324074</v>
      </c>
      <c r="C2235" s="1" t="n">
        <v>46060</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1402-2022</t>
        </is>
      </c>
      <c r="B2236" s="1" t="n">
        <v>44573</v>
      </c>
      <c r="C2236" s="1" t="n">
        <v>46060</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18691-2025</t>
        </is>
      </c>
      <c r="B2237" s="1" t="n">
        <v>45763.61511574074</v>
      </c>
      <c r="C2237" s="1" t="n">
        <v>46060</v>
      </c>
      <c r="D2237" t="inlineStr">
        <is>
          <t>VÄSTERNORRLANDS LÄN</t>
        </is>
      </c>
      <c r="E2237" t="inlineStr">
        <is>
          <t>SOLLEFTEÅ</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46060</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55851-2024</t>
        </is>
      </c>
      <c r="B2239" s="1" t="n">
        <v>45623.51140046296</v>
      </c>
      <c r="C2239" s="1" t="n">
        <v>46060</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40921-2024</t>
        </is>
      </c>
      <c r="B2240" s="1" t="n">
        <v>45558.6358912037</v>
      </c>
      <c r="C2240" s="1" t="n">
        <v>46060</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52267-2023</t>
        </is>
      </c>
      <c r="B2241" s="1" t="n">
        <v>45217</v>
      </c>
      <c r="C2241" s="1" t="n">
        <v>46060</v>
      </c>
      <c r="D2241" t="inlineStr">
        <is>
          <t>VÄSTERNORRLANDS LÄN</t>
        </is>
      </c>
      <c r="E2241" t="inlineStr">
        <is>
          <t>SOLLEFTEÅ</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46060</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53929-2022</t>
        </is>
      </c>
      <c r="B2243" s="1" t="n">
        <v>44880</v>
      </c>
      <c r="C2243" s="1" t="n">
        <v>46060</v>
      </c>
      <c r="D2243" t="inlineStr">
        <is>
          <t>VÄSTERNORRLANDS LÄN</t>
        </is>
      </c>
      <c r="E2243" t="inlineStr">
        <is>
          <t>SOLLEFTEÅ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53947-2022</t>
        </is>
      </c>
      <c r="B2244" s="1" t="n">
        <v>44880.95685185185</v>
      </c>
      <c r="C2244" s="1" t="n">
        <v>46060</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49324-2023</t>
        </is>
      </c>
      <c r="B2245" s="1" t="n">
        <v>45210</v>
      </c>
      <c r="C2245" s="1" t="n">
        <v>46060</v>
      </c>
      <c r="D2245" t="inlineStr">
        <is>
          <t>VÄSTERNORRLANDS LÄN</t>
        </is>
      </c>
      <c r="E2245" t="inlineStr">
        <is>
          <t>SOLLEFTEÅ</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64617-2023</t>
        </is>
      </c>
      <c r="B2246" s="1" t="n">
        <v>45281</v>
      </c>
      <c r="C2246" s="1" t="n">
        <v>46060</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34560-2024</t>
        </is>
      </c>
      <c r="B2247" s="1" t="n">
        <v>45526.31116898148</v>
      </c>
      <c r="C2247" s="1" t="n">
        <v>46060</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27641-2024</t>
        </is>
      </c>
      <c r="B2248" s="1" t="n">
        <v>45474.94694444445</v>
      </c>
      <c r="C2248" s="1" t="n">
        <v>46060</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37201-2024</t>
        </is>
      </c>
      <c r="B2249" s="1" t="n">
        <v>45539</v>
      </c>
      <c r="C2249" s="1" t="n">
        <v>46060</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60177-2024</t>
        </is>
      </c>
      <c r="B2250" s="1" t="n">
        <v>45642.63850694444</v>
      </c>
      <c r="C2250" s="1" t="n">
        <v>46060</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43627-2024</t>
        </is>
      </c>
      <c r="B2251" s="1" t="n">
        <v>45569.49006944444</v>
      </c>
      <c r="C2251" s="1" t="n">
        <v>46060</v>
      </c>
      <c r="D2251" t="inlineStr">
        <is>
          <t>VÄSTERNORRLANDS LÄN</t>
        </is>
      </c>
      <c r="E2251" t="inlineStr">
        <is>
          <t>SOLLEFTEÅ</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8221-2022</t>
        </is>
      </c>
      <c r="B2252" s="1" t="n">
        <v>44609.93001157408</v>
      </c>
      <c r="C2252" s="1" t="n">
        <v>46060</v>
      </c>
      <c r="D2252" t="inlineStr">
        <is>
          <t>VÄSTERNORRLANDS LÄN</t>
        </is>
      </c>
      <c r="E2252" t="inlineStr">
        <is>
          <t>SOLLEFTEÅ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23286-2023</t>
        </is>
      </c>
      <c r="B2253" s="1" t="n">
        <v>45075</v>
      </c>
      <c r="C2253" s="1" t="n">
        <v>46060</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13499-2023</t>
        </is>
      </c>
      <c r="B2254" s="1" t="n">
        <v>45005</v>
      </c>
      <c r="C2254" s="1" t="n">
        <v>46060</v>
      </c>
      <c r="D2254" t="inlineStr">
        <is>
          <t>VÄSTERNORRLANDS LÄN</t>
        </is>
      </c>
      <c r="E2254" t="inlineStr">
        <is>
          <t>SOLLEFTEÅ</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18187-2022</t>
        </is>
      </c>
      <c r="B2255" s="1" t="n">
        <v>44684</v>
      </c>
      <c r="C2255" s="1" t="n">
        <v>46060</v>
      </c>
      <c r="D2255" t="inlineStr">
        <is>
          <t>VÄSTERNORRLANDS LÄN</t>
        </is>
      </c>
      <c r="E2255" t="inlineStr">
        <is>
          <t>SOLLEFTEÅ</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25363-2024</t>
        </is>
      </c>
      <c r="B2256" s="1" t="n">
        <v>45462.95833333334</v>
      </c>
      <c r="C2256" s="1" t="n">
        <v>46060</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25384-2024</t>
        </is>
      </c>
      <c r="B2257" s="1" t="n">
        <v>45462.96334490741</v>
      </c>
      <c r="C2257" s="1" t="n">
        <v>46060</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46060</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42970-2024</t>
        </is>
      </c>
      <c r="B2259" s="1" t="n">
        <v>45567.37322916667</v>
      </c>
      <c r="C2259" s="1" t="n">
        <v>46060</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42981-2024</t>
        </is>
      </c>
      <c r="B2260" s="1" t="n">
        <v>45567.37460648148</v>
      </c>
      <c r="C2260" s="1" t="n">
        <v>46060</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33134-2024</t>
        </is>
      </c>
      <c r="B2261" s="1" t="n">
        <v>45518</v>
      </c>
      <c r="C2261" s="1" t="n">
        <v>46060</v>
      </c>
      <c r="D2261" t="inlineStr">
        <is>
          <t>VÄSTERNORRLANDS LÄN</t>
        </is>
      </c>
      <c r="E2261" t="inlineStr">
        <is>
          <t>SOLLEFTEÅ</t>
        </is>
      </c>
      <c r="F2261" t="inlineStr">
        <is>
          <t>Holmen skog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33141-2024</t>
        </is>
      </c>
      <c r="B2262" s="1" t="n">
        <v>45518</v>
      </c>
      <c r="C2262" s="1" t="n">
        <v>46060</v>
      </c>
      <c r="D2262" t="inlineStr">
        <is>
          <t>VÄSTERNORRLANDS LÄN</t>
        </is>
      </c>
      <c r="E2262" t="inlineStr">
        <is>
          <t>SOLLEFTEÅ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18882-2021</t>
        </is>
      </c>
      <c r="B2263" s="1" t="n">
        <v>44307.93505787037</v>
      </c>
      <c r="C2263" s="1" t="n">
        <v>46060</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19055-2022</t>
        </is>
      </c>
      <c r="B2264" s="1" t="n">
        <v>44691.42189814815</v>
      </c>
      <c r="C2264" s="1" t="n">
        <v>46060</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2816-2024</t>
        </is>
      </c>
      <c r="B2265" s="1" t="n">
        <v>45314</v>
      </c>
      <c r="C2265" s="1" t="n">
        <v>46060</v>
      </c>
      <c r="D2265" t="inlineStr">
        <is>
          <t>VÄSTERNORRLANDS LÄN</t>
        </is>
      </c>
      <c r="E2265" t="inlineStr">
        <is>
          <t>SOLLEFTEÅ</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20859-2023</t>
        </is>
      </c>
      <c r="B2266" s="1" t="n">
        <v>45058.94212962963</v>
      </c>
      <c r="C2266" s="1" t="n">
        <v>46060</v>
      </c>
      <c r="D2266" t="inlineStr">
        <is>
          <t>VÄSTERNORRLANDS LÄN</t>
        </is>
      </c>
      <c r="E2266" t="inlineStr">
        <is>
          <t>SOLLEFTEÅ</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54458-2024</t>
        </is>
      </c>
      <c r="B2267" s="1" t="n">
        <v>45617.5325</v>
      </c>
      <c r="C2267" s="1" t="n">
        <v>46060</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61480-2021</t>
        </is>
      </c>
      <c r="B2268" s="1" t="n">
        <v>44500</v>
      </c>
      <c r="C2268" s="1" t="n">
        <v>46060</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26444-2024</t>
        </is>
      </c>
      <c r="B2269" s="1" t="n">
        <v>45469.50122685185</v>
      </c>
      <c r="C2269" s="1" t="n">
        <v>46060</v>
      </c>
      <c r="D2269" t="inlineStr">
        <is>
          <t>VÄSTERNORRLANDS LÄN</t>
        </is>
      </c>
      <c r="E2269" t="inlineStr">
        <is>
          <t>SOLLEFTEÅ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40211-2024</t>
        </is>
      </c>
      <c r="B2270" s="1" t="n">
        <v>45554.59435185185</v>
      </c>
      <c r="C2270" s="1" t="n">
        <v>46060</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18111-2025</t>
        </is>
      </c>
      <c r="B2271" s="1" t="n">
        <v>45761.57334490741</v>
      </c>
      <c r="C2271" s="1" t="n">
        <v>46060</v>
      </c>
      <c r="D2271" t="inlineStr">
        <is>
          <t>VÄSTERNORRLANDS LÄN</t>
        </is>
      </c>
      <c r="E2271" t="inlineStr">
        <is>
          <t>SOLLEFTEÅ</t>
        </is>
      </c>
      <c r="F2271" t="inlineStr">
        <is>
          <t>SCA</t>
        </is>
      </c>
      <c r="G2271" t="n">
        <v>41.6</v>
      </c>
      <c r="H2271" t="n">
        <v>0</v>
      </c>
      <c r="I2271" t="n">
        <v>0</v>
      </c>
      <c r="J2271" t="n">
        <v>0</v>
      </c>
      <c r="K2271" t="n">
        <v>0</v>
      </c>
      <c r="L2271" t="n">
        <v>0</v>
      </c>
      <c r="M2271" t="n">
        <v>0</v>
      </c>
      <c r="N2271" t="n">
        <v>0</v>
      </c>
      <c r="O2271" t="n">
        <v>0</v>
      </c>
      <c r="P2271" t="n">
        <v>0</v>
      </c>
      <c r="Q2271" t="n">
        <v>0</v>
      </c>
      <c r="R2271" s="2" t="inlineStr"/>
    </row>
    <row r="2272" ht="15" customHeight="1">
      <c r="A2272" t="inlineStr">
        <is>
          <t>A 12632-2025</t>
        </is>
      </c>
      <c r="B2272" s="1" t="n">
        <v>45733.37693287037</v>
      </c>
      <c r="C2272" s="1" t="n">
        <v>46060</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53524-2021</t>
        </is>
      </c>
      <c r="B2273" s="1" t="n">
        <v>44468</v>
      </c>
      <c r="C2273" s="1" t="n">
        <v>46060</v>
      </c>
      <c r="D2273" t="inlineStr">
        <is>
          <t>VÄSTERNORRLANDS LÄN</t>
        </is>
      </c>
      <c r="E2273" t="inlineStr">
        <is>
          <t>SOLLEFTEÅ</t>
        </is>
      </c>
      <c r="F2273" t="inlineStr">
        <is>
          <t>SCA</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26655-2024</t>
        </is>
      </c>
      <c r="B2274" s="1" t="n">
        <v>45469</v>
      </c>
      <c r="C2274" s="1" t="n">
        <v>46060</v>
      </c>
      <c r="D2274" t="inlineStr">
        <is>
          <t>VÄSTERNORRLANDS LÄN</t>
        </is>
      </c>
      <c r="E2274" t="inlineStr">
        <is>
          <t>SOLLEFTEÅ</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9967-2025</t>
        </is>
      </c>
      <c r="B2275" s="1" t="n">
        <v>45719.37890046297</v>
      </c>
      <c r="C2275" s="1" t="n">
        <v>46060</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45435-2024</t>
        </is>
      </c>
      <c r="B2276" s="1" t="n">
        <v>45576.61538194444</v>
      </c>
      <c r="C2276" s="1" t="n">
        <v>46060</v>
      </c>
      <c r="D2276" t="inlineStr">
        <is>
          <t>VÄSTERNORRLANDS LÄN</t>
        </is>
      </c>
      <c r="E2276" t="inlineStr">
        <is>
          <t>SOLLEFTEÅ</t>
        </is>
      </c>
      <c r="F2276" t="inlineStr">
        <is>
          <t>SCA</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31554-2024</t>
        </is>
      </c>
      <c r="B2277" s="1" t="n">
        <v>45505.96472222222</v>
      </c>
      <c r="C2277" s="1" t="n">
        <v>46060</v>
      </c>
      <c r="D2277" t="inlineStr">
        <is>
          <t>VÄSTERNORRLANDS LÄN</t>
        </is>
      </c>
      <c r="E2277" t="inlineStr">
        <is>
          <t>SOLLEFTEÅ</t>
        </is>
      </c>
      <c r="F2277" t="inlineStr">
        <is>
          <t>SCA</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1082-2025</t>
        </is>
      </c>
      <c r="B2278" s="1" t="n">
        <v>45666.61646990741</v>
      </c>
      <c r="C2278" s="1" t="n">
        <v>46060</v>
      </c>
      <c r="D2278" t="inlineStr">
        <is>
          <t>VÄSTERNORRLANDS LÄN</t>
        </is>
      </c>
      <c r="E2278" t="inlineStr">
        <is>
          <t>SOLLEFTEÅ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3319-2025</t>
        </is>
      </c>
      <c r="B2279" s="1" t="n">
        <v>45679</v>
      </c>
      <c r="C2279" s="1" t="n">
        <v>46060</v>
      </c>
      <c r="D2279" t="inlineStr">
        <is>
          <t>VÄSTERNORRLANDS LÄN</t>
        </is>
      </c>
      <c r="E2279" t="inlineStr">
        <is>
          <t>SOLLEFTEÅ</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394-2024</t>
        </is>
      </c>
      <c r="B2280" s="1" t="n">
        <v>45296</v>
      </c>
      <c r="C2280" s="1" t="n">
        <v>46060</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34313-2024</t>
        </is>
      </c>
      <c r="B2281" s="1" t="n">
        <v>45524</v>
      </c>
      <c r="C2281" s="1" t="n">
        <v>46060</v>
      </c>
      <c r="D2281" t="inlineStr">
        <is>
          <t>VÄSTERNORRLANDS LÄN</t>
        </is>
      </c>
      <c r="E2281" t="inlineStr">
        <is>
          <t>SOLLEFTEÅ</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34318-2024</t>
        </is>
      </c>
      <c r="B2282" s="1" t="n">
        <v>45524</v>
      </c>
      <c r="C2282" s="1" t="n">
        <v>46060</v>
      </c>
      <c r="D2282" t="inlineStr">
        <is>
          <t>VÄSTERNORRLANDS LÄN</t>
        </is>
      </c>
      <c r="E2282" t="inlineStr">
        <is>
          <t>SOLLEFTEÅ</t>
        </is>
      </c>
      <c r="F2282" t="inlineStr">
        <is>
          <t>Övriga statliga verk och myndigheter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53483-2024</t>
        </is>
      </c>
      <c r="B2283" s="1" t="n">
        <v>45611</v>
      </c>
      <c r="C2283" s="1" t="n">
        <v>46060</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23730-2024</t>
        </is>
      </c>
      <c r="B2284" s="1" t="n">
        <v>45454.95877314815</v>
      </c>
      <c r="C2284" s="1" t="n">
        <v>46060</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46060</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20066-2024</t>
        </is>
      </c>
      <c r="B2286" s="1" t="n">
        <v>45434</v>
      </c>
      <c r="C2286" s="1" t="n">
        <v>46060</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42950-2024</t>
        </is>
      </c>
      <c r="B2287" s="1" t="n">
        <v>45567.36657407408</v>
      </c>
      <c r="C2287" s="1" t="n">
        <v>46060</v>
      </c>
      <c r="D2287" t="inlineStr">
        <is>
          <t>VÄSTERNORRLANDS LÄN</t>
        </is>
      </c>
      <c r="E2287" t="inlineStr">
        <is>
          <t>SOLLEFTEÅ</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20515-2024</t>
        </is>
      </c>
      <c r="B2288" s="1" t="n">
        <v>45435</v>
      </c>
      <c r="C2288" s="1" t="n">
        <v>46060</v>
      </c>
      <c r="D2288" t="inlineStr">
        <is>
          <t>VÄSTERNORRLANDS LÄN</t>
        </is>
      </c>
      <c r="E2288" t="inlineStr">
        <is>
          <t>SOLLEFTEÅ</t>
        </is>
      </c>
      <c r="F2288" t="inlineStr">
        <is>
          <t>SCA</t>
        </is>
      </c>
      <c r="G2288" t="n">
        <v>18.8</v>
      </c>
      <c r="H2288" t="n">
        <v>0</v>
      </c>
      <c r="I2288" t="n">
        <v>0</v>
      </c>
      <c r="J2288" t="n">
        <v>0</v>
      </c>
      <c r="K2288" t="n">
        <v>0</v>
      </c>
      <c r="L2288" t="n">
        <v>0</v>
      </c>
      <c r="M2288" t="n">
        <v>0</v>
      </c>
      <c r="N2288" t="n">
        <v>0</v>
      </c>
      <c r="O2288" t="n">
        <v>0</v>
      </c>
      <c r="P2288" t="n">
        <v>0</v>
      </c>
      <c r="Q2288" t="n">
        <v>0</v>
      </c>
      <c r="R2288" s="2" t="inlineStr"/>
    </row>
    <row r="2289" ht="15" customHeight="1">
      <c r="A2289" t="inlineStr">
        <is>
          <t>A 52136-2023</t>
        </is>
      </c>
      <c r="B2289" s="1" t="n">
        <v>45223.96625</v>
      </c>
      <c r="C2289" s="1" t="n">
        <v>46060</v>
      </c>
      <c r="D2289" t="inlineStr">
        <is>
          <t>VÄSTERNORRLANDS LÄN</t>
        </is>
      </c>
      <c r="E2289" t="inlineStr">
        <is>
          <t>SOLLEFTEÅ</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29070-2023</t>
        </is>
      </c>
      <c r="B2290" s="1" t="n">
        <v>45104.94119212963</v>
      </c>
      <c r="C2290" s="1" t="n">
        <v>46060</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29197-2023</t>
        </is>
      </c>
      <c r="B2291" s="1" t="n">
        <v>45097</v>
      </c>
      <c r="C2291" s="1" t="n">
        <v>46060</v>
      </c>
      <c r="D2291" t="inlineStr">
        <is>
          <t>VÄSTERNORRLANDS LÄN</t>
        </is>
      </c>
      <c r="E2291" t="inlineStr">
        <is>
          <t>SOLLEFTEÅ</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19814-2022</t>
        </is>
      </c>
      <c r="B2292" s="1" t="n">
        <v>44694.93945601852</v>
      </c>
      <c r="C2292" s="1" t="n">
        <v>46060</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45973-2023</t>
        </is>
      </c>
      <c r="B2293" s="1" t="n">
        <v>45195</v>
      </c>
      <c r="C2293" s="1" t="n">
        <v>46060</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59421-2024</t>
        </is>
      </c>
      <c r="B2294" s="1" t="n">
        <v>45638.41244212963</v>
      </c>
      <c r="C2294" s="1" t="n">
        <v>46060</v>
      </c>
      <c r="D2294" t="inlineStr">
        <is>
          <t>VÄSTERNORRLANDS LÄN</t>
        </is>
      </c>
      <c r="E2294" t="inlineStr">
        <is>
          <t>SOLLEFTEÅ</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55912-2023</t>
        </is>
      </c>
      <c r="B2295" s="1" t="n">
        <v>45239.92665509259</v>
      </c>
      <c r="C2295" s="1" t="n">
        <v>46060</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11125-2022</t>
        </is>
      </c>
      <c r="B2296" s="1" t="n">
        <v>44628</v>
      </c>
      <c r="C2296" s="1" t="n">
        <v>46060</v>
      </c>
      <c r="D2296" t="inlineStr">
        <is>
          <t>VÄSTERNORRLANDS LÄN</t>
        </is>
      </c>
      <c r="E2296" t="inlineStr">
        <is>
          <t>SOLLEFTEÅ</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22475-2024</t>
        </is>
      </c>
      <c r="B2297" s="1" t="n">
        <v>45446.95151620371</v>
      </c>
      <c r="C2297" s="1" t="n">
        <v>46060</v>
      </c>
      <c r="D2297" t="inlineStr">
        <is>
          <t>VÄSTERNORRLANDS LÄN</t>
        </is>
      </c>
      <c r="E2297" t="inlineStr">
        <is>
          <t>SOLLEFTEÅ</t>
        </is>
      </c>
      <c r="F2297" t="inlineStr">
        <is>
          <t>SCA</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37042-2021</t>
        </is>
      </c>
      <c r="B2298" s="1" t="n">
        <v>44393.93495370371</v>
      </c>
      <c r="C2298" s="1" t="n">
        <v>46060</v>
      </c>
      <c r="D2298" t="inlineStr">
        <is>
          <t>VÄSTERNORRLANDS LÄN</t>
        </is>
      </c>
      <c r="E2298" t="inlineStr">
        <is>
          <t>SOLLEFTEÅ</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58995-2024</t>
        </is>
      </c>
      <c r="B2299" s="1" t="n">
        <v>45636.63726851852</v>
      </c>
      <c r="C2299" s="1" t="n">
        <v>46060</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27377-2024</t>
        </is>
      </c>
      <c r="B2300" s="1" t="n">
        <v>45473.88317129629</v>
      </c>
      <c r="C2300" s="1" t="n">
        <v>46060</v>
      </c>
      <c r="D2300" t="inlineStr">
        <is>
          <t>VÄSTERNORRLANDS LÄN</t>
        </is>
      </c>
      <c r="E2300" t="inlineStr">
        <is>
          <t>SOLLEFTEÅ</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1114-2025</t>
        </is>
      </c>
      <c r="B2301" s="1" t="n">
        <v>45666.65664351852</v>
      </c>
      <c r="C2301" s="1" t="n">
        <v>46060</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39799-2024</t>
        </is>
      </c>
      <c r="B2302" s="1" t="n">
        <v>45553.34415509259</v>
      </c>
      <c r="C2302" s="1" t="n">
        <v>46060</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39801-2024</t>
        </is>
      </c>
      <c r="B2303" s="1" t="n">
        <v>45553.34439814815</v>
      </c>
      <c r="C2303" s="1" t="n">
        <v>46060</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60168-2022</t>
        </is>
      </c>
      <c r="B2304" s="1" t="n">
        <v>44909</v>
      </c>
      <c r="C2304" s="1" t="n">
        <v>46060</v>
      </c>
      <c r="D2304" t="inlineStr">
        <is>
          <t>VÄSTERNORRLANDS LÄN</t>
        </is>
      </c>
      <c r="E2304" t="inlineStr">
        <is>
          <t>SOLLEFTEÅ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60171-2022</t>
        </is>
      </c>
      <c r="B2305" s="1" t="n">
        <v>44909</v>
      </c>
      <c r="C2305" s="1" t="n">
        <v>46060</v>
      </c>
      <c r="D2305" t="inlineStr">
        <is>
          <t>VÄSTERNORRLANDS LÄN</t>
        </is>
      </c>
      <c r="E2305" t="inlineStr">
        <is>
          <t>SOLLEFTEÅ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40429-2024</t>
        </is>
      </c>
      <c r="B2306" s="1" t="n">
        <v>45555</v>
      </c>
      <c r="C2306" s="1" t="n">
        <v>46060</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41595-2024</t>
        </is>
      </c>
      <c r="B2307" s="1" t="n">
        <v>45560.57378472222</v>
      </c>
      <c r="C2307" s="1" t="n">
        <v>46060</v>
      </c>
      <c r="D2307" t="inlineStr">
        <is>
          <t>VÄSTERNORRLANDS LÄN</t>
        </is>
      </c>
      <c r="E2307" t="inlineStr">
        <is>
          <t>SOLLEFTEÅ</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1679-2024</t>
        </is>
      </c>
      <c r="B2308" s="1" t="n">
        <v>45306</v>
      </c>
      <c r="C2308" s="1" t="n">
        <v>46060</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41146-2023</t>
        </is>
      </c>
      <c r="B2309" s="1" t="n">
        <v>45173.94277777777</v>
      </c>
      <c r="C2309" s="1" t="n">
        <v>46060</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22462-2024</t>
        </is>
      </c>
      <c r="B2310" s="1" t="n">
        <v>45446</v>
      </c>
      <c r="C2310" s="1" t="n">
        <v>46060</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22468-2024</t>
        </is>
      </c>
      <c r="B2311" s="1" t="n">
        <v>45446.95068287037</v>
      </c>
      <c r="C2311" s="1" t="n">
        <v>46060</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31555-2024</t>
        </is>
      </c>
      <c r="B2312" s="1" t="n">
        <v>45505.96484953703</v>
      </c>
      <c r="C2312" s="1" t="n">
        <v>46060</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18442-2025</t>
        </is>
      </c>
      <c r="B2313" s="1" t="n">
        <v>45762.65658564815</v>
      </c>
      <c r="C2313" s="1" t="n">
        <v>46060</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20738-2022</t>
        </is>
      </c>
      <c r="B2314" s="1" t="n">
        <v>44700</v>
      </c>
      <c r="C2314" s="1" t="n">
        <v>46060</v>
      </c>
      <c r="D2314" t="inlineStr">
        <is>
          <t>VÄSTERNORRLANDS LÄN</t>
        </is>
      </c>
      <c r="E2314" t="inlineStr">
        <is>
          <t>SOLLEFTEÅ</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42482-2024</t>
        </is>
      </c>
      <c r="B2315" s="1" t="n">
        <v>45565</v>
      </c>
      <c r="C2315" s="1" t="n">
        <v>46060</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25999-2021</t>
        </is>
      </c>
      <c r="B2316" s="1" t="n">
        <v>44344</v>
      </c>
      <c r="C2316" s="1" t="n">
        <v>46060</v>
      </c>
      <c r="D2316" t="inlineStr">
        <is>
          <t>VÄSTERNORRLANDS LÄN</t>
        </is>
      </c>
      <c r="E2316" t="inlineStr">
        <is>
          <t>SOLLEFTEÅ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31680-2024</t>
        </is>
      </c>
      <c r="B2317" s="1" t="n">
        <v>45506.94894675926</v>
      </c>
      <c r="C2317" s="1" t="n">
        <v>46060</v>
      </c>
      <c r="D2317" t="inlineStr">
        <is>
          <t>VÄSTERNORRLANDS LÄN</t>
        </is>
      </c>
      <c r="E2317" t="inlineStr">
        <is>
          <t>SOLLEFTEÅ</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10726-2025</t>
        </is>
      </c>
      <c r="B2318" s="1" t="n">
        <v>45722.38599537037</v>
      </c>
      <c r="C2318" s="1" t="n">
        <v>46060</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7257-2024</t>
        </is>
      </c>
      <c r="B2319" s="1" t="n">
        <v>45344.7371412037</v>
      </c>
      <c r="C2319" s="1" t="n">
        <v>46060</v>
      </c>
      <c r="D2319" t="inlineStr">
        <is>
          <t>VÄSTERNORRLANDS LÄN</t>
        </is>
      </c>
      <c r="E2319" t="inlineStr">
        <is>
          <t>SOLLEFTEÅ</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11108-2025</t>
        </is>
      </c>
      <c r="B2320" s="1" t="n">
        <v>45723.6150462963</v>
      </c>
      <c r="C2320" s="1" t="n">
        <v>46060</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61847-2024</t>
        </is>
      </c>
      <c r="B2321" s="1" t="n">
        <v>45646</v>
      </c>
      <c r="C2321" s="1" t="n">
        <v>46060</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53831-2024</t>
        </is>
      </c>
      <c r="B2322" s="1" t="n">
        <v>45615.61575231481</v>
      </c>
      <c r="C2322" s="1" t="n">
        <v>46060</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57010-2023</t>
        </is>
      </c>
      <c r="B2323" s="1" t="n">
        <v>45239</v>
      </c>
      <c r="C2323" s="1" t="n">
        <v>46060</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c r="U2323">
        <f>HYPERLINK("https://klasma.github.io/Logging_2283/knärot/A 57010-2023 karta knärot.png", "A 57010-2023")</f>
        <v/>
      </c>
      <c r="V2323">
        <f>HYPERLINK("https://klasma.github.io/Logging_2283/klagomål/A 57010-2023 FSC-klagomål.docx", "A 57010-2023")</f>
        <v/>
      </c>
      <c r="W2323">
        <f>HYPERLINK("https://klasma.github.io/Logging_2283/klagomålsmail/A 57010-2023 FSC-klagomål mail.docx", "A 57010-2023")</f>
        <v/>
      </c>
      <c r="X2323">
        <f>HYPERLINK("https://klasma.github.io/Logging_2283/tillsyn/A 57010-2023 tillsynsbegäran.docx", "A 57010-2023")</f>
        <v/>
      </c>
      <c r="Y2323">
        <f>HYPERLINK("https://klasma.github.io/Logging_2283/tillsynsmail/A 57010-2023 tillsynsbegäran mail.docx", "A 57010-2023")</f>
        <v/>
      </c>
    </row>
    <row r="2324" ht="15" customHeight="1">
      <c r="A2324" t="inlineStr">
        <is>
          <t>A 14109-2023</t>
        </is>
      </c>
      <c r="B2324" s="1" t="n">
        <v>45008</v>
      </c>
      <c r="C2324" s="1" t="n">
        <v>46060</v>
      </c>
      <c r="D2324" t="inlineStr">
        <is>
          <t>VÄSTERNORRLANDS LÄN</t>
        </is>
      </c>
      <c r="E2324" t="inlineStr">
        <is>
          <t>SOLLEFTEÅ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58155-2023</t>
        </is>
      </c>
      <c r="B2325" s="1" t="n">
        <v>45250</v>
      </c>
      <c r="C2325" s="1" t="n">
        <v>46060</v>
      </c>
      <c r="D2325" t="inlineStr">
        <is>
          <t>VÄSTERNORRLANDS LÄN</t>
        </is>
      </c>
      <c r="E2325" t="inlineStr">
        <is>
          <t>SOLLEFTEÅ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19053-2022</t>
        </is>
      </c>
      <c r="B2326" s="1" t="n">
        <v>44691.41626157407</v>
      </c>
      <c r="C2326" s="1" t="n">
        <v>46060</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54572-2024</t>
        </is>
      </c>
      <c r="B2327" s="1" t="n">
        <v>45617.65054398148</v>
      </c>
      <c r="C2327" s="1" t="n">
        <v>46060</v>
      </c>
      <c r="D2327" t="inlineStr">
        <is>
          <t>VÄSTERNORRLANDS LÄN</t>
        </is>
      </c>
      <c r="E2327" t="inlineStr">
        <is>
          <t>SOLLEFTEÅ</t>
        </is>
      </c>
      <c r="G2327" t="n">
        <v>28.2</v>
      </c>
      <c r="H2327" t="n">
        <v>0</v>
      </c>
      <c r="I2327" t="n">
        <v>0</v>
      </c>
      <c r="J2327" t="n">
        <v>0</v>
      </c>
      <c r="K2327" t="n">
        <v>0</v>
      </c>
      <c r="L2327" t="n">
        <v>0</v>
      </c>
      <c r="M2327" t="n">
        <v>0</v>
      </c>
      <c r="N2327" t="n">
        <v>0</v>
      </c>
      <c r="O2327" t="n">
        <v>0</v>
      </c>
      <c r="P2327" t="n">
        <v>0</v>
      </c>
      <c r="Q2327" t="n">
        <v>0</v>
      </c>
      <c r="R2327" s="2" t="inlineStr"/>
    </row>
    <row r="2328" ht="15" customHeight="1">
      <c r="A2328" t="inlineStr">
        <is>
          <t>A 24731-2021</t>
        </is>
      </c>
      <c r="B2328" s="1" t="n">
        <v>44340</v>
      </c>
      <c r="C2328" s="1" t="n">
        <v>46060</v>
      </c>
      <c r="D2328" t="inlineStr">
        <is>
          <t>VÄSTERNORRLANDS LÄN</t>
        </is>
      </c>
      <c r="E2328" t="inlineStr">
        <is>
          <t>SOLLEFTEÅ</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10093-2023</t>
        </is>
      </c>
      <c r="B2329" s="1" t="n">
        <v>44985</v>
      </c>
      <c r="C2329" s="1" t="n">
        <v>46060</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60856-2022</t>
        </is>
      </c>
      <c r="B2330" s="1" t="n">
        <v>44907</v>
      </c>
      <c r="C2330" s="1" t="n">
        <v>46060</v>
      </c>
      <c r="D2330" t="inlineStr">
        <is>
          <t>VÄSTERNORRLANDS LÄN</t>
        </is>
      </c>
      <c r="E2330" t="inlineStr">
        <is>
          <t>SOLLEFTEÅ</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2536-2022</t>
        </is>
      </c>
      <c r="B2331" s="1" t="n">
        <v>44579</v>
      </c>
      <c r="C2331" s="1" t="n">
        <v>46060</v>
      </c>
      <c r="D2331" t="inlineStr">
        <is>
          <t>VÄSTERNORRLANDS LÄN</t>
        </is>
      </c>
      <c r="E2331" t="inlineStr">
        <is>
          <t>SOLLEFTEÅ</t>
        </is>
      </c>
      <c r="F2331" t="inlineStr">
        <is>
          <t>Övriga Aktiebolag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43585-2024</t>
        </is>
      </c>
      <c r="B2332" s="1" t="n">
        <v>45569.42770833334</v>
      </c>
      <c r="C2332" s="1" t="n">
        <v>46060</v>
      </c>
      <c r="D2332" t="inlineStr">
        <is>
          <t>VÄSTERNORRLANDS LÄN</t>
        </is>
      </c>
      <c r="E2332" t="inlineStr">
        <is>
          <t>SOLLEFTEÅ</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54238-2024</t>
        </is>
      </c>
      <c r="B2333" s="1" t="n">
        <v>45616.67844907408</v>
      </c>
      <c r="C2333" s="1" t="n">
        <v>46060</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8105-2025</t>
        </is>
      </c>
      <c r="B2334" s="1" t="n">
        <v>45707.6990625</v>
      </c>
      <c r="C2334" s="1" t="n">
        <v>46060</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6376-2025</t>
        </is>
      </c>
      <c r="B2335" s="1" t="n">
        <v>45699</v>
      </c>
      <c r="C2335" s="1" t="n">
        <v>46060</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1880-2024</t>
        </is>
      </c>
      <c r="B2336" s="1" t="n">
        <v>45307</v>
      </c>
      <c r="C2336" s="1" t="n">
        <v>46060</v>
      </c>
      <c r="D2336" t="inlineStr">
        <is>
          <t>VÄSTERNORRLANDS LÄN</t>
        </is>
      </c>
      <c r="E2336" t="inlineStr">
        <is>
          <t>SOLLEFTEÅ</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46060</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45229.96586805556</v>
      </c>
      <c r="C2338" s="1" t="n">
        <v>46060</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4129-2025</t>
        </is>
      </c>
      <c r="B2339" s="1" t="n">
        <v>45685.34425925926</v>
      </c>
      <c r="C2339" s="1" t="n">
        <v>46060</v>
      </c>
      <c r="D2339" t="inlineStr">
        <is>
          <t>VÄSTERNORRLANDS LÄN</t>
        </is>
      </c>
      <c r="E2339" t="inlineStr">
        <is>
          <t>SOLLEFTEÅ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4133-2025</t>
        </is>
      </c>
      <c r="B2340" s="1" t="n">
        <v>45685.34559027778</v>
      </c>
      <c r="C2340" s="1" t="n">
        <v>46060</v>
      </c>
      <c r="D2340" t="inlineStr">
        <is>
          <t>VÄSTERNORRLANDS LÄN</t>
        </is>
      </c>
      <c r="E2340" t="inlineStr">
        <is>
          <t>SOLLEFTEÅ</t>
        </is>
      </c>
      <c r="F2340" t="inlineStr">
        <is>
          <t>SCA</t>
        </is>
      </c>
      <c r="G2340" t="n">
        <v>37.2</v>
      </c>
      <c r="H2340" t="n">
        <v>0</v>
      </c>
      <c r="I2340" t="n">
        <v>0</v>
      </c>
      <c r="J2340" t="n">
        <v>0</v>
      </c>
      <c r="K2340" t="n">
        <v>0</v>
      </c>
      <c r="L2340" t="n">
        <v>0</v>
      </c>
      <c r="M2340" t="n">
        <v>0</v>
      </c>
      <c r="N2340" t="n">
        <v>0</v>
      </c>
      <c r="O2340" t="n">
        <v>0</v>
      </c>
      <c r="P2340" t="n">
        <v>0</v>
      </c>
      <c r="Q2340" t="n">
        <v>0</v>
      </c>
      <c r="R2340" s="2" t="inlineStr"/>
    </row>
    <row r="2341" ht="15" customHeight="1">
      <c r="A2341" t="inlineStr">
        <is>
          <t>A 41532-2024</t>
        </is>
      </c>
      <c r="B2341" s="1" t="n">
        <v>45560.49050925926</v>
      </c>
      <c r="C2341" s="1" t="n">
        <v>46060</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54617-2023</t>
        </is>
      </c>
      <c r="B2342" s="1" t="n">
        <v>45233.95835648148</v>
      </c>
      <c r="C2342" s="1" t="n">
        <v>46060</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2408-2023</t>
        </is>
      </c>
      <c r="B2343" s="1" t="n">
        <v>44942</v>
      </c>
      <c r="C2343" s="1" t="n">
        <v>46060</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35469-2024</t>
        </is>
      </c>
      <c r="B2344" s="1" t="n">
        <v>45531</v>
      </c>
      <c r="C2344" s="1" t="n">
        <v>46060</v>
      </c>
      <c r="D2344" t="inlineStr">
        <is>
          <t>VÄSTERNORRLANDS LÄN</t>
        </is>
      </c>
      <c r="E2344" t="inlineStr">
        <is>
          <t>SOLLEFTEÅ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6067-2024</t>
        </is>
      </c>
      <c r="B2345" s="1" t="n">
        <v>45336.89018518518</v>
      </c>
      <c r="C2345" s="1" t="n">
        <v>46060</v>
      </c>
      <c r="D2345" t="inlineStr">
        <is>
          <t>VÄSTERNORRLANDS LÄN</t>
        </is>
      </c>
      <c r="E2345" t="inlineStr">
        <is>
          <t>SOLLEFTEÅ</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19416-2022</t>
        </is>
      </c>
      <c r="B2346" s="1" t="n">
        <v>44693</v>
      </c>
      <c r="C2346" s="1" t="n">
        <v>46060</v>
      </c>
      <c r="D2346" t="inlineStr">
        <is>
          <t>VÄSTERNORRLANDS LÄN</t>
        </is>
      </c>
      <c r="E2346" t="inlineStr">
        <is>
          <t>SOLLEFTEÅ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63144-2023</t>
        </is>
      </c>
      <c r="B2347" s="1" t="n">
        <v>45272</v>
      </c>
      <c r="C2347" s="1" t="n">
        <v>46060</v>
      </c>
      <c r="D2347" t="inlineStr">
        <is>
          <t>VÄSTERNORRLANDS LÄN</t>
        </is>
      </c>
      <c r="E2347" t="inlineStr">
        <is>
          <t>SOLLEFTEÅ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62260-2022</t>
        </is>
      </c>
      <c r="B2348" s="1" t="n">
        <v>44922.94366898148</v>
      </c>
      <c r="C2348" s="1" t="n">
        <v>46060</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25989-2021</t>
        </is>
      </c>
      <c r="B2349" s="1" t="n">
        <v>44344</v>
      </c>
      <c r="C2349" s="1" t="n">
        <v>46060</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34804-2022</t>
        </is>
      </c>
      <c r="B2350" s="1" t="n">
        <v>44795.94761574074</v>
      </c>
      <c r="C2350" s="1" t="n">
        <v>46060</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3556-2022</t>
        </is>
      </c>
      <c r="B2351" s="1" t="n">
        <v>44585</v>
      </c>
      <c r="C2351" s="1" t="n">
        <v>46060</v>
      </c>
      <c r="D2351" t="inlineStr">
        <is>
          <t>VÄSTERNORRLANDS LÄN</t>
        </is>
      </c>
      <c r="E2351" t="inlineStr">
        <is>
          <t>SOLLEFTEÅ</t>
        </is>
      </c>
      <c r="F2351" t="inlineStr">
        <is>
          <t>SCA</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5258-2025</t>
        </is>
      </c>
      <c r="B2352" s="1" t="n">
        <v>45692</v>
      </c>
      <c r="C2352" s="1" t="n">
        <v>46060</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29869-2024</t>
        </is>
      </c>
      <c r="B2353" s="1" t="n">
        <v>45485.94493055555</v>
      </c>
      <c r="C2353" s="1" t="n">
        <v>46060</v>
      </c>
      <c r="D2353" t="inlineStr">
        <is>
          <t>VÄSTERNORRLANDS LÄN</t>
        </is>
      </c>
      <c r="E2353" t="inlineStr">
        <is>
          <t>SOLLEFTEÅ</t>
        </is>
      </c>
      <c r="F2353" t="inlineStr">
        <is>
          <t>SCA</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29957-2023</t>
        </is>
      </c>
      <c r="B2354" s="1" t="n">
        <v>45107</v>
      </c>
      <c r="C2354" s="1" t="n">
        <v>46060</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42771-2022</t>
        </is>
      </c>
      <c r="B2355" s="1" t="n">
        <v>44832</v>
      </c>
      <c r="C2355" s="1" t="n">
        <v>46060</v>
      </c>
      <c r="D2355" t="inlineStr">
        <is>
          <t>VÄSTERNORRLANDS LÄN</t>
        </is>
      </c>
      <c r="E2355" t="inlineStr">
        <is>
          <t>SOLLEFTEÅ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59593-2023</t>
        </is>
      </c>
      <c r="B2356" s="1" t="n">
        <v>45254.61885416666</v>
      </c>
      <c r="C2356" s="1" t="n">
        <v>46060</v>
      </c>
      <c r="D2356" t="inlineStr">
        <is>
          <t>VÄSTERNORRLANDS LÄN</t>
        </is>
      </c>
      <c r="E2356" t="inlineStr">
        <is>
          <t>SOLLEFTEÅ</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38234-2024</t>
        </is>
      </c>
      <c r="B2357" s="1" t="n">
        <v>45545.56025462963</v>
      </c>
      <c r="C2357" s="1" t="n">
        <v>46060</v>
      </c>
      <c r="D2357" t="inlineStr">
        <is>
          <t>VÄSTERNORRLANDS LÄN</t>
        </is>
      </c>
      <c r="E2357" t="inlineStr">
        <is>
          <t>SOLLEFTEÅ</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72244-2021</t>
        </is>
      </c>
      <c r="B2358" s="1" t="n">
        <v>44544.9390162037</v>
      </c>
      <c r="C2358" s="1" t="n">
        <v>46060</v>
      </c>
      <c r="D2358" t="inlineStr">
        <is>
          <t>VÄSTERNORRLANDS LÄN</t>
        </is>
      </c>
      <c r="E2358" t="inlineStr">
        <is>
          <t>SOLLEFTEÅ</t>
        </is>
      </c>
      <c r="F2358" t="inlineStr">
        <is>
          <t>SCA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18304-2022</t>
        </is>
      </c>
      <c r="B2359" s="1" t="n">
        <v>44685</v>
      </c>
      <c r="C2359" s="1" t="n">
        <v>46060</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11727-2025</t>
        </is>
      </c>
      <c r="B2360" s="1" t="n">
        <v>45727.61512731481</v>
      </c>
      <c r="C2360" s="1" t="n">
        <v>46060</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62363-2023</t>
        </is>
      </c>
      <c r="B2361" s="1" t="n">
        <v>45267</v>
      </c>
      <c r="C2361" s="1" t="n">
        <v>46060</v>
      </c>
      <c r="D2361" t="inlineStr">
        <is>
          <t>VÄSTERNORRLANDS LÄN</t>
        </is>
      </c>
      <c r="E2361" t="inlineStr">
        <is>
          <t>SOLLEFTEÅ</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38749-2024</t>
        </is>
      </c>
      <c r="B2362" s="1" t="n">
        <v>45547</v>
      </c>
      <c r="C2362" s="1" t="n">
        <v>46060</v>
      </c>
      <c r="D2362" t="inlineStr">
        <is>
          <t>VÄSTERNORRLANDS LÄN</t>
        </is>
      </c>
      <c r="E2362" t="inlineStr">
        <is>
          <t>SOLLEFTEÅ</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60583-2024</t>
        </is>
      </c>
      <c r="B2363" s="1" t="n">
        <v>45644</v>
      </c>
      <c r="C2363" s="1" t="n">
        <v>46060</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7721-2023</t>
        </is>
      </c>
      <c r="B2364" s="1" t="n">
        <v>44972.94123842593</v>
      </c>
      <c r="C2364" s="1" t="n">
        <v>46060</v>
      </c>
      <c r="D2364" t="inlineStr">
        <is>
          <t>VÄSTERNORRLANDS LÄN</t>
        </is>
      </c>
      <c r="E2364" t="inlineStr">
        <is>
          <t>SOLLEFTEÅ</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21195-2023</t>
        </is>
      </c>
      <c r="B2365" s="1" t="n">
        <v>45057</v>
      </c>
      <c r="C2365" s="1" t="n">
        <v>46060</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21230-2023</t>
        </is>
      </c>
      <c r="B2366" s="1" t="n">
        <v>45057</v>
      </c>
      <c r="C2366" s="1" t="n">
        <v>46060</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10925-2022</t>
        </is>
      </c>
      <c r="B2367" s="1" t="n">
        <v>44627.9444212963</v>
      </c>
      <c r="C2367" s="1" t="n">
        <v>46060</v>
      </c>
      <c r="D2367" t="inlineStr">
        <is>
          <t>VÄSTERNORRLANDS LÄN</t>
        </is>
      </c>
      <c r="E2367" t="inlineStr">
        <is>
          <t>SOLLEFTEÅ</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31916-2023</t>
        </is>
      </c>
      <c r="B2368" s="1" t="n">
        <v>45118.93978009259</v>
      </c>
      <c r="C2368" s="1" t="n">
        <v>46060</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31919-2023</t>
        </is>
      </c>
      <c r="B2369" s="1" t="n">
        <v>45118</v>
      </c>
      <c r="C2369" s="1" t="n">
        <v>46060</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58085-2023</t>
        </is>
      </c>
      <c r="B2370" s="1" t="n">
        <v>45247</v>
      </c>
      <c r="C2370" s="1" t="n">
        <v>46060</v>
      </c>
      <c r="D2370" t="inlineStr">
        <is>
          <t>VÄSTERNORRLANDS LÄN</t>
        </is>
      </c>
      <c r="E2370" t="inlineStr">
        <is>
          <t>SOLLEFTEÅ</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7569-2025</t>
        </is>
      </c>
      <c r="B2371" s="1" t="n">
        <v>45705.59442129629</v>
      </c>
      <c r="C2371" s="1" t="n">
        <v>46060</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19145-2025</t>
        </is>
      </c>
      <c r="B2372" s="1" t="n">
        <v>45769.34452546296</v>
      </c>
      <c r="C2372" s="1" t="n">
        <v>46060</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54255-2022</t>
        </is>
      </c>
      <c r="B2373" s="1" t="n">
        <v>44881.95225694445</v>
      </c>
      <c r="C2373" s="1" t="n">
        <v>46060</v>
      </c>
      <c r="D2373" t="inlineStr">
        <is>
          <t>VÄSTERNORRLANDS LÄN</t>
        </is>
      </c>
      <c r="E2373" t="inlineStr">
        <is>
          <t>SOLLEFTEÅ</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4061-2024</t>
        </is>
      </c>
      <c r="B2374" s="1" t="n">
        <v>45323</v>
      </c>
      <c r="C2374" s="1" t="n">
        <v>46060</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5034-2024</t>
        </is>
      </c>
      <c r="B2375" s="1" t="n">
        <v>45329.86893518519</v>
      </c>
      <c r="C2375" s="1" t="n">
        <v>46060</v>
      </c>
      <c r="D2375" t="inlineStr">
        <is>
          <t>VÄSTERNORRLANDS LÄN</t>
        </is>
      </c>
      <c r="E2375" t="inlineStr">
        <is>
          <t>SOLLEFTEÅ</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35417-2024</t>
        </is>
      </c>
      <c r="B2376" s="1" t="n">
        <v>45531.40851851852</v>
      </c>
      <c r="C2376" s="1" t="n">
        <v>46060</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48999-2023</t>
        </is>
      </c>
      <c r="B2377" s="1" t="n">
        <v>45209.66075231481</v>
      </c>
      <c r="C2377" s="1" t="n">
        <v>46060</v>
      </c>
      <c r="D2377" t="inlineStr">
        <is>
          <t>VÄSTERNORRLANDS LÄN</t>
        </is>
      </c>
      <c r="E2377" t="inlineStr">
        <is>
          <t>SOLLEFTEÅ</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14448-2022</t>
        </is>
      </c>
      <c r="B2378" s="1" t="n">
        <v>44652</v>
      </c>
      <c r="C2378" s="1" t="n">
        <v>46060</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26500-2024</t>
        </is>
      </c>
      <c r="B2379" s="1" t="n">
        <v>45469.57174768519</v>
      </c>
      <c r="C2379" s="1" t="n">
        <v>46060</v>
      </c>
      <c r="D2379" t="inlineStr">
        <is>
          <t>VÄSTERNORRLANDS LÄN</t>
        </is>
      </c>
      <c r="E2379" t="inlineStr">
        <is>
          <t>SOLLEFTEÅ</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38432-2022</t>
        </is>
      </c>
      <c r="B2380" s="1" t="n">
        <v>44812</v>
      </c>
      <c r="C2380" s="1" t="n">
        <v>46060</v>
      </c>
      <c r="D2380" t="inlineStr">
        <is>
          <t>VÄSTERNORRLANDS LÄN</t>
        </is>
      </c>
      <c r="E2380" t="inlineStr">
        <is>
          <t>SOLLEFTEÅ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14169-2024</t>
        </is>
      </c>
      <c r="B2381" s="1" t="n">
        <v>45392.95831018518</v>
      </c>
      <c r="C2381" s="1" t="n">
        <v>46060</v>
      </c>
      <c r="D2381" t="inlineStr">
        <is>
          <t>VÄSTERNORRLANDS LÄN</t>
        </is>
      </c>
      <c r="E2381" t="inlineStr">
        <is>
          <t>SOLLEFTEÅ</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48767-2023</t>
        </is>
      </c>
      <c r="B2382" s="1" t="n">
        <v>45208</v>
      </c>
      <c r="C2382" s="1" t="n">
        <v>46060</v>
      </c>
      <c r="D2382" t="inlineStr">
        <is>
          <t>VÄSTERNORRLANDS LÄN</t>
        </is>
      </c>
      <c r="E2382" t="inlineStr">
        <is>
          <t>SOLLEFTEÅ</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5035-2024</t>
        </is>
      </c>
      <c r="B2383" s="1" t="n">
        <v>45329.86893518519</v>
      </c>
      <c r="C2383" s="1" t="n">
        <v>46060</v>
      </c>
      <c r="D2383" t="inlineStr">
        <is>
          <t>VÄSTERNORRLANDS LÄN</t>
        </is>
      </c>
      <c r="E2383" t="inlineStr">
        <is>
          <t>SOLLEFTEÅ</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5040-2024</t>
        </is>
      </c>
      <c r="B2384" s="1" t="n">
        <v>45329.88962962963</v>
      </c>
      <c r="C2384" s="1" t="n">
        <v>46060</v>
      </c>
      <c r="D2384" t="inlineStr">
        <is>
          <t>VÄSTERNORRLANDS LÄN</t>
        </is>
      </c>
      <c r="E2384" t="inlineStr">
        <is>
          <t>SOLLEFTEÅ</t>
        </is>
      </c>
      <c r="F2384" t="inlineStr">
        <is>
          <t>Övriga Aktiebolag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3537-2025</t>
        </is>
      </c>
      <c r="B2385" s="1" t="n">
        <v>45680</v>
      </c>
      <c r="C2385" s="1" t="n">
        <v>46060</v>
      </c>
      <c r="D2385" t="inlineStr">
        <is>
          <t>VÄSTERNORRLANDS LÄN</t>
        </is>
      </c>
      <c r="E2385" t="inlineStr">
        <is>
          <t>SOLLEFTEÅ</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16237-2024</t>
        </is>
      </c>
      <c r="B2386" s="1" t="n">
        <v>45407.05681712963</v>
      </c>
      <c r="C2386" s="1" t="n">
        <v>46060</v>
      </c>
      <c r="D2386" t="inlineStr">
        <is>
          <t>VÄSTERNORRLANDS LÄN</t>
        </is>
      </c>
      <c r="E2386" t="inlineStr">
        <is>
          <t>SOLLEFTEÅ</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44662-2024</t>
        </is>
      </c>
      <c r="B2387" s="1" t="n">
        <v>45574.53189814815</v>
      </c>
      <c r="C2387" s="1" t="n">
        <v>46060</v>
      </c>
      <c r="D2387" t="inlineStr">
        <is>
          <t>VÄSTERNORRLANDS LÄN</t>
        </is>
      </c>
      <c r="E2387" t="inlineStr">
        <is>
          <t>SOLLEFTEÅ</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38768-2024</t>
        </is>
      </c>
      <c r="B2388" s="1" t="n">
        <v>45547.44892361111</v>
      </c>
      <c r="C2388" s="1" t="n">
        <v>46060</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52034-2022</t>
        </is>
      </c>
      <c r="B2389" s="1" t="n">
        <v>44872</v>
      </c>
      <c r="C2389" s="1" t="n">
        <v>46060</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35673-2024</t>
        </is>
      </c>
      <c r="B2390" s="1" t="n">
        <v>45532.39119212963</v>
      </c>
      <c r="C2390" s="1" t="n">
        <v>46060</v>
      </c>
      <c r="D2390" t="inlineStr">
        <is>
          <t>VÄSTERNORRLANDS LÄN</t>
        </is>
      </c>
      <c r="E2390" t="inlineStr">
        <is>
          <t>SOLLEFTEÅ</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13942-2024</t>
        </is>
      </c>
      <c r="B2391" s="1" t="n">
        <v>45391.9540162037</v>
      </c>
      <c r="C2391" s="1" t="n">
        <v>46060</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27972-2021</t>
        </is>
      </c>
      <c r="B2392" s="1" t="n">
        <v>44354.93622685185</v>
      </c>
      <c r="C2392" s="1" t="n">
        <v>46060</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9121-2024</t>
        </is>
      </c>
      <c r="B2393" s="1" t="n">
        <v>45358.04099537037</v>
      </c>
      <c r="C2393" s="1" t="n">
        <v>46060</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57892-2024</t>
        </is>
      </c>
      <c r="B2394" s="1" t="n">
        <v>45631.46910879629</v>
      </c>
      <c r="C2394" s="1" t="n">
        <v>46060</v>
      </c>
      <c r="D2394" t="inlineStr">
        <is>
          <t>VÄSTERNORRLANDS LÄN</t>
        </is>
      </c>
      <c r="E2394" t="inlineStr">
        <is>
          <t>SOLLEFTEÅ</t>
        </is>
      </c>
      <c r="F2394" t="inlineStr">
        <is>
          <t>SCA</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62406-2022</t>
        </is>
      </c>
      <c r="B2395" s="1" t="n">
        <v>44923</v>
      </c>
      <c r="C2395" s="1" t="n">
        <v>46060</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60757-2021</t>
        </is>
      </c>
      <c r="B2396" s="1" t="n">
        <v>44496.92101851852</v>
      </c>
      <c r="C2396" s="1" t="n">
        <v>46060</v>
      </c>
      <c r="D2396" t="inlineStr">
        <is>
          <t>VÄSTERNORRLANDS LÄN</t>
        </is>
      </c>
      <c r="E2396" t="inlineStr">
        <is>
          <t>SOLLEFTEÅ</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14982-2024</t>
        </is>
      </c>
      <c r="B2397" s="1" t="n">
        <v>45398.94193287037</v>
      </c>
      <c r="C2397" s="1" t="n">
        <v>46060</v>
      </c>
      <c r="D2397" t="inlineStr">
        <is>
          <t>VÄSTERNORRLANDS LÄN</t>
        </is>
      </c>
      <c r="E2397" t="inlineStr">
        <is>
          <t>SOLLEFTEÅ</t>
        </is>
      </c>
      <c r="F2397" t="inlineStr">
        <is>
          <t>SCA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36144-2024</t>
        </is>
      </c>
      <c r="B2398" s="1" t="n">
        <v>45534.36309027778</v>
      </c>
      <c r="C2398" s="1" t="n">
        <v>46060</v>
      </c>
      <c r="D2398" t="inlineStr">
        <is>
          <t>VÄSTERNORRLANDS LÄN</t>
        </is>
      </c>
      <c r="E2398" t="inlineStr">
        <is>
          <t>SOLLEFTEÅ</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23288-2023</t>
        </is>
      </c>
      <c r="B2399" s="1" t="n">
        <v>45075</v>
      </c>
      <c r="C2399" s="1" t="n">
        <v>46060</v>
      </c>
      <c r="D2399" t="inlineStr">
        <is>
          <t>VÄSTERNORRLANDS LÄN</t>
        </is>
      </c>
      <c r="E2399" t="inlineStr">
        <is>
          <t>SOLLEFTEÅ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23289-2023</t>
        </is>
      </c>
      <c r="B2400" s="1" t="n">
        <v>45075</v>
      </c>
      <c r="C2400" s="1" t="n">
        <v>46060</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59563-2024</t>
        </is>
      </c>
      <c r="B2401" s="1" t="n">
        <v>45638.63733796297</v>
      </c>
      <c r="C2401" s="1" t="n">
        <v>46060</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21031-2024</t>
        </is>
      </c>
      <c r="B2402" s="1" t="n">
        <v>45439</v>
      </c>
      <c r="C2402" s="1" t="n">
        <v>46060</v>
      </c>
      <c r="D2402" t="inlineStr">
        <is>
          <t>VÄSTERNORRLANDS LÄN</t>
        </is>
      </c>
      <c r="E2402" t="inlineStr">
        <is>
          <t>SOLLEFTEÅ</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2883-2025</t>
        </is>
      </c>
      <c r="B2403" s="1" t="n">
        <v>45677</v>
      </c>
      <c r="C2403" s="1" t="n">
        <v>46060</v>
      </c>
      <c r="D2403" t="inlineStr">
        <is>
          <t>VÄSTERNORRLANDS LÄN</t>
        </is>
      </c>
      <c r="E2403" t="inlineStr">
        <is>
          <t>SOLLEFTEÅ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30329-2024</t>
        </is>
      </c>
      <c r="B2404" s="1" t="n">
        <v>45490.95304398148</v>
      </c>
      <c r="C2404" s="1" t="n">
        <v>46060</v>
      </c>
      <c r="D2404" t="inlineStr">
        <is>
          <t>VÄSTERNORRLANDS LÄN</t>
        </is>
      </c>
      <c r="E2404" t="inlineStr">
        <is>
          <t>SOLLEFTEÅ</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42963-2024</t>
        </is>
      </c>
      <c r="B2405" s="1" t="n">
        <v>45567.37240740741</v>
      </c>
      <c r="C2405" s="1" t="n">
        <v>46060</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42979-2024</t>
        </is>
      </c>
      <c r="B2406" s="1" t="n">
        <v>45567.37438657408</v>
      </c>
      <c r="C2406" s="1" t="n">
        <v>46060</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31559-2024</t>
        </is>
      </c>
      <c r="B2407" s="1" t="n">
        <v>45505.96555555556</v>
      </c>
      <c r="C2407" s="1" t="n">
        <v>46060</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45958-2023</t>
        </is>
      </c>
      <c r="B2408" s="1" t="n">
        <v>45195</v>
      </c>
      <c r="C2408" s="1" t="n">
        <v>46060</v>
      </c>
      <c r="D2408" t="inlineStr">
        <is>
          <t>VÄSTERNORRLANDS LÄN</t>
        </is>
      </c>
      <c r="E2408" t="inlineStr">
        <is>
          <t>SOLLEFTEÅ</t>
        </is>
      </c>
      <c r="F2408" t="inlineStr">
        <is>
          <t>SCA</t>
        </is>
      </c>
      <c r="G2408" t="n">
        <v>9.9</v>
      </c>
      <c r="H2408" t="n">
        <v>0</v>
      </c>
      <c r="I2408" t="n">
        <v>0</v>
      </c>
      <c r="J2408" t="n">
        <v>0</v>
      </c>
      <c r="K2408" t="n">
        <v>0</v>
      </c>
      <c r="L2408" t="n">
        <v>0</v>
      </c>
      <c r="M2408" t="n">
        <v>0</v>
      </c>
      <c r="N2408" t="n">
        <v>0</v>
      </c>
      <c r="O2408" t="n">
        <v>0</v>
      </c>
      <c r="P2408" t="n">
        <v>0</v>
      </c>
      <c r="Q2408" t="n">
        <v>0</v>
      </c>
      <c r="R2408" s="2" t="inlineStr"/>
    </row>
    <row r="2409" ht="15" customHeight="1">
      <c r="A2409" t="inlineStr">
        <is>
          <t>A 9831-2024</t>
        </is>
      </c>
      <c r="B2409" s="1" t="n">
        <v>45363.04699074074</v>
      </c>
      <c r="C2409" s="1" t="n">
        <v>46060</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583-2025</t>
        </is>
      </c>
      <c r="B2410" s="1" t="n">
        <v>45664</v>
      </c>
      <c r="C2410" s="1" t="n">
        <v>46060</v>
      </c>
      <c r="D2410" t="inlineStr">
        <is>
          <t>VÄSTERNORRLANDS LÄN</t>
        </is>
      </c>
      <c r="E2410" t="inlineStr">
        <is>
          <t>SOLLEFTEÅ</t>
        </is>
      </c>
      <c r="G2410" t="n">
        <v>47.2</v>
      </c>
      <c r="H2410" t="n">
        <v>0</v>
      </c>
      <c r="I2410" t="n">
        <v>0</v>
      </c>
      <c r="J2410" t="n">
        <v>0</v>
      </c>
      <c r="K2410" t="n">
        <v>0</v>
      </c>
      <c r="L2410" t="n">
        <v>0</v>
      </c>
      <c r="M2410" t="n">
        <v>0</v>
      </c>
      <c r="N2410" t="n">
        <v>0</v>
      </c>
      <c r="O2410" t="n">
        <v>0</v>
      </c>
      <c r="P2410" t="n">
        <v>0</v>
      </c>
      <c r="Q2410" t="n">
        <v>0</v>
      </c>
      <c r="R2410" s="2" t="inlineStr"/>
    </row>
    <row r="2411" ht="15" customHeight="1">
      <c r="A2411" t="inlineStr">
        <is>
          <t>A 35513-2024</t>
        </is>
      </c>
      <c r="B2411" s="1" t="n">
        <v>45531</v>
      </c>
      <c r="C2411" s="1" t="n">
        <v>46060</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12764-2022</t>
        </is>
      </c>
      <c r="B2412" s="1" t="n">
        <v>44641.93445601852</v>
      </c>
      <c r="C2412" s="1" t="n">
        <v>46060</v>
      </c>
      <c r="D2412" t="inlineStr">
        <is>
          <t>VÄSTERNORRLANDS LÄN</t>
        </is>
      </c>
      <c r="E2412" t="inlineStr">
        <is>
          <t>SOLLEFTEÅ</t>
        </is>
      </c>
      <c r="F2412" t="inlineStr">
        <is>
          <t>SCA</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8195-2025</t>
        </is>
      </c>
      <c r="B2413" s="1" t="n">
        <v>45708</v>
      </c>
      <c r="C2413" s="1" t="n">
        <v>46060</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6271-2023</t>
        </is>
      </c>
      <c r="B2414" s="1" t="n">
        <v>44959</v>
      </c>
      <c r="C2414" s="1" t="n">
        <v>46060</v>
      </c>
      <c r="D2414" t="inlineStr">
        <is>
          <t>VÄSTERNORRLANDS LÄN</t>
        </is>
      </c>
      <c r="E2414" t="inlineStr">
        <is>
          <t>SOLLEFTEÅ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38275-2024</t>
        </is>
      </c>
      <c r="B2415" s="1" t="n">
        <v>45545</v>
      </c>
      <c r="C2415" s="1" t="n">
        <v>46060</v>
      </c>
      <c r="D2415" t="inlineStr">
        <is>
          <t>VÄSTERNORRLANDS LÄN</t>
        </is>
      </c>
      <c r="E2415" t="inlineStr">
        <is>
          <t>SOLLEFTEÅ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48265-2024</t>
        </is>
      </c>
      <c r="B2416" s="1" t="n">
        <v>45590.42751157407</v>
      </c>
      <c r="C2416" s="1" t="n">
        <v>46060</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50226-2023</t>
        </is>
      </c>
      <c r="B2417" s="1" t="n">
        <v>45215.94767361111</v>
      </c>
      <c r="C2417" s="1" t="n">
        <v>46060</v>
      </c>
      <c r="D2417" t="inlineStr">
        <is>
          <t>VÄSTERNORRLANDS LÄN</t>
        </is>
      </c>
      <c r="E2417" t="inlineStr">
        <is>
          <t>SOLLEFTEÅ</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1459-2024</t>
        </is>
      </c>
      <c r="B2418" s="1" t="n">
        <v>45303.9331712963</v>
      </c>
      <c r="C2418" s="1" t="n">
        <v>46060</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44393-2023</t>
        </is>
      </c>
      <c r="B2419" s="1" t="n">
        <v>45188.94534722222</v>
      </c>
      <c r="C2419" s="1" t="n">
        <v>46060</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56176-2022</t>
        </is>
      </c>
      <c r="B2420" s="1" t="n">
        <v>44889.94862268519</v>
      </c>
      <c r="C2420" s="1" t="n">
        <v>46060</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13584-2025</t>
        </is>
      </c>
      <c r="B2421" s="1" t="n">
        <v>45736.59193287037</v>
      </c>
      <c r="C2421" s="1" t="n">
        <v>46060</v>
      </c>
      <c r="D2421" t="inlineStr">
        <is>
          <t>VÄSTERNORRLANDS LÄN</t>
        </is>
      </c>
      <c r="E2421" t="inlineStr">
        <is>
          <t>SOLLEFTEÅ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6816-2024</t>
        </is>
      </c>
      <c r="B2422" s="1" t="n">
        <v>45342</v>
      </c>
      <c r="C2422" s="1" t="n">
        <v>46060</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16693-2024</t>
        </is>
      </c>
      <c r="B2423" s="1" t="n">
        <v>45408</v>
      </c>
      <c r="C2423" s="1" t="n">
        <v>46060</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18623-2024</t>
        </is>
      </c>
      <c r="B2424" s="1" t="n">
        <v>45425.96378472223</v>
      </c>
      <c r="C2424" s="1" t="n">
        <v>46060</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41434-2024</t>
        </is>
      </c>
      <c r="B2425" s="1" t="n">
        <v>45560</v>
      </c>
      <c r="C2425" s="1" t="n">
        <v>46060</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45334-2024</t>
        </is>
      </c>
      <c r="B2426" s="1" t="n">
        <v>45576</v>
      </c>
      <c r="C2426" s="1" t="n">
        <v>46060</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42229-2021</t>
        </is>
      </c>
      <c r="B2427" s="1" t="n">
        <v>44426.93474537037</v>
      </c>
      <c r="C2427" s="1" t="n">
        <v>46060</v>
      </c>
      <c r="D2427" t="inlineStr">
        <is>
          <t>VÄSTERNORRLANDS LÄN</t>
        </is>
      </c>
      <c r="E2427" t="inlineStr">
        <is>
          <t>SOLLEFTEÅ</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35019-2022</t>
        </is>
      </c>
      <c r="B2428" s="1" t="n">
        <v>44796.94684027778</v>
      </c>
      <c r="C2428" s="1" t="n">
        <v>46060</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45240.59096064815</v>
      </c>
      <c r="C2429" s="1" t="n">
        <v>46060</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62262-2022</t>
        </is>
      </c>
      <c r="B2430" s="1" t="n">
        <v>44922.94387731481</v>
      </c>
      <c r="C2430" s="1" t="n">
        <v>46060</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10738-2025</t>
        </is>
      </c>
      <c r="B2431" s="1" t="n">
        <v>45722.40704861111</v>
      </c>
      <c r="C2431" s="1" t="n">
        <v>46060</v>
      </c>
      <c r="D2431" t="inlineStr">
        <is>
          <t>VÄSTERNORRLANDS LÄN</t>
        </is>
      </c>
      <c r="E2431" t="inlineStr">
        <is>
          <t>SOLLEFTEÅ</t>
        </is>
      </c>
      <c r="F2431" t="inlineStr">
        <is>
          <t>SCA</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51193-2024</t>
        </is>
      </c>
      <c r="B2432" s="1" t="n">
        <v>45603.61511574074</v>
      </c>
      <c r="C2432" s="1" t="n">
        <v>46060</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3689-2023</t>
        </is>
      </c>
      <c r="B2433" s="1" t="n">
        <v>44950</v>
      </c>
      <c r="C2433" s="1" t="n">
        <v>46060</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23753-2021</t>
        </is>
      </c>
      <c r="B2434" s="1" t="n">
        <v>44334</v>
      </c>
      <c r="C2434" s="1" t="n">
        <v>46060</v>
      </c>
      <c r="D2434" t="inlineStr">
        <is>
          <t>VÄSTERNORRLANDS LÄN</t>
        </is>
      </c>
      <c r="E2434" t="inlineStr">
        <is>
          <t>SOLLEFTEÅ</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57395-2023</t>
        </is>
      </c>
      <c r="B2435" s="1" t="n">
        <v>45245.9678125</v>
      </c>
      <c r="C2435" s="1" t="n">
        <v>46060</v>
      </c>
      <c r="D2435" t="inlineStr">
        <is>
          <t>VÄSTERNORRLANDS LÄN</t>
        </is>
      </c>
      <c r="E2435" t="inlineStr">
        <is>
          <t>SOLLEFTEÅ</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12752-2023</t>
        </is>
      </c>
      <c r="B2436" s="1" t="n">
        <v>45000.94854166666</v>
      </c>
      <c r="C2436" s="1" t="n">
        <v>46060</v>
      </c>
      <c r="D2436" t="inlineStr">
        <is>
          <t>VÄSTERNORRLANDS LÄN</t>
        </is>
      </c>
      <c r="E2436" t="inlineStr">
        <is>
          <t>SOLLEFTEÅ</t>
        </is>
      </c>
      <c r="F2436" t="inlineStr">
        <is>
          <t>SCA</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1416-2025</t>
        </is>
      </c>
      <c r="B2437" s="1" t="n">
        <v>45668</v>
      </c>
      <c r="C2437" s="1" t="n">
        <v>46060</v>
      </c>
      <c r="D2437" t="inlineStr">
        <is>
          <t>VÄSTERNORRLANDS LÄN</t>
        </is>
      </c>
      <c r="E2437" t="inlineStr">
        <is>
          <t>SOLLEFTEÅ</t>
        </is>
      </c>
      <c r="G2437" t="n">
        <v>21.3</v>
      </c>
      <c r="H2437" t="n">
        <v>0</v>
      </c>
      <c r="I2437" t="n">
        <v>0</v>
      </c>
      <c r="J2437" t="n">
        <v>0</v>
      </c>
      <c r="K2437" t="n">
        <v>0</v>
      </c>
      <c r="L2437" t="n">
        <v>0</v>
      </c>
      <c r="M2437" t="n">
        <v>0</v>
      </c>
      <c r="N2437" t="n">
        <v>0</v>
      </c>
      <c r="O2437" t="n">
        <v>0</v>
      </c>
      <c r="P2437" t="n">
        <v>0</v>
      </c>
      <c r="Q2437" t="n">
        <v>0</v>
      </c>
      <c r="R2437" s="2" t="inlineStr"/>
    </row>
    <row r="2438" ht="15" customHeight="1">
      <c r="A2438" t="inlineStr">
        <is>
          <t>A 31481-2024</t>
        </is>
      </c>
      <c r="B2438" s="1" t="n">
        <v>45505</v>
      </c>
      <c r="C2438" s="1" t="n">
        <v>46060</v>
      </c>
      <c r="D2438" t="inlineStr">
        <is>
          <t>VÄSTERNORRLANDS LÄN</t>
        </is>
      </c>
      <c r="E2438" t="inlineStr">
        <is>
          <t>SOLLEFTEÅ</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29290-2022</t>
        </is>
      </c>
      <c r="B2439" s="1" t="n">
        <v>44750</v>
      </c>
      <c r="C2439" s="1" t="n">
        <v>46060</v>
      </c>
      <c r="D2439" t="inlineStr">
        <is>
          <t>VÄSTERNORRLANDS LÄN</t>
        </is>
      </c>
      <c r="E2439" t="inlineStr">
        <is>
          <t>SOLLEFTEÅ</t>
        </is>
      </c>
      <c r="F2439" t="inlineStr">
        <is>
          <t>SCA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29693-2024</t>
        </is>
      </c>
      <c r="B2440" s="1" t="n">
        <v>45484.94490740741</v>
      </c>
      <c r="C2440" s="1" t="n">
        <v>46060</v>
      </c>
      <c r="D2440" t="inlineStr">
        <is>
          <t>VÄSTERNORRLANDS LÄN</t>
        </is>
      </c>
      <c r="E2440" t="inlineStr">
        <is>
          <t>SOLLEFTEÅ</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9632-2025</t>
        </is>
      </c>
      <c r="B2441" s="1" t="n">
        <v>45715.71921296296</v>
      </c>
      <c r="C2441" s="1" t="n">
        <v>46060</v>
      </c>
      <c r="D2441" t="inlineStr">
        <is>
          <t>VÄSTERNORRLANDS LÄN</t>
        </is>
      </c>
      <c r="E2441" t="inlineStr">
        <is>
          <t>SOLLEFTEÅ</t>
        </is>
      </c>
      <c r="F2441" t="inlineStr">
        <is>
          <t>SCA</t>
        </is>
      </c>
      <c r="G2441" t="n">
        <v>21.6</v>
      </c>
      <c r="H2441" t="n">
        <v>0</v>
      </c>
      <c r="I2441" t="n">
        <v>0</v>
      </c>
      <c r="J2441" t="n">
        <v>0</v>
      </c>
      <c r="K2441" t="n">
        <v>0</v>
      </c>
      <c r="L2441" t="n">
        <v>0</v>
      </c>
      <c r="M2441" t="n">
        <v>0</v>
      </c>
      <c r="N2441" t="n">
        <v>0</v>
      </c>
      <c r="O2441" t="n">
        <v>0</v>
      </c>
      <c r="P2441" t="n">
        <v>0</v>
      </c>
      <c r="Q2441" t="n">
        <v>0</v>
      </c>
      <c r="R2441" s="2" t="inlineStr"/>
    </row>
    <row r="2442" ht="15" customHeight="1">
      <c r="A2442" t="inlineStr">
        <is>
          <t>A 47631-2024</t>
        </is>
      </c>
      <c r="B2442" s="1" t="n">
        <v>45588.34465277778</v>
      </c>
      <c r="C2442" s="1" t="n">
        <v>46060</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60827-2024</t>
        </is>
      </c>
      <c r="B2443" s="1" t="n">
        <v>45644.63590277778</v>
      </c>
      <c r="C2443" s="1" t="n">
        <v>46060</v>
      </c>
      <c r="D2443" t="inlineStr">
        <is>
          <t>VÄSTERNORRLANDS LÄN</t>
        </is>
      </c>
      <c r="E2443" t="inlineStr">
        <is>
          <t>SOLLEFTEÅ</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6236-2023</t>
        </is>
      </c>
      <c r="B2444" s="1" t="n">
        <v>44964</v>
      </c>
      <c r="C2444" s="1" t="n">
        <v>46060</v>
      </c>
      <c r="D2444" t="inlineStr">
        <is>
          <t>VÄSTERNORRLANDS LÄN</t>
        </is>
      </c>
      <c r="E2444" t="inlineStr">
        <is>
          <t>SOLLEFTEÅ</t>
        </is>
      </c>
      <c r="F2444" t="inlineStr">
        <is>
          <t>SCA</t>
        </is>
      </c>
      <c r="G2444" t="n">
        <v>0.1</v>
      </c>
      <c r="H2444" t="n">
        <v>0</v>
      </c>
      <c r="I2444" t="n">
        <v>0</v>
      </c>
      <c r="J2444" t="n">
        <v>0</v>
      </c>
      <c r="K2444" t="n">
        <v>0</v>
      </c>
      <c r="L2444" t="n">
        <v>0</v>
      </c>
      <c r="M2444" t="n">
        <v>0</v>
      </c>
      <c r="N2444" t="n">
        <v>0</v>
      </c>
      <c r="O2444" t="n">
        <v>0</v>
      </c>
      <c r="P2444" t="n">
        <v>0</v>
      </c>
      <c r="Q2444" t="n">
        <v>0</v>
      </c>
      <c r="R2444" s="2" t="inlineStr"/>
      <c r="U2444">
        <f>HYPERLINK("https://klasma.github.io/Logging_2283/knärot/A 6236-2023 karta knärot.png", "A 6236-2023")</f>
        <v/>
      </c>
      <c r="V2444">
        <f>HYPERLINK("https://klasma.github.io/Logging_2283/klagomål/A 6236-2023 FSC-klagomål.docx", "A 6236-2023")</f>
        <v/>
      </c>
      <c r="W2444">
        <f>HYPERLINK("https://klasma.github.io/Logging_2283/klagomålsmail/A 6236-2023 FSC-klagomål mail.docx", "A 6236-2023")</f>
        <v/>
      </c>
      <c r="X2444">
        <f>HYPERLINK("https://klasma.github.io/Logging_2283/tillsyn/A 6236-2023 tillsynsbegäran.docx", "A 6236-2023")</f>
        <v/>
      </c>
      <c r="Y2444">
        <f>HYPERLINK("https://klasma.github.io/Logging_2283/tillsynsmail/A 6236-2023 tillsynsbegäran mail.docx", "A 6236-2023")</f>
        <v/>
      </c>
    </row>
    <row r="2445" ht="15" customHeight="1">
      <c r="A2445" t="inlineStr">
        <is>
          <t>A 73564-2021</t>
        </is>
      </c>
      <c r="B2445" s="1" t="n">
        <v>44551.9409375</v>
      </c>
      <c r="C2445" s="1" t="n">
        <v>46060</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10618-2024</t>
        </is>
      </c>
      <c r="B2446" s="1" t="n">
        <v>45367</v>
      </c>
      <c r="C2446" s="1" t="n">
        <v>46060</v>
      </c>
      <c r="D2446" t="inlineStr">
        <is>
          <t>VÄSTERNORRLANDS LÄN</t>
        </is>
      </c>
      <c r="E2446" t="inlineStr">
        <is>
          <t>SOLLEFTEÅ</t>
        </is>
      </c>
      <c r="F2446" t="inlineStr">
        <is>
          <t>SCA</t>
        </is>
      </c>
      <c r="G2446" t="n">
        <v>21.1</v>
      </c>
      <c r="H2446" t="n">
        <v>0</v>
      </c>
      <c r="I2446" t="n">
        <v>0</v>
      </c>
      <c r="J2446" t="n">
        <v>0</v>
      </c>
      <c r="K2446" t="n">
        <v>0</v>
      </c>
      <c r="L2446" t="n">
        <v>0</v>
      </c>
      <c r="M2446" t="n">
        <v>0</v>
      </c>
      <c r="N2446" t="n">
        <v>0</v>
      </c>
      <c r="O2446" t="n">
        <v>0</v>
      </c>
      <c r="P2446" t="n">
        <v>0</v>
      </c>
      <c r="Q2446" t="n">
        <v>0</v>
      </c>
      <c r="R2446" s="2" t="inlineStr"/>
    </row>
    <row r="2447" ht="15" customHeight="1">
      <c r="A2447" t="inlineStr">
        <is>
          <t>A 13150-2025</t>
        </is>
      </c>
      <c r="B2447" s="1" t="n">
        <v>45735.34439814815</v>
      </c>
      <c r="C2447" s="1" t="n">
        <v>46060</v>
      </c>
      <c r="D2447" t="inlineStr">
        <is>
          <t>VÄSTERNORRLANDS LÄN</t>
        </is>
      </c>
      <c r="E2447" t="inlineStr">
        <is>
          <t>SOLLEFTEÅ</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25314-2023</t>
        </is>
      </c>
      <c r="B2448" s="1" t="n">
        <v>45086</v>
      </c>
      <c r="C2448" s="1" t="n">
        <v>46060</v>
      </c>
      <c r="D2448" t="inlineStr">
        <is>
          <t>VÄSTERNORRLANDS LÄN</t>
        </is>
      </c>
      <c r="E2448" t="inlineStr">
        <is>
          <t>SOLLEFTEÅ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16795-2025</t>
        </is>
      </c>
      <c r="B2449" s="1" t="n">
        <v>45754.61487268518</v>
      </c>
      <c r="C2449" s="1" t="n">
        <v>46060</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56262-2023</t>
        </is>
      </c>
      <c r="B2450" s="1" t="n">
        <v>45240</v>
      </c>
      <c r="C2450" s="1" t="n">
        <v>46060</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1997-2022</t>
        </is>
      </c>
      <c r="B2451" s="1" t="n">
        <v>44575</v>
      </c>
      <c r="C2451" s="1" t="n">
        <v>46060</v>
      </c>
      <c r="D2451" t="inlineStr">
        <is>
          <t>VÄSTERNORRLANDS LÄN</t>
        </is>
      </c>
      <c r="E2451" t="inlineStr">
        <is>
          <t>SOLLEFTEÅ</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7942-2025</t>
        </is>
      </c>
      <c r="B2452" s="1" t="n">
        <v>45707</v>
      </c>
      <c r="C2452" s="1" t="n">
        <v>46060</v>
      </c>
      <c r="D2452" t="inlineStr">
        <is>
          <t>VÄSTERNORRLANDS LÄN</t>
        </is>
      </c>
      <c r="E2452" t="inlineStr">
        <is>
          <t>SOLLEFTEÅ</t>
        </is>
      </c>
      <c r="F2452" t="inlineStr">
        <is>
          <t>SCA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32812-2024</t>
        </is>
      </c>
      <c r="B2453" s="1" t="n">
        <v>45516</v>
      </c>
      <c r="C2453" s="1" t="n">
        <v>46060</v>
      </c>
      <c r="D2453" t="inlineStr">
        <is>
          <t>VÄSTERNORRLANDS LÄN</t>
        </is>
      </c>
      <c r="E2453" t="inlineStr">
        <is>
          <t>SOLLEFTEÅ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48083-2023</t>
        </is>
      </c>
      <c r="B2454" s="1" t="n">
        <v>45204</v>
      </c>
      <c r="C2454" s="1" t="n">
        <v>46060</v>
      </c>
      <c r="D2454" t="inlineStr">
        <is>
          <t>VÄSTERNORRLANDS LÄN</t>
        </is>
      </c>
      <c r="E2454" t="inlineStr">
        <is>
          <t>SOLLEFTEÅ</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4261-2025</t>
        </is>
      </c>
      <c r="B2455" s="1" t="n">
        <v>45685.61785879629</v>
      </c>
      <c r="C2455" s="1" t="n">
        <v>46060</v>
      </c>
      <c r="D2455" t="inlineStr">
        <is>
          <t>VÄSTERNORRLANDS LÄN</t>
        </is>
      </c>
      <c r="E2455" t="inlineStr">
        <is>
          <t>SOLLEFTEÅ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41834-2024</t>
        </is>
      </c>
      <c r="B2456" s="1" t="n">
        <v>45561.4084375</v>
      </c>
      <c r="C2456" s="1" t="n">
        <v>46060</v>
      </c>
      <c r="D2456" t="inlineStr">
        <is>
          <t>VÄSTERNORRLANDS LÄN</t>
        </is>
      </c>
      <c r="E2456" t="inlineStr">
        <is>
          <t>SOLLEFTEÅ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41975-2024</t>
        </is>
      </c>
      <c r="B2457" s="1" t="n">
        <v>45561</v>
      </c>
      <c r="C2457" s="1" t="n">
        <v>46060</v>
      </c>
      <c r="D2457" t="inlineStr">
        <is>
          <t>VÄSTERNORRLANDS LÄN</t>
        </is>
      </c>
      <c r="E2457" t="inlineStr">
        <is>
          <t>SOLLEFTEÅ</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58845-2024</t>
        </is>
      </c>
      <c r="B2458" s="1" t="n">
        <v>45636.3862037037</v>
      </c>
      <c r="C2458" s="1" t="n">
        <v>46060</v>
      </c>
      <c r="D2458" t="inlineStr">
        <is>
          <t>VÄSTERNORRLANDS LÄN</t>
        </is>
      </c>
      <c r="E2458" t="inlineStr">
        <is>
          <t>SOLLEFTEÅ</t>
        </is>
      </c>
      <c r="F2458" t="inlineStr">
        <is>
          <t>SCA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56388-2024</t>
        </is>
      </c>
      <c r="B2459" s="1" t="n">
        <v>45625.34449074074</v>
      </c>
      <c r="C2459" s="1" t="n">
        <v>46060</v>
      </c>
      <c r="D2459" t="inlineStr">
        <is>
          <t>VÄSTERNORRLANDS LÄN</t>
        </is>
      </c>
      <c r="E2459" t="inlineStr">
        <is>
          <t>SOLLEFTEÅ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53939-2023</t>
        </is>
      </c>
      <c r="B2460" s="1" t="n">
        <v>45224</v>
      </c>
      <c r="C2460" s="1" t="n">
        <v>46060</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41924-2023</t>
        </is>
      </c>
      <c r="B2461" s="1" t="n">
        <v>45176</v>
      </c>
      <c r="C2461" s="1" t="n">
        <v>46060</v>
      </c>
      <c r="D2461" t="inlineStr">
        <is>
          <t>VÄSTERNORRLANDS LÄN</t>
        </is>
      </c>
      <c r="E2461" t="inlineStr">
        <is>
          <t>SOLLEFTEÅ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35872-2024</t>
        </is>
      </c>
      <c r="B2462" s="1" t="n">
        <v>45533</v>
      </c>
      <c r="C2462" s="1" t="n">
        <v>46060</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21582-2022</t>
        </is>
      </c>
      <c r="B2463" s="1" t="n">
        <v>44706</v>
      </c>
      <c r="C2463" s="1" t="n">
        <v>46060</v>
      </c>
      <c r="D2463" t="inlineStr">
        <is>
          <t>VÄSTERNORRLANDS LÄN</t>
        </is>
      </c>
      <c r="E2463" t="inlineStr">
        <is>
          <t>SOLLEFTEÅ</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13858-2025</t>
        </is>
      </c>
      <c r="B2464" s="1" t="n">
        <v>45737.57341435185</v>
      </c>
      <c r="C2464" s="1" t="n">
        <v>46060</v>
      </c>
      <c r="D2464" t="inlineStr">
        <is>
          <t>VÄSTERNORRLANDS LÄN</t>
        </is>
      </c>
      <c r="E2464" t="inlineStr">
        <is>
          <t>SOLLEFTEÅ</t>
        </is>
      </c>
      <c r="F2464" t="inlineStr">
        <is>
          <t>SCA</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16312-2025</t>
        </is>
      </c>
      <c r="B2465" s="1" t="n">
        <v>45751.3474074074</v>
      </c>
      <c r="C2465" s="1" t="n">
        <v>46060</v>
      </c>
      <c r="D2465" t="inlineStr">
        <is>
          <t>VÄSTERNORRLANDS LÄN</t>
        </is>
      </c>
      <c r="E2465" t="inlineStr">
        <is>
          <t>SOLLEFTEÅ</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12683-2025</t>
        </is>
      </c>
      <c r="B2466" s="1" t="n">
        <v>45733.44483796296</v>
      </c>
      <c r="C2466" s="1" t="n">
        <v>46060</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58478-2021</t>
        </is>
      </c>
      <c r="B2467" s="1" t="n">
        <v>44488</v>
      </c>
      <c r="C2467" s="1" t="n">
        <v>46060</v>
      </c>
      <c r="D2467" t="inlineStr">
        <is>
          <t>VÄSTERNORRLANDS LÄN</t>
        </is>
      </c>
      <c r="E2467" t="inlineStr">
        <is>
          <t>SOLLEFTEÅ</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19429-2024</t>
        </is>
      </c>
      <c r="B2468" s="1" t="n">
        <v>45429</v>
      </c>
      <c r="C2468" s="1" t="n">
        <v>46060</v>
      </c>
      <c r="D2468" t="inlineStr">
        <is>
          <t>VÄSTERNORRLANDS LÄN</t>
        </is>
      </c>
      <c r="E2468" t="inlineStr">
        <is>
          <t>SOLLEFTEÅ</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35217-2024</t>
        </is>
      </c>
      <c r="B2469" s="1" t="n">
        <v>45530</v>
      </c>
      <c r="C2469" s="1" t="n">
        <v>46060</v>
      </c>
      <c r="D2469" t="inlineStr">
        <is>
          <t>VÄSTERNORRLANDS LÄN</t>
        </is>
      </c>
      <c r="E2469" t="inlineStr">
        <is>
          <t>SOLLEFTEÅ</t>
        </is>
      </c>
      <c r="F2469" t="inlineStr">
        <is>
          <t>Kommuner</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49771-2024</t>
        </is>
      </c>
      <c r="B2470" s="1" t="n">
        <v>45597.34481481482</v>
      </c>
      <c r="C2470" s="1" t="n">
        <v>46060</v>
      </c>
      <c r="D2470" t="inlineStr">
        <is>
          <t>VÄSTERNORRLANDS LÄN</t>
        </is>
      </c>
      <c r="E2470" t="inlineStr">
        <is>
          <t>SOLLEFTEÅ</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49772-2024</t>
        </is>
      </c>
      <c r="B2471" s="1" t="n">
        <v>45597.34483796296</v>
      </c>
      <c r="C2471" s="1" t="n">
        <v>46060</v>
      </c>
      <c r="D2471" t="inlineStr">
        <is>
          <t>VÄSTERNORRLANDS LÄN</t>
        </is>
      </c>
      <c r="E2471" t="inlineStr">
        <is>
          <t>SOLLEFTEÅ</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71580-2021</t>
        </is>
      </c>
      <c r="B2472" s="1" t="n">
        <v>44540</v>
      </c>
      <c r="C2472" s="1" t="n">
        <v>46060</v>
      </c>
      <c r="D2472" t="inlineStr">
        <is>
          <t>VÄSTERNORRLANDS LÄN</t>
        </is>
      </c>
      <c r="E2472" t="inlineStr">
        <is>
          <t>SOLLEFTEÅ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13315-2025</t>
        </is>
      </c>
      <c r="B2473" s="1" t="n">
        <v>45735.59418981482</v>
      </c>
      <c r="C2473" s="1" t="n">
        <v>46060</v>
      </c>
      <c r="D2473" t="inlineStr">
        <is>
          <t>VÄSTERNORRLANDS LÄN</t>
        </is>
      </c>
      <c r="E2473" t="inlineStr">
        <is>
          <t>SOLLEFTEÅ</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47179-2024</t>
        </is>
      </c>
      <c r="B2474" s="1" t="n">
        <v>45586.61634259259</v>
      </c>
      <c r="C2474" s="1" t="n">
        <v>46060</v>
      </c>
      <c r="D2474" t="inlineStr">
        <is>
          <t>VÄSTERNORRLANDS LÄN</t>
        </is>
      </c>
      <c r="E2474" t="inlineStr">
        <is>
          <t>SOLLEFTEÅ</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15260-2025</t>
        </is>
      </c>
      <c r="B2475" s="1" t="n">
        <v>45744.65659722222</v>
      </c>
      <c r="C2475" s="1" t="n">
        <v>46060</v>
      </c>
      <c r="D2475" t="inlineStr">
        <is>
          <t>VÄSTERNORRLANDS LÄN</t>
        </is>
      </c>
      <c r="E2475" t="inlineStr">
        <is>
          <t>SOLLEFTEÅ</t>
        </is>
      </c>
      <c r="F2475" t="inlineStr">
        <is>
          <t>SCA</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46060</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1848-2024</t>
        </is>
      </c>
      <c r="B2477" s="1" t="n">
        <v>45307</v>
      </c>
      <c r="C2477" s="1" t="n">
        <v>46060</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53212-2024</t>
        </is>
      </c>
      <c r="B2478" s="1" t="n">
        <v>45612.63576388889</v>
      </c>
      <c r="C2478" s="1" t="n">
        <v>46060</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9124-2022</t>
        </is>
      </c>
      <c r="B2479" s="1" t="n">
        <v>44615.58287037037</v>
      </c>
      <c r="C2479" s="1" t="n">
        <v>46060</v>
      </c>
      <c r="D2479" t="inlineStr">
        <is>
          <t>VÄSTERNORRLANDS LÄN</t>
        </is>
      </c>
      <c r="E2479" t="inlineStr">
        <is>
          <t>SOLLEFTEÅ</t>
        </is>
      </c>
      <c r="G2479" t="n">
        <v>20.2</v>
      </c>
      <c r="H2479" t="n">
        <v>0</v>
      </c>
      <c r="I2479" t="n">
        <v>0</v>
      </c>
      <c r="J2479" t="n">
        <v>0</v>
      </c>
      <c r="K2479" t="n">
        <v>0</v>
      </c>
      <c r="L2479" t="n">
        <v>0</v>
      </c>
      <c r="M2479" t="n">
        <v>0</v>
      </c>
      <c r="N2479" t="n">
        <v>0</v>
      </c>
      <c r="O2479" t="n">
        <v>0</v>
      </c>
      <c r="P2479" t="n">
        <v>0</v>
      </c>
      <c r="Q2479" t="n">
        <v>0</v>
      </c>
      <c r="R2479" s="2" t="inlineStr"/>
    </row>
    <row r="2480" ht="15" customHeight="1">
      <c r="A2480" t="inlineStr">
        <is>
          <t>A 9253-2025</t>
        </is>
      </c>
      <c r="B2480" s="1" t="n">
        <v>45714.59430555555</v>
      </c>
      <c r="C2480" s="1" t="n">
        <v>46060</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21924-2021</t>
        </is>
      </c>
      <c r="B2481" s="1" t="n">
        <v>44322.91836805556</v>
      </c>
      <c r="C2481" s="1" t="n">
        <v>46060</v>
      </c>
      <c r="D2481" t="inlineStr">
        <is>
          <t>VÄSTERNORRLANDS LÄN</t>
        </is>
      </c>
      <c r="E2481" t="inlineStr">
        <is>
          <t>SOLLEFTEÅ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20799-2024</t>
        </is>
      </c>
      <c r="B2482" s="1" t="n">
        <v>45438</v>
      </c>
      <c r="C2482" s="1" t="n">
        <v>46060</v>
      </c>
      <c r="D2482" t="inlineStr">
        <is>
          <t>VÄSTERNORRLANDS LÄN</t>
        </is>
      </c>
      <c r="E2482" t="inlineStr">
        <is>
          <t>SOLLEFTEÅ</t>
        </is>
      </c>
      <c r="F2482" t="inlineStr">
        <is>
          <t>SCA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2583-2025</t>
        </is>
      </c>
      <c r="B2483" s="1" t="n">
        <v>45674.67803240741</v>
      </c>
      <c r="C2483" s="1" t="n">
        <v>46060</v>
      </c>
      <c r="D2483" t="inlineStr">
        <is>
          <t>VÄSTERNORRLANDS LÄN</t>
        </is>
      </c>
      <c r="E2483" t="inlineStr">
        <is>
          <t>SOLLEFTEÅ</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14036-2025</t>
        </is>
      </c>
      <c r="B2484" s="1" t="n">
        <v>45740.36508101852</v>
      </c>
      <c r="C2484" s="1" t="n">
        <v>46060</v>
      </c>
      <c r="D2484" t="inlineStr">
        <is>
          <t>VÄSTERNORRLANDS LÄN</t>
        </is>
      </c>
      <c r="E2484" t="inlineStr">
        <is>
          <t>SOLLEFTEÅ</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59564-2024</t>
        </is>
      </c>
      <c r="B2485" s="1" t="n">
        <v>45638.6375</v>
      </c>
      <c r="C2485" s="1" t="n">
        <v>46060</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49036-2023</t>
        </is>
      </c>
      <c r="B2486" s="1" t="n">
        <v>45209.95693287037</v>
      </c>
      <c r="C2486" s="1" t="n">
        <v>46060</v>
      </c>
      <c r="D2486" t="inlineStr">
        <is>
          <t>VÄSTERNORRLANDS LÄN</t>
        </is>
      </c>
      <c r="E2486" t="inlineStr">
        <is>
          <t>SOLLEFTEÅ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7009-2023</t>
        </is>
      </c>
      <c r="B2487" s="1" t="n">
        <v>44967.92959490741</v>
      </c>
      <c r="C2487" s="1" t="n">
        <v>46060</v>
      </c>
      <c r="D2487" t="inlineStr">
        <is>
          <t>VÄSTERNORRLANDS LÄN</t>
        </is>
      </c>
      <c r="E2487" t="inlineStr">
        <is>
          <t>SOLLEFTEÅ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6736-2025</t>
        </is>
      </c>
      <c r="B2488" s="1" t="n">
        <v>45700.59442129629</v>
      </c>
      <c r="C2488" s="1" t="n">
        <v>46060</v>
      </c>
      <c r="D2488" t="inlineStr">
        <is>
          <t>VÄSTERNORRLANDS LÄN</t>
        </is>
      </c>
      <c r="E2488" t="inlineStr">
        <is>
          <t>SOLLEFTEÅ</t>
        </is>
      </c>
      <c r="F2488" t="inlineStr">
        <is>
          <t>SCA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49156-2024</t>
        </is>
      </c>
      <c r="B2489" s="1" t="n">
        <v>45594.834375</v>
      </c>
      <c r="C2489" s="1" t="n">
        <v>46060</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17049-2022</t>
        </is>
      </c>
      <c r="B2490" s="1" t="n">
        <v>44676</v>
      </c>
      <c r="C2490" s="1" t="n">
        <v>46060</v>
      </c>
      <c r="D2490" t="inlineStr">
        <is>
          <t>VÄSTERNORRLANDS LÄN</t>
        </is>
      </c>
      <c r="E2490" t="inlineStr">
        <is>
          <t>SOLLEFTEÅ</t>
        </is>
      </c>
      <c r="F2490" t="inlineStr">
        <is>
          <t>SCA</t>
        </is>
      </c>
      <c r="G2490" t="n">
        <v>2.6</v>
      </c>
      <c r="H2490" t="n">
        <v>0</v>
      </c>
      <c r="I2490" t="n">
        <v>0</v>
      </c>
      <c r="J2490" t="n">
        <v>0</v>
      </c>
      <c r="K2490" t="n">
        <v>0</v>
      </c>
      <c r="L2490" t="n">
        <v>0</v>
      </c>
      <c r="M2490" t="n">
        <v>0</v>
      </c>
      <c r="N2490" t="n">
        <v>0</v>
      </c>
      <c r="O2490" t="n">
        <v>0</v>
      </c>
      <c r="P2490" t="n">
        <v>0</v>
      </c>
      <c r="Q2490" t="n">
        <v>0</v>
      </c>
      <c r="R2490" s="2" t="inlineStr"/>
      <c r="U2490">
        <f>HYPERLINK("https://klasma.github.io/Logging_2283/knärot/A 17049-2022 karta knärot.png", "A 17049-2022")</f>
        <v/>
      </c>
      <c r="V2490">
        <f>HYPERLINK("https://klasma.github.io/Logging_2283/klagomål/A 17049-2022 FSC-klagomål.docx", "A 17049-2022")</f>
        <v/>
      </c>
      <c r="W2490">
        <f>HYPERLINK("https://klasma.github.io/Logging_2283/klagomålsmail/A 17049-2022 FSC-klagomål mail.docx", "A 17049-2022")</f>
        <v/>
      </c>
      <c r="X2490">
        <f>HYPERLINK("https://klasma.github.io/Logging_2283/tillsyn/A 17049-2022 tillsynsbegäran.docx", "A 17049-2022")</f>
        <v/>
      </c>
      <c r="Y2490">
        <f>HYPERLINK("https://klasma.github.io/Logging_2283/tillsynsmail/A 17049-2022 tillsynsbegäran mail.docx", "A 17049-2022")</f>
        <v/>
      </c>
    </row>
    <row r="2491" ht="15" customHeight="1">
      <c r="A2491" t="inlineStr">
        <is>
          <t>A 2580-2025</t>
        </is>
      </c>
      <c r="B2491" s="1" t="n">
        <v>45674</v>
      </c>
      <c r="C2491" s="1" t="n">
        <v>46060</v>
      </c>
      <c r="D2491" t="inlineStr">
        <is>
          <t>VÄSTERNORRLANDS LÄN</t>
        </is>
      </c>
      <c r="E2491" t="inlineStr">
        <is>
          <t>SOLLEFTEÅ</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56134-2023</t>
        </is>
      </c>
      <c r="B2492" s="1" t="n">
        <v>45240</v>
      </c>
      <c r="C2492" s="1" t="n">
        <v>46060</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2345-2025</t>
        </is>
      </c>
      <c r="B2493" s="1" t="n">
        <v>45673.67747685185</v>
      </c>
      <c r="C2493" s="1" t="n">
        <v>46060</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6735-2025</t>
        </is>
      </c>
      <c r="B2494" s="1" t="n">
        <v>45700.59434027778</v>
      </c>
      <c r="C2494" s="1" t="n">
        <v>46060</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6737-2025</t>
        </is>
      </c>
      <c r="B2495" s="1" t="n">
        <v>45700.59450231482</v>
      </c>
      <c r="C2495" s="1" t="n">
        <v>46060</v>
      </c>
      <c r="D2495" t="inlineStr">
        <is>
          <t>VÄSTERNORRLANDS LÄN</t>
        </is>
      </c>
      <c r="E2495" t="inlineStr">
        <is>
          <t>SOLLEFTEÅ</t>
        </is>
      </c>
      <c r="F2495" t="inlineStr">
        <is>
          <t>SCA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31556-2024</t>
        </is>
      </c>
      <c r="B2496" s="1" t="n">
        <v>45505</v>
      </c>
      <c r="C2496" s="1" t="n">
        <v>46060</v>
      </c>
      <c r="D2496" t="inlineStr">
        <is>
          <t>VÄSTERNORRLANDS LÄN</t>
        </is>
      </c>
      <c r="E2496" t="inlineStr">
        <is>
          <t>SOLLEFTEÅ</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54978-2023</t>
        </is>
      </c>
      <c r="B2497" s="1" t="n">
        <v>45236.96600694444</v>
      </c>
      <c r="C2497" s="1" t="n">
        <v>46060</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55650-2023</t>
        </is>
      </c>
      <c r="B2498" s="1" t="n">
        <v>45238.96600694444</v>
      </c>
      <c r="C2498" s="1" t="n">
        <v>46060</v>
      </c>
      <c r="D2498" t="inlineStr">
        <is>
          <t>VÄSTERNORRLANDS LÄN</t>
        </is>
      </c>
      <c r="E2498" t="inlineStr">
        <is>
          <t>SOLLEFTEÅ</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9557-2024</t>
        </is>
      </c>
      <c r="B2499" s="1" t="n">
        <v>45360</v>
      </c>
      <c r="C2499" s="1" t="n">
        <v>46060</v>
      </c>
      <c r="D2499" t="inlineStr">
        <is>
          <t>VÄSTERNORRLANDS LÄN</t>
        </is>
      </c>
      <c r="E2499" t="inlineStr">
        <is>
          <t>SOLLEFTEÅ</t>
        </is>
      </c>
      <c r="F2499" t="inlineStr">
        <is>
          <t>SCA</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49665-2022</t>
        </is>
      </c>
      <c r="B2500" s="1" t="n">
        <v>44862</v>
      </c>
      <c r="C2500" s="1" t="n">
        <v>46060</v>
      </c>
      <c r="D2500" t="inlineStr">
        <is>
          <t>VÄSTERNORRLANDS LÄN</t>
        </is>
      </c>
      <c r="E2500" t="inlineStr">
        <is>
          <t>SOLLEFTEÅ</t>
        </is>
      </c>
      <c r="F2500" t="inlineStr">
        <is>
          <t>Holmen skog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56398-2024</t>
        </is>
      </c>
      <c r="B2501" s="1" t="n">
        <v>45625.35395833333</v>
      </c>
      <c r="C2501" s="1" t="n">
        <v>46060</v>
      </c>
      <c r="D2501" t="inlineStr">
        <is>
          <t>VÄSTERNORRLANDS LÄN</t>
        </is>
      </c>
      <c r="E2501" t="inlineStr">
        <is>
          <t>SOLLEFTEÅ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8712-2025</t>
        </is>
      </c>
      <c r="B2502" s="1" t="n">
        <v>45712.49872685185</v>
      </c>
      <c r="C2502" s="1" t="n">
        <v>46060</v>
      </c>
      <c r="D2502" t="inlineStr">
        <is>
          <t>VÄSTERNORRLANDS LÄN</t>
        </is>
      </c>
      <c r="E2502" t="inlineStr">
        <is>
          <t>SOLLEFTEÅ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3548-2022</t>
        </is>
      </c>
      <c r="B2503" s="1" t="n">
        <v>44585.93784722222</v>
      </c>
      <c r="C2503" s="1" t="n">
        <v>46060</v>
      </c>
      <c r="D2503" t="inlineStr">
        <is>
          <t>VÄSTERNORRLANDS LÄN</t>
        </is>
      </c>
      <c r="E2503" t="inlineStr">
        <is>
          <t>SOLLEFTEÅ</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7036-2025</t>
        </is>
      </c>
      <c r="B2504" s="1" t="n">
        <v>45701.63597222222</v>
      </c>
      <c r="C2504" s="1" t="n">
        <v>46060</v>
      </c>
      <c r="D2504" t="inlineStr">
        <is>
          <t>VÄSTERNORRLANDS LÄN</t>
        </is>
      </c>
      <c r="E2504" t="inlineStr">
        <is>
          <t>SOLLEFTEÅ</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34638-2024</t>
        </is>
      </c>
      <c r="B2505" s="1" t="n">
        <v>45526</v>
      </c>
      <c r="C2505" s="1" t="n">
        <v>46060</v>
      </c>
      <c r="D2505" t="inlineStr">
        <is>
          <t>VÄSTERNORRLANDS LÄN</t>
        </is>
      </c>
      <c r="E2505" t="inlineStr">
        <is>
          <t>SOLLEFTEÅ</t>
        </is>
      </c>
      <c r="F2505" t="inlineStr">
        <is>
          <t>SCA</t>
        </is>
      </c>
      <c r="G2505" t="n">
        <v>3.3</v>
      </c>
      <c r="H2505" t="n">
        <v>0</v>
      </c>
      <c r="I2505" t="n">
        <v>0</v>
      </c>
      <c r="J2505" t="n">
        <v>0</v>
      </c>
      <c r="K2505" t="n">
        <v>0</v>
      </c>
      <c r="L2505" t="n">
        <v>0</v>
      </c>
      <c r="M2505" t="n">
        <v>0</v>
      </c>
      <c r="N2505" t="n">
        <v>0</v>
      </c>
      <c r="O2505" t="n">
        <v>0</v>
      </c>
      <c r="P2505" t="n">
        <v>0</v>
      </c>
      <c r="Q2505" t="n">
        <v>0</v>
      </c>
      <c r="R2505" s="2" t="inlineStr"/>
      <c r="U2505">
        <f>HYPERLINK("https://klasma.github.io/Logging_2283/knärot/A 34638-2024 karta knärot.png", "A 34638-2024")</f>
        <v/>
      </c>
      <c r="V2505">
        <f>HYPERLINK("https://klasma.github.io/Logging_2283/klagomål/A 34638-2024 FSC-klagomål.docx", "A 34638-2024")</f>
        <v/>
      </c>
      <c r="W2505">
        <f>HYPERLINK("https://klasma.github.io/Logging_2283/klagomålsmail/A 34638-2024 FSC-klagomål mail.docx", "A 34638-2024")</f>
        <v/>
      </c>
      <c r="X2505">
        <f>HYPERLINK("https://klasma.github.io/Logging_2283/tillsyn/A 34638-2024 tillsynsbegäran.docx", "A 34638-2024")</f>
        <v/>
      </c>
      <c r="Y2505">
        <f>HYPERLINK("https://klasma.github.io/Logging_2283/tillsynsmail/A 34638-2024 tillsynsbegäran mail.docx", "A 34638-2024")</f>
        <v/>
      </c>
    </row>
    <row r="2506" ht="15" customHeight="1">
      <c r="A2506" t="inlineStr">
        <is>
          <t>A 29337-2023</t>
        </is>
      </c>
      <c r="B2506" s="1" t="n">
        <v>45105</v>
      </c>
      <c r="C2506" s="1" t="n">
        <v>46060</v>
      </c>
      <c r="D2506" t="inlineStr">
        <is>
          <t>VÄSTERNORRLANDS LÄN</t>
        </is>
      </c>
      <c r="E2506" t="inlineStr">
        <is>
          <t>SOLLEFTEÅ</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17258-2025</t>
        </is>
      </c>
      <c r="B2507" s="1" t="n">
        <v>45756.53278935186</v>
      </c>
      <c r="C2507" s="1" t="n">
        <v>46060</v>
      </c>
      <c r="D2507" t="inlineStr">
        <is>
          <t>VÄSTERNORRLANDS LÄN</t>
        </is>
      </c>
      <c r="E2507" t="inlineStr">
        <is>
          <t>SOLLEFTEÅ</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19051-2022</t>
        </is>
      </c>
      <c r="B2508" s="1" t="n">
        <v>44691.41167824074</v>
      </c>
      <c r="C2508" s="1" t="n">
        <v>46060</v>
      </c>
      <c r="D2508" t="inlineStr">
        <is>
          <t>VÄSTERNORRLANDS LÄN</t>
        </is>
      </c>
      <c r="E2508" t="inlineStr">
        <is>
          <t>SOLLEFTEÅ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11539-2024</t>
        </is>
      </c>
      <c r="B2509" s="1" t="n">
        <v>45372.9560300926</v>
      </c>
      <c r="C2509" s="1" t="n">
        <v>46060</v>
      </c>
      <c r="D2509" t="inlineStr">
        <is>
          <t>VÄSTERNORRLANDS LÄN</t>
        </is>
      </c>
      <c r="E2509" t="inlineStr">
        <is>
          <t>SOLLEFTEÅ</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22668-2024</t>
        </is>
      </c>
      <c r="B2510" s="1" t="n">
        <v>45447.94453703704</v>
      </c>
      <c r="C2510" s="1" t="n">
        <v>46060</v>
      </c>
      <c r="D2510" t="inlineStr">
        <is>
          <t>VÄSTERNORRLANDS LÄN</t>
        </is>
      </c>
      <c r="E2510" t="inlineStr">
        <is>
          <t>SOLLEFTEÅ</t>
        </is>
      </c>
      <c r="F2510" t="inlineStr">
        <is>
          <t>SCA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49673-2024</t>
        </is>
      </c>
      <c r="B2511" s="1" t="n">
        <v>45596.65657407408</v>
      </c>
      <c r="C2511" s="1" t="n">
        <v>46060</v>
      </c>
      <c r="D2511" t="inlineStr">
        <is>
          <t>VÄSTERNORRLANDS LÄN</t>
        </is>
      </c>
      <c r="E2511" t="inlineStr">
        <is>
          <t>SOLLEFTEÅ</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58463-2024</t>
        </is>
      </c>
      <c r="B2512" s="1" t="n">
        <v>45635.36650462963</v>
      </c>
      <c r="C2512" s="1" t="n">
        <v>46060</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13008-2023</t>
        </is>
      </c>
      <c r="B2513" s="1" t="n">
        <v>45002</v>
      </c>
      <c r="C2513" s="1" t="n">
        <v>46060</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15859-2024</t>
        </is>
      </c>
      <c r="B2514" s="1" t="n">
        <v>45404.99732638889</v>
      </c>
      <c r="C2514" s="1" t="n">
        <v>46060</v>
      </c>
      <c r="D2514" t="inlineStr">
        <is>
          <t>VÄSTERNORRLANDS LÄN</t>
        </is>
      </c>
      <c r="E2514" t="inlineStr">
        <is>
          <t>SOLLEFTEÅ</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42228-2021</t>
        </is>
      </c>
      <c r="B2515" s="1" t="n">
        <v>44426</v>
      </c>
      <c r="C2515" s="1" t="n">
        <v>46060</v>
      </c>
      <c r="D2515" t="inlineStr">
        <is>
          <t>VÄSTERNORRLANDS LÄN</t>
        </is>
      </c>
      <c r="E2515" t="inlineStr">
        <is>
          <t>SOLLEFTEÅ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51440-2021</t>
        </is>
      </c>
      <c r="B2516" s="1" t="n">
        <v>44461</v>
      </c>
      <c r="C2516" s="1" t="n">
        <v>46060</v>
      </c>
      <c r="D2516" t="inlineStr">
        <is>
          <t>VÄSTERNORRLANDS LÄN</t>
        </is>
      </c>
      <c r="E2516" t="inlineStr">
        <is>
          <t>SOLLEFTEÅ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17481-2025</t>
        </is>
      </c>
      <c r="B2517" s="1" t="n">
        <v>45757.48979166667</v>
      </c>
      <c r="C2517" s="1" t="n">
        <v>46060</v>
      </c>
      <c r="D2517" t="inlineStr">
        <is>
          <t>VÄSTERNORRLANDS LÄN</t>
        </is>
      </c>
      <c r="E2517" t="inlineStr">
        <is>
          <t>SOLLEFTEÅ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21095-2024</t>
        </is>
      </c>
      <c r="B2518" s="1" t="n">
        <v>45439.95034722222</v>
      </c>
      <c r="C2518" s="1" t="n">
        <v>46060</v>
      </c>
      <c r="D2518" t="inlineStr">
        <is>
          <t>VÄSTERNORRLANDS LÄN</t>
        </is>
      </c>
      <c r="E2518" t="inlineStr">
        <is>
          <t>SOLLEFTEÅ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34328-2023</t>
        </is>
      </c>
      <c r="B2519" s="1" t="n">
        <v>45138.9499074074</v>
      </c>
      <c r="C2519" s="1" t="n">
        <v>46060</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34330-2023</t>
        </is>
      </c>
      <c r="B2520" s="1" t="n">
        <v>45138</v>
      </c>
      <c r="C2520" s="1" t="n">
        <v>46060</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3234-2024</t>
        </is>
      </c>
      <c r="B2521" s="1" t="n">
        <v>45316.94708333333</v>
      </c>
      <c r="C2521" s="1" t="n">
        <v>46060</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46060</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3252-2024</t>
        </is>
      </c>
      <c r="B2523" s="1" t="n">
        <v>45316</v>
      </c>
      <c r="C2523" s="1" t="n">
        <v>46060</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21589-2021</t>
        </is>
      </c>
      <c r="B2524" s="1" t="n">
        <v>44321.66534722222</v>
      </c>
      <c r="C2524" s="1" t="n">
        <v>46060</v>
      </c>
      <c r="D2524" t="inlineStr">
        <is>
          <t>VÄSTERNORRLANDS LÄN</t>
        </is>
      </c>
      <c r="E2524" t="inlineStr">
        <is>
          <t>SOLLEFTEÅ</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50007-2024</t>
        </is>
      </c>
      <c r="B2525" s="1" t="n">
        <v>45598.57574074074</v>
      </c>
      <c r="C2525" s="1" t="n">
        <v>46060</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59473-2024</t>
        </is>
      </c>
      <c r="B2526" s="1" t="n">
        <v>45638.50436342593</v>
      </c>
      <c r="C2526" s="1" t="n">
        <v>46060</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3750-2025</t>
        </is>
      </c>
      <c r="B2527" s="1" t="n">
        <v>45681.580625</v>
      </c>
      <c r="C2527" s="1" t="n">
        <v>46060</v>
      </c>
      <c r="D2527" t="inlineStr">
        <is>
          <t>VÄSTERNORRLANDS LÄN</t>
        </is>
      </c>
      <c r="E2527" t="inlineStr">
        <is>
          <t>SOLLEFTEÅ</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34388-2024</t>
        </is>
      </c>
      <c r="B2528" s="1" t="n">
        <v>45525</v>
      </c>
      <c r="C2528" s="1" t="n">
        <v>46060</v>
      </c>
      <c r="D2528" t="inlineStr">
        <is>
          <t>VÄSTERNORRLANDS LÄN</t>
        </is>
      </c>
      <c r="E2528" t="inlineStr">
        <is>
          <t>SOLLEFTEÅ</t>
        </is>
      </c>
      <c r="F2528" t="inlineStr">
        <is>
          <t>SCA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55338-2023</t>
        </is>
      </c>
      <c r="B2529" s="1" t="n">
        <v>45237.97476851852</v>
      </c>
      <c r="C2529" s="1" t="n">
        <v>46060</v>
      </c>
      <c r="D2529" t="inlineStr">
        <is>
          <t>VÄSTERNORRLANDS LÄN</t>
        </is>
      </c>
      <c r="E2529" t="inlineStr">
        <is>
          <t>SOLLEFTEÅ</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17889-2025</t>
        </is>
      </c>
      <c r="B2530" s="1" t="n">
        <v>45758.67746527777</v>
      </c>
      <c r="C2530" s="1" t="n">
        <v>46060</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32754-2024</t>
        </is>
      </c>
      <c r="B2531" s="1" t="n">
        <v>45516.46685185185</v>
      </c>
      <c r="C2531" s="1" t="n">
        <v>46060</v>
      </c>
      <c r="D2531" t="inlineStr">
        <is>
          <t>VÄSTERNORRLANDS LÄN</t>
        </is>
      </c>
      <c r="E2531" t="inlineStr">
        <is>
          <t>SOLLEFTEÅ</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50615-2023</t>
        </is>
      </c>
      <c r="B2532" s="1" t="n">
        <v>45217</v>
      </c>
      <c r="C2532" s="1" t="n">
        <v>46060</v>
      </c>
      <c r="D2532" t="inlineStr">
        <is>
          <t>VÄSTERNORRLANDS LÄN</t>
        </is>
      </c>
      <c r="E2532" t="inlineStr">
        <is>
          <t>SOLLEFTEÅ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6733-2025</t>
        </is>
      </c>
      <c r="B2533" s="1" t="n">
        <v>45700.59425925926</v>
      </c>
      <c r="C2533" s="1" t="n">
        <v>46060</v>
      </c>
      <c r="D2533" t="inlineStr">
        <is>
          <t>VÄSTERNORRLANDS LÄN</t>
        </is>
      </c>
      <c r="E2533" t="inlineStr">
        <is>
          <t>SOLLEFTEÅ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4857-2024</t>
        </is>
      </c>
      <c r="B2534" s="1" t="n">
        <v>45329</v>
      </c>
      <c r="C2534" s="1" t="n">
        <v>46060</v>
      </c>
      <c r="D2534" t="inlineStr">
        <is>
          <t>VÄSTERNORRLANDS LÄN</t>
        </is>
      </c>
      <c r="E2534" t="inlineStr">
        <is>
          <t>SOLLEFTEÅ</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59583-2023</t>
        </is>
      </c>
      <c r="B2535" s="1" t="n">
        <v>45254.60587962963</v>
      </c>
      <c r="C2535" s="1" t="n">
        <v>46060</v>
      </c>
      <c r="D2535" t="inlineStr">
        <is>
          <t>VÄSTERNORRLANDS LÄN</t>
        </is>
      </c>
      <c r="E2535" t="inlineStr">
        <is>
          <t>SOLLEFTEÅ</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21852-2024</t>
        </is>
      </c>
      <c r="B2536" s="1" t="n">
        <v>45442.9628125</v>
      </c>
      <c r="C2536" s="1" t="n">
        <v>46060</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22672-2024</t>
        </is>
      </c>
      <c r="B2537" s="1" t="n">
        <v>45447.94486111111</v>
      </c>
      <c r="C2537" s="1" t="n">
        <v>46060</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31965-2022</t>
        </is>
      </c>
      <c r="B2538" s="1" t="n">
        <v>44777.95460648148</v>
      </c>
      <c r="C2538" s="1" t="n">
        <v>46060</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28366-2023</t>
        </is>
      </c>
      <c r="B2539" s="1" t="n">
        <v>45099</v>
      </c>
      <c r="C2539" s="1" t="n">
        <v>46060</v>
      </c>
      <c r="D2539" t="inlineStr">
        <is>
          <t>VÄSTERNORRLANDS LÄN</t>
        </is>
      </c>
      <c r="E2539" t="inlineStr">
        <is>
          <t>SOLLEFTEÅ</t>
        </is>
      </c>
      <c r="F2539" t="inlineStr">
        <is>
          <t>SCA</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22666-2024</t>
        </is>
      </c>
      <c r="B2540" s="1" t="n">
        <v>45447</v>
      </c>
      <c r="C2540" s="1" t="n">
        <v>46060</v>
      </c>
      <c r="D2540" t="inlineStr">
        <is>
          <t>VÄSTERNORRLANDS LÄN</t>
        </is>
      </c>
      <c r="E2540" t="inlineStr">
        <is>
          <t>SOLLEFTEÅ</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22675-2024</t>
        </is>
      </c>
      <c r="B2541" s="1" t="n">
        <v>45447.94508101852</v>
      </c>
      <c r="C2541" s="1" t="n">
        <v>46060</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57273-2022</t>
        </is>
      </c>
      <c r="B2542" s="1" t="n">
        <v>44895.9487962963</v>
      </c>
      <c r="C2542" s="1" t="n">
        <v>46060</v>
      </c>
      <c r="D2542" t="inlineStr">
        <is>
          <t>VÄSTERNORRLANDS LÄN</t>
        </is>
      </c>
      <c r="E2542" t="inlineStr">
        <is>
          <t>SOLLEFTEÅ</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54806-2024</t>
        </is>
      </c>
      <c r="B2543" s="1" t="n">
        <v>45618.51133101852</v>
      </c>
      <c r="C2543" s="1" t="n">
        <v>46060</v>
      </c>
      <c r="D2543" t="inlineStr">
        <is>
          <t>VÄSTERNORRLANDS LÄN</t>
        </is>
      </c>
      <c r="E2543" t="inlineStr">
        <is>
          <t>SOLLEFTEÅ</t>
        </is>
      </c>
      <c r="F2543" t="inlineStr">
        <is>
          <t>SCA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38053-2024</t>
        </is>
      </c>
      <c r="B2544" s="1" t="n">
        <v>45544.71903935185</v>
      </c>
      <c r="C2544" s="1" t="n">
        <v>46060</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43487-2023</t>
        </is>
      </c>
      <c r="B2545" s="1" t="n">
        <v>45181</v>
      </c>
      <c r="C2545" s="1" t="n">
        <v>46060</v>
      </c>
      <c r="D2545" t="inlineStr">
        <is>
          <t>VÄSTERNORRLANDS LÄN</t>
        </is>
      </c>
      <c r="E2545" t="inlineStr">
        <is>
          <t>SOLLEFTEÅ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20437-2025</t>
        </is>
      </c>
      <c r="B2546" s="1" t="n">
        <v>45775</v>
      </c>
      <c r="C2546" s="1" t="n">
        <v>46060</v>
      </c>
      <c r="D2546" t="inlineStr">
        <is>
          <t>VÄSTERNORRLANDS LÄN</t>
        </is>
      </c>
      <c r="E2546" t="inlineStr">
        <is>
          <t>SOLLEFTEÅ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12644-2025</t>
        </is>
      </c>
      <c r="B2547" s="1" t="n">
        <v>45733.38726851852</v>
      </c>
      <c r="C2547" s="1" t="n">
        <v>46060</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50716-2023</t>
        </is>
      </c>
      <c r="B2548" s="1" t="n">
        <v>45210</v>
      </c>
      <c r="C2548" s="1" t="n">
        <v>46060</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44762-2022</t>
        </is>
      </c>
      <c r="B2549" s="1" t="n">
        <v>44840</v>
      </c>
      <c r="C2549" s="1" t="n">
        <v>46060</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61485-2024</t>
        </is>
      </c>
      <c r="B2550" s="1" t="n">
        <v>45646.53175925926</v>
      </c>
      <c r="C2550" s="1" t="n">
        <v>46060</v>
      </c>
      <c r="D2550" t="inlineStr">
        <is>
          <t>VÄSTERNORRLANDS LÄN</t>
        </is>
      </c>
      <c r="E2550" t="inlineStr">
        <is>
          <t>SOLLEFTEÅ</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40098-2023</t>
        </is>
      </c>
      <c r="B2551" s="1" t="n">
        <v>45168.93726851852</v>
      </c>
      <c r="C2551" s="1" t="n">
        <v>46060</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20335-2025</t>
        </is>
      </c>
      <c r="B2552" s="1" t="n">
        <v>45775.36510416667</v>
      </c>
      <c r="C2552" s="1" t="n">
        <v>46060</v>
      </c>
      <c r="D2552" t="inlineStr">
        <is>
          <t>VÄSTERNORRLANDS LÄN</t>
        </is>
      </c>
      <c r="E2552" t="inlineStr">
        <is>
          <t>SOLLEFTEÅ</t>
        </is>
      </c>
      <c r="F2552" t="inlineStr">
        <is>
          <t>SCA</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14889-2025</t>
        </is>
      </c>
      <c r="B2553" s="1" t="n">
        <v>45743.46898148148</v>
      </c>
      <c r="C2553" s="1" t="n">
        <v>46060</v>
      </c>
      <c r="D2553" t="inlineStr">
        <is>
          <t>VÄSTERNORRLANDS LÄN</t>
        </is>
      </c>
      <c r="E2553" t="inlineStr">
        <is>
          <t>SOLLEFTEÅ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20628-2023</t>
        </is>
      </c>
      <c r="B2554" s="1" t="n">
        <v>45057.94373842593</v>
      </c>
      <c r="C2554" s="1" t="n">
        <v>46060</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51006-2022</t>
        </is>
      </c>
      <c r="B2555" s="1" t="n">
        <v>44867</v>
      </c>
      <c r="C2555" s="1" t="n">
        <v>46060</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55440-2024</t>
        </is>
      </c>
      <c r="B2556" s="1" t="n">
        <v>45622.40679398148</v>
      </c>
      <c r="C2556" s="1" t="n">
        <v>46060</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60861-2023</t>
        </is>
      </c>
      <c r="B2557" s="1" t="n">
        <v>45260</v>
      </c>
      <c r="C2557" s="1" t="n">
        <v>46060</v>
      </c>
      <c r="D2557" t="inlineStr">
        <is>
          <t>VÄSTERNORRLANDS LÄN</t>
        </is>
      </c>
      <c r="E2557" t="inlineStr">
        <is>
          <t>SOLLEFTEÅ</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5108-2022</t>
        </is>
      </c>
      <c r="B2558" s="1" t="n">
        <v>44593.92135416667</v>
      </c>
      <c r="C2558" s="1" t="n">
        <v>46060</v>
      </c>
      <c r="D2558" t="inlineStr">
        <is>
          <t>VÄSTERNORRLANDS LÄN</t>
        </is>
      </c>
      <c r="E2558" t="inlineStr">
        <is>
          <t>SOLLEFTEÅ</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5134-2022</t>
        </is>
      </c>
      <c r="B2559" s="1" t="n">
        <v>44594</v>
      </c>
      <c r="C2559" s="1" t="n">
        <v>46060</v>
      </c>
      <c r="D2559" t="inlineStr">
        <is>
          <t>VÄSTERNORRLANDS LÄN</t>
        </is>
      </c>
      <c r="E2559" t="inlineStr">
        <is>
          <t>SOLLEFTEÅ</t>
        </is>
      </c>
      <c r="G2559" t="n">
        <v>20.4</v>
      </c>
      <c r="H2559" t="n">
        <v>0</v>
      </c>
      <c r="I2559" t="n">
        <v>0</v>
      </c>
      <c r="J2559" t="n">
        <v>0</v>
      </c>
      <c r="K2559" t="n">
        <v>0</v>
      </c>
      <c r="L2559" t="n">
        <v>0</v>
      </c>
      <c r="M2559" t="n">
        <v>0</v>
      </c>
      <c r="N2559" t="n">
        <v>0</v>
      </c>
      <c r="O2559" t="n">
        <v>0</v>
      </c>
      <c r="P2559" t="n">
        <v>0</v>
      </c>
      <c r="Q2559" t="n">
        <v>0</v>
      </c>
      <c r="R2559" s="2" t="inlineStr"/>
    </row>
    <row r="2560" ht="15" customHeight="1">
      <c r="A2560" t="inlineStr">
        <is>
          <t>A 55872-2024</t>
        </is>
      </c>
      <c r="B2560" s="1" t="n">
        <v>45623</v>
      </c>
      <c r="C2560" s="1" t="n">
        <v>46060</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35905-2024</t>
        </is>
      </c>
      <c r="B2561" s="1" t="n">
        <v>45533.40674768519</v>
      </c>
      <c r="C2561" s="1" t="n">
        <v>46060</v>
      </c>
      <c r="D2561" t="inlineStr">
        <is>
          <t>VÄSTERNORRLANDS LÄN</t>
        </is>
      </c>
      <c r="E2561" t="inlineStr">
        <is>
          <t>SOLLEFTEÅ</t>
        </is>
      </c>
      <c r="F2561" t="inlineStr">
        <is>
          <t>SCA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62750-2022</t>
        </is>
      </c>
      <c r="B2562" s="1" t="n">
        <v>44925.93922453704</v>
      </c>
      <c r="C2562" s="1" t="n">
        <v>46060</v>
      </c>
      <c r="D2562" t="inlineStr">
        <is>
          <t>VÄSTERNORRLANDS LÄN</t>
        </is>
      </c>
      <c r="E2562" t="inlineStr">
        <is>
          <t>SOLLEFTEÅ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12627-2025</t>
        </is>
      </c>
      <c r="B2563" s="1" t="n">
        <v>45733.36728009259</v>
      </c>
      <c r="C2563" s="1" t="n">
        <v>46060</v>
      </c>
      <c r="D2563" t="inlineStr">
        <is>
          <t>VÄSTERNORRLANDS LÄN</t>
        </is>
      </c>
      <c r="E2563" t="inlineStr">
        <is>
          <t>SOLLEFTEÅ</t>
        </is>
      </c>
      <c r="G2563" t="n">
        <v>12.9</v>
      </c>
      <c r="H2563" t="n">
        <v>0</v>
      </c>
      <c r="I2563" t="n">
        <v>0</v>
      </c>
      <c r="J2563" t="n">
        <v>0</v>
      </c>
      <c r="K2563" t="n">
        <v>0</v>
      </c>
      <c r="L2563" t="n">
        <v>0</v>
      </c>
      <c r="M2563" t="n">
        <v>0</v>
      </c>
      <c r="N2563" t="n">
        <v>0</v>
      </c>
      <c r="O2563" t="n">
        <v>0</v>
      </c>
      <c r="P2563" t="n">
        <v>0</v>
      </c>
      <c r="Q2563" t="n">
        <v>0</v>
      </c>
      <c r="R2563" s="2" t="inlineStr"/>
    </row>
    <row r="2564" ht="15" customHeight="1">
      <c r="A2564" t="inlineStr">
        <is>
          <t>A 62827-2023</t>
        </is>
      </c>
      <c r="B2564" s="1" t="n">
        <v>45271.92690972222</v>
      </c>
      <c r="C2564" s="1" t="n">
        <v>46060</v>
      </c>
      <c r="D2564" t="inlineStr">
        <is>
          <t>VÄSTERNORRLANDS LÄN</t>
        </is>
      </c>
      <c r="E2564" t="inlineStr">
        <is>
          <t>SOLLEFTEÅ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31646-2022</t>
        </is>
      </c>
      <c r="B2565" s="1" t="n">
        <v>44775.94166666667</v>
      </c>
      <c r="C2565" s="1" t="n">
        <v>46060</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5548-2025</t>
        </is>
      </c>
      <c r="B2566" s="1" t="n">
        <v>45693.46940972222</v>
      </c>
      <c r="C2566" s="1" t="n">
        <v>46060</v>
      </c>
      <c r="D2566" t="inlineStr">
        <is>
          <t>VÄSTERNORRLANDS LÄN</t>
        </is>
      </c>
      <c r="E2566" t="inlineStr">
        <is>
          <t>SOLLEFTEÅ</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44410-2023</t>
        </is>
      </c>
      <c r="B2567" s="1" t="n">
        <v>45188.94677083333</v>
      </c>
      <c r="C2567" s="1" t="n">
        <v>46060</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13138-2024</t>
        </is>
      </c>
      <c r="B2568" s="1" t="n">
        <v>45386</v>
      </c>
      <c r="C2568" s="1" t="n">
        <v>46060</v>
      </c>
      <c r="D2568" t="inlineStr">
        <is>
          <t>VÄSTERNORRLANDS LÄN</t>
        </is>
      </c>
      <c r="E2568" t="inlineStr">
        <is>
          <t>SOLLEFTEÅ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62507-2022</t>
        </is>
      </c>
      <c r="B2569" s="1" t="n">
        <v>44924</v>
      </c>
      <c r="C2569" s="1" t="n">
        <v>46060</v>
      </c>
      <c r="D2569" t="inlineStr">
        <is>
          <t>VÄSTERNORRLANDS LÄN</t>
        </is>
      </c>
      <c r="E2569" t="inlineStr">
        <is>
          <t>SOLLEFTEÅ</t>
        </is>
      </c>
      <c r="F2569" t="inlineStr">
        <is>
          <t>Holmen skog AB</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30822-2023</t>
        </is>
      </c>
      <c r="B2570" s="1" t="n">
        <v>45112.94289351852</v>
      </c>
      <c r="C2570" s="1" t="n">
        <v>46060</v>
      </c>
      <c r="D2570" t="inlineStr">
        <is>
          <t>VÄSTERNORRLANDS LÄN</t>
        </is>
      </c>
      <c r="E2570" t="inlineStr">
        <is>
          <t>SOLLEFTEÅ</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8895-2025</t>
        </is>
      </c>
      <c r="B2571" s="1" t="n">
        <v>45713.40670138889</v>
      </c>
      <c r="C2571" s="1" t="n">
        <v>46060</v>
      </c>
      <c r="D2571" t="inlineStr">
        <is>
          <t>VÄSTERNORRLANDS LÄN</t>
        </is>
      </c>
      <c r="E2571" t="inlineStr">
        <is>
          <t>SOLLEFTEÅ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8914-2025</t>
        </is>
      </c>
      <c r="B2572" s="1" t="n">
        <v>45713.42743055556</v>
      </c>
      <c r="C2572" s="1" t="n">
        <v>46060</v>
      </c>
      <c r="D2572" t="inlineStr">
        <is>
          <t>VÄSTERNORRLANDS LÄN</t>
        </is>
      </c>
      <c r="E2572" t="inlineStr">
        <is>
          <t>SOLLEFTEÅ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57922-2024</t>
        </is>
      </c>
      <c r="B2573" s="1" t="n">
        <v>45631.5107175926</v>
      </c>
      <c r="C2573" s="1" t="n">
        <v>46060</v>
      </c>
      <c r="D2573" t="inlineStr">
        <is>
          <t>VÄSTERNORRLANDS LÄN</t>
        </is>
      </c>
      <c r="E2573" t="inlineStr">
        <is>
          <t>SOLLEFTEÅ</t>
        </is>
      </c>
      <c r="F2573" t="inlineStr">
        <is>
          <t>SCA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4131-2025</t>
        </is>
      </c>
      <c r="B2574" s="1" t="n">
        <v>45685.34508101852</v>
      </c>
      <c r="C2574" s="1" t="n">
        <v>46060</v>
      </c>
      <c r="D2574" t="inlineStr">
        <is>
          <t>VÄSTERNORRLANDS LÄN</t>
        </is>
      </c>
      <c r="E2574" t="inlineStr">
        <is>
          <t>SOLLEFTEÅ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3368-2025</t>
        </is>
      </c>
      <c r="B2575" s="1" t="n">
        <v>45679</v>
      </c>
      <c r="C2575" s="1" t="n">
        <v>46060</v>
      </c>
      <c r="D2575" t="inlineStr">
        <is>
          <t>VÄSTERNORRLANDS LÄN</t>
        </is>
      </c>
      <c r="E2575" t="inlineStr">
        <is>
          <t>SOLLEFTEÅ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20223-2024</t>
        </is>
      </c>
      <c r="B2576" s="1" t="n">
        <v>45434</v>
      </c>
      <c r="C2576" s="1" t="n">
        <v>46060</v>
      </c>
      <c r="D2576" t="inlineStr">
        <is>
          <t>VÄSTERNORRLANDS LÄN</t>
        </is>
      </c>
      <c r="E2576" t="inlineStr">
        <is>
          <t>SOLLEFTEÅ</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20516-2024</t>
        </is>
      </c>
      <c r="B2577" s="1" t="n">
        <v>45435</v>
      </c>
      <c r="C2577" s="1" t="n">
        <v>46060</v>
      </c>
      <c r="D2577" t="inlineStr">
        <is>
          <t>VÄSTERNORRLANDS LÄN</t>
        </is>
      </c>
      <c r="E2577" t="inlineStr">
        <is>
          <t>SOLLEFTEÅ</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57492-2024</t>
        </is>
      </c>
      <c r="B2578" s="1" t="n">
        <v>45630.36827546296</v>
      </c>
      <c r="C2578" s="1" t="n">
        <v>46060</v>
      </c>
      <c r="D2578" t="inlineStr">
        <is>
          <t>VÄSTERNORRLANDS LÄN</t>
        </is>
      </c>
      <c r="E2578" t="inlineStr">
        <is>
          <t>SOLLEFTEÅ</t>
        </is>
      </c>
      <c r="F2578" t="inlineStr">
        <is>
          <t>Holmen skog AB</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945-2025</t>
        </is>
      </c>
      <c r="B2579" s="1" t="n">
        <v>45666.34412037037</v>
      </c>
      <c r="C2579" s="1" t="n">
        <v>46060</v>
      </c>
      <c r="D2579" t="inlineStr">
        <is>
          <t>VÄSTERNORRLANDS LÄN</t>
        </is>
      </c>
      <c r="E2579" t="inlineStr">
        <is>
          <t>SOLLEFTEÅ</t>
        </is>
      </c>
      <c r="F2579" t="inlineStr">
        <is>
          <t>SCA</t>
        </is>
      </c>
      <c r="G2579" t="n">
        <v>36.6</v>
      </c>
      <c r="H2579" t="n">
        <v>0</v>
      </c>
      <c r="I2579" t="n">
        <v>0</v>
      </c>
      <c r="J2579" t="n">
        <v>0</v>
      </c>
      <c r="K2579" t="n">
        <v>0</v>
      </c>
      <c r="L2579" t="n">
        <v>0</v>
      </c>
      <c r="M2579" t="n">
        <v>0</v>
      </c>
      <c r="N2579" t="n">
        <v>0</v>
      </c>
      <c r="O2579" t="n">
        <v>0</v>
      </c>
      <c r="P2579" t="n">
        <v>0</v>
      </c>
      <c r="Q2579" t="n">
        <v>0</v>
      </c>
      <c r="R2579" s="2" t="inlineStr"/>
    </row>
    <row r="2580" ht="15" customHeight="1">
      <c r="A2580" t="inlineStr">
        <is>
          <t>A 18696-2025</t>
        </is>
      </c>
      <c r="B2580" s="1" t="n">
        <v>45763.61578703704</v>
      </c>
      <c r="C2580" s="1" t="n">
        <v>46060</v>
      </c>
      <c r="D2580" t="inlineStr">
        <is>
          <t>VÄSTERNORRLANDS LÄN</t>
        </is>
      </c>
      <c r="E2580" t="inlineStr">
        <is>
          <t>SOLLEFTEÅ</t>
        </is>
      </c>
      <c r="F2580" t="inlineStr">
        <is>
          <t>SCA</t>
        </is>
      </c>
      <c r="G2580" t="n">
        <v>11.4</v>
      </c>
      <c r="H2580" t="n">
        <v>0</v>
      </c>
      <c r="I2580" t="n">
        <v>0</v>
      </c>
      <c r="J2580" t="n">
        <v>0</v>
      </c>
      <c r="K2580" t="n">
        <v>0</v>
      </c>
      <c r="L2580" t="n">
        <v>0</v>
      </c>
      <c r="M2580" t="n">
        <v>0</v>
      </c>
      <c r="N2580" t="n">
        <v>0</v>
      </c>
      <c r="O2580" t="n">
        <v>0</v>
      </c>
      <c r="P2580" t="n">
        <v>0</v>
      </c>
      <c r="Q2580" t="n">
        <v>0</v>
      </c>
      <c r="R2580" s="2" t="inlineStr"/>
    </row>
    <row r="2581" ht="15" customHeight="1">
      <c r="A2581" t="inlineStr">
        <is>
          <t>A 21109-2025</t>
        </is>
      </c>
      <c r="B2581" s="1" t="n">
        <v>45777.67744212963</v>
      </c>
      <c r="C2581" s="1" t="n">
        <v>46060</v>
      </c>
      <c r="D2581" t="inlineStr">
        <is>
          <t>VÄSTERNORRLANDS LÄN</t>
        </is>
      </c>
      <c r="E2581" t="inlineStr">
        <is>
          <t>SOLLEFTEÅ</t>
        </is>
      </c>
      <c r="F2581" t="inlineStr">
        <is>
          <t>SCA</t>
        </is>
      </c>
      <c r="G2581" t="n">
        <v>38.2</v>
      </c>
      <c r="H2581" t="n">
        <v>0</v>
      </c>
      <c r="I2581" t="n">
        <v>0</v>
      </c>
      <c r="J2581" t="n">
        <v>0</v>
      </c>
      <c r="K2581" t="n">
        <v>0</v>
      </c>
      <c r="L2581" t="n">
        <v>0</v>
      </c>
      <c r="M2581" t="n">
        <v>0</v>
      </c>
      <c r="N2581" t="n">
        <v>0</v>
      </c>
      <c r="O2581" t="n">
        <v>0</v>
      </c>
      <c r="P2581" t="n">
        <v>0</v>
      </c>
      <c r="Q2581" t="n">
        <v>0</v>
      </c>
      <c r="R2581" s="2" t="inlineStr"/>
    </row>
    <row r="2582" ht="15" customHeight="1">
      <c r="A2582" t="inlineStr">
        <is>
          <t>A 20867-2025</t>
        </is>
      </c>
      <c r="B2582" s="1" t="n">
        <v>45777.34471064815</v>
      </c>
      <c r="C2582" s="1" t="n">
        <v>46060</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21088-2025</t>
        </is>
      </c>
      <c r="B2583" s="1" t="n">
        <v>45777.61498842593</v>
      </c>
      <c r="C2583" s="1" t="n">
        <v>46060</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20638-2025</t>
        </is>
      </c>
      <c r="B2584" s="1" t="n">
        <v>45776.36480324074</v>
      </c>
      <c r="C2584" s="1" t="n">
        <v>46060</v>
      </c>
      <c r="D2584" t="inlineStr">
        <is>
          <t>VÄSTERNORRLANDS LÄN</t>
        </is>
      </c>
      <c r="E2584" t="inlineStr">
        <is>
          <t>SOLLEFTEÅ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20793-2025</t>
        </is>
      </c>
      <c r="B2585" s="1" t="n">
        <v>45776</v>
      </c>
      <c r="C2585" s="1" t="n">
        <v>46060</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20725-2025</t>
        </is>
      </c>
      <c r="B2586" s="1" t="n">
        <v>45776.51074074074</v>
      </c>
      <c r="C2586" s="1" t="n">
        <v>46060</v>
      </c>
      <c r="D2586" t="inlineStr">
        <is>
          <t>VÄSTERNORRLANDS LÄN</t>
        </is>
      </c>
      <c r="E2586" t="inlineStr">
        <is>
          <t>SOLLEFTEÅ</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52087-2023</t>
        </is>
      </c>
      <c r="B2587" s="1" t="n">
        <v>45223</v>
      </c>
      <c r="C2587" s="1" t="n">
        <v>46060</v>
      </c>
      <c r="D2587" t="inlineStr">
        <is>
          <t>VÄSTERNORRLANDS LÄN</t>
        </is>
      </c>
      <c r="E2587" t="inlineStr">
        <is>
          <t>SOLLEFTEÅ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51527-2024</t>
        </is>
      </c>
      <c r="B2588" s="1" t="n">
        <v>45604</v>
      </c>
      <c r="C2588" s="1" t="n">
        <v>46060</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3990-2024</t>
        </is>
      </c>
      <c r="B2589" s="1" t="n">
        <v>45322.94880787037</v>
      </c>
      <c r="C2589" s="1" t="n">
        <v>46060</v>
      </c>
      <c r="D2589" t="inlineStr">
        <is>
          <t>VÄSTERNORRLANDS LÄN</t>
        </is>
      </c>
      <c r="E2589" t="inlineStr">
        <is>
          <t>SOLLEFTEÅ</t>
        </is>
      </c>
      <c r="F2589" t="inlineStr">
        <is>
          <t>SCA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21269-2025</t>
        </is>
      </c>
      <c r="B2590" s="1" t="n">
        <v>45779.62265046296</v>
      </c>
      <c r="C2590" s="1" t="n">
        <v>46060</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45719-2022</t>
        </is>
      </c>
      <c r="B2591" s="1" t="n">
        <v>44845.95533564815</v>
      </c>
      <c r="C2591" s="1" t="n">
        <v>46060</v>
      </c>
      <c r="D2591" t="inlineStr">
        <is>
          <t>VÄSTERNORRLANDS LÄN</t>
        </is>
      </c>
      <c r="E2591" t="inlineStr">
        <is>
          <t>SOLLEFTEÅ</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21491-2025</t>
        </is>
      </c>
      <c r="B2592" s="1" t="n">
        <v>45782.59578703704</v>
      </c>
      <c r="C2592" s="1" t="n">
        <v>46060</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21687-2025</t>
        </is>
      </c>
      <c r="B2593" s="1" t="n">
        <v>45783.49135416667</v>
      </c>
      <c r="C2593" s="1" t="n">
        <v>46060</v>
      </c>
      <c r="D2593" t="inlineStr">
        <is>
          <t>VÄSTERNORRLANDS LÄN</t>
        </is>
      </c>
      <c r="E2593" t="inlineStr">
        <is>
          <t>SOLLEFTEÅ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21346-2025</t>
        </is>
      </c>
      <c r="B2594" s="1" t="n">
        <v>45782.40670138889</v>
      </c>
      <c r="C2594" s="1" t="n">
        <v>46060</v>
      </c>
      <c r="D2594" t="inlineStr">
        <is>
          <t>VÄSTERNORRLANDS LÄN</t>
        </is>
      </c>
      <c r="E2594" t="inlineStr">
        <is>
          <t>SOLLEFTEÅ</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21481-2025</t>
        </is>
      </c>
      <c r="B2595" s="1" t="n">
        <v>45782.59451388889</v>
      </c>
      <c r="C2595" s="1" t="n">
        <v>46060</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21348-2025</t>
        </is>
      </c>
      <c r="B2596" s="1" t="n">
        <v>45782.40679398148</v>
      </c>
      <c r="C2596" s="1" t="n">
        <v>46060</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21429-2025</t>
        </is>
      </c>
      <c r="B2597" s="1" t="n">
        <v>45782.51084490741</v>
      </c>
      <c r="C2597" s="1" t="n">
        <v>46060</v>
      </c>
      <c r="D2597" t="inlineStr">
        <is>
          <t>VÄSTERNORRLANDS LÄN</t>
        </is>
      </c>
      <c r="E2597" t="inlineStr">
        <is>
          <t>SOLLEFTEÅ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21455-2025</t>
        </is>
      </c>
      <c r="B2598" s="1" t="n">
        <v>45782.55332175926</v>
      </c>
      <c r="C2598" s="1" t="n">
        <v>46060</v>
      </c>
      <c r="D2598" t="inlineStr">
        <is>
          <t>VÄSTERNORRLANDS LÄN</t>
        </is>
      </c>
      <c r="E2598" t="inlineStr">
        <is>
          <t>SOLLEFTEÅ</t>
        </is>
      </c>
      <c r="F2598" t="inlineStr">
        <is>
          <t>SCA</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21669-2025</t>
        </is>
      </c>
      <c r="B2599" s="1" t="n">
        <v>45783.46905092592</v>
      </c>
      <c r="C2599" s="1" t="n">
        <v>46060</v>
      </c>
      <c r="D2599" t="inlineStr">
        <is>
          <t>VÄSTERNORRLANDS LÄN</t>
        </is>
      </c>
      <c r="E2599" t="inlineStr">
        <is>
          <t>SOLLEFTEÅ</t>
        </is>
      </c>
      <c r="F2599" t="inlineStr">
        <is>
          <t>SCA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21489-2025</t>
        </is>
      </c>
      <c r="B2600" s="1" t="n">
        <v>45782.59555555556</v>
      </c>
      <c r="C2600" s="1" t="n">
        <v>46060</v>
      </c>
      <c r="D2600" t="inlineStr">
        <is>
          <t>VÄSTERNORRLANDS LÄN</t>
        </is>
      </c>
      <c r="E2600" t="inlineStr">
        <is>
          <t>SOLLEFTEÅ</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21553-2025</t>
        </is>
      </c>
      <c r="B2601" s="1" t="n">
        <v>45782.67805555555</v>
      </c>
      <c r="C2601" s="1" t="n">
        <v>46060</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21555-2025</t>
        </is>
      </c>
      <c r="B2602" s="1" t="n">
        <v>45782.67828703704</v>
      </c>
      <c r="C2602" s="1" t="n">
        <v>46060</v>
      </c>
      <c r="D2602" t="inlineStr">
        <is>
          <t>VÄSTERNORRLANDS LÄN</t>
        </is>
      </c>
      <c r="E2602" t="inlineStr">
        <is>
          <t>SOLLEFTEÅ</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21564-2025</t>
        </is>
      </c>
      <c r="B2603" s="1" t="n">
        <v>45782.69837962963</v>
      </c>
      <c r="C2603" s="1" t="n">
        <v>46060</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45336.75866898148</v>
      </c>
      <c r="C2604" s="1" t="n">
        <v>46060</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21565-2025</t>
        </is>
      </c>
      <c r="B2605" s="1" t="n">
        <v>45782</v>
      </c>
      <c r="C2605" s="1" t="n">
        <v>46060</v>
      </c>
      <c r="D2605" t="inlineStr">
        <is>
          <t>VÄSTERNORRLANDS LÄN</t>
        </is>
      </c>
      <c r="E2605" t="inlineStr">
        <is>
          <t>SOLLEFTEÅ</t>
        </is>
      </c>
      <c r="F2605" t="inlineStr">
        <is>
          <t>SCA</t>
        </is>
      </c>
      <c r="G2605" t="n">
        <v>17.4</v>
      </c>
      <c r="H2605" t="n">
        <v>0</v>
      </c>
      <c r="I2605" t="n">
        <v>0</v>
      </c>
      <c r="J2605" t="n">
        <v>0</v>
      </c>
      <c r="K2605" t="n">
        <v>0</v>
      </c>
      <c r="L2605" t="n">
        <v>0</v>
      </c>
      <c r="M2605" t="n">
        <v>0</v>
      </c>
      <c r="N2605" t="n">
        <v>0</v>
      </c>
      <c r="O2605" t="n">
        <v>0</v>
      </c>
      <c r="P2605" t="n">
        <v>0</v>
      </c>
      <c r="Q2605" t="n">
        <v>0</v>
      </c>
      <c r="R2605" s="2" t="inlineStr"/>
    </row>
    <row r="2606" ht="15" customHeight="1">
      <c r="A2606" t="inlineStr">
        <is>
          <t>A 21863-2025</t>
        </is>
      </c>
      <c r="B2606" s="1" t="n">
        <v>45784.36532407408</v>
      </c>
      <c r="C2606" s="1" t="n">
        <v>46060</v>
      </c>
      <c r="D2606" t="inlineStr">
        <is>
          <t>VÄSTERNORRLANDS LÄN</t>
        </is>
      </c>
      <c r="E2606" t="inlineStr">
        <is>
          <t>SOLLEFTEÅ</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22182-2025</t>
        </is>
      </c>
      <c r="B2607" s="1" t="n">
        <v>45785.61640046296</v>
      </c>
      <c r="C2607" s="1" t="n">
        <v>46060</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22106-2025</t>
        </is>
      </c>
      <c r="B2608" s="1" t="n">
        <v>45785.48988425926</v>
      </c>
      <c r="C2608" s="1" t="n">
        <v>46060</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21897-2025</t>
        </is>
      </c>
      <c r="B2609" s="1" t="n">
        <v>45784.45376157408</v>
      </c>
      <c r="C2609" s="1" t="n">
        <v>46060</v>
      </c>
      <c r="D2609" t="inlineStr">
        <is>
          <t>VÄSTERNORRLANDS LÄN</t>
        </is>
      </c>
      <c r="E2609" t="inlineStr">
        <is>
          <t>SOLLEFTEÅ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22184-2025</t>
        </is>
      </c>
      <c r="B2610" s="1" t="n">
        <v>45785.61679398148</v>
      </c>
      <c r="C2610" s="1" t="n">
        <v>46060</v>
      </c>
      <c r="D2610" t="inlineStr">
        <is>
          <t>VÄSTERNORRLANDS LÄN</t>
        </is>
      </c>
      <c r="E2610" t="inlineStr">
        <is>
          <t>SOLLEFTEÅ</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7107-2024</t>
        </is>
      </c>
      <c r="B2611" s="1" t="n">
        <v>45343</v>
      </c>
      <c r="C2611" s="1" t="n">
        <v>46060</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22046-2025</t>
        </is>
      </c>
      <c r="B2612" s="1" t="n">
        <v>45785.34412037037</v>
      </c>
      <c r="C2612" s="1" t="n">
        <v>46060</v>
      </c>
      <c r="D2612" t="inlineStr">
        <is>
          <t>VÄSTERNORRLANDS LÄN</t>
        </is>
      </c>
      <c r="E2612" t="inlineStr">
        <is>
          <t>SOLLEFTEÅ</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22211-2025</t>
        </is>
      </c>
      <c r="B2613" s="1" t="n">
        <v>45785.65752314815</v>
      </c>
      <c r="C2613" s="1" t="n">
        <v>46060</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21898-2025</t>
        </is>
      </c>
      <c r="B2614" s="1" t="n">
        <v>45784.45386574074</v>
      </c>
      <c r="C2614" s="1" t="n">
        <v>46060</v>
      </c>
      <c r="D2614" t="inlineStr">
        <is>
          <t>VÄSTERNORRLANDS LÄN</t>
        </is>
      </c>
      <c r="E2614" t="inlineStr">
        <is>
          <t>SOLLEFTEÅ</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21896-2025</t>
        </is>
      </c>
      <c r="B2615" s="1" t="n">
        <v>45784.45366898148</v>
      </c>
      <c r="C2615" s="1" t="n">
        <v>46060</v>
      </c>
      <c r="D2615" t="inlineStr">
        <is>
          <t>VÄSTERNORRLANDS LÄN</t>
        </is>
      </c>
      <c r="E2615" t="inlineStr">
        <is>
          <t>SOLLEFTEÅ</t>
        </is>
      </c>
      <c r="G2615" t="n">
        <v>16.1</v>
      </c>
      <c r="H2615" t="n">
        <v>0</v>
      </c>
      <c r="I2615" t="n">
        <v>0</v>
      </c>
      <c r="J2615" t="n">
        <v>0</v>
      </c>
      <c r="K2615" t="n">
        <v>0</v>
      </c>
      <c r="L2615" t="n">
        <v>0</v>
      </c>
      <c r="M2615" t="n">
        <v>0</v>
      </c>
      <c r="N2615" t="n">
        <v>0</v>
      </c>
      <c r="O2615" t="n">
        <v>0</v>
      </c>
      <c r="P2615" t="n">
        <v>0</v>
      </c>
      <c r="Q2615" t="n">
        <v>0</v>
      </c>
      <c r="R2615" s="2" t="inlineStr"/>
    </row>
    <row r="2616" ht="15" customHeight="1">
      <c r="A2616" t="inlineStr">
        <is>
          <t>A 60389-2024</t>
        </is>
      </c>
      <c r="B2616" s="1" t="n">
        <v>45643.48988425926</v>
      </c>
      <c r="C2616" s="1" t="n">
        <v>46060</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22218-2025</t>
        </is>
      </c>
      <c r="B2617" s="1" t="n">
        <v>45785.65840277778</v>
      </c>
      <c r="C2617" s="1" t="n">
        <v>46060</v>
      </c>
      <c r="D2617" t="inlineStr">
        <is>
          <t>VÄSTERNORRLANDS LÄN</t>
        </is>
      </c>
      <c r="E2617" t="inlineStr">
        <is>
          <t>SOLLEFTEÅ</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60361-2024</t>
        </is>
      </c>
      <c r="B2618" s="1" t="n">
        <v>45643.44851851852</v>
      </c>
      <c r="C2618" s="1" t="n">
        <v>46060</v>
      </c>
      <c r="D2618" t="inlineStr">
        <is>
          <t>VÄSTERNORRLANDS LÄN</t>
        </is>
      </c>
      <c r="E2618" t="inlineStr">
        <is>
          <t>SOLLEFTEÅ</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8337-2025</t>
        </is>
      </c>
      <c r="B2619" s="1" t="n">
        <v>45708.6597337963</v>
      </c>
      <c r="C2619" s="1" t="n">
        <v>46060</v>
      </c>
      <c r="D2619" t="inlineStr">
        <is>
          <t>VÄSTERNORRLANDS LÄN</t>
        </is>
      </c>
      <c r="E2619" t="inlineStr">
        <is>
          <t>SOLLEFTEÅ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46207-2023</t>
        </is>
      </c>
      <c r="B2620" s="1" t="n">
        <v>45190</v>
      </c>
      <c r="C2620" s="1" t="n">
        <v>46060</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21983-2025</t>
        </is>
      </c>
      <c r="B2621" s="1" t="n">
        <v>45784.65678240741</v>
      </c>
      <c r="C2621" s="1" t="n">
        <v>46060</v>
      </c>
      <c r="D2621" t="inlineStr">
        <is>
          <t>VÄSTERNORRLANDS LÄN</t>
        </is>
      </c>
      <c r="E2621" t="inlineStr">
        <is>
          <t>SOLLEFTEÅ</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22036-2025</t>
        </is>
      </c>
      <c r="B2622" s="1" t="n">
        <v>45785.31820601852</v>
      </c>
      <c r="C2622" s="1" t="n">
        <v>46060</v>
      </c>
      <c r="D2622" t="inlineStr">
        <is>
          <t>VÄSTERNORRLANDS LÄN</t>
        </is>
      </c>
      <c r="E2622" t="inlineStr">
        <is>
          <t>SOLLEFTEÅ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21985-2025</t>
        </is>
      </c>
      <c r="B2623" s="1" t="n">
        <v>45784.65689814815</v>
      </c>
      <c r="C2623" s="1" t="n">
        <v>46060</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13521-2023</t>
        </is>
      </c>
      <c r="B2624" s="1" t="n">
        <v>45005</v>
      </c>
      <c r="C2624" s="1" t="n">
        <v>46060</v>
      </c>
      <c r="D2624" t="inlineStr">
        <is>
          <t>VÄSTERNORRLANDS LÄN</t>
        </is>
      </c>
      <c r="E2624" t="inlineStr">
        <is>
          <t>SOLLEFTEÅ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21099-2024</t>
        </is>
      </c>
      <c r="B2625" s="1" t="n">
        <v>45439</v>
      </c>
      <c r="C2625" s="1" t="n">
        <v>46060</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50864-2024</t>
        </is>
      </c>
      <c r="B2626" s="1" t="n">
        <v>45602.63653935185</v>
      </c>
      <c r="C2626" s="1" t="n">
        <v>46060</v>
      </c>
      <c r="D2626" t="inlineStr">
        <is>
          <t>VÄSTERNORRLANDS LÄN</t>
        </is>
      </c>
      <c r="E2626" t="inlineStr">
        <is>
          <t>SOLLEFTEÅ</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967-2025</t>
        </is>
      </c>
      <c r="B2627" s="1" t="n">
        <v>45666</v>
      </c>
      <c r="C2627" s="1" t="n">
        <v>46060</v>
      </c>
      <c r="D2627" t="inlineStr">
        <is>
          <t>VÄSTERNORRLANDS LÄN</t>
        </is>
      </c>
      <c r="E2627" t="inlineStr">
        <is>
          <t>SOLLEFTEÅ</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22803-2025</t>
        </is>
      </c>
      <c r="B2628" s="1" t="n">
        <v>45789</v>
      </c>
      <c r="C2628" s="1" t="n">
        <v>46060</v>
      </c>
      <c r="D2628" t="inlineStr">
        <is>
          <t>VÄSTERNORRLANDS LÄN</t>
        </is>
      </c>
      <c r="E2628" t="inlineStr">
        <is>
          <t>SOLLEFTEÅ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56249-2024</t>
        </is>
      </c>
      <c r="B2629" s="1" t="n">
        <v>45624.63584490741</v>
      </c>
      <c r="C2629" s="1" t="n">
        <v>46060</v>
      </c>
      <c r="D2629" t="inlineStr">
        <is>
          <t>VÄSTERNORRLANDS LÄN</t>
        </is>
      </c>
      <c r="E2629" t="inlineStr">
        <is>
          <t>SOLLEFTEÅ</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22615-2025</t>
        </is>
      </c>
      <c r="B2630" s="1" t="n">
        <v>45789.42741898148</v>
      </c>
      <c r="C2630" s="1" t="n">
        <v>46060</v>
      </c>
      <c r="D2630" t="inlineStr">
        <is>
          <t>VÄSTERNORRLANDS LÄN</t>
        </is>
      </c>
      <c r="E2630" t="inlineStr">
        <is>
          <t>SOLLEFTEÅ</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22815-2025</t>
        </is>
      </c>
      <c r="B2631" s="1" t="n">
        <v>45789.69826388889</v>
      </c>
      <c r="C2631" s="1" t="n">
        <v>46060</v>
      </c>
      <c r="D2631" t="inlineStr">
        <is>
          <t>VÄSTERNORRLANDS LÄN</t>
        </is>
      </c>
      <c r="E2631" t="inlineStr">
        <is>
          <t>SOLLEFTEÅ</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22569-2025</t>
        </is>
      </c>
      <c r="B2632" s="1" t="n">
        <v>45789.36363425926</v>
      </c>
      <c r="C2632" s="1" t="n">
        <v>46060</v>
      </c>
      <c r="D2632" t="inlineStr">
        <is>
          <t>VÄSTERNORRLANDS LÄN</t>
        </is>
      </c>
      <c r="E2632" t="inlineStr">
        <is>
          <t>SOLLEFTEÅ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22767-2025</t>
        </is>
      </c>
      <c r="B2633" s="1" t="n">
        <v>45789.63309027778</v>
      </c>
      <c r="C2633" s="1" t="n">
        <v>46060</v>
      </c>
      <c r="D2633" t="inlineStr">
        <is>
          <t>VÄSTERNORRLANDS LÄN</t>
        </is>
      </c>
      <c r="E2633" t="inlineStr">
        <is>
          <t>SOLLEFTEÅ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22287-2025</t>
        </is>
      </c>
      <c r="B2634" s="1" t="n">
        <v>45786.34409722222</v>
      </c>
      <c r="C2634" s="1" t="n">
        <v>46060</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4838-2025</t>
        </is>
      </c>
      <c r="B2635" s="1" t="n">
        <v>45688.67167824074</v>
      </c>
      <c r="C2635" s="1" t="n">
        <v>46060</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22562-2025</t>
        </is>
      </c>
      <c r="B2636" s="1" t="n">
        <v>45789.34736111111</v>
      </c>
      <c r="C2636" s="1" t="n">
        <v>46060</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41028-2024</t>
        </is>
      </c>
      <c r="B2637" s="1" t="n">
        <v>45559.34466435185</v>
      </c>
      <c r="C2637" s="1" t="n">
        <v>46060</v>
      </c>
      <c r="D2637" t="inlineStr">
        <is>
          <t>VÄSTERNORRLANDS LÄN</t>
        </is>
      </c>
      <c r="E2637" t="inlineStr">
        <is>
          <t>SOLLEFTEÅ</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22737-2025</t>
        </is>
      </c>
      <c r="B2638" s="1" t="n">
        <v>45789.59130787037</v>
      </c>
      <c r="C2638" s="1" t="n">
        <v>46060</v>
      </c>
      <c r="D2638" t="inlineStr">
        <is>
          <t>VÄSTERNORRLANDS LÄN</t>
        </is>
      </c>
      <c r="E2638" t="inlineStr">
        <is>
          <t>SOLLEFTEÅ</t>
        </is>
      </c>
      <c r="G2638" t="n">
        <v>15.6</v>
      </c>
      <c r="H2638" t="n">
        <v>0</v>
      </c>
      <c r="I2638" t="n">
        <v>0</v>
      </c>
      <c r="J2638" t="n">
        <v>0</v>
      </c>
      <c r="K2638" t="n">
        <v>0</v>
      </c>
      <c r="L2638" t="n">
        <v>0</v>
      </c>
      <c r="M2638" t="n">
        <v>0</v>
      </c>
      <c r="N2638" t="n">
        <v>0</v>
      </c>
      <c r="O2638" t="n">
        <v>0</v>
      </c>
      <c r="P2638" t="n">
        <v>0</v>
      </c>
      <c r="Q2638" t="n">
        <v>0</v>
      </c>
      <c r="R2638" s="2" t="inlineStr"/>
    </row>
    <row r="2639" ht="15" customHeight="1">
      <c r="A2639" t="inlineStr">
        <is>
          <t>A 22810-2025</t>
        </is>
      </c>
      <c r="B2639" s="1" t="n">
        <v>45789.68076388889</v>
      </c>
      <c r="C2639" s="1" t="n">
        <v>46060</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26172-2024</t>
        </is>
      </c>
      <c r="B2640" s="1" t="n">
        <v>45468</v>
      </c>
      <c r="C2640" s="1" t="n">
        <v>46060</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22704-2025</t>
        </is>
      </c>
      <c r="B2641" s="1" t="n">
        <v>45789.55251157407</v>
      </c>
      <c r="C2641" s="1" t="n">
        <v>46060</v>
      </c>
      <c r="D2641" t="inlineStr">
        <is>
          <t>VÄSTERNORRLANDS LÄN</t>
        </is>
      </c>
      <c r="E2641" t="inlineStr">
        <is>
          <t>SOLLEFTEÅ</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22866-2025</t>
        </is>
      </c>
      <c r="B2642" s="1" t="n">
        <v>45790.36519675926</v>
      </c>
      <c r="C2642" s="1" t="n">
        <v>46060</v>
      </c>
      <c r="D2642" t="inlineStr">
        <is>
          <t>VÄSTERNORRLANDS LÄN</t>
        </is>
      </c>
      <c r="E2642" t="inlineStr">
        <is>
          <t>SOLLEFTEÅ</t>
        </is>
      </c>
      <c r="F2642" t="inlineStr">
        <is>
          <t>SCA</t>
        </is>
      </c>
      <c r="G2642" t="n">
        <v>16.2</v>
      </c>
      <c r="H2642" t="n">
        <v>0</v>
      </c>
      <c r="I2642" t="n">
        <v>0</v>
      </c>
      <c r="J2642" t="n">
        <v>0</v>
      </c>
      <c r="K2642" t="n">
        <v>0</v>
      </c>
      <c r="L2642" t="n">
        <v>0</v>
      </c>
      <c r="M2642" t="n">
        <v>0</v>
      </c>
      <c r="N2642" t="n">
        <v>0</v>
      </c>
      <c r="O2642" t="n">
        <v>0</v>
      </c>
      <c r="P2642" t="n">
        <v>0</v>
      </c>
      <c r="Q2642" t="n">
        <v>0</v>
      </c>
      <c r="R2642" s="2" t="inlineStr"/>
    </row>
    <row r="2643" ht="15" customHeight="1">
      <c r="A2643" t="inlineStr">
        <is>
          <t>A 918-2023</t>
        </is>
      </c>
      <c r="B2643" s="1" t="n">
        <v>44931.95329861111</v>
      </c>
      <c r="C2643" s="1" t="n">
        <v>46060</v>
      </c>
      <c r="D2643" t="inlineStr">
        <is>
          <t>VÄSTERNORRLANDS LÄN</t>
        </is>
      </c>
      <c r="E2643" t="inlineStr">
        <is>
          <t>SOLLEFTEÅ</t>
        </is>
      </c>
      <c r="F2643" t="inlineStr">
        <is>
          <t>SCA</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20389-2025</t>
        </is>
      </c>
      <c r="B2644" s="1" t="n">
        <v>45775</v>
      </c>
      <c r="C2644" s="1" t="n">
        <v>46060</v>
      </c>
      <c r="D2644" t="inlineStr">
        <is>
          <t>VÄSTERNORRLANDS LÄN</t>
        </is>
      </c>
      <c r="E2644" t="inlineStr">
        <is>
          <t>SOLLEFTEÅ</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25338-2022</t>
        </is>
      </c>
      <c r="B2645" s="1" t="n">
        <v>44731</v>
      </c>
      <c r="C2645" s="1" t="n">
        <v>46060</v>
      </c>
      <c r="D2645" t="inlineStr">
        <is>
          <t>VÄSTERNORRLANDS LÄN</t>
        </is>
      </c>
      <c r="E2645" t="inlineStr">
        <is>
          <t>SOLLEFTEÅ</t>
        </is>
      </c>
      <c r="F2645" t="inlineStr">
        <is>
          <t>SCA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22514-2025</t>
        </is>
      </c>
      <c r="B2646" s="1" t="n">
        <v>45786.67755787037</v>
      </c>
      <c r="C2646" s="1" t="n">
        <v>46060</v>
      </c>
      <c r="D2646" t="inlineStr">
        <is>
          <t>VÄSTERNORRLANDS LÄN</t>
        </is>
      </c>
      <c r="E2646" t="inlineStr">
        <is>
          <t>SOLLEFTEÅ</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23090-2025</t>
        </is>
      </c>
      <c r="B2647" s="1" t="n">
        <v>45791.34443287037</v>
      </c>
      <c r="C2647" s="1" t="n">
        <v>46060</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22854-2025</t>
        </is>
      </c>
      <c r="B2648" s="1" t="n">
        <v>45790.34457175926</v>
      </c>
      <c r="C2648" s="1" t="n">
        <v>46060</v>
      </c>
      <c r="D2648" t="inlineStr">
        <is>
          <t>VÄSTERNORRLANDS LÄN</t>
        </is>
      </c>
      <c r="E2648" t="inlineStr">
        <is>
          <t>SOLLEFTEÅ</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23339-2025</t>
        </is>
      </c>
      <c r="B2649" s="1" t="n">
        <v>45791.65577546296</v>
      </c>
      <c r="C2649" s="1" t="n">
        <v>46060</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22853-2025</t>
        </is>
      </c>
      <c r="B2650" s="1" t="n">
        <v>45790.34443287037</v>
      </c>
      <c r="C2650" s="1" t="n">
        <v>46060</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42915-2024</t>
        </is>
      </c>
      <c r="B2651" s="1" t="n">
        <v>45566</v>
      </c>
      <c r="C2651" s="1" t="n">
        <v>46060</v>
      </c>
      <c r="D2651" t="inlineStr">
        <is>
          <t>VÄSTERNORRLANDS LÄN</t>
        </is>
      </c>
      <c r="E2651" t="inlineStr">
        <is>
          <t>SOLLEFTEÅ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23409-2025</t>
        </is>
      </c>
      <c r="B2652" s="1" t="n">
        <v>45792.34560185186</v>
      </c>
      <c r="C2652" s="1" t="n">
        <v>46060</v>
      </c>
      <c r="D2652" t="inlineStr">
        <is>
          <t>VÄSTERNORRLANDS LÄN</t>
        </is>
      </c>
      <c r="E2652" t="inlineStr">
        <is>
          <t>SOLLEFTEÅ</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23735-2025</t>
        </is>
      </c>
      <c r="B2653" s="1" t="n">
        <v>45793.42777777778</v>
      </c>
      <c r="C2653" s="1" t="n">
        <v>46060</v>
      </c>
      <c r="D2653" t="inlineStr">
        <is>
          <t>VÄSTERNORRLANDS LÄN</t>
        </is>
      </c>
      <c r="E2653" t="inlineStr">
        <is>
          <t>SOLLEFTEÅ</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23738-2025</t>
        </is>
      </c>
      <c r="B2654" s="1" t="n">
        <v>45793.42819444444</v>
      </c>
      <c r="C2654" s="1" t="n">
        <v>46060</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23515-2025</t>
        </is>
      </c>
      <c r="B2655" s="1" t="n">
        <v>45792</v>
      </c>
      <c r="C2655" s="1" t="n">
        <v>46060</v>
      </c>
      <c r="D2655" t="inlineStr">
        <is>
          <t>VÄSTERNORRLANDS LÄN</t>
        </is>
      </c>
      <c r="E2655" t="inlineStr">
        <is>
          <t>SOLLEFTEÅ</t>
        </is>
      </c>
      <c r="F2655" t="inlineStr">
        <is>
          <t>Holmen skog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23634-2025</t>
        </is>
      </c>
      <c r="B2656" s="1" t="n">
        <v>45792.67803240741</v>
      </c>
      <c r="C2656" s="1" t="n">
        <v>46060</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23734-2025</t>
        </is>
      </c>
      <c r="B2657" s="1" t="n">
        <v>45793.4275462963</v>
      </c>
      <c r="C2657" s="1" t="n">
        <v>46060</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23564-2025</t>
        </is>
      </c>
      <c r="B2658" s="1" t="n">
        <v>45792.58840277778</v>
      </c>
      <c r="C2658" s="1" t="n">
        <v>46060</v>
      </c>
      <c r="D2658" t="inlineStr">
        <is>
          <t>VÄSTERNORRLANDS LÄN</t>
        </is>
      </c>
      <c r="E2658" t="inlineStr">
        <is>
          <t>SOLLEFTEÅ</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23542-2025</t>
        </is>
      </c>
      <c r="B2659" s="1" t="n">
        <v>45792.56184027778</v>
      </c>
      <c r="C2659" s="1" t="n">
        <v>46060</v>
      </c>
      <c r="D2659" t="inlineStr">
        <is>
          <t>VÄSTERNORRLANDS LÄN</t>
        </is>
      </c>
      <c r="E2659" t="inlineStr">
        <is>
          <t>SOLLEFTEÅ</t>
        </is>
      </c>
      <c r="F2659" t="inlineStr">
        <is>
          <t>Holmen skog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23871-2025</t>
        </is>
      </c>
      <c r="B2660" s="1" t="n">
        <v>45793.67741898148</v>
      </c>
      <c r="C2660" s="1" t="n">
        <v>46060</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23478-2025</t>
        </is>
      </c>
      <c r="B2661" s="1" t="n">
        <v>45792</v>
      </c>
      <c r="C2661" s="1" t="n">
        <v>46060</v>
      </c>
      <c r="D2661" t="inlineStr">
        <is>
          <t>VÄSTERNORRLANDS LÄN</t>
        </is>
      </c>
      <c r="E2661" t="inlineStr">
        <is>
          <t>SOLLEFTEÅ</t>
        </is>
      </c>
      <c r="F2661" t="inlineStr">
        <is>
          <t>Holmen skog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23522-2025</t>
        </is>
      </c>
      <c r="B2662" s="1" t="n">
        <v>45792.51415509259</v>
      </c>
      <c r="C2662" s="1" t="n">
        <v>46060</v>
      </c>
      <c r="D2662" t="inlineStr">
        <is>
          <t>VÄSTERNORRLANDS LÄN</t>
        </is>
      </c>
      <c r="E2662" t="inlineStr">
        <is>
          <t>SOLLEFTEÅ</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23977-2025</t>
        </is>
      </c>
      <c r="B2663" s="1" t="n">
        <v>45796.38637731481</v>
      </c>
      <c r="C2663" s="1" t="n">
        <v>46060</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24420-2025</t>
        </is>
      </c>
      <c r="B2664" s="1" t="n">
        <v>45797.67771990741</v>
      </c>
      <c r="C2664" s="1" t="n">
        <v>46060</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31886-2024</t>
        </is>
      </c>
      <c r="B2665" s="1" t="n">
        <v>45509.95780092593</v>
      </c>
      <c r="C2665" s="1" t="n">
        <v>46060</v>
      </c>
      <c r="D2665" t="inlineStr">
        <is>
          <t>VÄSTERNORRLANDS LÄN</t>
        </is>
      </c>
      <c r="E2665" t="inlineStr">
        <is>
          <t>SOLLEFTEÅ</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16365-2022</t>
        </is>
      </c>
      <c r="B2666" s="1" t="n">
        <v>44670.9406712963</v>
      </c>
      <c r="C2666" s="1" t="n">
        <v>46060</v>
      </c>
      <c r="D2666" t="inlineStr">
        <is>
          <t>VÄSTERNORRLANDS LÄN</t>
        </is>
      </c>
      <c r="E2666" t="inlineStr">
        <is>
          <t>SOLLEFTEÅ</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21100-2024</t>
        </is>
      </c>
      <c r="B2667" s="1" t="n">
        <v>45439.95072916667</v>
      </c>
      <c r="C2667" s="1" t="n">
        <v>46060</v>
      </c>
      <c r="D2667" t="inlineStr">
        <is>
          <t>VÄSTERNORRLANDS LÄN</t>
        </is>
      </c>
      <c r="E2667" t="inlineStr">
        <is>
          <t>SOLLEFTEÅ</t>
        </is>
      </c>
      <c r="F2667" t="inlineStr">
        <is>
          <t>SCA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2699-2025</t>
        </is>
      </c>
      <c r="B2668" s="1" t="n">
        <v>45677.40665509259</v>
      </c>
      <c r="C2668" s="1" t="n">
        <v>46060</v>
      </c>
      <c r="D2668" t="inlineStr">
        <is>
          <t>VÄSTERNORRLANDS LÄN</t>
        </is>
      </c>
      <c r="E2668" t="inlineStr">
        <is>
          <t>SOLLEFTEÅ</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55610-2021</t>
        </is>
      </c>
      <c r="B2669" s="1" t="n">
        <v>44475.94237268518</v>
      </c>
      <c r="C2669" s="1" t="n">
        <v>46060</v>
      </c>
      <c r="D2669" t="inlineStr">
        <is>
          <t>VÄSTERNORRLANDS LÄN</t>
        </is>
      </c>
      <c r="E2669" t="inlineStr">
        <is>
          <t>SOLLEFTEÅ</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23974-2025</t>
        </is>
      </c>
      <c r="B2670" s="1" t="n">
        <v>45796.38594907407</v>
      </c>
      <c r="C2670" s="1" t="n">
        <v>46060</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62523-2023</t>
        </is>
      </c>
      <c r="B2671" s="1" t="n">
        <v>45267</v>
      </c>
      <c r="C2671" s="1" t="n">
        <v>46060</v>
      </c>
      <c r="D2671" t="inlineStr">
        <is>
          <t>VÄSTERNORRLANDS LÄN</t>
        </is>
      </c>
      <c r="E2671" t="inlineStr">
        <is>
          <t>SOLLEFTEÅ</t>
        </is>
      </c>
      <c r="G2671" t="n">
        <v>33.6</v>
      </c>
      <c r="H2671" t="n">
        <v>0</v>
      </c>
      <c r="I2671" t="n">
        <v>0</v>
      </c>
      <c r="J2671" t="n">
        <v>0</v>
      </c>
      <c r="K2671" t="n">
        <v>0</v>
      </c>
      <c r="L2671" t="n">
        <v>0</v>
      </c>
      <c r="M2671" t="n">
        <v>0</v>
      </c>
      <c r="N2671" t="n">
        <v>0</v>
      </c>
      <c r="O2671" t="n">
        <v>0</v>
      </c>
      <c r="P2671" t="n">
        <v>0</v>
      </c>
      <c r="Q2671" t="n">
        <v>0</v>
      </c>
      <c r="R2671" s="2" t="inlineStr"/>
    </row>
    <row r="2672" ht="15" customHeight="1">
      <c r="A2672" t="inlineStr">
        <is>
          <t>A 35358-2021</t>
        </is>
      </c>
      <c r="B2672" s="1" t="n">
        <v>44384.93591435185</v>
      </c>
      <c r="C2672" s="1" t="n">
        <v>46060</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52602-2024</t>
        </is>
      </c>
      <c r="B2673" s="1" t="n">
        <v>45609</v>
      </c>
      <c r="C2673" s="1" t="n">
        <v>46060</v>
      </c>
      <c r="D2673" t="inlineStr">
        <is>
          <t>VÄSTERNORRLANDS LÄN</t>
        </is>
      </c>
      <c r="E2673" t="inlineStr">
        <is>
          <t>SOLLEFTEÅ</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1268-2024</t>
        </is>
      </c>
      <c r="B2674" s="1" t="n">
        <v>45302</v>
      </c>
      <c r="C2674" s="1" t="n">
        <v>46060</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34983-2023</t>
        </is>
      </c>
      <c r="B2675" s="1" t="n">
        <v>45141</v>
      </c>
      <c r="C2675" s="1" t="n">
        <v>46060</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37648-2021</t>
        </is>
      </c>
      <c r="B2676" s="1" t="n">
        <v>44400</v>
      </c>
      <c r="C2676" s="1" t="n">
        <v>46060</v>
      </c>
      <c r="D2676" t="inlineStr">
        <is>
          <t>VÄSTERNORRLANDS LÄN</t>
        </is>
      </c>
      <c r="E2676" t="inlineStr">
        <is>
          <t>SOLLEFTEÅ</t>
        </is>
      </c>
      <c r="G2676" t="n">
        <v>33.6</v>
      </c>
      <c r="H2676" t="n">
        <v>0</v>
      </c>
      <c r="I2676" t="n">
        <v>0</v>
      </c>
      <c r="J2676" t="n">
        <v>0</v>
      </c>
      <c r="K2676" t="n">
        <v>0</v>
      </c>
      <c r="L2676" t="n">
        <v>0</v>
      </c>
      <c r="M2676" t="n">
        <v>0</v>
      </c>
      <c r="N2676" t="n">
        <v>0</v>
      </c>
      <c r="O2676" t="n">
        <v>0</v>
      </c>
      <c r="P2676" t="n">
        <v>0</v>
      </c>
      <c r="Q2676" t="n">
        <v>0</v>
      </c>
      <c r="R2676" s="2" t="inlineStr"/>
    </row>
    <row r="2677" ht="15" customHeight="1">
      <c r="A2677" t="inlineStr">
        <is>
          <t>A 23997-2025</t>
        </is>
      </c>
      <c r="B2677" s="1" t="n">
        <v>45796.42061342593</v>
      </c>
      <c r="C2677" s="1" t="n">
        <v>46060</v>
      </c>
      <c r="D2677" t="inlineStr">
        <is>
          <t>VÄSTERNORRLANDS LÄN</t>
        </is>
      </c>
      <c r="E2677" t="inlineStr">
        <is>
          <t>SOLLEFTEÅ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24393-2025</t>
        </is>
      </c>
      <c r="B2678" s="1" t="n">
        <v>45797.63653935185</v>
      </c>
      <c r="C2678" s="1" t="n">
        <v>46060</v>
      </c>
      <c r="D2678" t="inlineStr">
        <is>
          <t>VÄSTERNORRLANDS LÄN</t>
        </is>
      </c>
      <c r="E2678" t="inlineStr">
        <is>
          <t>SOLLEFTEÅ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28290-2024</t>
        </is>
      </c>
      <c r="B2679" s="1" t="n">
        <v>45477.46743055555</v>
      </c>
      <c r="C2679" s="1" t="n">
        <v>46060</v>
      </c>
      <c r="D2679" t="inlineStr">
        <is>
          <t>VÄSTERNORRLANDS LÄN</t>
        </is>
      </c>
      <c r="E2679" t="inlineStr">
        <is>
          <t>SOLLEFTEÅ</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33110-2024</t>
        </is>
      </c>
      <c r="B2680" s="1" t="n">
        <v>45517</v>
      </c>
      <c r="C2680" s="1" t="n">
        <v>46060</v>
      </c>
      <c r="D2680" t="inlineStr">
        <is>
          <t>VÄSTERNORRLANDS LÄN</t>
        </is>
      </c>
      <c r="E2680" t="inlineStr">
        <is>
          <t>SOLLEFTEÅ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41787-2024</t>
        </is>
      </c>
      <c r="B2681" s="1" t="n">
        <v>45561.34986111111</v>
      </c>
      <c r="C2681" s="1" t="n">
        <v>46060</v>
      </c>
      <c r="D2681" t="inlineStr">
        <is>
          <t>VÄSTERNORRLANDS LÄN</t>
        </is>
      </c>
      <c r="E2681" t="inlineStr">
        <is>
          <t>SOLLEFTEÅ</t>
        </is>
      </c>
      <c r="F2681" t="inlineStr">
        <is>
          <t>SCA</t>
        </is>
      </c>
      <c r="G2681" t="n">
        <v>3.9</v>
      </c>
      <c r="H2681" t="n">
        <v>0</v>
      </c>
      <c r="I2681" t="n">
        <v>0</v>
      </c>
      <c r="J2681" t="n">
        <v>0</v>
      </c>
      <c r="K2681" t="n">
        <v>0</v>
      </c>
      <c r="L2681" t="n">
        <v>0</v>
      </c>
      <c r="M2681" t="n">
        <v>0</v>
      </c>
      <c r="N2681" t="n">
        <v>0</v>
      </c>
      <c r="O2681" t="n">
        <v>0</v>
      </c>
      <c r="P2681" t="n">
        <v>0</v>
      </c>
      <c r="Q2681" t="n">
        <v>0</v>
      </c>
      <c r="R2681" s="2" t="inlineStr"/>
    </row>
    <row r="2682">
      <c r="A2682" t="inlineStr">
        <is>
          <t>A 23889-2025</t>
        </is>
      </c>
      <c r="B2682" s="1" t="n">
        <v>45793.79209490741</v>
      </c>
      <c r="C2682" s="1" t="n">
        <v>46060</v>
      </c>
      <c r="D2682" t="inlineStr">
        <is>
          <t>VÄSTERNORRLANDS LÄN</t>
        </is>
      </c>
      <c r="E2682" t="inlineStr">
        <is>
          <t>SOLLEFTEÅ</t>
        </is>
      </c>
      <c r="G2682" t="n">
        <v>6.3</v>
      </c>
      <c r="H2682" t="n">
        <v>0</v>
      </c>
      <c r="I2682" t="n">
        <v>0</v>
      </c>
      <c r="J2682" t="n">
        <v>0</v>
      </c>
      <c r="K2682" t="n">
        <v>0</v>
      </c>
      <c r="L2682" t="n">
        <v>0</v>
      </c>
      <c r="M2682" t="n">
        <v>0</v>
      </c>
      <c r="N2682" t="n">
        <v>0</v>
      </c>
      <c r="O2682" t="n">
        <v>0</v>
      </c>
      <c r="P2682" t="n">
        <v>0</v>
      </c>
      <c r="Q2682" t="n">
        <v>0</v>
      </c>
      <c r="R2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2026-02-07T13:54:58Z</dcterms:created>
  <dcterms:modified xmlns:dcterms="http://purl.org/dc/terms/" xmlns:xsi="http://www.w3.org/2001/XMLSchema-instance" xsi:type="dcterms:W3CDTF">2026-02-07T13:55:00Z</dcterms:modified>
</cp:coreProperties>
</file>