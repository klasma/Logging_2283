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45650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45650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45650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45650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45650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45650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45650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45650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45650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45650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45650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45650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45650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45650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45650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45650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45650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45650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45650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45650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45650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45650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45650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45650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45650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45650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45650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45650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45650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45650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45650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45650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45650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45650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45650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45650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45650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45650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45650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45650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45650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45650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45650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45650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45650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45650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45650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45650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45650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45650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45650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45650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45650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45650</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45650</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45650</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45650</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45650</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45650</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45650</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45650</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45650</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45650</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45650</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45650</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45650</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45650</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45650</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45650</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45650</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45650</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45650</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45650</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45650</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45650</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45650</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45650</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45650</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45650</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45650</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45650</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45650</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45650</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45650</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45650</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45650</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45650</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45650</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45650</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45650</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45650</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45650</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45650</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45650</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45650</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45650</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45650</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45650</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45650</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45650</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45650</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45650</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45650</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45650</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45650</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45650</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45650</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45650</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45650</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45650</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45650</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45650</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45650</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45650</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45650</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45650</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45650</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45650</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45650</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45650</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45650</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45650</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45650</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45650</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45650</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45650</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45650</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45650</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45650</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45650</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45650</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45650</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45650</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45650</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45650</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45650</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45650</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45650</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45650</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45650</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45650</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45650</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45650</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45650</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45650</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45650</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45650</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45650</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45650</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45650</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45650</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45650</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45650</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45650</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45650</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45650</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45650</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45650</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45650</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45650</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45650</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45650</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45650</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45650</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45650</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45650</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45650</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45650</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45650</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45650</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45650</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45650</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45650</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45650</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45650</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45650</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45650</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45650</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45650</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45650</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45650</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45650</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45650</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45650</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45650</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45650</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45650</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45650</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45650</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45650</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45650</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45650</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45650</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45650</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45650</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45650</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45650</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45650</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45650</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45650</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45650</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45650</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45650</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45650</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45650</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45650</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45650</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45650</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45650</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45650</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45650</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45650</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45650</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45650</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45650</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45650</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45650</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45650</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45650</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45650</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45650</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45650</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45650</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45650</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45650</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45650</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45650</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45650</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45650</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45650</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45650</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45650</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45650</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45650</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45650</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45650</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45650</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45650</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45650</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45650</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45650</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45650</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45650</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45650</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45650</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45650</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45650</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45650</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45650</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45650</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45650</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45650</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45650</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45650</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45650</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45650</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45650</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45650</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45650</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45650</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45650</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45650</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45650</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45650</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45650</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45650</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45650</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45650</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45650</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45650</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45650</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45650</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45650</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45650</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45650</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45650</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45650</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45650</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45650</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45650</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45650</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45650</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45650</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45650</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45650</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45650</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45650</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45650</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45650</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45650</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45650</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45650</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45650</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45650</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45650</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45650</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45650</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45650</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45650</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45650</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45650</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45650</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45650</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45650</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45650</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45650</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45650</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45650</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45650</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45650</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45650</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45650</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45650</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45650</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45650</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45650</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45650</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45650</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59020-2024</t>
        </is>
      </c>
      <c r="B321" s="1" t="n">
        <v>45636</v>
      </c>
      <c r="C321" s="1" t="n">
        <v>45650</v>
      </c>
      <c r="D321" t="inlineStr">
        <is>
          <t>VÄSTERNORRLANDS LÄN</t>
        </is>
      </c>
      <c r="E321" t="inlineStr">
        <is>
          <t>SOLLEFTEÅ</t>
        </is>
      </c>
      <c r="F321" t="inlineStr">
        <is>
          <t>SCA</t>
        </is>
      </c>
      <c r="G321" t="n">
        <v>9.300000000000001</v>
      </c>
      <c r="H321" t="n">
        <v>0</v>
      </c>
      <c r="I321" t="n">
        <v>1</v>
      </c>
      <c r="J321" t="n">
        <v>1</v>
      </c>
      <c r="K321" t="n">
        <v>0</v>
      </c>
      <c r="L321" t="n">
        <v>0</v>
      </c>
      <c r="M321" t="n">
        <v>0</v>
      </c>
      <c r="N321" t="n">
        <v>0</v>
      </c>
      <c r="O321" t="n">
        <v>1</v>
      </c>
      <c r="P321" t="n">
        <v>0</v>
      </c>
      <c r="Q321" t="n">
        <v>2</v>
      </c>
      <c r="R321" s="2" t="inlineStr">
        <is>
          <t>Kortskaftad ärgspik
Bronshjon</t>
        </is>
      </c>
      <c r="S321">
        <f>HYPERLINK("https://klasma.github.io/Logging_2283/artfynd/A 59020-2024 artfynd.xlsx", "A 59020-2024")</f>
        <v/>
      </c>
      <c r="T321">
        <f>HYPERLINK("https://klasma.github.io/Logging_2283/kartor/A 59020-2024 karta.png", "A 59020-2024")</f>
        <v/>
      </c>
      <c r="V321">
        <f>HYPERLINK("https://klasma.github.io/Logging_2283/klagomål/A 59020-2024 FSC-klagomål.docx", "A 59020-2024")</f>
        <v/>
      </c>
      <c r="W321">
        <f>HYPERLINK("https://klasma.github.io/Logging_2283/klagomålsmail/A 59020-2024 FSC-klagomål mail.docx", "A 59020-2024")</f>
        <v/>
      </c>
      <c r="X321">
        <f>HYPERLINK("https://klasma.github.io/Logging_2283/tillsyn/A 59020-2024 tillsynsbegäran.docx", "A 59020-2024")</f>
        <v/>
      </c>
      <c r="Y321">
        <f>HYPERLINK("https://klasma.github.io/Logging_2283/tillsynsmail/A 59020-2024 tillsynsbegäran mail.docx", "A 59020-2024")</f>
        <v/>
      </c>
    </row>
    <row r="322" ht="15" customHeight="1">
      <c r="A322" t="inlineStr">
        <is>
          <t>A 58880-2024</t>
        </is>
      </c>
      <c r="B322" s="1" t="n">
        <v>45636</v>
      </c>
      <c r="C322" s="1" t="n">
        <v>45650</v>
      </c>
      <c r="D322" t="inlineStr">
        <is>
          <t>VÄSTERNORRLANDS LÄN</t>
        </is>
      </c>
      <c r="E322" t="inlineStr">
        <is>
          <t>SOLLEFTEÅ</t>
        </is>
      </c>
      <c r="F322" t="inlineStr">
        <is>
          <t>SCA</t>
        </is>
      </c>
      <c r="G322" t="n">
        <v>2</v>
      </c>
      <c r="H322" t="n">
        <v>0</v>
      </c>
      <c r="I322" t="n">
        <v>0</v>
      </c>
      <c r="J322" t="n">
        <v>2</v>
      </c>
      <c r="K322" t="n">
        <v>0</v>
      </c>
      <c r="L322" t="n">
        <v>0</v>
      </c>
      <c r="M322" t="n">
        <v>0</v>
      </c>
      <c r="N322" t="n">
        <v>0</v>
      </c>
      <c r="O322" t="n">
        <v>2</v>
      </c>
      <c r="P322" t="n">
        <v>0</v>
      </c>
      <c r="Q322" t="n">
        <v>2</v>
      </c>
      <c r="R322" s="2" t="inlineStr">
        <is>
          <t>Gammelgransskål
Garnlav</t>
        </is>
      </c>
      <c r="S322">
        <f>HYPERLINK("https://klasma.github.io/Logging_2283/artfynd/A 58880-2024 artfynd.xlsx", "A 58880-2024")</f>
        <v/>
      </c>
      <c r="T322">
        <f>HYPERLINK("https://klasma.github.io/Logging_2283/kartor/A 58880-2024 karta.png", "A 58880-2024")</f>
        <v/>
      </c>
      <c r="V322">
        <f>HYPERLINK("https://klasma.github.io/Logging_2283/klagomål/A 58880-2024 FSC-klagomål.docx", "A 58880-2024")</f>
        <v/>
      </c>
      <c r="W322">
        <f>HYPERLINK("https://klasma.github.io/Logging_2283/klagomålsmail/A 58880-2024 FSC-klagomål mail.docx", "A 58880-2024")</f>
        <v/>
      </c>
      <c r="X322">
        <f>HYPERLINK("https://klasma.github.io/Logging_2283/tillsyn/A 58880-2024 tillsynsbegäran.docx", "A 58880-2024")</f>
        <v/>
      </c>
      <c r="Y322">
        <f>HYPERLINK("https://klasma.github.io/Logging_2283/tillsynsmail/A 58880-2024 tillsynsbegäran mail.docx", "A 58880-2024")</f>
        <v/>
      </c>
    </row>
    <row r="323" ht="15" customHeight="1">
      <c r="A323" t="inlineStr">
        <is>
          <t>A 60665-2024</t>
        </is>
      </c>
      <c r="B323" s="1" t="n">
        <v>45644</v>
      </c>
      <c r="C323" s="1" t="n">
        <v>45650</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45650</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45650</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45650</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45650</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45650</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45650</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45650</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45650</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45650</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45650</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45650</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45650</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45650</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45650</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45650</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45650</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45650</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45650</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45650</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45650</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45650</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45650</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45650</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45650</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45650</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45650</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45650</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45650</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45650</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45650</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45650</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45650</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45650</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45650</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45650</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45650</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45650</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45650</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45650</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45650</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45650</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45650</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45650</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45650</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45650</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45650</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45650</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45650</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45650</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45650</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45650</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45650</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45650</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45650</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45650</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45650</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45650</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45650</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45650</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45650</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45650</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45650</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45650</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45650</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45650</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45650</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45650</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45650</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45650</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45650</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45650</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45650</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45650</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45650</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45650</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45650</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45650</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45650</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45650</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45650</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45650</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45650</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45650</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45650</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45650</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45650</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45650</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45650</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45650</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45650</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45650</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45650</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45650</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45650</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45650</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45650</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45650</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45650</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45650</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45650</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45650</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45650</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45650</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45650</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45650</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45650</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45650</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45650</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45650</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45650</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45650</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45650</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45650</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45650</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45650</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45650</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45650</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45650</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45650</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45650</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45650</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45650</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45650</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45650</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45650</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45650</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45650</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45650</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45650</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45650</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45650</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45650</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45650</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45650</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45650</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45650</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45650</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45650</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45650</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45650</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45650</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45650</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45650</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45650</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45650</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45650</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45650</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45650</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45650</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45650</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45650</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45650</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45650</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45650</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45650</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45650</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45650</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45650</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45650</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45650</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45650</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45650</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45650</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45650</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45650</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45650</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45650</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45650</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45650</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45650</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45650</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45650</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45650</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45650</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45650</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45650</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45650</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45650</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45650</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45650</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45650</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45650</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45650</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45650</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45650</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45650</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45650</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45650</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45650</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45650</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45650</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45650</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45650</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45650</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45650</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45650</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45650</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45650</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45650</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45650</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45650</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45650</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45650</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45650</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45650</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45650</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45650</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45650</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45650</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45650</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45650</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45650</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45650</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45650</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45650</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45650</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45650</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45650</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45650</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45650</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45650</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45650</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45650</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45650</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45650</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45650</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45650</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45650</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45650</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45650</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45650</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45650</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45650</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45650</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45650</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45650</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45650</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45650</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45650</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45650</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45650</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45650</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45650</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45650</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45650</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45650</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45650</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45650</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45650</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45650</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45650</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45650</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45650</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45650</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45650</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45650</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45650</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45650</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45650</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45650</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45650</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45650</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45650</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45650</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45650</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45650</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45650</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45650</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45650</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45650</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45650</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45650</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45650</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45650</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45650</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45650</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45650</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45650</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45650</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45650</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45650</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45650</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45650</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45650</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45650</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45650</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45650</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45650</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45650</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45650</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45650</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45650</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45650</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45650</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45650</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45650</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45650</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45650</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45650</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45650</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45650</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45650</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45650</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45650</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45650</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45650</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45650</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45650</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45650</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45650</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45650</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45650</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45650</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45650</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45650</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45650</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45650</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45650</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45650</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45650</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45650</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45650</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45650</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45650</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45650</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45650</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45650</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45650</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45650</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45650</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45650</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45650</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45650</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45650</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45650</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45650</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45650</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45650</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45650</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45650</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45650</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45650</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45650</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45650</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45650</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45650</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45650</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45650</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45650</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45650</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45650</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45650</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45650</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45650</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45650</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45650</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45650</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45650</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45650</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45650</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45650</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45650</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45650</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45650</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45650</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45650</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45650</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45650</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45650</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45650</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45650</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45650</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45650</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45650</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45650</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45650</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45650</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45650</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45650</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45650</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45650</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45650</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45650</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45650</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45650</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45650</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45650</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45650</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45650</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45650</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45650</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45650</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45650</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45650</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45650</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45650</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45650</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45650</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45650</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45650</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45650</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45650</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45650</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45650</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45650</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45650</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45650</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45650</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45650</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45650</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45650</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45650</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45650</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45650</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45650</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45650</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45650</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45650</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45650</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45650</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45650</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45650</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45650</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45650</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45650</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45650</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45650</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45650</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45650</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45650</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45650</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45650</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45650</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45650</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45650</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45650</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45650</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45650</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45650</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45650</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45650</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45650</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45650</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45650</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45650</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45650</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45650</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45650</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45650</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45650</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45650</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45650</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45650</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45650</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45650</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45650</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45650</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45650</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45650</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45650</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45650</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45650</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45650</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45650</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45650</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45650</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45650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45650</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45650</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45650</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45650</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45650</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45650</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45650</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45650</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45650</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45650</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45650</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45650</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45650</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45650</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45650</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45650</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45650</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45650</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45650</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45650</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45650</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45650</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45650</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45650</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45650</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45650</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45650</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45650</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45650</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45650</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45650</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45650</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45650</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45650</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45650</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45650</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45650</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45650</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45650</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45650</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45650</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45650</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45650</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45650</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45650</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45650</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45650</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45650</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45650</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45650</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45650</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45650</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45650</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45650</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45650</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45650</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45650</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45650</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45650</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45650</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45650</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45650</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45650</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45650</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45650</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45650</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45650</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45650</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45650</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45650</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45650</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45650</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45650</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45650</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45650</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45650</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45650</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45650</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45650</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45650</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45650</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45650</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45650</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45650</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45650</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45650</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45650</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45650</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45650</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45650</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45650</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45650</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45650</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45650</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45650</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45650</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45650</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45650</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45650</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45650</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45650</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45650</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45650</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45650</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45650</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45650</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45650</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45650</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45650</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45650</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45650</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45650</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45650</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45650</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45650</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45650</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45650</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45650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45650</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45650</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45650</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45650</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45650</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45650</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45650</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45650</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45650</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45650</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45650</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45650</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45650</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45650</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45650</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45650</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45650</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45650</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45650</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45650</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45650</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45650</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45650</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45650</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45650</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45650</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45650</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45650</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45650</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45650</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45650</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45650</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45650</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45650</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45650</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45650</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45650</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45650</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45650</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45650</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45650</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45650</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45650</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45650</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45650</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45650</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45650</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45650</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45650</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45650</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45650</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45650</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45650</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45650</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45650</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45650</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45650</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45650</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45650</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45650</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45650</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45650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45650</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45650</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45650</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45650</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45650</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45650</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45650</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45650</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45650</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45650</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45650</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45650</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45650</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45650</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45650</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45650</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45650</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45650</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45650</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45650</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45650</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45650</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45650</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45650</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45650</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45650</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45650</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45650</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45650</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45650</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45650</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45650</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45650</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45650</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45650</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45650</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45650</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45650</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45650</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45650</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45650</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45650</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45650</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45650</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45650</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45650</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45650</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45650</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45650</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45650</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45650</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45650</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45650</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45650</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45650</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45650</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45650</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45650</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45650</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45650</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45650</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45650</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45650</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45650</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45650</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45650</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45650</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45650</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45650</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45650</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45650</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45650</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45650</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45650</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45650</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45650</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45650</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45650</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45650</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45650</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45650</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45650</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45650</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45650</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45650</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45650</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45650</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45650</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45650</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45650</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45650</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45650</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45650</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45650</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45650</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45650</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45650</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45650</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45650</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45650</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45650</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45650</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45650</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45650</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45650</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45650</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45650</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45650</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45650</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45650</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45650</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45650</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45650</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45650</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45650</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45650</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45650</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45650</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45650</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45650</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45650</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45650</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45650</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45650</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45650</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45650</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45650</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45650</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45650</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45650</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45650</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45650</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45650</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45650</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45650</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45650</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45650</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45650</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45650</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45650</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45650</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45650</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45650</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45650</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45650</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45650</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45650</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45650</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45650</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45650</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45650</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45650</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45650</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45650</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45650</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45650</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45650</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45650</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45650</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45650</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45650</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45650</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45650</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45650</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45650</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45650</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45650</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45650</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45650</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45650</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45650</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45650</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45650</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45650</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45650</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45650</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45650</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45650</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45650</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45650</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45650</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45650</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45650</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45650</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45650</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45650</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45650</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45650</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45650</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45650</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45650</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45650</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45650</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45650</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45650</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45650</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45650</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45650</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45650</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45650</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45650</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45650</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45650</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45650</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45650</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45650</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45650</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45650</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45650</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45650</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45650</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45650</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45650</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45650</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45650</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45650</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45650</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45650</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45650</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45650</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45650</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45650</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45650</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45650</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45650</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45650</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45650</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45650</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45650</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45650</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45650</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45650</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45650</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45650</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45650</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45650</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45650</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45650</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45650</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45650</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45650</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45650</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45650</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45650</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45650</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45650</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45650</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45650</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45650</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45650</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45650</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45650</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45650</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45650</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45650</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45650</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45650</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45650</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45650</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45650</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45650</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45650</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45650</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45650</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45650</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45650</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45650</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45650</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45650</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45650</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45650</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45650</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45650</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45650</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45650</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45650</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45650</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45650</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45650</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45650</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45650</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45650</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45650</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45650</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45650</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45650</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45650</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45650</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45650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45650</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45650</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45650</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45650</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45650</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45650</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45650</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45650</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45650</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45650</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45650</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45650</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45650</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45650</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45650</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45650</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45650</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45650</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45650</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45650</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45650</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45650</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45650</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45650</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45650</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45650</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45650</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45650</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45650</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45650</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45650</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45650</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45650</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45650</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45650</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45650</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45650</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45650</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45650</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45650</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45650</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45650</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45650</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45650</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45650</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45650</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45650</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45650</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45650</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45650</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45650</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45650</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45650</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45650</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45650</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45650</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45650</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45650</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45650</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45650</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45650</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45650</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45650</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45650</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45650</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45650</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45650</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45650</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45650</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45650</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45650</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45650</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45650</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45650</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45650</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45650</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45650</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45650</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45650</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45650</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45650</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45650</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45650</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45650</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45650</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45650</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45650</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45650</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45650</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45650</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45650</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45650</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45650</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45650</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45650</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45650</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45650</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45650</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45650</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45650</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45650</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45650</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45650</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45650</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45650</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45650</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45650</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45650</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45650</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45650</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45650</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45650</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45650</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45650</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45650</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45650</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45650</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45650</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45650</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45650</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45650</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45650</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45650</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45650</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45650</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45650</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45650</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45650</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45650</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45650</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45650</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45650</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45650</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45650</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45650</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45650</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45650</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45650</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45650</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45650</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45650</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45650</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45650</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45650</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45650</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45650</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45650</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45650</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45650</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45650</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45650</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45650</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45650</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45650</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45650</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45650</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45650</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45650</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45650</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45650</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45650</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45650</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45650</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45650</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45650</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45650</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45650</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45650</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45650</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45650</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45650</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45650</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45650</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45650</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45650</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45650</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45650</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45650</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45650</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45650</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45650</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45650</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45650</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45650</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45650</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45650</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45650</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45650</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45650</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45650</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45650</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45650</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45650</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45650</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45650</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45650</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45650</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45650</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45650</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45650</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45650</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45650</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45650</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45650</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45650</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45650</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45650</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45650</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45650</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45650</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45650</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45650</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45650</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45650</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45650</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45650</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45650</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45650</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45650</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45650</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45650</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45650</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45650</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45650</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45650</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45650</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45650</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45650</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45650</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45650</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45650</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45650</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45650</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45650</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45650</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45650</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45650</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45650</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45650</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45650</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45650</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45650</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45650</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45650</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45650</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45650</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45650</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45650</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45650</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45650</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45650</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45650</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45650</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45650</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45650</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45650</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45650</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45650</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45650</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45650</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45650</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45650</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45650</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45650</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45650</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45650</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45650</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45650</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45650</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45650</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45650</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45650</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45650</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45650</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45650</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45650</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45650</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45650</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45650</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45650</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45650</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45650</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45650</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45650</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45650</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45650</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45650</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45650</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45650</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45650</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45650</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45650</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45650</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45650</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45650</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45650</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45650</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45650</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45650</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45650</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45650</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45650</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45650</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45650</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45650</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45650</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45650</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45650</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45650</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45650</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45650</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45650</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45650</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45650</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45650</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45650</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45650</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45650</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45650</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45650</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45650</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45650</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45650</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45650</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45650</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45650</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45650</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45650</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45650</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45650</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45650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45650</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45650</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45650</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45650</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45650</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45650</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45650</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45650</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45650</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45650</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45650</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45650</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45650</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45650</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45650</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45650</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45650</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45650</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45650</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45650</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45650</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45650</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45650</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45650</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45650</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45650</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45650</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45650</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45650</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45650</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45650</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45650</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45650</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45650</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45650</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45650</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45650</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45650</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45650</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45650</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45650</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45650</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45650</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45650</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45650</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45650</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45650</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45650</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45650</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45650</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45650</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45650</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45650</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45650</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45650</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45650</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45650</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45650</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45650</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45650</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45650</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45650</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45650</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45650</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45650</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45650</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45650</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45650</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45650</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45650</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45650</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45650</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45650</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45650</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45650</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45650</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45650</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45650</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45650</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45650</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45650</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45650</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45650</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45650</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45650</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45650</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45650</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45650</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45650</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45650</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45650</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45650</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45650</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45650</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45650</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45650</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45650</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45650</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45650</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45650</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45650</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45650</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45650</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45650</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45650</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45650</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45650</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45650</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45650</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45650</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45650</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45650</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45650</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45650</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45650</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45650</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45650</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45650</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45650</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45650</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45650</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45650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45650</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45650</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45650</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45650</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45650</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45650</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45650</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45650</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45650</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45650</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45650</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45650</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45650</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45650</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45650</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45650</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45650</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45650</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45650</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45650</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45650</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45650</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45650</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45650</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45650</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45650</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45650</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45650</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45650</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45650</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45650</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45650</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45650</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45650</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45650</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45650</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45650</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45650</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45650</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45650</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45650</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45650</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45650</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45650</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45650</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45650</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45650</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45650</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45650</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45650</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45650</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45650</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45650</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45650</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45650</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45650</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45650</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45650</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45650</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45650</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45650</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45650</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45650</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45650</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45650</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45650</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45650</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45650</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45650</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45650</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45650</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45650</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45650</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45650</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45650</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45650</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45650</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45650</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45650</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45650</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45650</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45650</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45650</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45650</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45650</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45650</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45650</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45650</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45650</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45650</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45650</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45650</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45650</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45650</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45650</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45650</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45650</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45650</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45650</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45650</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45650</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45650</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45650</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45650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45650</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45650</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45650</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45650</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45650</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45650</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45650</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45650</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45650</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45650</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45650</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45650</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45650</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45650</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45650</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45650</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45650</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45650</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45650</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45650</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45650</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45650</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45650</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45650</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45650</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45650</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45650</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45650</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45650</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45650</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45650</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45650</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45650</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45650</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45650</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45650</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45650</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45650</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45650</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45650</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45650</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45650</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45650</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45650</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45650</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45650</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45650</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45650</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45650</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45650</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45650</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45650</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45650</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45650</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45650</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45650</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45650</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45650</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45650</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45650</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45650</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45650</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45650</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45650</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45650</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45650</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45650</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45650</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45650</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45650</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45650</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45650</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45650</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45650</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45650</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45650</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45650</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45650</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45650</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45650</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45650</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45650</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45650</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45650</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45650</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45650</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45650</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45650</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45650</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45650</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45650</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45650</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45650</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45650</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45650</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45650</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45650</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45650</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45650</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45650</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45650</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45650</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45650</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45650</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45650</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45650</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45650</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45650</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45650</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45650</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45650</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45650</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45650</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45650</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45650</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45650</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45650</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45650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45650</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45650</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45650</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45650</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45650</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45650</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45650</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45650</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45650</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45650</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45650</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45650</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45650</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45650</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45650</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45650</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45650</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45650</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45650</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45650</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45650</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45650</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45650</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45650</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45650</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45650</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45650</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45650</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45650</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45650</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45650</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45650</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45650</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45650</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45650</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45650</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45650</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45650</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45650</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45650</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45650</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45650</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45650</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45650</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45650</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45650</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45650</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45650</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45650</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45650</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45650</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45650</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45650</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45650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45650</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45650</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45650</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45650</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45650</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45650</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45650</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45650</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45650</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45650</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45650</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45650</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45650</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45650</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45650</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45650</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45650</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45650</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45650</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45650</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45650</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45650</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45650</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45650</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45650</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45650</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45650</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45650</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45650</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45650</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45650</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45650</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45650</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45650</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45650</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45650</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45650</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45650</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45650</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45650</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45650</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45650</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45650</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45650</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45650</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45650</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45650</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45650</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45650</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45650</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45650</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45650</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45650</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45650</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45650</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45650</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45650</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45650</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45650</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45650</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45650</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45650</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45650</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45650</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45650</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45650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45650</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45650</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45650</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45650</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45650</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45650</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45650</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45650</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45650</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45650</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45650</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45650</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45650</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45650</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45650</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45650</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45650</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45650</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45650</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45650</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45650</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45650</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45650</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45650</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45650</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45650</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45650</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45650</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45650</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45650</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45650</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45650</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45650</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45650</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45650</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45650</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45650</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45650</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45650</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45650</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45650</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45650</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45650</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45650</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45650</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45650</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45650</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45650</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45650</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45650</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45650</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45650</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45650</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45650</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45650</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45650</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45650</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45650</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45650</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45650</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45650</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45650</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45650</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45650</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45650</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45650</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45650</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45650</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45650</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45650</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45650</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45650</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45650</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45650</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45650</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45650</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45650</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45650</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45650</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45650</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45650</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45650</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45650</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45650</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45650</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45650</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45650</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45650</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45650</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45650</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45650</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45650</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45650</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45650</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45650</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45650</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45650</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45650</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45650</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45650</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45650</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45650</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45650</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45650</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45650</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45650</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45650</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45650</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45650</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45650</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45650</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45650</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45650</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45650</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45650</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45650</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45650</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45650</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45650</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45650</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45650</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45650</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45650</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45650</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45650</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45650</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45650</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45650</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45650</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45650</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45650</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45650</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45650</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45650</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45650</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45650</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45650</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45650</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45650</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45650</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45650</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45650</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45650</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45650</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45650</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45650</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45650</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45650</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45650</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45650</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45650</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45650</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45650</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45650</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45650</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45650</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45650</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45650</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45650</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45650</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45650</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45650</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45650</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45650</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45650</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45650</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45650</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45650</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45650</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45650</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45650</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45650</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45650</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45650</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45650</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45650</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45650</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45650</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45650</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45650</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45650</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45650</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45650</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45650</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45650</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45650</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45650</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45650</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45650</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45650</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45650</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45650</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45650</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45650</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45650</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45650</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45650</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45650</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45650</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45650</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45650</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45650</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45650</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45650</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45650</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45650</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45650</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45650</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45650</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45650</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45650</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45650</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45650</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45650</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45650</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45650</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45650</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45650</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45650</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45650</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45650</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45650</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45650</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45650</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45650</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45650</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45650</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45650</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45650</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45650</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45650</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45650</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45650</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45650</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45650</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45650</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45650</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45650</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45650</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45650</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45650</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45650</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45650</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45650</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45650</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45650</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45650</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45650</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45650</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45650</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45650</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45650</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45650</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45650</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45650</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45650</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45650</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45650</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45650</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45650</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45650</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45650</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45650</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45650</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45650</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45650</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45650</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45650</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45650</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45650</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45650</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45650</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45650</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45650</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45650</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45650</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45650</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45650</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45650</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45650</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45650</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45650</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45650</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45650</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45650</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45650</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45650</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45650</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45650</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45650</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45650</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45650</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45650</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45650</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45650</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45650</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45650</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45650</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45650</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45650</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45650</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45650</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45650</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45650</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45650</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45650</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45650</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45650</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45650</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45650</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45650</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45650</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45650</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45650</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45650</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45650</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45650</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45650</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45650</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45650</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45650</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45650</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45650</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45650</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45650</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45650</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45650</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45650</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45650</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45650</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45650</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45650</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45650</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45650</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45650</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45650</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45650</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45650</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45650</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45650</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45650</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45650</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45650</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45650</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45650</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45650</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45650</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45650</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45650</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45650</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45650</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45650</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45650</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45650</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45650</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45650</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45650</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45650</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45650</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45650</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45650</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45650</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45650</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45650</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45650</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45650</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45650</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45650</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45650</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45650</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45650</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45650</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45650</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45650</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45650</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45650</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45650</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45650</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45650</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45650</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45650</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45650</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45650</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45650</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45650</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45650</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45650</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45650</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45650</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45650</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45650</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45650</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45650</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45650</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45650</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45650</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45650</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45650</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45650</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45650</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45650</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45650</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45650</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45650</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45650</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45650</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45650</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45650</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45650</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45650</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45650</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45650</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45650</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45650</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45650</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45650</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45650</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45650</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45650</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45650</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45650</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45650</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45650</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45650</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45650</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45650</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45650</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45650</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45650</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45650</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45650</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45650</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45650</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45650</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45650</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45650</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45650</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45650</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45650</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45650</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45650</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45650</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45650</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45650</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45650</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45650</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45650</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45650</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45650</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45650</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45650</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45650</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45650</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45650</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45650</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45650</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45650</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45650</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45650</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45650</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45650</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45650</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45650</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45650</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45650</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45650</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45650</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45650</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45650</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45650</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45650</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45650</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45650</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45650</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45650</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45650</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45650</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45650</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45650</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45650</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45650</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45650</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45650</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45650</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45650</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45650</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45650</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45650</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45650</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45650</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45650</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45650</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45650</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45650</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45650</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45650</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45650</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45650</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45650</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45650</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45650</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45650</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45650</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45650</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45650</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45650</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45650</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45650</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45650</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45650</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45650</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45650</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45650</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45650</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45650</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45650</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45650</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45650</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45650</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45650</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45650</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45650</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45650</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45650</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45650</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45650</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45650</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45650</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45650</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45650</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45650</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45650</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45650</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45650</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45650</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45650</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45650</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45650</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45650</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45650</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45650</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45650</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45650</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45650</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45650</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45650</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45650</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45650</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45650</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45650</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45650</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45650</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45650</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45650</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45650</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45650</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45650</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45650</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45650</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45650</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45650</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45650</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45650</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45650</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45650</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45650</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45650</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45650</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45650</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45650</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45650</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45650</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45650</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45650</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45650</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45650</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45650</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45650</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45650</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45650</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45650</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45650</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45650</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45650</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45650</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45650</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45650</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45650</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45650</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45650</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45650</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45650</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45650</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45650</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45650</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45650</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45650</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45650</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45650</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45650</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45650</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45650</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45650</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45650</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45650</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45650</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45650</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45650</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45650</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45650</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45650</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45650</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45650</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45650</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45650</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45650</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45650</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45650</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45650</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45650</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45650</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45650</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45650</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45650</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45650</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45650</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45650</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45650</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45650</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45650</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45650</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45650</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45650</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45650</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45650</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45650</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45650</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45650</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45650</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45650</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45650</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45650</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45650</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45650</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45650</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45650</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45650</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45650</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45650</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45650</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45650</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45650</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45650</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45650</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45650</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45650</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45650</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45650</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45650</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45650</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45650</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45650</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45650</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45650</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45650</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45650</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45650</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45650</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45650</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45650</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45650</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45650</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45650</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45650</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45650</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45650</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45650</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45650</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45650</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45650</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45650</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45650</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45650</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45650</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45650</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45650</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45650</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45650</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45650</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45650</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45650</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45650</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45650</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45650</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45650</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45650</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45650</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45650</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45650</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45650</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45650</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45650</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45650</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45650</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45650</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45650</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45650</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45650</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45650</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45650</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45650</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45650</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45650</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45650</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45650</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45650</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45650</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45650</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45650</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45650</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45650</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45650</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45650</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45650</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45650</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45650</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45650</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45650</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45650</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45650</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45650</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45650</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45650</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45650</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45650</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45650</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45650</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45650</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45650</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45650</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45650</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45650</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45650</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45650</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45650</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45650</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45650</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45650</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45650</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45650</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45650</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45650</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45650</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45650</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45650</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45650</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45650</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45650</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45650</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45650</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45650</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45650</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45650</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45650</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45650</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45650</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45650</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45650</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45650</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45650</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45650</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45650</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45650</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45650</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45650</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45650</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45650</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45650</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45650</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45650</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45650</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45650</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45650</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45650</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45650</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45650</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45650</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45650</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45650</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45650</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45650</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45650</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45650</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45650</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45650</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45650</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45650</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45650</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45650</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45650</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45650</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45650</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45650</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45650</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45650</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45650</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45650</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45650</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45650</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45650</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45650</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45650</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45650</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45650</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45650</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45650</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45650</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45650</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45650</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45650</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45650</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45650</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45650</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45650</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45650</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45650</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45650</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45650</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45650</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45650</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45650</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45650</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45650</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45650</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45650</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45650</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45650</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45650</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45650</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45650</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45650</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45650</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45650</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45650</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45650</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45650</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45650</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45650</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45650</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45650</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45650</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45650</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45650</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45650</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45650</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45650</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45650</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45650</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45650</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45650</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45650</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45650</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45650</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45650</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45650</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45650</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45650</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45650</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45650</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45650</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45650</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45650</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45650</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45650</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45650</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45650</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45650</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45650</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45650</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45650</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45650</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45650</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45650</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45650</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45650</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45650</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45650</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45650</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45650</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45650</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45650</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45650</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45650</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45650</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45650</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45650</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45650</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45650</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45650</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45650</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45650</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45650</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45650</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45650</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45650</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45650</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45650</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45650</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45650</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45650</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45650</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45650</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45650</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45650</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45650</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45650</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45650</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45650</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45650</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45650</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45650</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45650</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45650</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45650</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45650</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45650</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45650</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45650</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45650</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45650</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45650</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45650</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45650</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45650</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45650</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45650</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45650</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45650</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45650</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45650</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45650</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45650</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45650</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45650</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45650</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45650</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45650</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45650</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45650</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45650</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45650</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45650</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45650</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45650</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45650</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45650</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45650</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45650</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45650</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45650</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45650</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45650</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45650</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45650</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45650</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45650</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45650</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45650</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45650</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45650</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45650</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45650</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45650</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45650</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45650</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45650</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45650</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45650</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45650</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45650</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45650</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45650</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45650</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45650</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45650</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45650</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45650</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45650</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45650</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45650</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45650</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45650</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45650</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45650</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45650</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45650</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45650</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45650</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45650</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45650</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45650</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45650</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45650</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45650</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45650</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45650</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45650</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45650</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45650</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45650</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45650</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45650</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45650</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45650</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45650</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45650</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45650</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45650</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45650</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45650</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45650</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45650</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45650</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45650</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45650</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45650</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45650</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45650</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45650</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45650</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45650</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45650</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45650</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45650</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45650</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45650</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45650</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45650</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45650</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45650</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45650</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45650</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45650</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45650</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45650</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45650</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45650</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45650</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45650</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45650</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45650</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45650</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45650</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45650</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45650</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45650</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45650</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45650</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45650</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45650</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45650</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45650</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45650</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45650</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45650</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45650</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45650</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45650</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45650</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45650</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45650</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45650</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45650</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45650</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45650</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45650</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45650</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45650</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45650</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45650</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45650</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45650</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45650</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45650</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45650</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45650</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45650</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45650</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45650</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45650</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45650</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45650</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45650</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45650</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45650</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45650</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45650</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45650</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45650</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45650</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45650</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45650</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45650</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45650</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45650</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45650</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45650</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45650</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45650</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45650</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45650</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45650</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45650</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45650</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45650</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45650</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45650</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45650</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45650</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45650</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45650</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45650</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45650</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45650</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45650</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45650</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45650</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45650</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45650</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45650</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45650</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45650</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45650</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45650</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45650</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45650</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45650</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45650</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45650</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45650</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45650</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45650</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45650</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45650</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45650</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45650</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45650</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45650</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45650</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45650</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45650</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45650</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45650</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45650</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45650</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45650</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45650</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45650</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45650</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45650</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45650</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45650</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45650</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45650</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45650</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45650</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45650</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45650</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45650</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45650</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45650</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45650</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45650</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45650</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45650</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45650</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45650</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45650</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45650</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45650</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45650</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45650</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45650</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45650</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45650</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45650</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45650</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45650</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45650</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45650</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45650</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45650</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45650</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45650</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45650</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45650</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45650</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45650</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45650</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45650</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45650</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45650</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45650</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45650</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45650</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45650</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45650</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45650</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45650</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45650</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45650</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45650</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45650</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45650</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45650</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45650</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45650</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45650</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45650</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45650</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45650</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45650</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45650</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45650</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45650</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45650</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45650</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45650</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45650</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45650</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45650</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45650</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45650</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45650</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45650</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45650</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45650</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45650</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45650</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45650</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45650</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45650</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45650</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45650</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45650</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45650</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45650</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45650</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45650</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45650</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45650</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45650</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45650</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45650</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45650</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45650</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45650</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45650</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45650</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45650</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45650</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45650</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45650</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45650</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45650</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45650</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45650</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45650</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45650</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45650</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45650</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45650</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45650</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45650</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45650</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45650</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45650</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45650</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45650</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45650</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45650</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45650</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45650</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45650</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45650</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45650</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45650</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45650</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45650</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45650</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45650</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45650</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45650</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45650</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45650</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45650</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45650</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45650</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45650</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45650</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45650</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45650</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45650</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45650</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45650</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45650</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45650</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45650</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45650</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45650</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45650</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45650</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45650</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45650</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45650</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45650</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45650</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45650</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45650</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45650</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45650</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45650</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45650</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45650</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45650</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45650</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45650</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45650</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45650</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45650</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45650</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45650</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45650</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45650</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45650</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45650</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45650</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45650</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45650</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45650</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45650</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45650</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45650</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45650</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45650</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45650</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45650</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45650</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45650</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45650</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45650</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45650</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45650</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45650</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45650</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45650</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45650</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45650</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45650</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45650</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45650</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45650</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45650</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45650</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45650</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45650</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55440-2024</t>
        </is>
      </c>
      <c r="B3421" s="1" t="n">
        <v>45622</v>
      </c>
      <c r="C3421" s="1" t="n">
        <v>45650</v>
      </c>
      <c r="D3421" t="inlineStr">
        <is>
          <t>VÄSTERNORRLANDS LÄN</t>
        </is>
      </c>
      <c r="E3421" t="inlineStr">
        <is>
          <t>SOLLEFTEÅ</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55691-2024</t>
        </is>
      </c>
      <c r="B3422" s="1" t="n">
        <v>45622</v>
      </c>
      <c r="C3422" s="1" t="n">
        <v>45650</v>
      </c>
      <c r="D3422" t="inlineStr">
        <is>
          <t>VÄSTERNORRLANDS LÄN</t>
        </is>
      </c>
      <c r="E3422" t="inlineStr">
        <is>
          <t>SOLLEFTEÅ</t>
        </is>
      </c>
      <c r="F3422" t="inlineStr">
        <is>
          <t>SCA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55707-2024</t>
        </is>
      </c>
      <c r="B3423" s="1" t="n">
        <v>45622</v>
      </c>
      <c r="C3423" s="1" t="n">
        <v>45650</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55420-2024</t>
        </is>
      </c>
      <c r="B3424" s="1" t="n">
        <v>45622</v>
      </c>
      <c r="C3424" s="1" t="n">
        <v>45650</v>
      </c>
      <c r="D3424" t="inlineStr">
        <is>
          <t>VÄSTERNORRLANDS LÄN</t>
        </is>
      </c>
      <c r="E3424" t="inlineStr">
        <is>
          <t>SOLLEFTEÅ</t>
        </is>
      </c>
      <c r="F3424" t="inlineStr">
        <is>
          <t>SCA</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55439-2024</t>
        </is>
      </c>
      <c r="B3425" s="1" t="n">
        <v>45622</v>
      </c>
      <c r="C3425" s="1" t="n">
        <v>45650</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55542-2024</t>
        </is>
      </c>
      <c r="B3426" s="1" t="n">
        <v>45622</v>
      </c>
      <c r="C3426" s="1" t="n">
        <v>45650</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45650</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45650</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45650</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55792-2024</t>
        </is>
      </c>
      <c r="B3430" s="1" t="n">
        <v>45623</v>
      </c>
      <c r="C3430" s="1" t="n">
        <v>45650</v>
      </c>
      <c r="D3430" t="inlineStr">
        <is>
          <t>VÄSTERNORRLANDS LÄN</t>
        </is>
      </c>
      <c r="E3430" t="inlineStr">
        <is>
          <t>SOLLEFTEÅ</t>
        </is>
      </c>
      <c r="F3430" t="inlineStr">
        <is>
          <t>SCA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55769-2024</t>
        </is>
      </c>
      <c r="B3431" s="1" t="n">
        <v>45623</v>
      </c>
      <c r="C3431" s="1" t="n">
        <v>45650</v>
      </c>
      <c r="D3431" t="inlineStr">
        <is>
          <t>VÄSTERNORRLANDS LÄN</t>
        </is>
      </c>
      <c r="E3431" t="inlineStr">
        <is>
          <t>SOLLEFTEÅ</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55824-2024</t>
        </is>
      </c>
      <c r="B3432" s="1" t="n">
        <v>45623</v>
      </c>
      <c r="C3432" s="1" t="n">
        <v>45650</v>
      </c>
      <c r="D3432" t="inlineStr">
        <is>
          <t>VÄSTERNORRLANDS LÄN</t>
        </is>
      </c>
      <c r="E3432" t="inlineStr">
        <is>
          <t>SOLLEFTEÅ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55872-2024</t>
        </is>
      </c>
      <c r="B3433" s="1" t="n">
        <v>45623</v>
      </c>
      <c r="C3433" s="1" t="n">
        <v>45650</v>
      </c>
      <c r="D3433" t="inlineStr">
        <is>
          <t>VÄSTERNORRLANDS LÄN</t>
        </is>
      </c>
      <c r="E3433" t="inlineStr">
        <is>
          <t>SOLLEFTEÅ</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55851-2024</t>
        </is>
      </c>
      <c r="B3434" s="1" t="n">
        <v>45623</v>
      </c>
      <c r="C3434" s="1" t="n">
        <v>45650</v>
      </c>
      <c r="D3434" t="inlineStr">
        <is>
          <t>VÄSTERNORRLANDS LÄN</t>
        </is>
      </c>
      <c r="E3434" t="inlineStr">
        <is>
          <t>SOLLEFTEÅ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55756-2024</t>
        </is>
      </c>
      <c r="B3435" s="1" t="n">
        <v>45623</v>
      </c>
      <c r="C3435" s="1" t="n">
        <v>45650</v>
      </c>
      <c r="D3435" t="inlineStr">
        <is>
          <t>VÄSTERNORRLANDS LÄN</t>
        </is>
      </c>
      <c r="E3435" t="inlineStr">
        <is>
          <t>SOLLEFTEÅ</t>
        </is>
      </c>
      <c r="F3435" t="inlineStr">
        <is>
          <t>Holmen skog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45650</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45650</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45650</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45650</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45650</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45650</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45650</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56249-2024</t>
        </is>
      </c>
      <c r="B3443" s="1" t="n">
        <v>45624</v>
      </c>
      <c r="C3443" s="1" t="n">
        <v>45650</v>
      </c>
      <c r="D3443" t="inlineStr">
        <is>
          <t>VÄSTERNORRLANDS LÄN</t>
        </is>
      </c>
      <c r="E3443" t="inlineStr">
        <is>
          <t>SOLLEFTEÅ</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56257-2024</t>
        </is>
      </c>
      <c r="B3444" s="1" t="n">
        <v>45624</v>
      </c>
      <c r="C3444" s="1" t="n">
        <v>45650</v>
      </c>
      <c r="D3444" t="inlineStr">
        <is>
          <t>VÄSTERNORRLANDS LÄN</t>
        </is>
      </c>
      <c r="E3444" t="inlineStr">
        <is>
          <t>SOLLEFTEÅ</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56265-2024</t>
        </is>
      </c>
      <c r="B3445" s="1" t="n">
        <v>45624</v>
      </c>
      <c r="C3445" s="1" t="n">
        <v>45650</v>
      </c>
      <c r="D3445" t="inlineStr">
        <is>
          <t>VÄSTERNORRLANDS LÄN</t>
        </is>
      </c>
      <c r="E3445" t="inlineStr">
        <is>
          <t>SOLLEFTEÅ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56273-2024</t>
        </is>
      </c>
      <c r="B3446" s="1" t="n">
        <v>45624</v>
      </c>
      <c r="C3446" s="1" t="n">
        <v>45650</v>
      </c>
      <c r="D3446" t="inlineStr">
        <is>
          <t>VÄSTERNORRLANDS LÄN</t>
        </is>
      </c>
      <c r="E3446" t="inlineStr">
        <is>
          <t>SOLLEFTEÅ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45650</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45650</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45650</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56390-2024</t>
        </is>
      </c>
      <c r="B3450" s="1" t="n">
        <v>45625</v>
      </c>
      <c r="C3450" s="1" t="n">
        <v>45650</v>
      </c>
      <c r="D3450" t="inlineStr">
        <is>
          <t>VÄSTERNORRLANDS LÄN</t>
        </is>
      </c>
      <c r="E3450" t="inlineStr">
        <is>
          <t>SOLLEFTEÅ</t>
        </is>
      </c>
      <c r="F3450" t="inlineStr">
        <is>
          <t>SCA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56388-2024</t>
        </is>
      </c>
      <c r="B3451" s="1" t="n">
        <v>45625</v>
      </c>
      <c r="C3451" s="1" t="n">
        <v>45650</v>
      </c>
      <c r="D3451" t="inlineStr">
        <is>
          <t>VÄSTERNORRLANDS LÄN</t>
        </is>
      </c>
      <c r="E3451" t="inlineStr">
        <is>
          <t>SOLLEFTEÅ</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56387-2024</t>
        </is>
      </c>
      <c r="B3452" s="1" t="n">
        <v>45625</v>
      </c>
      <c r="C3452" s="1" t="n">
        <v>45650</v>
      </c>
      <c r="D3452" t="inlineStr">
        <is>
          <t>VÄSTERNORRLANDS LÄN</t>
        </is>
      </c>
      <c r="E3452" t="inlineStr">
        <is>
          <t>SOLLEFTEÅ</t>
        </is>
      </c>
      <c r="F3452" t="inlineStr">
        <is>
          <t>SCA</t>
        </is>
      </c>
      <c r="G3452" t="n">
        <v>10.6</v>
      </c>
      <c r="H3452" t="n">
        <v>0</v>
      </c>
      <c r="I3452" t="n">
        <v>0</v>
      </c>
      <c r="J3452" t="n">
        <v>0</v>
      </c>
      <c r="K3452" t="n">
        <v>0</v>
      </c>
      <c r="L3452" t="n">
        <v>0</v>
      </c>
      <c r="M3452" t="n">
        <v>0</v>
      </c>
      <c r="N3452" t="n">
        <v>0</v>
      </c>
      <c r="O3452" t="n">
        <v>0</v>
      </c>
      <c r="P3452" t="n">
        <v>0</v>
      </c>
      <c r="Q3452" t="n">
        <v>0</v>
      </c>
      <c r="R3452" s="2" t="inlineStr"/>
    </row>
    <row r="3453" ht="15" customHeight="1">
      <c r="A3453" t="inlineStr">
        <is>
          <t>A 56503-2024</t>
        </is>
      </c>
      <c r="B3453" s="1" t="n">
        <v>45625</v>
      </c>
      <c r="C3453" s="1" t="n">
        <v>45650</v>
      </c>
      <c r="D3453" t="inlineStr">
        <is>
          <t>VÄSTERNORRLANDS LÄN</t>
        </is>
      </c>
      <c r="E3453" t="inlineStr">
        <is>
          <t>SOLLEFTEÅ</t>
        </is>
      </c>
      <c r="F3453" t="inlineStr">
        <is>
          <t>Holmen skog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45650</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45650</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45650</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45650</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56861-2024</t>
        </is>
      </c>
      <c r="B3458" s="1" t="n">
        <v>45628</v>
      </c>
      <c r="C3458" s="1" t="n">
        <v>45650</v>
      </c>
      <c r="D3458" t="inlineStr">
        <is>
          <t>VÄSTERNORRLANDS LÄN</t>
        </is>
      </c>
      <c r="E3458" t="inlineStr">
        <is>
          <t>SOLLEFTEÅ</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56871-2024</t>
        </is>
      </c>
      <c r="B3459" s="1" t="n">
        <v>45628</v>
      </c>
      <c r="C3459" s="1" t="n">
        <v>45650</v>
      </c>
      <c r="D3459" t="inlineStr">
        <is>
          <t>VÄSTERNORRLANDS LÄN</t>
        </is>
      </c>
      <c r="E3459" t="inlineStr">
        <is>
          <t>SOLLEFTEÅ</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57317-2024</t>
        </is>
      </c>
      <c r="B3460" s="1" t="n">
        <v>45629</v>
      </c>
      <c r="C3460" s="1" t="n">
        <v>45650</v>
      </c>
      <c r="D3460" t="inlineStr">
        <is>
          <t>VÄSTERNORRLANDS LÄN</t>
        </is>
      </c>
      <c r="E3460" t="inlineStr">
        <is>
          <t>SOLLEFTEÅ</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57377-2024</t>
        </is>
      </c>
      <c r="B3461" s="1" t="n">
        <v>45629</v>
      </c>
      <c r="C3461" s="1" t="n">
        <v>45650</v>
      </c>
      <c r="D3461" t="inlineStr">
        <is>
          <t>VÄSTERNORRLANDS LÄN</t>
        </is>
      </c>
      <c r="E3461" t="inlineStr">
        <is>
          <t>SOLLEFTEÅ</t>
        </is>
      </c>
      <c r="F3461" t="inlineStr">
        <is>
          <t>SCA</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57101-2024</t>
        </is>
      </c>
      <c r="B3462" s="1" t="n">
        <v>45629</v>
      </c>
      <c r="C3462" s="1" t="n">
        <v>45650</v>
      </c>
      <c r="D3462" t="inlineStr">
        <is>
          <t>VÄSTERNORRLANDS LÄN</t>
        </is>
      </c>
      <c r="E3462" t="inlineStr">
        <is>
          <t>SOLLEFTEÅ</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57094-2024</t>
        </is>
      </c>
      <c r="B3463" s="1" t="n">
        <v>45629</v>
      </c>
      <c r="C3463" s="1" t="n">
        <v>45650</v>
      </c>
      <c r="D3463" t="inlineStr">
        <is>
          <t>VÄSTERNORRLANDS LÄN</t>
        </is>
      </c>
      <c r="E3463" t="inlineStr">
        <is>
          <t>SOLLEFTEÅ</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57107-2024</t>
        </is>
      </c>
      <c r="B3464" s="1" t="n">
        <v>45629</v>
      </c>
      <c r="C3464" s="1" t="n">
        <v>45650</v>
      </c>
      <c r="D3464" t="inlineStr">
        <is>
          <t>VÄSTERNORRLANDS LÄN</t>
        </is>
      </c>
      <c r="E3464" t="inlineStr">
        <is>
          <t>SOLLEFTEÅ</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45650</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45650</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45650</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45650</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45650</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45650</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57846-2024</t>
        </is>
      </c>
      <c r="B3471" s="1" t="n">
        <v>45631</v>
      </c>
      <c r="C3471" s="1" t="n">
        <v>45650</v>
      </c>
      <c r="D3471" t="inlineStr">
        <is>
          <t>VÄSTERNORRLANDS LÄN</t>
        </is>
      </c>
      <c r="E3471" t="inlineStr">
        <is>
          <t>SOLLEFTEÅ</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57922-2024</t>
        </is>
      </c>
      <c r="B3472" s="1" t="n">
        <v>45631</v>
      </c>
      <c r="C3472" s="1" t="n">
        <v>45650</v>
      </c>
      <c r="D3472" t="inlineStr">
        <is>
          <t>VÄSTERNORRLANDS LÄN</t>
        </is>
      </c>
      <c r="E3472" t="inlineStr">
        <is>
          <t>SOLLEFTEÅ</t>
        </is>
      </c>
      <c r="F3472" t="inlineStr">
        <is>
          <t>SCA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57847-2024</t>
        </is>
      </c>
      <c r="B3473" s="1" t="n">
        <v>45631</v>
      </c>
      <c r="C3473" s="1" t="n">
        <v>45650</v>
      </c>
      <c r="D3473" t="inlineStr">
        <is>
          <t>VÄSTERNORRLANDS LÄN</t>
        </is>
      </c>
      <c r="E3473" t="inlineStr">
        <is>
          <t>SOLLEFTEÅ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57892-2024</t>
        </is>
      </c>
      <c r="B3474" s="1" t="n">
        <v>45631</v>
      </c>
      <c r="C3474" s="1" t="n">
        <v>45650</v>
      </c>
      <c r="D3474" t="inlineStr">
        <is>
          <t>VÄSTERNORRLANDS LÄN</t>
        </is>
      </c>
      <c r="E3474" t="inlineStr">
        <is>
          <t>SOLLEFTEÅ</t>
        </is>
      </c>
      <c r="F3474" t="inlineStr">
        <is>
          <t>SCA</t>
        </is>
      </c>
      <c r="G3474" t="n">
        <v>13.8</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45650</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58357-2024</t>
        </is>
      </c>
      <c r="B3476" s="1" t="n">
        <v>45632</v>
      </c>
      <c r="C3476" s="1" t="n">
        <v>45650</v>
      </c>
      <c r="D3476" t="inlineStr">
        <is>
          <t>VÄSTERNORRLANDS LÄN</t>
        </is>
      </c>
      <c r="E3476" t="inlineStr">
        <is>
          <t>SOLLEFTEÅ</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58360-2024</t>
        </is>
      </c>
      <c r="B3477" s="1" t="n">
        <v>45632</v>
      </c>
      <c r="C3477" s="1" t="n">
        <v>45650</v>
      </c>
      <c r="D3477" t="inlineStr">
        <is>
          <t>VÄSTERNORRLANDS LÄN</t>
        </is>
      </c>
      <c r="E3477" t="inlineStr">
        <is>
          <t>SOLLEFTEÅ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45650</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58461-2024</t>
        </is>
      </c>
      <c r="B3479" s="1" t="n">
        <v>45635</v>
      </c>
      <c r="C3479" s="1" t="n">
        <v>45650</v>
      </c>
      <c r="D3479" t="inlineStr">
        <is>
          <t>VÄSTERNORRLANDS LÄN</t>
        </is>
      </c>
      <c r="E3479" t="inlineStr">
        <is>
          <t>SOLLEFTEÅ</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58478-2024</t>
        </is>
      </c>
      <c r="B3480" s="1" t="n">
        <v>45635</v>
      </c>
      <c r="C3480" s="1" t="n">
        <v>45650</v>
      </c>
      <c r="D3480" t="inlineStr">
        <is>
          <t>VÄSTERNORRLANDS LÄN</t>
        </is>
      </c>
      <c r="E3480" t="inlineStr">
        <is>
          <t>SOLLEFTEÅ</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58531-2024</t>
        </is>
      </c>
      <c r="B3481" s="1" t="n">
        <v>45635</v>
      </c>
      <c r="C3481" s="1" t="n">
        <v>45650</v>
      </c>
      <c r="D3481" t="inlineStr">
        <is>
          <t>VÄSTERNORRLANDS LÄN</t>
        </is>
      </c>
      <c r="E3481" t="inlineStr">
        <is>
          <t>SOLLEFTEÅ</t>
        </is>
      </c>
      <c r="F3481" t="inlineStr">
        <is>
          <t>SCA</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58578-2024</t>
        </is>
      </c>
      <c r="B3482" s="1" t="n">
        <v>45635</v>
      </c>
      <c r="C3482" s="1" t="n">
        <v>45650</v>
      </c>
      <c r="D3482" t="inlineStr">
        <is>
          <t>VÄSTERNORRLANDS LÄN</t>
        </is>
      </c>
      <c r="E3482" t="inlineStr">
        <is>
          <t>SOLLEFTEÅ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58588-2024</t>
        </is>
      </c>
      <c r="B3483" s="1" t="n">
        <v>45635</v>
      </c>
      <c r="C3483" s="1" t="n">
        <v>45650</v>
      </c>
      <c r="D3483" t="inlineStr">
        <is>
          <t>VÄSTERNORRLANDS LÄN</t>
        </is>
      </c>
      <c r="E3483" t="inlineStr">
        <is>
          <t>SOLLEFTEÅ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58694-2024</t>
        </is>
      </c>
      <c r="B3484" s="1" t="n">
        <v>45635</v>
      </c>
      <c r="C3484" s="1" t="n">
        <v>45650</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v>
      </c>
      <c r="C3485" s="1" t="n">
        <v>45650</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58979-2024</t>
        </is>
      </c>
      <c r="B3486" s="1" t="n">
        <v>45636</v>
      </c>
      <c r="C3486" s="1" t="n">
        <v>45650</v>
      </c>
      <c r="D3486" t="inlineStr">
        <is>
          <t>VÄSTERNORRLANDS LÄN</t>
        </is>
      </c>
      <c r="E3486" t="inlineStr">
        <is>
          <t>SOLLEFTEÅ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58995-2024</t>
        </is>
      </c>
      <c r="B3487" s="1" t="n">
        <v>45636</v>
      </c>
      <c r="C3487" s="1" t="n">
        <v>45650</v>
      </c>
      <c r="D3487" t="inlineStr">
        <is>
          <t>VÄSTERNORRLANDS LÄN</t>
        </is>
      </c>
      <c r="E3487" t="inlineStr">
        <is>
          <t>SOLLEFTEÅ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58841-2024</t>
        </is>
      </c>
      <c r="B3488" s="1" t="n">
        <v>45636</v>
      </c>
      <c r="C3488" s="1" t="n">
        <v>45650</v>
      </c>
      <c r="D3488" t="inlineStr">
        <is>
          <t>VÄSTERNORRLANDS LÄN</t>
        </is>
      </c>
      <c r="E3488" t="inlineStr">
        <is>
          <t>SOLLEFTEÅ</t>
        </is>
      </c>
      <c r="F3488" t="inlineStr">
        <is>
          <t>SCA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58845-2024</t>
        </is>
      </c>
      <c r="B3489" s="1" t="n">
        <v>45636</v>
      </c>
      <c r="C3489" s="1" t="n">
        <v>45650</v>
      </c>
      <c r="D3489" t="inlineStr">
        <is>
          <t>VÄSTERNORRLANDS LÄN</t>
        </is>
      </c>
      <c r="E3489" t="inlineStr">
        <is>
          <t>SOLLEFTEÅ</t>
        </is>
      </c>
      <c r="F3489" t="inlineStr">
        <is>
          <t>SCA</t>
        </is>
      </c>
      <c r="G3489" t="n">
        <v>11.3</v>
      </c>
      <c r="H3489" t="n">
        <v>0</v>
      </c>
      <c r="I3489" t="n">
        <v>0</v>
      </c>
      <c r="J3489" t="n">
        <v>0</v>
      </c>
      <c r="K3489" t="n">
        <v>0</v>
      </c>
      <c r="L3489" t="n">
        <v>0</v>
      </c>
      <c r="M3489" t="n">
        <v>0</v>
      </c>
      <c r="N3489" t="n">
        <v>0</v>
      </c>
      <c r="O3489" t="n">
        <v>0</v>
      </c>
      <c r="P3489" t="n">
        <v>0</v>
      </c>
      <c r="Q3489" t="n">
        <v>0</v>
      </c>
      <c r="R3489" s="2" t="inlineStr"/>
    </row>
    <row r="3490" ht="15" customHeight="1">
      <c r="A3490" t="inlineStr">
        <is>
          <t>A 58931-2024</t>
        </is>
      </c>
      <c r="B3490" s="1" t="n">
        <v>45636</v>
      </c>
      <c r="C3490" s="1" t="n">
        <v>45650</v>
      </c>
      <c r="D3490" t="inlineStr">
        <is>
          <t>VÄSTERNORRLANDS LÄN</t>
        </is>
      </c>
      <c r="E3490" t="inlineStr">
        <is>
          <t>SOLLEFTEÅ</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58994-2024</t>
        </is>
      </c>
      <c r="B3491" s="1" t="n">
        <v>45636</v>
      </c>
      <c r="C3491" s="1" t="n">
        <v>45650</v>
      </c>
      <c r="D3491" t="inlineStr">
        <is>
          <t>VÄSTERNORRLANDS LÄN</t>
        </is>
      </c>
      <c r="E3491" t="inlineStr">
        <is>
          <t>SOLLEFTEÅ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58808-2024</t>
        </is>
      </c>
      <c r="B3492" s="1" t="n">
        <v>45636</v>
      </c>
      <c r="C3492" s="1" t="n">
        <v>45650</v>
      </c>
      <c r="D3492" t="inlineStr">
        <is>
          <t>VÄSTERNORRLANDS LÄN</t>
        </is>
      </c>
      <c r="E3492" t="inlineStr">
        <is>
          <t>SOLLEFTEÅ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59179-2024</t>
        </is>
      </c>
      <c r="B3493" s="1" t="n">
        <v>45637</v>
      </c>
      <c r="C3493" s="1" t="n">
        <v>45650</v>
      </c>
      <c r="D3493" t="inlineStr">
        <is>
          <t>VÄSTERNORRLANDS LÄN</t>
        </is>
      </c>
      <c r="E3493" t="inlineStr">
        <is>
          <t>SOLLEFTEÅ</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59105-2024</t>
        </is>
      </c>
      <c r="B3494" s="1" t="n">
        <v>45637</v>
      </c>
      <c r="C3494" s="1" t="n">
        <v>45650</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59308-2024</t>
        </is>
      </c>
      <c r="B3495" s="1" t="n">
        <v>45637</v>
      </c>
      <c r="C3495" s="1" t="n">
        <v>45650</v>
      </c>
      <c r="D3495" t="inlineStr">
        <is>
          <t>VÄSTERNORRLANDS LÄN</t>
        </is>
      </c>
      <c r="E3495" t="inlineStr">
        <is>
          <t>SOLLEFTEÅ</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59491-2024</t>
        </is>
      </c>
      <c r="B3496" s="1" t="n">
        <v>45637</v>
      </c>
      <c r="C3496" s="1" t="n">
        <v>45650</v>
      </c>
      <c r="D3496" t="inlineStr">
        <is>
          <t>VÄSTERNORRLANDS LÄN</t>
        </is>
      </c>
      <c r="E3496" t="inlineStr">
        <is>
          <t>SOLLEFTEÅ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45650</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45650</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59474-2024</t>
        </is>
      </c>
      <c r="B3499" s="1" t="n">
        <v>45638</v>
      </c>
      <c r="C3499" s="1" t="n">
        <v>45650</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59424-2024</t>
        </is>
      </c>
      <c r="B3500" s="1" t="n">
        <v>45638</v>
      </c>
      <c r="C3500" s="1" t="n">
        <v>45650</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59473-2024</t>
        </is>
      </c>
      <c r="B3501" s="1" t="n">
        <v>45638</v>
      </c>
      <c r="C3501" s="1" t="n">
        <v>45650</v>
      </c>
      <c r="D3501" t="inlineStr">
        <is>
          <t>VÄSTERNORRLANDS LÄN</t>
        </is>
      </c>
      <c r="E3501" t="inlineStr">
        <is>
          <t>SOLLEFTEÅ</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59558-2024</t>
        </is>
      </c>
      <c r="B3502" s="1" t="n">
        <v>45638</v>
      </c>
      <c r="C3502" s="1" t="n">
        <v>45650</v>
      </c>
      <c r="D3502" t="inlineStr">
        <is>
          <t>VÄSTERNORRLANDS LÄN</t>
        </is>
      </c>
      <c r="E3502" t="inlineStr">
        <is>
          <t>SOLLEFTEÅ</t>
        </is>
      </c>
      <c r="G3502" t="n">
        <v>8.9</v>
      </c>
      <c r="H3502" t="n">
        <v>0</v>
      </c>
      <c r="I3502" t="n">
        <v>0</v>
      </c>
      <c r="J3502" t="n">
        <v>0</v>
      </c>
      <c r="K3502" t="n">
        <v>0</v>
      </c>
      <c r="L3502" t="n">
        <v>0</v>
      </c>
      <c r="M3502" t="n">
        <v>0</v>
      </c>
      <c r="N3502" t="n">
        <v>0</v>
      </c>
      <c r="O3502" t="n">
        <v>0</v>
      </c>
      <c r="P3502" t="n">
        <v>0</v>
      </c>
      <c r="Q3502" t="n">
        <v>0</v>
      </c>
      <c r="R3502" s="2" t="inlineStr"/>
    </row>
    <row r="3503" ht="15" customHeight="1">
      <c r="A3503" t="inlineStr">
        <is>
          <t>A 59421-2024</t>
        </is>
      </c>
      <c r="B3503" s="1" t="n">
        <v>45638</v>
      </c>
      <c r="C3503" s="1" t="n">
        <v>45650</v>
      </c>
      <c r="D3503" t="inlineStr">
        <is>
          <t>VÄSTERNORRLANDS LÄN</t>
        </is>
      </c>
      <c r="E3503" t="inlineStr">
        <is>
          <t>SOLLEFTEÅ</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59388-2024</t>
        </is>
      </c>
      <c r="B3504" s="1" t="n">
        <v>45638</v>
      </c>
      <c r="C3504" s="1" t="n">
        <v>45650</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59566-2024</t>
        </is>
      </c>
      <c r="B3505" s="1" t="n">
        <v>45638</v>
      </c>
      <c r="C3505" s="1" t="n">
        <v>45650</v>
      </c>
      <c r="D3505" t="inlineStr">
        <is>
          <t>VÄSTERNORRLANDS LÄN</t>
        </is>
      </c>
      <c r="E3505" t="inlineStr">
        <is>
          <t>SOLLEFTEÅ</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59415-2024</t>
        </is>
      </c>
      <c r="B3506" s="1" t="n">
        <v>45638</v>
      </c>
      <c r="C3506" s="1" t="n">
        <v>45650</v>
      </c>
      <c r="D3506" t="inlineStr">
        <is>
          <t>VÄSTERNORRLANDS LÄN</t>
        </is>
      </c>
      <c r="E3506" t="inlineStr">
        <is>
          <t>SOLLEFTEÅ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59416-2024</t>
        </is>
      </c>
      <c r="B3507" s="1" t="n">
        <v>45638</v>
      </c>
      <c r="C3507" s="1" t="n">
        <v>45650</v>
      </c>
      <c r="D3507" t="inlineStr">
        <is>
          <t>VÄSTERNORRLANDS LÄN</t>
        </is>
      </c>
      <c r="E3507" t="inlineStr">
        <is>
          <t>SOLLEFTEÅ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59389-2024</t>
        </is>
      </c>
      <c r="B3508" s="1" t="n">
        <v>45638</v>
      </c>
      <c r="C3508" s="1" t="n">
        <v>45650</v>
      </c>
      <c r="D3508" t="inlineStr">
        <is>
          <t>VÄSTERNORRLANDS LÄN</t>
        </is>
      </c>
      <c r="E3508" t="inlineStr">
        <is>
          <t>SOLLEFTEÅ</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59455-2024</t>
        </is>
      </c>
      <c r="B3509" s="1" t="n">
        <v>45638</v>
      </c>
      <c r="C3509" s="1" t="n">
        <v>45650</v>
      </c>
      <c r="D3509" t="inlineStr">
        <is>
          <t>VÄSTERNORRLANDS LÄN</t>
        </is>
      </c>
      <c r="E3509" t="inlineStr">
        <is>
          <t>SOLLEFTEÅ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59564-2024</t>
        </is>
      </c>
      <c r="B3510" s="1" t="n">
        <v>45638</v>
      </c>
      <c r="C3510" s="1" t="n">
        <v>45650</v>
      </c>
      <c r="D3510" t="inlineStr">
        <is>
          <t>VÄSTERNORRLANDS LÄN</t>
        </is>
      </c>
      <c r="E3510" t="inlineStr">
        <is>
          <t>SOLLEFTEÅ</t>
        </is>
      </c>
      <c r="F3510" t="inlineStr">
        <is>
          <t>SCA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45650</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59418-2024</t>
        </is>
      </c>
      <c r="B3512" s="1" t="n">
        <v>45638</v>
      </c>
      <c r="C3512" s="1" t="n">
        <v>45650</v>
      </c>
      <c r="D3512" t="inlineStr">
        <is>
          <t>VÄSTERNORRLANDS LÄN</t>
        </is>
      </c>
      <c r="E3512" t="inlineStr">
        <is>
          <t>SOLLEFTEÅ</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59422-2024</t>
        </is>
      </c>
      <c r="B3513" s="1" t="n">
        <v>45638</v>
      </c>
      <c r="C3513" s="1" t="n">
        <v>45650</v>
      </c>
      <c r="D3513" t="inlineStr">
        <is>
          <t>VÄSTERNORRLANDS LÄN</t>
        </is>
      </c>
      <c r="E3513" t="inlineStr">
        <is>
          <t>SOLLEFTEÅ</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59426-2024</t>
        </is>
      </c>
      <c r="B3514" s="1" t="n">
        <v>45638</v>
      </c>
      <c r="C3514" s="1" t="n">
        <v>45650</v>
      </c>
      <c r="D3514" t="inlineStr">
        <is>
          <t>VÄSTERNORRLANDS LÄN</t>
        </is>
      </c>
      <c r="E3514" t="inlineStr">
        <is>
          <t>SOLLEFTEÅ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45650</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59559-2024</t>
        </is>
      </c>
      <c r="B3516" s="1" t="n">
        <v>45638</v>
      </c>
      <c r="C3516" s="1" t="n">
        <v>45650</v>
      </c>
      <c r="D3516" t="inlineStr">
        <is>
          <t>VÄSTERNORRLANDS LÄN</t>
        </is>
      </c>
      <c r="E3516" t="inlineStr">
        <is>
          <t>SOLLEFTEÅ</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59563-2024</t>
        </is>
      </c>
      <c r="B3517" s="1" t="n">
        <v>45638</v>
      </c>
      <c r="C3517" s="1" t="n">
        <v>45650</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59567-2024</t>
        </is>
      </c>
      <c r="B3518" s="1" t="n">
        <v>45638</v>
      </c>
      <c r="C3518" s="1" t="n">
        <v>45650</v>
      </c>
      <c r="D3518" t="inlineStr">
        <is>
          <t>VÄSTERNORRLANDS LÄN</t>
        </is>
      </c>
      <c r="E3518" t="inlineStr">
        <is>
          <t>SOLLEFTEÅ</t>
        </is>
      </c>
      <c r="F3518" t="inlineStr">
        <is>
          <t>SCA</t>
        </is>
      </c>
      <c r="G3518" t="n">
        <v>13.8</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45650</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45650</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59949-2024</t>
        </is>
      </c>
      <c r="B3521" s="1" t="n">
        <v>45642</v>
      </c>
      <c r="C3521" s="1" t="n">
        <v>45650</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59985-2024</t>
        </is>
      </c>
      <c r="B3522" s="1" t="n">
        <v>45642</v>
      </c>
      <c r="C3522" s="1" t="n">
        <v>45650</v>
      </c>
      <c r="D3522" t="inlineStr">
        <is>
          <t>VÄSTERNORRLANDS LÄN</t>
        </is>
      </c>
      <c r="E3522" t="inlineStr">
        <is>
          <t>SOLLEFTEÅ</t>
        </is>
      </c>
      <c r="F3522" t="inlineStr">
        <is>
          <t>SCA</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59939-2024</t>
        </is>
      </c>
      <c r="B3523" s="1" t="n">
        <v>45642</v>
      </c>
      <c r="C3523" s="1" t="n">
        <v>45650</v>
      </c>
      <c r="D3523" t="inlineStr">
        <is>
          <t>VÄSTERNORRLANDS LÄN</t>
        </is>
      </c>
      <c r="E3523" t="inlineStr">
        <is>
          <t>SOLLEFTEÅ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45650</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60024-2024</t>
        </is>
      </c>
      <c r="B3525" s="1" t="n">
        <v>45642</v>
      </c>
      <c r="C3525" s="1" t="n">
        <v>45650</v>
      </c>
      <c r="D3525" t="inlineStr">
        <is>
          <t>VÄSTERNORRLANDS LÄN</t>
        </is>
      </c>
      <c r="E3525" t="inlineStr">
        <is>
          <t>SOLLEFTEÅ</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60060-2024</t>
        </is>
      </c>
      <c r="B3526" s="1" t="n">
        <v>45642</v>
      </c>
      <c r="C3526" s="1" t="n">
        <v>45650</v>
      </c>
      <c r="D3526" t="inlineStr">
        <is>
          <t>VÄSTERNORRLANDS LÄN</t>
        </is>
      </c>
      <c r="E3526" t="inlineStr">
        <is>
          <t>SOLLEFTEÅ</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45650</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45650</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60748-2024</t>
        </is>
      </c>
      <c r="B3529" s="1" t="n">
        <v>45642</v>
      </c>
      <c r="C3529" s="1" t="n">
        <v>45650</v>
      </c>
      <c r="D3529" t="inlineStr">
        <is>
          <t>VÄSTERNORRLANDS LÄN</t>
        </is>
      </c>
      <c r="E3529" t="inlineStr">
        <is>
          <t>SOLLEFTEÅ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60154-2024</t>
        </is>
      </c>
      <c r="B3530" s="1" t="n">
        <v>45642</v>
      </c>
      <c r="C3530" s="1" t="n">
        <v>45650</v>
      </c>
      <c r="D3530" t="inlineStr">
        <is>
          <t>VÄSTERNORRLANDS LÄN</t>
        </is>
      </c>
      <c r="E3530" t="inlineStr">
        <is>
          <t>SOLLEFTEÅ</t>
        </is>
      </c>
      <c r="G3530" t="n">
        <v>15.1</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45650</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45650</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60360-2024</t>
        </is>
      </c>
      <c r="B3533" s="1" t="n">
        <v>45643</v>
      </c>
      <c r="C3533" s="1" t="n">
        <v>45650</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60389-2024</t>
        </is>
      </c>
      <c r="B3534" s="1" t="n">
        <v>45643</v>
      </c>
      <c r="C3534" s="1" t="n">
        <v>45650</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60495-2024</t>
        </is>
      </c>
      <c r="B3535" s="1" t="n">
        <v>45643</v>
      </c>
      <c r="C3535" s="1" t="n">
        <v>45650</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45650</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60460-2024</t>
        </is>
      </c>
      <c r="B3537" s="1" t="n">
        <v>45643</v>
      </c>
      <c r="C3537" s="1" t="n">
        <v>45650</v>
      </c>
      <c r="D3537" t="inlineStr">
        <is>
          <t>VÄSTERNORRLANDS LÄN</t>
        </is>
      </c>
      <c r="E3537" t="inlineStr">
        <is>
          <t>SOLLEFTEÅ</t>
        </is>
      </c>
      <c r="F3537" t="inlineStr">
        <is>
          <t>SCA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60713-2024</t>
        </is>
      </c>
      <c r="B3538" s="1" t="n">
        <v>45644</v>
      </c>
      <c r="C3538" s="1" t="n">
        <v>45650</v>
      </c>
      <c r="D3538" t="inlineStr">
        <is>
          <t>VÄSTERNORRLANDS LÄN</t>
        </is>
      </c>
      <c r="E3538" t="inlineStr">
        <is>
          <t>SOLLEFTEÅ</t>
        </is>
      </c>
      <c r="F3538" t="inlineStr">
        <is>
          <t>SCA</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45650</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60583-2024</t>
        </is>
      </c>
      <c r="B3540" s="1" t="n">
        <v>45644</v>
      </c>
      <c r="C3540" s="1" t="n">
        <v>45650</v>
      </c>
      <c r="D3540" t="inlineStr">
        <is>
          <t>VÄSTERNORRLANDS LÄN</t>
        </is>
      </c>
      <c r="E3540" t="inlineStr">
        <is>
          <t>SOLLEFTEÅ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60612-2024</t>
        </is>
      </c>
      <c r="B3541" s="1" t="n">
        <v>45644</v>
      </c>
      <c r="C3541" s="1" t="n">
        <v>45650</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60837-2024</t>
        </is>
      </c>
      <c r="B3542" s="1" t="n">
        <v>45644</v>
      </c>
      <c r="C3542" s="1" t="n">
        <v>45650</v>
      </c>
      <c r="D3542" t="inlineStr">
        <is>
          <t>VÄSTERNORRLANDS LÄN</t>
        </is>
      </c>
      <c r="E3542" t="inlineStr">
        <is>
          <t>SOLLEFTEÅ</t>
        </is>
      </c>
      <c r="F3542" t="inlineStr">
        <is>
          <t>SCA</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45650</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45650</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60831-2024</t>
        </is>
      </c>
      <c r="B3545" s="1" t="n">
        <v>45644</v>
      </c>
      <c r="C3545" s="1" t="n">
        <v>45650</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60714-2024</t>
        </is>
      </c>
      <c r="B3546" s="1" t="n">
        <v>45644</v>
      </c>
      <c r="C3546" s="1" t="n">
        <v>45650</v>
      </c>
      <c r="D3546" t="inlineStr">
        <is>
          <t>VÄSTERNORRLANDS LÄN</t>
        </is>
      </c>
      <c r="E3546" t="inlineStr">
        <is>
          <t>SOLLEFTEÅ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45650</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60631-2024</t>
        </is>
      </c>
      <c r="B3548" s="1" t="n">
        <v>45644</v>
      </c>
      <c r="C3548" s="1" t="n">
        <v>45650</v>
      </c>
      <c r="D3548" t="inlineStr">
        <is>
          <t>VÄSTERNORRLANDS LÄN</t>
        </is>
      </c>
      <c r="E3548" t="inlineStr">
        <is>
          <t>SOLLEFTEÅ</t>
        </is>
      </c>
      <c r="F3548" t="inlineStr">
        <is>
          <t>SCA</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45650</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60958-2024</t>
        </is>
      </c>
      <c r="B3550" s="1" t="n">
        <v>45645</v>
      </c>
      <c r="C3550" s="1" t="n">
        <v>45650</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45650</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61200-2024</t>
        </is>
      </c>
      <c r="B3552" s="1" t="n">
        <v>45645</v>
      </c>
      <c r="C3552" s="1" t="n">
        <v>45650</v>
      </c>
      <c r="D3552" t="inlineStr">
        <is>
          <t>VÄSTERNORRLANDS LÄN</t>
        </is>
      </c>
      <c r="E3552" t="inlineStr">
        <is>
          <t>SOLLEFTEÅ</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61611-2024</t>
        </is>
      </c>
      <c r="B3553" s="1" t="n">
        <v>45645</v>
      </c>
      <c r="C3553" s="1" t="n">
        <v>45650</v>
      </c>
      <c r="D3553" t="inlineStr">
        <is>
          <t>VÄSTERNORRLANDS LÄN</t>
        </is>
      </c>
      <c r="E3553" t="inlineStr">
        <is>
          <t>SOLLEFTEÅ</t>
        </is>
      </c>
      <c r="G3553" t="n">
        <v>13.9</v>
      </c>
      <c r="H3553" t="n">
        <v>0</v>
      </c>
      <c r="I3553" t="n">
        <v>0</v>
      </c>
      <c r="J3553" t="n">
        <v>0</v>
      </c>
      <c r="K3553" t="n">
        <v>0</v>
      </c>
      <c r="L3553" t="n">
        <v>0</v>
      </c>
      <c r="M3553" t="n">
        <v>0</v>
      </c>
      <c r="N3553" t="n">
        <v>0</v>
      </c>
      <c r="O3553" t="n">
        <v>0</v>
      </c>
      <c r="P3553" t="n">
        <v>0</v>
      </c>
      <c r="Q3553" t="n">
        <v>0</v>
      </c>
      <c r="R3553" s="2" t="inlineStr"/>
    </row>
    <row r="3554" ht="15" customHeight="1">
      <c r="A3554" t="inlineStr">
        <is>
          <t>A 61126-2024</t>
        </is>
      </c>
      <c r="B3554" s="1" t="n">
        <v>45645</v>
      </c>
      <c r="C3554" s="1" t="n">
        <v>45650</v>
      </c>
      <c r="D3554" t="inlineStr">
        <is>
          <t>VÄSTERNORRLANDS LÄN</t>
        </is>
      </c>
      <c r="E3554" t="inlineStr">
        <is>
          <t>SOLLEFTEÅ</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45650</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61201-2024</t>
        </is>
      </c>
      <c r="B3556" s="1" t="n">
        <v>45645</v>
      </c>
      <c r="C3556" s="1" t="n">
        <v>45650</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61616-2024</t>
        </is>
      </c>
      <c r="B3557" s="1" t="n">
        <v>45645</v>
      </c>
      <c r="C3557" s="1" t="n">
        <v>45650</v>
      </c>
      <c r="D3557" t="inlineStr">
        <is>
          <t>VÄSTERNORRLANDS LÄN</t>
        </is>
      </c>
      <c r="E3557" t="inlineStr">
        <is>
          <t>SOLLEFTEÅ</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61623-2024</t>
        </is>
      </c>
      <c r="B3558" s="1" t="n">
        <v>45645</v>
      </c>
      <c r="C3558" s="1" t="n">
        <v>45650</v>
      </c>
      <c r="D3558" t="inlineStr">
        <is>
          <t>VÄSTERNORRLANDS LÄN</t>
        </is>
      </c>
      <c r="E3558" t="inlineStr">
        <is>
          <t>SOLLEFTEÅ</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45650</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61485-2024</t>
        </is>
      </c>
      <c r="B3560" s="1" t="n">
        <v>45646</v>
      </c>
      <c r="C3560" s="1" t="n">
        <v>45650</v>
      </c>
      <c r="D3560" t="inlineStr">
        <is>
          <t>VÄSTERNORRLANDS LÄN</t>
        </is>
      </c>
      <c r="E3560" t="inlineStr">
        <is>
          <t>SOLLEFTEÅ</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61847-2024</t>
        </is>
      </c>
      <c r="B3561" s="1" t="n">
        <v>45646</v>
      </c>
      <c r="C3561" s="1" t="n">
        <v>45650</v>
      </c>
      <c r="D3561" t="inlineStr">
        <is>
          <t>VÄSTERNORRLANDS LÄN</t>
        </is>
      </c>
      <c r="E3561" t="inlineStr">
        <is>
          <t>SOLLEFTEÅ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61845-2024</t>
        </is>
      </c>
      <c r="B3562" s="1" t="n">
        <v>45646</v>
      </c>
      <c r="C3562" s="1" t="n">
        <v>45650</v>
      </c>
      <c r="D3562" t="inlineStr">
        <is>
          <t>VÄSTERNORRLANDS LÄN</t>
        </is>
      </c>
      <c r="E3562" t="inlineStr">
        <is>
          <t>SOLLEFTEÅ</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45650</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61781-2024</t>
        </is>
      </c>
      <c r="B3564" s="1" t="n">
        <v>45649</v>
      </c>
      <c r="C3564" s="1" t="n">
        <v>45650</v>
      </c>
      <c r="D3564" t="inlineStr">
        <is>
          <t>VÄSTERNORRLANDS LÄN</t>
        </is>
      </c>
      <c r="E3564" t="inlineStr">
        <is>
          <t>SOLLEFTEÅ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61778-2024</t>
        </is>
      </c>
      <c r="B3565" s="1" t="n">
        <v>45649</v>
      </c>
      <c r="C3565" s="1" t="n">
        <v>45650</v>
      </c>
      <c r="D3565" t="inlineStr">
        <is>
          <t>VÄSTERNORRLANDS LÄN</t>
        </is>
      </c>
      <c r="E3565" t="inlineStr">
        <is>
          <t>SOLLEFTEÅ</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61790-2024</t>
        </is>
      </c>
      <c r="B3566" s="1" t="n">
        <v>45649</v>
      </c>
      <c r="C3566" s="1" t="n">
        <v>45650</v>
      </c>
      <c r="D3566" t="inlineStr">
        <is>
          <t>VÄSTERNORRLANDS LÄN</t>
        </is>
      </c>
      <c r="E3566" t="inlineStr">
        <is>
          <t>SOLLEFTEÅ</t>
        </is>
      </c>
      <c r="F3566" t="inlineStr">
        <is>
          <t>Övriga statliga verk och myndigheter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61779-2024</t>
        </is>
      </c>
      <c r="B3567" s="1" t="n">
        <v>45649</v>
      </c>
      <c r="C3567" s="1" t="n">
        <v>45650</v>
      </c>
      <c r="D3567" t="inlineStr">
        <is>
          <t>VÄSTERNORRLANDS LÄN</t>
        </is>
      </c>
      <c r="E3567" t="inlineStr">
        <is>
          <t>SOLLEFTEÅ</t>
        </is>
      </c>
      <c r="G3567" t="n">
        <v>1.1</v>
      </c>
      <c r="H3567" t="n">
        <v>0</v>
      </c>
      <c r="I3567" t="n">
        <v>0</v>
      </c>
      <c r="J3567" t="n">
        <v>0</v>
      </c>
      <c r="K3567" t="n">
        <v>0</v>
      </c>
      <c r="L3567" t="n">
        <v>0</v>
      </c>
      <c r="M3567" t="n">
        <v>0</v>
      </c>
      <c r="N3567" t="n">
        <v>0</v>
      </c>
      <c r="O3567" t="n">
        <v>0</v>
      </c>
      <c r="P3567" t="n">
        <v>0</v>
      </c>
      <c r="Q3567" t="n">
        <v>0</v>
      </c>
      <c r="R3567" s="2" t="inlineStr"/>
    </row>
    <row r="3568">
      <c r="A3568" t="inlineStr">
        <is>
          <t>A 61784-2024</t>
        </is>
      </c>
      <c r="B3568" s="1" t="n">
        <v>45649</v>
      </c>
      <c r="C3568" s="1" t="n">
        <v>45650</v>
      </c>
      <c r="D3568" t="inlineStr">
        <is>
          <t>VÄSTERNORRLANDS LÄN</t>
        </is>
      </c>
      <c r="E3568" t="inlineStr">
        <is>
          <t>SOLLEFTEÅ</t>
        </is>
      </c>
      <c r="G3568" t="n">
        <v>1.6</v>
      </c>
      <c r="H3568" t="n">
        <v>0</v>
      </c>
      <c r="I3568" t="n">
        <v>0</v>
      </c>
      <c r="J3568" t="n">
        <v>0</v>
      </c>
      <c r="K3568" t="n">
        <v>0</v>
      </c>
      <c r="L3568" t="n">
        <v>0</v>
      </c>
      <c r="M3568" t="n">
        <v>0</v>
      </c>
      <c r="N3568" t="n">
        <v>0</v>
      </c>
      <c r="O3568" t="n">
        <v>0</v>
      </c>
      <c r="P3568" t="n">
        <v>0</v>
      </c>
      <c r="Q3568" t="n">
        <v>0</v>
      </c>
      <c r="R3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2024-12-24T15:42:27Z</dcterms:created>
  <dcterms:modified xmlns:dcterms="http://purl.org/dc/terms/" xmlns:xsi="http://www.w3.org/2001/XMLSchema-instance" xsi:type="dcterms:W3CDTF">2024-12-24T15:42:30Z</dcterms:modified>
</cp:coreProperties>
</file>