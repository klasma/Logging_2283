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45908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45908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45908</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45908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45908</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45908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45908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45908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45908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37489-2025</t>
        </is>
      </c>
      <c r="B11" s="1" t="n">
        <v>45877</v>
      </c>
      <c r="C11" s="1" t="n">
        <v>45908</v>
      </c>
      <c r="D11" t="inlineStr">
        <is>
          <t>VÄSTERNORRLANDS LÄN</t>
        </is>
      </c>
      <c r="E11" t="inlineStr">
        <is>
          <t>SOLLEFTEÅ</t>
        </is>
      </c>
      <c r="F11" t="inlineStr">
        <is>
          <t>SCA</t>
        </is>
      </c>
      <c r="G11" t="n">
        <v>2.2</v>
      </c>
      <c r="H11" t="n">
        <v>5</v>
      </c>
      <c r="I11" t="n">
        <v>1</v>
      </c>
      <c r="J11" t="n">
        <v>15</v>
      </c>
      <c r="K11" t="n">
        <v>3</v>
      </c>
      <c r="L11" t="n">
        <v>0</v>
      </c>
      <c r="M11" t="n">
        <v>0</v>
      </c>
      <c r="N11" t="n">
        <v>0</v>
      </c>
      <c r="O11" t="n">
        <v>18</v>
      </c>
      <c r="P11" t="n">
        <v>3</v>
      </c>
      <c r="Q11" t="n">
        <v>19</v>
      </c>
      <c r="R11" s="2" t="inlineStr">
        <is>
          <t>Doftticka
Gräddporing
Knärot
Aspbarkgnagare
Brunpudrad nållav
Doftskinn
Dvärgbägarlav
Gammelgransskål
Garnlav
Granticka
Kolflarnlav
Lunglav
Nordtagging
Spillkråka
Talltita
Tretåig hackspett
Ullticka
Vitgrynig nållav
Vedticka</t>
        </is>
      </c>
      <c r="S11">
        <f>HYPERLINK("https://klasma.github.io/Logging_2283/artfynd/A 37489-2025 artfynd.xlsx", "A 37489-2025")</f>
        <v/>
      </c>
      <c r="T11">
        <f>HYPERLINK("https://klasma.github.io/Logging_2283/kartor/A 37489-2025 karta.png", "A 37489-2025")</f>
        <v/>
      </c>
      <c r="U11">
        <f>HYPERLINK("https://klasma.github.io/Logging_2283/knärot/A 37489-2025 karta knärot.png", "A 37489-2025")</f>
        <v/>
      </c>
      <c r="V11">
        <f>HYPERLINK("https://klasma.github.io/Logging_2283/klagomål/A 37489-2025 FSC-klagomål.docx", "A 37489-2025")</f>
        <v/>
      </c>
      <c r="W11">
        <f>HYPERLINK("https://klasma.github.io/Logging_2283/klagomålsmail/A 37489-2025 FSC-klagomål mail.docx", "A 37489-2025")</f>
        <v/>
      </c>
      <c r="X11">
        <f>HYPERLINK("https://klasma.github.io/Logging_2283/tillsyn/A 37489-2025 tillsynsbegäran.docx", "A 37489-2025")</f>
        <v/>
      </c>
      <c r="Y11">
        <f>HYPERLINK("https://klasma.github.io/Logging_2283/tillsynsmail/A 37489-2025 tillsynsbegäran mail.docx", "A 37489-2025")</f>
        <v/>
      </c>
      <c r="Z11">
        <f>HYPERLINK("https://klasma.github.io/Logging_2283/fåglar/A 37489-2025 prioriterade fågelarter.docx", "A 37489-2025")</f>
        <v/>
      </c>
    </row>
    <row r="12" ht="15" customHeight="1">
      <c r="A12" t="inlineStr">
        <is>
          <t>A 47366-2024</t>
        </is>
      </c>
      <c r="B12" s="1" t="n">
        <v>45587</v>
      </c>
      <c r="C12" s="1" t="n">
        <v>45908</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13896-2023</t>
        </is>
      </c>
      <c r="B13" s="1" t="n">
        <v>45008</v>
      </c>
      <c r="C13" s="1" t="n">
        <v>45908</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45908</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45908</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45908</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45908</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45908</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45908</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45908</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45908</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45908</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45908</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45908</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45908</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45908</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32459-2024</t>
        </is>
      </c>
      <c r="B27" s="1" t="n">
        <v>45512</v>
      </c>
      <c r="C27" s="1" t="n">
        <v>45908</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40262-2024</t>
        </is>
      </c>
      <c r="B28" s="1" t="n">
        <v>45554</v>
      </c>
      <c r="C28" s="1" t="n">
        <v>45908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45908</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45908</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45908</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45908</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45908</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45908</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45908</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32199-2023</t>
        </is>
      </c>
      <c r="B36" s="1" t="n">
        <v>45119</v>
      </c>
      <c r="C36" s="1" t="n">
        <v>45908</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45908</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45908</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45908</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29918-2024</t>
        </is>
      </c>
      <c r="B40" s="1" t="n">
        <v>45487.92841435185</v>
      </c>
      <c r="C40" s="1" t="n">
        <v>45908</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39172-2022</t>
        </is>
      </c>
      <c r="B41" s="1" t="n">
        <v>44817</v>
      </c>
      <c r="C41" s="1" t="n">
        <v>45908</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29309-2022</t>
        </is>
      </c>
      <c r="B42" s="1" t="n">
        <v>44750</v>
      </c>
      <c r="C42" s="1" t="n">
        <v>45908</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44369-2024</t>
        </is>
      </c>
      <c r="B43" s="1" t="n">
        <v>45573</v>
      </c>
      <c r="C43" s="1" t="n">
        <v>45908</v>
      </c>
      <c r="D43" t="inlineStr">
        <is>
          <t>VÄSTERNORRLANDS LÄN</t>
        </is>
      </c>
      <c r="E43" t="inlineStr">
        <is>
          <t>SOLLEFTEÅ</t>
        </is>
      </c>
      <c r="F43" t="inlineStr">
        <is>
          <t>SCA</t>
        </is>
      </c>
      <c r="G43" t="n">
        <v>1.5</v>
      </c>
      <c r="H43" t="n">
        <v>5</v>
      </c>
      <c r="I43" t="n">
        <v>1</v>
      </c>
      <c r="J43" t="n">
        <v>9</v>
      </c>
      <c r="K43" t="n">
        <v>2</v>
      </c>
      <c r="L43" t="n">
        <v>0</v>
      </c>
      <c r="M43" t="n">
        <v>0</v>
      </c>
      <c r="N43" t="n">
        <v>0</v>
      </c>
      <c r="O43" t="n">
        <v>11</v>
      </c>
      <c r="P43" t="n">
        <v>2</v>
      </c>
      <c r="Q43" t="n">
        <v>12</v>
      </c>
      <c r="R43" s="2" t="inlineStr">
        <is>
          <t>Knärot
Ulltickeporing
Garnlav
Järpe
Leptoporus mollis
Lunglav
Rosenticka
Spillkråka
Talltita
Tretåig hackspett
Ullticka
Bollvitmossa</t>
        </is>
      </c>
      <c r="S43">
        <f>HYPERLINK("https://klasma.github.io/Logging_2283/artfynd/A 44369-2024 artfynd.xlsx", "A 44369-2024")</f>
        <v/>
      </c>
      <c r="T43">
        <f>HYPERLINK("https://klasma.github.io/Logging_2283/kartor/A 44369-2024 karta.png", "A 44369-2024")</f>
        <v/>
      </c>
      <c r="U43">
        <f>HYPERLINK("https://klasma.github.io/Logging_2283/knärot/A 44369-2024 karta knärot.png", "A 44369-2024")</f>
        <v/>
      </c>
      <c r="V43">
        <f>HYPERLINK("https://klasma.github.io/Logging_2283/klagomål/A 44369-2024 FSC-klagomål.docx", "A 44369-2024")</f>
        <v/>
      </c>
      <c r="W43">
        <f>HYPERLINK("https://klasma.github.io/Logging_2283/klagomålsmail/A 44369-2024 FSC-klagomål mail.docx", "A 44369-2024")</f>
        <v/>
      </c>
      <c r="X43">
        <f>HYPERLINK("https://klasma.github.io/Logging_2283/tillsyn/A 44369-2024 tillsynsbegäran.docx", "A 44369-2024")</f>
        <v/>
      </c>
      <c r="Y43">
        <f>HYPERLINK("https://klasma.github.io/Logging_2283/tillsynsmail/A 44369-2024 tillsynsbegäran mail.docx", "A 44369-2024")</f>
        <v/>
      </c>
      <c r="Z43">
        <f>HYPERLINK("https://klasma.github.io/Logging_2283/fåglar/A 44369-2024 prioriterade fågelarter.docx", "A 44369-2024")</f>
        <v/>
      </c>
    </row>
    <row r="44" ht="15" customHeight="1">
      <c r="A44" t="inlineStr">
        <is>
          <t>A 4839-2025</t>
        </is>
      </c>
      <c r="B44" s="1" t="n">
        <v>45688</v>
      </c>
      <c r="C44" s="1" t="n">
        <v>45908</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30571-2024</t>
        </is>
      </c>
      <c r="B45" s="1" t="n">
        <v>45492</v>
      </c>
      <c r="C45" s="1" t="n">
        <v>45908</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26948-2024</t>
        </is>
      </c>
      <c r="B46" s="1" t="n">
        <v>45470</v>
      </c>
      <c r="C46" s="1" t="n">
        <v>45908</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3639-2025</t>
        </is>
      </c>
      <c r="B47" s="1" t="n">
        <v>45681</v>
      </c>
      <c r="C47" s="1" t="n">
        <v>45908</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45908</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52394-2024</t>
        </is>
      </c>
      <c r="B49" s="1" t="n">
        <v>45609.43922453704</v>
      </c>
      <c r="C49" s="1" t="n">
        <v>45908</v>
      </c>
      <c r="D49" t="inlineStr">
        <is>
          <t>VÄSTERNORRLANDS LÄN</t>
        </is>
      </c>
      <c r="E49" t="inlineStr">
        <is>
          <t>SOLLEFTEÅ</t>
        </is>
      </c>
      <c r="G49" t="n">
        <v>2.4</v>
      </c>
      <c r="H49" t="n">
        <v>5</v>
      </c>
      <c r="I49" t="n">
        <v>1</v>
      </c>
      <c r="J49" t="n">
        <v>8</v>
      </c>
      <c r="K49" t="n">
        <v>1</v>
      </c>
      <c r="L49" t="n">
        <v>0</v>
      </c>
      <c r="M49" t="n">
        <v>0</v>
      </c>
      <c r="N49" t="n">
        <v>0</v>
      </c>
      <c r="O49" t="n">
        <v>9</v>
      </c>
      <c r="P49" t="n">
        <v>1</v>
      </c>
      <c r="Q49" t="n">
        <v>11</v>
      </c>
      <c r="R49" s="2" t="inlineStr">
        <is>
          <t>Kricka
Gammelgransskål
Garnlav
Harticka
Rosenticka
Spillkråka
Svartvit flugsnappare
Talltita
Ullticka
Vedticka
Revlummer</t>
        </is>
      </c>
      <c r="S49">
        <f>HYPERLINK("https://klasma.github.io/Logging_2283/artfynd/A 52394-2024 artfynd.xlsx", "A 52394-2024")</f>
        <v/>
      </c>
      <c r="T49">
        <f>HYPERLINK("https://klasma.github.io/Logging_2283/kartor/A 52394-2024 karta.png", "A 52394-2024")</f>
        <v/>
      </c>
      <c r="V49">
        <f>HYPERLINK("https://klasma.github.io/Logging_2283/klagomål/A 52394-2024 FSC-klagomål.docx", "A 52394-2024")</f>
        <v/>
      </c>
      <c r="W49">
        <f>HYPERLINK("https://klasma.github.io/Logging_2283/klagomålsmail/A 52394-2024 FSC-klagomål mail.docx", "A 52394-2024")</f>
        <v/>
      </c>
      <c r="X49">
        <f>HYPERLINK("https://klasma.github.io/Logging_2283/tillsyn/A 52394-2024 tillsynsbegäran.docx", "A 52394-2024")</f>
        <v/>
      </c>
      <c r="Y49">
        <f>HYPERLINK("https://klasma.github.io/Logging_2283/tillsynsmail/A 52394-2024 tillsynsbegäran mail.docx", "A 52394-2024")</f>
        <v/>
      </c>
      <c r="Z49">
        <f>HYPERLINK("https://klasma.github.io/Logging_2283/fåglar/A 52394-2024 prioriterade fågelarter.docx", "A 52394-2024")</f>
        <v/>
      </c>
    </row>
    <row r="50" ht="15" customHeight="1">
      <c r="A50" t="inlineStr">
        <is>
          <t>A 61326-2024</t>
        </is>
      </c>
      <c r="B50" s="1" t="n">
        <v>45646</v>
      </c>
      <c r="C50" s="1" t="n">
        <v>45908</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45908</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11491-2022</t>
        </is>
      </c>
      <c r="B52" s="1" t="n">
        <v>44630</v>
      </c>
      <c r="C52" s="1" t="n">
        <v>45908</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46041-2022</t>
        </is>
      </c>
      <c r="B53" s="1" t="n">
        <v>44846</v>
      </c>
      <c r="C53" s="1" t="n">
        <v>45908</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45908</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45908</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66171-2021</t>
        </is>
      </c>
      <c r="B56" s="1" t="n">
        <v>44517</v>
      </c>
      <c r="C56" s="1" t="n">
        <v>45908</v>
      </c>
      <c r="D56" t="inlineStr">
        <is>
          <t>VÄSTERNORRLANDS LÄN</t>
        </is>
      </c>
      <c r="E56" t="inlineStr">
        <is>
          <t>SOLLEFTEÅ</t>
        </is>
      </c>
      <c r="F56" t="inlineStr">
        <is>
          <t>SCA</t>
        </is>
      </c>
      <c r="G56" t="n">
        <v>8.5</v>
      </c>
      <c r="H56" t="n">
        <v>3</v>
      </c>
      <c r="I56" t="n">
        <v>0</v>
      </c>
      <c r="J56" t="n">
        <v>7</v>
      </c>
      <c r="K56" t="n">
        <v>3</v>
      </c>
      <c r="L56" t="n">
        <v>0</v>
      </c>
      <c r="M56" t="n">
        <v>0</v>
      </c>
      <c r="N56" t="n">
        <v>0</v>
      </c>
      <c r="O56" t="n">
        <v>10</v>
      </c>
      <c r="P56" t="n">
        <v>3</v>
      </c>
      <c r="Q56" t="n">
        <v>10</v>
      </c>
      <c r="R56" s="2" t="inlineStr">
        <is>
          <t>Knärot
Ostticka
Rynkskinn
Duvhök
Gammelgransskål
Garnlav
Lunglav
Rosenticka
Tretåig hackspett
Ullticka</t>
        </is>
      </c>
      <c r="S56">
        <f>HYPERLINK("https://klasma.github.io/Logging_2283/artfynd/A 66171-2021 artfynd.xlsx", "A 66171-2021")</f>
        <v/>
      </c>
      <c r="T56">
        <f>HYPERLINK("https://klasma.github.io/Logging_2283/kartor/A 66171-2021 karta.png", "A 66171-2021")</f>
        <v/>
      </c>
      <c r="U56">
        <f>HYPERLINK("https://klasma.github.io/Logging_2283/knärot/A 66171-2021 karta knärot.png", "A 66171-2021")</f>
        <v/>
      </c>
      <c r="V56">
        <f>HYPERLINK("https://klasma.github.io/Logging_2283/klagomål/A 66171-2021 FSC-klagomål.docx", "A 66171-2021")</f>
        <v/>
      </c>
      <c r="W56">
        <f>HYPERLINK("https://klasma.github.io/Logging_2283/klagomålsmail/A 66171-2021 FSC-klagomål mail.docx", "A 66171-2021")</f>
        <v/>
      </c>
      <c r="X56">
        <f>HYPERLINK("https://klasma.github.io/Logging_2283/tillsyn/A 66171-2021 tillsynsbegäran.docx", "A 66171-2021")</f>
        <v/>
      </c>
      <c r="Y56">
        <f>HYPERLINK("https://klasma.github.io/Logging_2283/tillsynsmail/A 66171-2021 tillsynsbegäran mail.docx", "A 66171-2021")</f>
        <v/>
      </c>
      <c r="Z56">
        <f>HYPERLINK("https://klasma.github.io/Logging_2283/fåglar/A 66171-2021 prioriterade fågelarter.docx", "A 66171-2021")</f>
        <v/>
      </c>
    </row>
    <row r="57" ht="15" customHeight="1">
      <c r="A57" t="inlineStr">
        <is>
          <t>A 14301-2022</t>
        </is>
      </c>
      <c r="B57" s="1" t="n">
        <v>44651</v>
      </c>
      <c r="C57" s="1" t="n">
        <v>45908</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6620-2025</t>
        </is>
      </c>
      <c r="B58" s="1" t="n">
        <v>45700</v>
      </c>
      <c r="C58" s="1" t="n">
        <v>45908</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45908</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45908</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37488-2023</t>
        </is>
      </c>
      <c r="B61" s="1" t="n">
        <v>45156</v>
      </c>
      <c r="C61" s="1" t="n">
        <v>45908</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45908</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18009-2022</t>
        </is>
      </c>
      <c r="B63" s="1" t="n">
        <v>44683</v>
      </c>
      <c r="C63" s="1" t="n">
        <v>45908</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24755-2024</t>
        </is>
      </c>
      <c r="B64" s="1" t="n">
        <v>45460</v>
      </c>
      <c r="C64" s="1" t="n">
        <v>45908</v>
      </c>
      <c r="D64" t="inlineStr">
        <is>
          <t>VÄSTERNORRLANDS LÄN</t>
        </is>
      </c>
      <c r="E64" t="inlineStr">
        <is>
          <t>SOLLEFTEÅ</t>
        </is>
      </c>
      <c r="G64" t="n">
        <v>14</v>
      </c>
      <c r="H64" t="n">
        <v>4</v>
      </c>
      <c r="I64" t="n">
        <v>3</v>
      </c>
      <c r="J64" t="n">
        <v>4</v>
      </c>
      <c r="K64" t="n">
        <v>1</v>
      </c>
      <c r="L64" t="n">
        <v>0</v>
      </c>
      <c r="M64" t="n">
        <v>0</v>
      </c>
      <c r="N64" t="n">
        <v>0</v>
      </c>
      <c r="O64" t="n">
        <v>5</v>
      </c>
      <c r="P64" t="n">
        <v>1</v>
      </c>
      <c r="Q64" t="n">
        <v>9</v>
      </c>
      <c r="R64" s="2" t="inlineStr">
        <is>
          <t>Rynkskinn
Rosenticka
Spillkråka
Tretåig hackspett
Ullticka
Plattlummer
Tallfingersvamp
Vedticka
Revlummer</t>
        </is>
      </c>
      <c r="S64">
        <f>HYPERLINK("https://klasma.github.io/Logging_2283/artfynd/A 24755-2024 artfynd.xlsx", "A 24755-2024")</f>
        <v/>
      </c>
      <c r="T64">
        <f>HYPERLINK("https://klasma.github.io/Logging_2283/kartor/A 24755-2024 karta.png", "A 24755-2024")</f>
        <v/>
      </c>
      <c r="V64">
        <f>HYPERLINK("https://klasma.github.io/Logging_2283/klagomål/A 24755-2024 FSC-klagomål.docx", "A 24755-2024")</f>
        <v/>
      </c>
      <c r="W64">
        <f>HYPERLINK("https://klasma.github.io/Logging_2283/klagomålsmail/A 24755-2024 FSC-klagomål mail.docx", "A 24755-2024")</f>
        <v/>
      </c>
      <c r="X64">
        <f>HYPERLINK("https://klasma.github.io/Logging_2283/tillsyn/A 24755-2024 tillsynsbegäran.docx", "A 24755-2024")</f>
        <v/>
      </c>
      <c r="Y64">
        <f>HYPERLINK("https://klasma.github.io/Logging_2283/tillsynsmail/A 24755-2024 tillsynsbegäran mail.docx", "A 24755-2024")</f>
        <v/>
      </c>
      <c r="Z64">
        <f>HYPERLINK("https://klasma.github.io/Logging_2283/fåglar/A 24755-2024 prioriterade fågelarter.docx", "A 24755-2024")</f>
        <v/>
      </c>
    </row>
    <row r="65" ht="15" customHeight="1">
      <c r="A65" t="inlineStr">
        <is>
          <t>A 40274-2022</t>
        </is>
      </c>
      <c r="B65" s="1" t="n">
        <v>44820</v>
      </c>
      <c r="C65" s="1" t="n">
        <v>45908</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43131-2022</t>
        </is>
      </c>
      <c r="B66" s="1" t="n">
        <v>44833</v>
      </c>
      <c r="C66" s="1" t="n">
        <v>45908</v>
      </c>
      <c r="D66" t="inlineStr">
        <is>
          <t>VÄSTERNORRLANDS LÄN</t>
        </is>
      </c>
      <c r="E66" t="inlineStr">
        <is>
          <t>SOLLEFTEÅ</t>
        </is>
      </c>
      <c r="F66" t="inlineStr">
        <is>
          <t>SCA</t>
        </is>
      </c>
      <c r="G66" t="n">
        <v>2.6</v>
      </c>
      <c r="H66" t="n">
        <v>4</v>
      </c>
      <c r="I66" t="n">
        <v>1</v>
      </c>
      <c r="J66" t="n">
        <v>6</v>
      </c>
      <c r="K66" t="n">
        <v>1</v>
      </c>
      <c r="L66" t="n">
        <v>0</v>
      </c>
      <c r="M66" t="n">
        <v>0</v>
      </c>
      <c r="N66" t="n">
        <v>0</v>
      </c>
      <c r="O66" t="n">
        <v>7</v>
      </c>
      <c r="P66" t="n">
        <v>1</v>
      </c>
      <c r="Q66" t="n">
        <v>9</v>
      </c>
      <c r="R66" s="2" t="inlineStr">
        <is>
          <t>Knärot
Gammelgransskål
Garnlav
Harticka
Lunglav
Talltita
Tretåig hackspett
Luddlav
Revlummer</t>
        </is>
      </c>
      <c r="S66">
        <f>HYPERLINK("https://klasma.github.io/Logging_2283/artfynd/A 43131-2022 artfynd.xlsx", "A 43131-2022")</f>
        <v/>
      </c>
      <c r="T66">
        <f>HYPERLINK("https://klasma.github.io/Logging_2283/kartor/A 43131-2022 karta.png", "A 43131-2022")</f>
        <v/>
      </c>
      <c r="U66">
        <f>HYPERLINK("https://klasma.github.io/Logging_2283/knärot/A 43131-2022 karta knärot.png", "A 43131-2022")</f>
        <v/>
      </c>
      <c r="V66">
        <f>HYPERLINK("https://klasma.github.io/Logging_2283/klagomål/A 43131-2022 FSC-klagomål.docx", "A 43131-2022")</f>
        <v/>
      </c>
      <c r="W66">
        <f>HYPERLINK("https://klasma.github.io/Logging_2283/klagomålsmail/A 43131-2022 FSC-klagomål mail.docx", "A 43131-2022")</f>
        <v/>
      </c>
      <c r="X66">
        <f>HYPERLINK("https://klasma.github.io/Logging_2283/tillsyn/A 43131-2022 tillsynsbegäran.docx", "A 43131-2022")</f>
        <v/>
      </c>
      <c r="Y66">
        <f>HYPERLINK("https://klasma.github.io/Logging_2283/tillsynsmail/A 43131-2022 tillsynsbegäran mail.docx", "A 43131-2022")</f>
        <v/>
      </c>
      <c r="Z66">
        <f>HYPERLINK("https://klasma.github.io/Logging_2283/fåglar/A 43131-2022 prioriterade fågelarter.docx", "A 43131-2022")</f>
        <v/>
      </c>
    </row>
    <row r="67" ht="15" customHeight="1">
      <c r="A67" t="inlineStr">
        <is>
          <t>A 39198-2025</t>
        </is>
      </c>
      <c r="B67" s="1" t="n">
        <v>45888</v>
      </c>
      <c r="C67" s="1" t="n">
        <v>45908</v>
      </c>
      <c r="D67" t="inlineStr">
        <is>
          <t>VÄSTERNORRLANDS LÄN</t>
        </is>
      </c>
      <c r="E67" t="inlineStr">
        <is>
          <t>SOLLEFTEÅ</t>
        </is>
      </c>
      <c r="G67" t="n">
        <v>5.6</v>
      </c>
      <c r="H67" t="n">
        <v>2</v>
      </c>
      <c r="I67" t="n">
        <v>2</v>
      </c>
      <c r="J67" t="n">
        <v>4</v>
      </c>
      <c r="K67" t="n">
        <v>3</v>
      </c>
      <c r="L67" t="n">
        <v>0</v>
      </c>
      <c r="M67" t="n">
        <v>0</v>
      </c>
      <c r="N67" t="n">
        <v>0</v>
      </c>
      <c r="O67" t="n">
        <v>7</v>
      </c>
      <c r="P67" t="n">
        <v>3</v>
      </c>
      <c r="Q67" t="n">
        <v>9</v>
      </c>
      <c r="R67" s="2" t="inlineStr">
        <is>
          <t>Doftticka
Knärot
Rynkskinn
Garnlav
Lunglav
Mörk kolflarnlav
Ullticka
Bårdlav
Stuplav</t>
        </is>
      </c>
      <c r="S67">
        <f>HYPERLINK("https://klasma.github.io/Logging_2283/artfynd/A 39198-2025 artfynd.xlsx", "A 39198-2025")</f>
        <v/>
      </c>
      <c r="T67">
        <f>HYPERLINK("https://klasma.github.io/Logging_2283/kartor/A 39198-2025 karta.png", "A 39198-2025")</f>
        <v/>
      </c>
      <c r="U67">
        <f>HYPERLINK("https://klasma.github.io/Logging_2283/knärot/A 39198-2025 karta knärot.png", "A 39198-2025")</f>
        <v/>
      </c>
      <c r="V67">
        <f>HYPERLINK("https://klasma.github.io/Logging_2283/klagomål/A 39198-2025 FSC-klagomål.docx", "A 39198-2025")</f>
        <v/>
      </c>
      <c r="W67">
        <f>HYPERLINK("https://klasma.github.io/Logging_2283/klagomålsmail/A 39198-2025 FSC-klagomål mail.docx", "A 39198-2025")</f>
        <v/>
      </c>
      <c r="X67">
        <f>HYPERLINK("https://klasma.github.io/Logging_2283/tillsyn/A 39198-2025 tillsynsbegäran.docx", "A 39198-2025")</f>
        <v/>
      </c>
      <c r="Y67">
        <f>HYPERLINK("https://klasma.github.io/Logging_2283/tillsynsmail/A 39198-2025 tillsynsbegäran mail.docx", "A 39198-2025")</f>
        <v/>
      </c>
    </row>
    <row r="68" ht="15" customHeight="1">
      <c r="A68" t="inlineStr">
        <is>
          <t>A 57790-2024</t>
        </is>
      </c>
      <c r="B68" s="1" t="n">
        <v>45631</v>
      </c>
      <c r="C68" s="1" t="n">
        <v>45908</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12146-2025</t>
        </is>
      </c>
      <c r="B69" s="1" t="n">
        <v>45729</v>
      </c>
      <c r="C69" s="1" t="n">
        <v>45908</v>
      </c>
      <c r="D69" t="inlineStr">
        <is>
          <t>VÄSTERNORRLANDS LÄN</t>
        </is>
      </c>
      <c r="E69" t="inlineStr">
        <is>
          <t>SOLLEFTEÅ</t>
        </is>
      </c>
      <c r="F69" t="inlineStr">
        <is>
          <t>SCA</t>
        </is>
      </c>
      <c r="G69" t="n">
        <v>7.4</v>
      </c>
      <c r="H69" t="n">
        <v>4</v>
      </c>
      <c r="I69" t="n">
        <v>1</v>
      </c>
      <c r="J69" t="n">
        <v>7</v>
      </c>
      <c r="K69" t="n">
        <v>0</v>
      </c>
      <c r="L69" t="n">
        <v>0</v>
      </c>
      <c r="M69" t="n">
        <v>0</v>
      </c>
      <c r="N69" t="n">
        <v>0</v>
      </c>
      <c r="O69" t="n">
        <v>7</v>
      </c>
      <c r="P69" t="n">
        <v>0</v>
      </c>
      <c r="Q69" t="n">
        <v>9</v>
      </c>
      <c r="R69" s="2" t="inlineStr">
        <is>
          <t>Gammelgransskål
Garnlav
Granticka
Harticka
Lunglav
Talltita
Tretåig hackspett
Lappranunkel
Tjäder</t>
        </is>
      </c>
      <c r="S69">
        <f>HYPERLINK("https://klasma.github.io/Logging_2283/artfynd/A 12146-2025 artfynd.xlsx", "A 12146-2025")</f>
        <v/>
      </c>
      <c r="T69">
        <f>HYPERLINK("https://klasma.github.io/Logging_2283/kartor/A 12146-2025 karta.png", "A 12146-2025")</f>
        <v/>
      </c>
      <c r="V69">
        <f>HYPERLINK("https://klasma.github.io/Logging_2283/klagomål/A 12146-2025 FSC-klagomål.docx", "A 12146-2025")</f>
        <v/>
      </c>
      <c r="W69">
        <f>HYPERLINK("https://klasma.github.io/Logging_2283/klagomålsmail/A 12146-2025 FSC-klagomål mail.docx", "A 12146-2025")</f>
        <v/>
      </c>
      <c r="X69">
        <f>HYPERLINK("https://klasma.github.io/Logging_2283/tillsyn/A 12146-2025 tillsynsbegäran.docx", "A 12146-2025")</f>
        <v/>
      </c>
      <c r="Y69">
        <f>HYPERLINK("https://klasma.github.io/Logging_2283/tillsynsmail/A 12146-2025 tillsynsbegäran mail.docx", "A 12146-2025")</f>
        <v/>
      </c>
      <c r="Z69">
        <f>HYPERLINK("https://klasma.github.io/Logging_2283/fåglar/A 12146-2025 prioriterade fågelarter.docx", "A 12146-2025")</f>
        <v/>
      </c>
    </row>
    <row r="70" ht="15" customHeight="1">
      <c r="A70" t="inlineStr">
        <is>
          <t>A 11132-2025</t>
        </is>
      </c>
      <c r="B70" s="1" t="n">
        <v>45723.64934027778</v>
      </c>
      <c r="C70" s="1" t="n">
        <v>45908</v>
      </c>
      <c r="D70" t="inlineStr">
        <is>
          <t>VÄSTERNORRLANDS LÄN</t>
        </is>
      </c>
      <c r="E70" t="inlineStr">
        <is>
          <t>SOLLEFTEÅ</t>
        </is>
      </c>
      <c r="G70" t="n">
        <v>18.2</v>
      </c>
      <c r="H70" t="n">
        <v>2</v>
      </c>
      <c r="I70" t="n">
        <v>0</v>
      </c>
      <c r="J70" t="n">
        <v>6</v>
      </c>
      <c r="K70" t="n">
        <v>1</v>
      </c>
      <c r="L70" t="n">
        <v>0</v>
      </c>
      <c r="M70" t="n">
        <v>0</v>
      </c>
      <c r="N70" t="n">
        <v>0</v>
      </c>
      <c r="O70" t="n">
        <v>7</v>
      </c>
      <c r="P70" t="n">
        <v>1</v>
      </c>
      <c r="Q70" t="n">
        <v>8</v>
      </c>
      <c r="R70" s="2" t="inlineStr">
        <is>
          <t>Knärot
Gropig brunbagge
Mörk kolflarnlav
Olisthaerus substriatus
Rosenticka
Ullticka
Vedskivlav
Vanlig padda</t>
        </is>
      </c>
      <c r="S70">
        <f>HYPERLINK("https://klasma.github.io/Logging_2283/artfynd/A 11132-2025 artfynd.xlsx", "A 11132-2025")</f>
        <v/>
      </c>
      <c r="T70">
        <f>HYPERLINK("https://klasma.github.io/Logging_2283/kartor/A 11132-2025 karta.png", "A 11132-2025")</f>
        <v/>
      </c>
      <c r="U70">
        <f>HYPERLINK("https://klasma.github.io/Logging_2283/knärot/A 11132-2025 karta knärot.png", "A 11132-2025")</f>
        <v/>
      </c>
      <c r="V70">
        <f>HYPERLINK("https://klasma.github.io/Logging_2283/klagomål/A 11132-2025 FSC-klagomål.docx", "A 11132-2025")</f>
        <v/>
      </c>
      <c r="W70">
        <f>HYPERLINK("https://klasma.github.io/Logging_2283/klagomålsmail/A 11132-2025 FSC-klagomål mail.docx", "A 11132-2025")</f>
        <v/>
      </c>
      <c r="X70">
        <f>HYPERLINK("https://klasma.github.io/Logging_2283/tillsyn/A 11132-2025 tillsynsbegäran.docx", "A 11132-2025")</f>
        <v/>
      </c>
      <c r="Y70">
        <f>HYPERLINK("https://klasma.github.io/Logging_2283/tillsynsmail/A 11132-2025 tillsynsbegäran mail.docx", "A 11132-2025")</f>
        <v/>
      </c>
    </row>
    <row r="71" ht="15" customHeight="1">
      <c r="A71" t="inlineStr">
        <is>
          <t>A 57317-2024</t>
        </is>
      </c>
      <c r="B71" s="1" t="n">
        <v>45629</v>
      </c>
      <c r="C71" s="1" t="n">
        <v>45908</v>
      </c>
      <c r="D71" t="inlineStr">
        <is>
          <t>VÄSTERNORRLANDS LÄN</t>
        </is>
      </c>
      <c r="E71" t="inlineStr">
        <is>
          <t>SOLLEFTEÅ</t>
        </is>
      </c>
      <c r="F71" t="inlineStr">
        <is>
          <t>SCA</t>
        </is>
      </c>
      <c r="G71" t="n">
        <v>4</v>
      </c>
      <c r="H71" t="n">
        <v>3</v>
      </c>
      <c r="I71" t="n">
        <v>0</v>
      </c>
      <c r="J71" t="n">
        <v>7</v>
      </c>
      <c r="K71" t="n">
        <v>1</v>
      </c>
      <c r="L71" t="n">
        <v>0</v>
      </c>
      <c r="M71" t="n">
        <v>0</v>
      </c>
      <c r="N71" t="n">
        <v>0</v>
      </c>
      <c r="O71" t="n">
        <v>8</v>
      </c>
      <c r="P71" t="n">
        <v>1</v>
      </c>
      <c r="Q71" t="n">
        <v>8</v>
      </c>
      <c r="R71" s="2" t="inlineStr">
        <is>
          <t>Knärot
Gammelgransskål
Garnlav
Granticka
Lunglav
Spillkråka
Tretåig hackspett
Ullticka</t>
        </is>
      </c>
      <c r="S71">
        <f>HYPERLINK("https://klasma.github.io/Logging_2283/artfynd/A 57317-2024 artfynd.xlsx", "A 57317-2024")</f>
        <v/>
      </c>
      <c r="T71">
        <f>HYPERLINK("https://klasma.github.io/Logging_2283/kartor/A 57317-2024 karta.png", "A 57317-2024")</f>
        <v/>
      </c>
      <c r="U71">
        <f>HYPERLINK("https://klasma.github.io/Logging_2283/knärot/A 57317-2024 karta knärot.png", "A 57317-2024")</f>
        <v/>
      </c>
      <c r="V71">
        <f>HYPERLINK("https://klasma.github.io/Logging_2283/klagomål/A 57317-2024 FSC-klagomål.docx", "A 57317-2024")</f>
        <v/>
      </c>
      <c r="W71">
        <f>HYPERLINK("https://klasma.github.io/Logging_2283/klagomålsmail/A 57317-2024 FSC-klagomål mail.docx", "A 57317-2024")</f>
        <v/>
      </c>
      <c r="X71">
        <f>HYPERLINK("https://klasma.github.io/Logging_2283/tillsyn/A 57317-2024 tillsynsbegäran.docx", "A 57317-2024")</f>
        <v/>
      </c>
      <c r="Y71">
        <f>HYPERLINK("https://klasma.github.io/Logging_2283/tillsynsmail/A 57317-2024 tillsynsbegäran mail.docx", "A 57317-2024")</f>
        <v/>
      </c>
      <c r="Z71">
        <f>HYPERLINK("https://klasma.github.io/Logging_2283/fåglar/A 57317-2024 prioriterade fågelarter.docx", "A 57317-2024")</f>
        <v/>
      </c>
    </row>
    <row r="72" ht="15" customHeight="1">
      <c r="A72" t="inlineStr">
        <is>
          <t>A 64131-2023</t>
        </is>
      </c>
      <c r="B72" s="1" t="n">
        <v>45279</v>
      </c>
      <c r="C72" s="1" t="n">
        <v>45908</v>
      </c>
      <c r="D72" t="inlineStr">
        <is>
          <t>VÄSTERNORRLANDS LÄN</t>
        </is>
      </c>
      <c r="E72" t="inlineStr">
        <is>
          <t>SOLLEFTEÅ</t>
        </is>
      </c>
      <c r="G72" t="n">
        <v>12.9</v>
      </c>
      <c r="H72" t="n">
        <v>2</v>
      </c>
      <c r="I72" t="n">
        <v>2</v>
      </c>
      <c r="J72" t="n">
        <v>4</v>
      </c>
      <c r="K72" t="n">
        <v>2</v>
      </c>
      <c r="L72" t="n">
        <v>0</v>
      </c>
      <c r="M72" t="n">
        <v>0</v>
      </c>
      <c r="N72" t="n">
        <v>0</v>
      </c>
      <c r="O72" t="n">
        <v>6</v>
      </c>
      <c r="P72" t="n">
        <v>2</v>
      </c>
      <c r="Q72" t="n">
        <v>8</v>
      </c>
      <c r="R72" s="2" t="inlineStr">
        <is>
          <t>Knärot
Rynkskinn
Lunglav
Rosenticka
Talltita
Ullticka
Grönpyrola
Vedticka</t>
        </is>
      </c>
      <c r="S72">
        <f>HYPERLINK("https://klasma.github.io/Logging_2283/artfynd/A 64131-2023 artfynd.xlsx", "A 64131-2023")</f>
        <v/>
      </c>
      <c r="T72">
        <f>HYPERLINK("https://klasma.github.io/Logging_2283/kartor/A 64131-2023 karta.png", "A 64131-2023")</f>
        <v/>
      </c>
      <c r="U72">
        <f>HYPERLINK("https://klasma.github.io/Logging_2283/knärot/A 64131-2023 karta knärot.png", "A 64131-2023")</f>
        <v/>
      </c>
      <c r="V72">
        <f>HYPERLINK("https://klasma.github.io/Logging_2283/klagomål/A 64131-2023 FSC-klagomål.docx", "A 64131-2023")</f>
        <v/>
      </c>
      <c r="W72">
        <f>HYPERLINK("https://klasma.github.io/Logging_2283/klagomålsmail/A 64131-2023 FSC-klagomål mail.docx", "A 64131-2023")</f>
        <v/>
      </c>
      <c r="X72">
        <f>HYPERLINK("https://klasma.github.io/Logging_2283/tillsyn/A 64131-2023 tillsynsbegäran.docx", "A 64131-2023")</f>
        <v/>
      </c>
      <c r="Y72">
        <f>HYPERLINK("https://klasma.github.io/Logging_2283/tillsynsmail/A 64131-2023 tillsynsbegäran mail.docx", "A 64131-2023")</f>
        <v/>
      </c>
      <c r="Z72">
        <f>HYPERLINK("https://klasma.github.io/Logging_2283/fåglar/A 64131-2023 prioriterade fågelarter.docx", "A 64131-2023")</f>
        <v/>
      </c>
    </row>
    <row r="73" ht="15" customHeight="1">
      <c r="A73" t="inlineStr">
        <is>
          <t>A 39071-2023</t>
        </is>
      </c>
      <c r="B73" s="1" t="n">
        <v>45163</v>
      </c>
      <c r="C73" s="1" t="n">
        <v>45908</v>
      </c>
      <c r="D73" t="inlineStr">
        <is>
          <t>VÄSTERNORRLANDS LÄN</t>
        </is>
      </c>
      <c r="E73" t="inlineStr">
        <is>
          <t>SOLLEFTEÅ</t>
        </is>
      </c>
      <c r="F73" t="inlineStr">
        <is>
          <t>SCA</t>
        </is>
      </c>
      <c r="G73" t="n">
        <v>16.5</v>
      </c>
      <c r="H73" t="n">
        <v>1</v>
      </c>
      <c r="I73" t="n">
        <v>1</v>
      </c>
      <c r="J73" t="n">
        <v>6</v>
      </c>
      <c r="K73" t="n">
        <v>1</v>
      </c>
      <c r="L73" t="n">
        <v>0</v>
      </c>
      <c r="M73" t="n">
        <v>0</v>
      </c>
      <c r="N73" t="n">
        <v>0</v>
      </c>
      <c r="O73" t="n">
        <v>7</v>
      </c>
      <c r="P73" t="n">
        <v>1</v>
      </c>
      <c r="Q73" t="n">
        <v>8</v>
      </c>
      <c r="R73" s="2" t="inlineStr">
        <is>
          <t>Rynkskinn
Gammelgransskål
Granticka
Leptoporus mollis
Rosenticka
Spillkråka
Ullticka
Vedticka</t>
        </is>
      </c>
      <c r="S73">
        <f>HYPERLINK("https://klasma.github.io/Logging_2283/artfynd/A 39071-2023 artfynd.xlsx", "A 39071-2023")</f>
        <v/>
      </c>
      <c r="T73">
        <f>HYPERLINK("https://klasma.github.io/Logging_2283/kartor/A 39071-2023 karta.png", "A 39071-2023")</f>
        <v/>
      </c>
      <c r="V73">
        <f>HYPERLINK("https://klasma.github.io/Logging_2283/klagomål/A 39071-2023 FSC-klagomål.docx", "A 39071-2023")</f>
        <v/>
      </c>
      <c r="W73">
        <f>HYPERLINK("https://klasma.github.io/Logging_2283/klagomålsmail/A 39071-2023 FSC-klagomål mail.docx", "A 39071-2023")</f>
        <v/>
      </c>
      <c r="X73">
        <f>HYPERLINK("https://klasma.github.io/Logging_2283/tillsyn/A 39071-2023 tillsynsbegäran.docx", "A 39071-2023")</f>
        <v/>
      </c>
      <c r="Y73">
        <f>HYPERLINK("https://klasma.github.io/Logging_2283/tillsynsmail/A 39071-2023 tillsynsbegäran mail.docx", "A 39071-2023")</f>
        <v/>
      </c>
      <c r="Z73">
        <f>HYPERLINK("https://klasma.github.io/Logging_2283/fåglar/A 39071-2023 prioriterade fågelarter.docx", "A 39071-2023")</f>
        <v/>
      </c>
    </row>
    <row r="74" ht="15" customHeight="1">
      <c r="A74" t="inlineStr">
        <is>
          <t>A 4930-2025</t>
        </is>
      </c>
      <c r="B74" s="1" t="n">
        <v>45688</v>
      </c>
      <c r="C74" s="1" t="n">
        <v>45908</v>
      </c>
      <c r="D74" t="inlineStr">
        <is>
          <t>VÄSTERNORRLANDS LÄN</t>
        </is>
      </c>
      <c r="E74" t="inlineStr">
        <is>
          <t>SOLLEFTEÅ</t>
        </is>
      </c>
      <c r="F74" t="inlineStr">
        <is>
          <t>Övriga statliga verk och myndigheter</t>
        </is>
      </c>
      <c r="G74" t="n">
        <v>15.3</v>
      </c>
      <c r="H74" t="n">
        <v>4</v>
      </c>
      <c r="I74" t="n">
        <v>1</v>
      </c>
      <c r="J74" t="n">
        <v>5</v>
      </c>
      <c r="K74" t="n">
        <v>2</v>
      </c>
      <c r="L74" t="n">
        <v>0</v>
      </c>
      <c r="M74" t="n">
        <v>0</v>
      </c>
      <c r="N74" t="n">
        <v>0</v>
      </c>
      <c r="O74" t="n">
        <v>7</v>
      </c>
      <c r="P74" t="n">
        <v>2</v>
      </c>
      <c r="Q74" t="n">
        <v>8</v>
      </c>
      <c r="R74" s="2" t="inlineStr">
        <is>
          <t>Doftticka
Rynkskinn
Björktrast
Rosenticka
Spillkråka
Tretåig hackspett
Ullticka
Underviol</t>
        </is>
      </c>
      <c r="S74">
        <f>HYPERLINK("https://klasma.github.io/Logging_2283/artfynd/A 4930-2025 artfynd.xlsx", "A 4930-2025")</f>
        <v/>
      </c>
      <c r="T74">
        <f>HYPERLINK("https://klasma.github.io/Logging_2283/kartor/A 4930-2025 karta.png", "A 4930-2025")</f>
        <v/>
      </c>
      <c r="V74">
        <f>HYPERLINK("https://klasma.github.io/Logging_2283/klagomål/A 4930-2025 FSC-klagomål.docx", "A 4930-2025")</f>
        <v/>
      </c>
      <c r="W74">
        <f>HYPERLINK("https://klasma.github.io/Logging_2283/klagomålsmail/A 4930-2025 FSC-klagomål mail.docx", "A 4930-2025")</f>
        <v/>
      </c>
      <c r="X74">
        <f>HYPERLINK("https://klasma.github.io/Logging_2283/tillsyn/A 4930-2025 tillsynsbegäran.docx", "A 4930-2025")</f>
        <v/>
      </c>
      <c r="Y74">
        <f>HYPERLINK("https://klasma.github.io/Logging_2283/tillsynsmail/A 4930-2025 tillsynsbegäran mail.docx", "A 4930-2025")</f>
        <v/>
      </c>
      <c r="Z74">
        <f>HYPERLINK("https://klasma.github.io/Logging_2283/fåglar/A 4930-2025 prioriterade fågelarter.docx", "A 4930-2025")</f>
        <v/>
      </c>
    </row>
    <row r="75" ht="15" customHeight="1">
      <c r="A75" t="inlineStr">
        <is>
          <t>A 25941-2025</t>
        </is>
      </c>
      <c r="B75" s="1" t="n">
        <v>45804.59460648148</v>
      </c>
      <c r="C75" s="1" t="n">
        <v>45908</v>
      </c>
      <c r="D75" t="inlineStr">
        <is>
          <t>VÄSTERNORRLANDS LÄN</t>
        </is>
      </c>
      <c r="E75" t="inlineStr">
        <is>
          <t>SOLLEFTEÅ</t>
        </is>
      </c>
      <c r="G75" t="n">
        <v>4.4</v>
      </c>
      <c r="H75" t="n">
        <v>1</v>
      </c>
      <c r="I75" t="n">
        <v>3</v>
      </c>
      <c r="J75" t="n">
        <v>3</v>
      </c>
      <c r="K75" t="n">
        <v>1</v>
      </c>
      <c r="L75" t="n">
        <v>1</v>
      </c>
      <c r="M75" t="n">
        <v>0</v>
      </c>
      <c r="N75" t="n">
        <v>0</v>
      </c>
      <c r="O75" t="n">
        <v>5</v>
      </c>
      <c r="P75" t="n">
        <v>2</v>
      </c>
      <c r="Q75" t="n">
        <v>8</v>
      </c>
      <c r="R75" s="2" t="inlineStr">
        <is>
          <t>Trolldruvemätare
Rynkskinn
Rosenticka
Talltita
Vedtrappmossa
Dvärghäxört
Strutbräken
Svart trolldruva</t>
        </is>
      </c>
      <c r="S75">
        <f>HYPERLINK("https://klasma.github.io/Logging_2283/artfynd/A 25941-2025 artfynd.xlsx", "A 25941-2025")</f>
        <v/>
      </c>
      <c r="T75">
        <f>HYPERLINK("https://klasma.github.io/Logging_2283/kartor/A 25941-2025 karta.png", "A 25941-2025")</f>
        <v/>
      </c>
      <c r="V75">
        <f>HYPERLINK("https://klasma.github.io/Logging_2283/klagomål/A 25941-2025 FSC-klagomål.docx", "A 25941-2025")</f>
        <v/>
      </c>
      <c r="W75">
        <f>HYPERLINK("https://klasma.github.io/Logging_2283/klagomålsmail/A 25941-2025 FSC-klagomål mail.docx", "A 25941-2025")</f>
        <v/>
      </c>
      <c r="X75">
        <f>HYPERLINK("https://klasma.github.io/Logging_2283/tillsyn/A 25941-2025 tillsynsbegäran.docx", "A 25941-2025")</f>
        <v/>
      </c>
      <c r="Y75">
        <f>HYPERLINK("https://klasma.github.io/Logging_2283/tillsynsmail/A 25941-2025 tillsynsbegäran mail.docx", "A 25941-2025")</f>
        <v/>
      </c>
      <c r="Z75">
        <f>HYPERLINK("https://klasma.github.io/Logging_2283/fåglar/A 25941-2025 prioriterade fågelarter.docx", "A 25941-2025")</f>
        <v/>
      </c>
    </row>
    <row r="76" ht="15" customHeight="1">
      <c r="A76" t="inlineStr">
        <is>
          <t>A 32200-2023</t>
        </is>
      </c>
      <c r="B76" s="1" t="n">
        <v>45119</v>
      </c>
      <c r="C76" s="1" t="n">
        <v>45908</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31504-2025</t>
        </is>
      </c>
      <c r="B77" s="1" t="n">
        <v>45833.59438657408</v>
      </c>
      <c r="C77" s="1" t="n">
        <v>45908</v>
      </c>
      <c r="D77" t="inlineStr">
        <is>
          <t>VÄSTERNORRLANDS LÄN</t>
        </is>
      </c>
      <c r="E77" t="inlineStr">
        <is>
          <t>SOLLEFTEÅ</t>
        </is>
      </c>
      <c r="F77" t="inlineStr">
        <is>
          <t>SCA</t>
        </is>
      </c>
      <c r="G77" t="n">
        <v>4.1</v>
      </c>
      <c r="H77" t="n">
        <v>2</v>
      </c>
      <c r="I77" t="n">
        <v>1</v>
      </c>
      <c r="J77" t="n">
        <v>5</v>
      </c>
      <c r="K77" t="n">
        <v>2</v>
      </c>
      <c r="L77" t="n">
        <v>0</v>
      </c>
      <c r="M77" t="n">
        <v>0</v>
      </c>
      <c r="N77" t="n">
        <v>0</v>
      </c>
      <c r="O77" t="n">
        <v>7</v>
      </c>
      <c r="P77" t="n">
        <v>2</v>
      </c>
      <c r="Q77" t="n">
        <v>8</v>
      </c>
      <c r="R77" s="2" t="inlineStr">
        <is>
          <t>Knärot
Rynkskinn
Duvhök
Garnlav
Kortskaftad ärgspik
Rosenticka
Vedskivlav
Vedticka</t>
        </is>
      </c>
      <c r="S77">
        <f>HYPERLINK("https://klasma.github.io/Logging_2283/artfynd/A 31504-2025 artfynd.xlsx", "A 31504-2025")</f>
        <v/>
      </c>
      <c r="T77">
        <f>HYPERLINK("https://klasma.github.io/Logging_2283/kartor/A 31504-2025 karta.png", "A 31504-2025")</f>
        <v/>
      </c>
      <c r="U77">
        <f>HYPERLINK("https://klasma.github.io/Logging_2283/knärot/A 31504-2025 karta knärot.png", "A 31504-2025")</f>
        <v/>
      </c>
      <c r="V77">
        <f>HYPERLINK("https://klasma.github.io/Logging_2283/klagomål/A 31504-2025 FSC-klagomål.docx", "A 31504-2025")</f>
        <v/>
      </c>
      <c r="W77">
        <f>HYPERLINK("https://klasma.github.io/Logging_2283/klagomålsmail/A 31504-2025 FSC-klagomål mail.docx", "A 31504-2025")</f>
        <v/>
      </c>
      <c r="X77">
        <f>HYPERLINK("https://klasma.github.io/Logging_2283/tillsyn/A 31504-2025 tillsynsbegäran.docx", "A 31504-2025")</f>
        <v/>
      </c>
      <c r="Y77">
        <f>HYPERLINK("https://klasma.github.io/Logging_2283/tillsynsmail/A 31504-2025 tillsynsbegäran mail.docx", "A 31504-2025")</f>
        <v/>
      </c>
      <c r="Z77">
        <f>HYPERLINK("https://klasma.github.io/Logging_2283/fåglar/A 31504-2025 prioriterade fågelarter.docx", "A 31504-2025")</f>
        <v/>
      </c>
    </row>
    <row r="78" ht="15" customHeight="1">
      <c r="A78" t="inlineStr">
        <is>
          <t>A 11540-2024</t>
        </is>
      </c>
      <c r="B78" s="1" t="n">
        <v>45372</v>
      </c>
      <c r="C78" s="1" t="n">
        <v>45908</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45908</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38294-2024</t>
        </is>
      </c>
      <c r="B80" s="1" t="n">
        <v>45545</v>
      </c>
      <c r="C80" s="1" t="n">
        <v>45908</v>
      </c>
      <c r="D80" t="inlineStr">
        <is>
          <t>VÄSTERNORRLANDS LÄN</t>
        </is>
      </c>
      <c r="E80" t="inlineStr">
        <is>
          <t>SOLLEFTEÅ</t>
        </is>
      </c>
      <c r="F80" t="inlineStr">
        <is>
          <t>Kommuner</t>
        </is>
      </c>
      <c r="G80" t="n">
        <v>18.8</v>
      </c>
      <c r="H80" t="n">
        <v>5</v>
      </c>
      <c r="I80" t="n">
        <v>0</v>
      </c>
      <c r="J80" t="n">
        <v>6</v>
      </c>
      <c r="K80" t="n">
        <v>1</v>
      </c>
      <c r="L80" t="n">
        <v>0</v>
      </c>
      <c r="M80" t="n">
        <v>0</v>
      </c>
      <c r="N80" t="n">
        <v>0</v>
      </c>
      <c r="O80" t="n">
        <v>7</v>
      </c>
      <c r="P80" t="n">
        <v>1</v>
      </c>
      <c r="Q80" t="n">
        <v>8</v>
      </c>
      <c r="R80" s="2" t="inlineStr">
        <is>
          <t>Knärot
Garnlav
Granticka
Spillkråka
Talltita
Tretåig hackspett
Ullticka
Revlummer</t>
        </is>
      </c>
      <c r="S80">
        <f>HYPERLINK("https://klasma.github.io/Logging_2283/artfynd/A 38294-2024 artfynd.xlsx", "A 38294-2024")</f>
        <v/>
      </c>
      <c r="T80">
        <f>HYPERLINK("https://klasma.github.io/Logging_2283/kartor/A 38294-2024 karta.png", "A 38294-2024")</f>
        <v/>
      </c>
      <c r="U80">
        <f>HYPERLINK("https://klasma.github.io/Logging_2283/knärot/A 38294-2024 karta knärot.png", "A 38294-2024")</f>
        <v/>
      </c>
      <c r="V80">
        <f>HYPERLINK("https://klasma.github.io/Logging_2283/klagomål/A 38294-2024 FSC-klagomål.docx", "A 38294-2024")</f>
        <v/>
      </c>
      <c r="W80">
        <f>HYPERLINK("https://klasma.github.io/Logging_2283/klagomålsmail/A 38294-2024 FSC-klagomål mail.docx", "A 38294-2024")</f>
        <v/>
      </c>
      <c r="X80">
        <f>HYPERLINK("https://klasma.github.io/Logging_2283/tillsyn/A 38294-2024 tillsynsbegäran.docx", "A 38294-2024")</f>
        <v/>
      </c>
      <c r="Y80">
        <f>HYPERLINK("https://klasma.github.io/Logging_2283/tillsynsmail/A 38294-2024 tillsynsbegäran mail.docx", "A 38294-2024")</f>
        <v/>
      </c>
      <c r="Z80">
        <f>HYPERLINK("https://klasma.github.io/Logging_2283/fåglar/A 38294-2024 prioriterade fågelarter.docx", "A 38294-2024")</f>
        <v/>
      </c>
    </row>
    <row r="81" ht="15" customHeight="1">
      <c r="A81" t="inlineStr">
        <is>
          <t>A 29250-2024</t>
        </is>
      </c>
      <c r="B81" s="1" t="n">
        <v>45482</v>
      </c>
      <c r="C81" s="1" t="n">
        <v>45908</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29620-2023</t>
        </is>
      </c>
      <c r="B82" s="1" t="n">
        <v>45106</v>
      </c>
      <c r="C82" s="1" t="n">
        <v>45908</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26655-2022</t>
        </is>
      </c>
      <c r="B83" s="1" t="n">
        <v>44739</v>
      </c>
      <c r="C83" s="1" t="n">
        <v>45908</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5310-2024</t>
        </is>
      </c>
      <c r="B84" s="1" t="n">
        <v>45331</v>
      </c>
      <c r="C84" s="1" t="n">
        <v>45908</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21345-2023</t>
        </is>
      </c>
      <c r="B85" s="1" t="n">
        <v>45062</v>
      </c>
      <c r="C85" s="1" t="n">
        <v>45908</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66843-2020</t>
        </is>
      </c>
      <c r="B86" s="1" t="n">
        <v>44179</v>
      </c>
      <c r="C86" s="1" t="n">
        <v>45908</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18014-2022</t>
        </is>
      </c>
      <c r="B87" s="1" t="n">
        <v>44683</v>
      </c>
      <c r="C87" s="1" t="n">
        <v>45908</v>
      </c>
      <c r="D87" t="inlineStr">
        <is>
          <t>VÄSTERNORRLANDS LÄN</t>
        </is>
      </c>
      <c r="E87" t="inlineStr">
        <is>
          <t>SOLLEFTEÅ</t>
        </is>
      </c>
      <c r="F87" t="inlineStr">
        <is>
          <t>SCA</t>
        </is>
      </c>
      <c r="G87" t="n">
        <v>2.5</v>
      </c>
      <c r="H87" t="n">
        <v>2</v>
      </c>
      <c r="I87" t="n">
        <v>0</v>
      </c>
      <c r="J87" t="n">
        <v>5</v>
      </c>
      <c r="K87" t="n">
        <v>2</v>
      </c>
      <c r="L87" t="n">
        <v>0</v>
      </c>
      <c r="M87" t="n">
        <v>0</v>
      </c>
      <c r="N87" t="n">
        <v>0</v>
      </c>
      <c r="O87" t="n">
        <v>7</v>
      </c>
      <c r="P87" t="n">
        <v>2</v>
      </c>
      <c r="Q87" t="n">
        <v>7</v>
      </c>
      <c r="R87" s="2" t="inlineStr">
        <is>
          <t>Goliatmusseron
Läderdoftande fingersvamp
Granticka
Gultoppig fingersvamp
Svart taggsvamp
Talltita
Tretåig hackspett</t>
        </is>
      </c>
      <c r="S87">
        <f>HYPERLINK("https://klasma.github.io/Logging_2283/artfynd/A 18014-2022 artfynd.xlsx", "A 18014-2022")</f>
        <v/>
      </c>
      <c r="T87">
        <f>HYPERLINK("https://klasma.github.io/Logging_2283/kartor/A 18014-2022 karta.png", "A 18014-2022")</f>
        <v/>
      </c>
      <c r="U87">
        <f>HYPERLINK("https://klasma.github.io/Logging_2283/knärot/A 18014-2022 karta knärot.png", "A 18014-2022")</f>
        <v/>
      </c>
      <c r="V87">
        <f>HYPERLINK("https://klasma.github.io/Logging_2283/klagomål/A 18014-2022 FSC-klagomål.docx", "A 18014-2022")</f>
        <v/>
      </c>
      <c r="W87">
        <f>HYPERLINK("https://klasma.github.io/Logging_2283/klagomålsmail/A 18014-2022 FSC-klagomål mail.docx", "A 18014-2022")</f>
        <v/>
      </c>
      <c r="X87">
        <f>HYPERLINK("https://klasma.github.io/Logging_2283/tillsyn/A 18014-2022 tillsynsbegäran.docx", "A 18014-2022")</f>
        <v/>
      </c>
      <c r="Y87">
        <f>HYPERLINK("https://klasma.github.io/Logging_2283/tillsynsmail/A 18014-2022 tillsynsbegäran mail.docx", "A 18014-2022")</f>
        <v/>
      </c>
      <c r="Z87">
        <f>HYPERLINK("https://klasma.github.io/Logging_2283/fåglar/A 18014-2022 prioriterade fågelarter.docx", "A 18014-2022")</f>
        <v/>
      </c>
    </row>
    <row r="88" ht="15" customHeight="1">
      <c r="A88" t="inlineStr">
        <is>
          <t>A 53121-2022</t>
        </is>
      </c>
      <c r="B88" s="1" t="n">
        <v>44873</v>
      </c>
      <c r="C88" s="1" t="n">
        <v>45908</v>
      </c>
      <c r="D88" t="inlineStr">
        <is>
          <t>VÄSTERNORRLANDS LÄN</t>
        </is>
      </c>
      <c r="E88" t="inlineStr">
        <is>
          <t>SOLLEFTEÅ</t>
        </is>
      </c>
      <c r="G88" t="n">
        <v>3.6</v>
      </c>
      <c r="H88" t="n">
        <v>1</v>
      </c>
      <c r="I88" t="n">
        <v>1</v>
      </c>
      <c r="J88" t="n">
        <v>5</v>
      </c>
      <c r="K88" t="n">
        <v>1</v>
      </c>
      <c r="L88" t="n">
        <v>0</v>
      </c>
      <c r="M88" t="n">
        <v>0</v>
      </c>
      <c r="N88" t="n">
        <v>0</v>
      </c>
      <c r="O88" t="n">
        <v>6</v>
      </c>
      <c r="P88" t="n">
        <v>1</v>
      </c>
      <c r="Q88" t="n">
        <v>7</v>
      </c>
      <c r="R88" s="2" t="inlineStr">
        <is>
          <t>Rynkskinn
Garnlav
Lunglav
Rosenticka
Tretåig hackspett
Ullticka
Stuplav</t>
        </is>
      </c>
      <c r="S88">
        <f>HYPERLINK("https://klasma.github.io/Logging_2283/artfynd/A 53121-2022 artfynd.xlsx", "A 53121-2022")</f>
        <v/>
      </c>
      <c r="T88">
        <f>HYPERLINK("https://klasma.github.io/Logging_2283/kartor/A 53121-2022 karta.png", "A 53121-2022")</f>
        <v/>
      </c>
      <c r="V88">
        <f>HYPERLINK("https://klasma.github.io/Logging_2283/klagomål/A 53121-2022 FSC-klagomål.docx", "A 53121-2022")</f>
        <v/>
      </c>
      <c r="W88">
        <f>HYPERLINK("https://klasma.github.io/Logging_2283/klagomålsmail/A 53121-2022 FSC-klagomål mail.docx", "A 53121-2022")</f>
        <v/>
      </c>
      <c r="X88">
        <f>HYPERLINK("https://klasma.github.io/Logging_2283/tillsyn/A 53121-2022 tillsynsbegäran.docx", "A 53121-2022")</f>
        <v/>
      </c>
      <c r="Y88">
        <f>HYPERLINK("https://klasma.github.io/Logging_2283/tillsynsmail/A 53121-2022 tillsynsbegäran mail.docx", "A 53121-2022")</f>
        <v/>
      </c>
      <c r="Z88">
        <f>HYPERLINK("https://klasma.github.io/Logging_2283/fåglar/A 53121-2022 prioriterade fågelarter.docx", "A 53121-2022")</f>
        <v/>
      </c>
    </row>
    <row r="89" ht="15" customHeight="1">
      <c r="A89" t="inlineStr">
        <is>
          <t>A 22783-2025</t>
        </is>
      </c>
      <c r="B89" s="1" t="n">
        <v>45789</v>
      </c>
      <c r="C89" s="1" t="n">
        <v>45908</v>
      </c>
      <c r="D89" t="inlineStr">
        <is>
          <t>VÄSTERNORRLANDS LÄN</t>
        </is>
      </c>
      <c r="E89" t="inlineStr">
        <is>
          <t>SOLLEFTEÅ</t>
        </is>
      </c>
      <c r="G89" t="n">
        <v>27.7</v>
      </c>
      <c r="H89" t="n">
        <v>3</v>
      </c>
      <c r="I89" t="n">
        <v>2</v>
      </c>
      <c r="J89" t="n">
        <v>3</v>
      </c>
      <c r="K89" t="n">
        <v>0</v>
      </c>
      <c r="L89" t="n">
        <v>0</v>
      </c>
      <c r="M89" t="n">
        <v>0</v>
      </c>
      <c r="N89" t="n">
        <v>0</v>
      </c>
      <c r="O89" t="n">
        <v>3</v>
      </c>
      <c r="P89" t="n">
        <v>0</v>
      </c>
      <c r="Q89" t="n">
        <v>7</v>
      </c>
      <c r="R89" s="2" t="inlineStr">
        <is>
          <t>Lunglav
Nordfladdermus
Skrovellav
Bårdlav
Stuplav
Lavskrika
Vattenfladdermus</t>
        </is>
      </c>
      <c r="S89">
        <f>HYPERLINK("https://klasma.github.io/Logging_2283/artfynd/A 22783-2025 artfynd.xlsx", "A 22783-2025")</f>
        <v/>
      </c>
      <c r="T89">
        <f>HYPERLINK("https://klasma.github.io/Logging_2283/kartor/A 22783-2025 karta.png", "A 22783-2025")</f>
        <v/>
      </c>
      <c r="V89">
        <f>HYPERLINK("https://klasma.github.io/Logging_2283/klagomål/A 22783-2025 FSC-klagomål.docx", "A 22783-2025")</f>
        <v/>
      </c>
      <c r="W89">
        <f>HYPERLINK("https://klasma.github.io/Logging_2283/klagomålsmail/A 22783-2025 FSC-klagomål mail.docx", "A 22783-2025")</f>
        <v/>
      </c>
      <c r="X89">
        <f>HYPERLINK("https://klasma.github.io/Logging_2283/tillsyn/A 22783-2025 tillsynsbegäran.docx", "A 22783-2025")</f>
        <v/>
      </c>
      <c r="Y89">
        <f>HYPERLINK("https://klasma.github.io/Logging_2283/tillsynsmail/A 22783-2025 tillsynsbegäran mail.docx", "A 22783-2025")</f>
        <v/>
      </c>
      <c r="Z89">
        <f>HYPERLINK("https://klasma.github.io/Logging_2283/fåglar/A 22783-2025 prioriterade fågelarter.docx", "A 22783-2025")</f>
        <v/>
      </c>
    </row>
    <row r="90" ht="15" customHeight="1">
      <c r="A90" t="inlineStr">
        <is>
          <t>A 12174-2025</t>
        </is>
      </c>
      <c r="B90" s="1" t="n">
        <v>45729</v>
      </c>
      <c r="C90" s="1" t="n">
        <v>45908</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26654-2024</t>
        </is>
      </c>
      <c r="B91" s="1" t="n">
        <v>45469</v>
      </c>
      <c r="C91" s="1" t="n">
        <v>45908</v>
      </c>
      <c r="D91" t="inlineStr">
        <is>
          <t>VÄSTERNORRLANDS LÄN</t>
        </is>
      </c>
      <c r="E91" t="inlineStr">
        <is>
          <t>SOLLEFTEÅ</t>
        </is>
      </c>
      <c r="F91" t="inlineStr">
        <is>
          <t>SCA</t>
        </is>
      </c>
      <c r="G91" t="n">
        <v>7</v>
      </c>
      <c r="H91" t="n">
        <v>1</v>
      </c>
      <c r="I91" t="n">
        <v>2</v>
      </c>
      <c r="J91" t="n">
        <v>3</v>
      </c>
      <c r="K91" t="n">
        <v>2</v>
      </c>
      <c r="L91" t="n">
        <v>0</v>
      </c>
      <c r="M91" t="n">
        <v>0</v>
      </c>
      <c r="N91" t="n">
        <v>0</v>
      </c>
      <c r="O91" t="n">
        <v>5</v>
      </c>
      <c r="P91" t="n">
        <v>2</v>
      </c>
      <c r="Q91" t="n">
        <v>7</v>
      </c>
      <c r="R91" s="2" t="inlineStr">
        <is>
          <t>Knärot
Ulltickeporing
Garnlav
Harticka
Ullticka
Bårdlav
Skinnlav</t>
        </is>
      </c>
      <c r="S91">
        <f>HYPERLINK("https://klasma.github.io/Logging_2283/artfynd/A 26654-2024 artfynd.xlsx", "A 26654-2024")</f>
        <v/>
      </c>
      <c r="T91">
        <f>HYPERLINK("https://klasma.github.io/Logging_2283/kartor/A 26654-2024 karta.png", "A 26654-2024")</f>
        <v/>
      </c>
      <c r="U91">
        <f>HYPERLINK("https://klasma.github.io/Logging_2283/knärot/A 26654-2024 karta knärot.png", "A 26654-2024")</f>
        <v/>
      </c>
      <c r="V91">
        <f>HYPERLINK("https://klasma.github.io/Logging_2283/klagomål/A 26654-2024 FSC-klagomål.docx", "A 26654-2024")</f>
        <v/>
      </c>
      <c r="W91">
        <f>HYPERLINK("https://klasma.github.io/Logging_2283/klagomålsmail/A 26654-2024 FSC-klagomål mail.docx", "A 26654-2024")</f>
        <v/>
      </c>
      <c r="X91">
        <f>HYPERLINK("https://klasma.github.io/Logging_2283/tillsyn/A 26654-2024 tillsynsbegäran.docx", "A 26654-2024")</f>
        <v/>
      </c>
      <c r="Y91">
        <f>HYPERLINK("https://klasma.github.io/Logging_2283/tillsynsmail/A 26654-2024 tillsynsbegäran mail.docx", "A 26654-2024")</f>
        <v/>
      </c>
    </row>
    <row r="92" ht="15" customHeight="1">
      <c r="A92" t="inlineStr">
        <is>
          <t>A 41666-2024</t>
        </is>
      </c>
      <c r="B92" s="1" t="n">
        <v>45560.65010416666</v>
      </c>
      <c r="C92" s="1" t="n">
        <v>45908</v>
      </c>
      <c r="D92" t="inlineStr">
        <is>
          <t>VÄSTERNORRLANDS LÄN</t>
        </is>
      </c>
      <c r="E92" t="inlineStr">
        <is>
          <t>SOLLEFTEÅ</t>
        </is>
      </c>
      <c r="G92" t="n">
        <v>1</v>
      </c>
      <c r="H92" t="n">
        <v>1</v>
      </c>
      <c r="I92" t="n">
        <v>1</v>
      </c>
      <c r="J92" t="n">
        <v>4</v>
      </c>
      <c r="K92" t="n">
        <v>1</v>
      </c>
      <c r="L92" t="n">
        <v>0</v>
      </c>
      <c r="M92" t="n">
        <v>0</v>
      </c>
      <c r="N92" t="n">
        <v>0</v>
      </c>
      <c r="O92" t="n">
        <v>5</v>
      </c>
      <c r="P92" t="n">
        <v>1</v>
      </c>
      <c r="Q92" t="n">
        <v>7</v>
      </c>
      <c r="R92" s="2" t="inlineStr">
        <is>
          <t>Rynkskinn
Granticka
Lunglav
Rosenticka
Vedtrappmossa
Stor aspticka
Revlummer</t>
        </is>
      </c>
      <c r="S92">
        <f>HYPERLINK("https://klasma.github.io/Logging_2283/artfynd/A 41666-2024 artfynd.xlsx", "A 41666-2024")</f>
        <v/>
      </c>
      <c r="T92">
        <f>HYPERLINK("https://klasma.github.io/Logging_2283/kartor/A 41666-2024 karta.png", "A 41666-2024")</f>
        <v/>
      </c>
      <c r="V92">
        <f>HYPERLINK("https://klasma.github.io/Logging_2283/klagomål/A 41666-2024 FSC-klagomål.docx", "A 41666-2024")</f>
        <v/>
      </c>
      <c r="W92">
        <f>HYPERLINK("https://klasma.github.io/Logging_2283/klagomålsmail/A 41666-2024 FSC-klagomål mail.docx", "A 41666-2024")</f>
        <v/>
      </c>
      <c r="X92">
        <f>HYPERLINK("https://klasma.github.io/Logging_2283/tillsyn/A 41666-2024 tillsynsbegäran.docx", "A 41666-2024")</f>
        <v/>
      </c>
      <c r="Y92">
        <f>HYPERLINK("https://klasma.github.io/Logging_2283/tillsynsmail/A 41666-2024 tillsynsbegäran mail.docx", "A 41666-2024")</f>
        <v/>
      </c>
    </row>
    <row r="93" ht="15" customHeight="1">
      <c r="A93" t="inlineStr">
        <is>
          <t>A 59045-2022</t>
        </is>
      </c>
      <c r="B93" s="1" t="n">
        <v>44903</v>
      </c>
      <c r="C93" s="1" t="n">
        <v>45908</v>
      </c>
      <c r="D93" t="inlineStr">
        <is>
          <t>VÄSTERNORRLANDS LÄN</t>
        </is>
      </c>
      <c r="E93" t="inlineStr">
        <is>
          <t>SOLLEFTEÅ</t>
        </is>
      </c>
      <c r="F93" t="inlineStr">
        <is>
          <t>SCA</t>
        </is>
      </c>
      <c r="G93" t="n">
        <v>23.4</v>
      </c>
      <c r="H93" t="n">
        <v>1</v>
      </c>
      <c r="I93" t="n">
        <v>1</v>
      </c>
      <c r="J93" t="n">
        <v>6</v>
      </c>
      <c r="K93" t="n">
        <v>0</v>
      </c>
      <c r="L93" t="n">
        <v>0</v>
      </c>
      <c r="M93" t="n">
        <v>0</v>
      </c>
      <c r="N93" t="n">
        <v>0</v>
      </c>
      <c r="O93" t="n">
        <v>6</v>
      </c>
      <c r="P93" t="n">
        <v>0</v>
      </c>
      <c r="Q93" t="n">
        <v>7</v>
      </c>
      <c r="R93" s="2" t="inlineStr">
        <is>
          <t>Gammelgransskål
Garnlav
Granticka
Lunglav
Tretåig hackspett
Ullticka
Strutbräken</t>
        </is>
      </c>
      <c r="S93">
        <f>HYPERLINK("https://klasma.github.io/Logging_2283/artfynd/A 59045-2022 artfynd.xlsx", "A 59045-2022")</f>
        <v/>
      </c>
      <c r="T93">
        <f>HYPERLINK("https://klasma.github.io/Logging_2283/kartor/A 59045-2022 karta.png", "A 59045-2022")</f>
        <v/>
      </c>
      <c r="V93">
        <f>HYPERLINK("https://klasma.github.io/Logging_2283/klagomål/A 59045-2022 FSC-klagomål.docx", "A 59045-2022")</f>
        <v/>
      </c>
      <c r="W93">
        <f>HYPERLINK("https://klasma.github.io/Logging_2283/klagomålsmail/A 59045-2022 FSC-klagomål mail.docx", "A 59045-2022")</f>
        <v/>
      </c>
      <c r="X93">
        <f>HYPERLINK("https://klasma.github.io/Logging_2283/tillsyn/A 59045-2022 tillsynsbegäran.docx", "A 59045-2022")</f>
        <v/>
      </c>
      <c r="Y93">
        <f>HYPERLINK("https://klasma.github.io/Logging_2283/tillsynsmail/A 59045-2022 tillsynsbegäran mail.docx", "A 59045-2022")</f>
        <v/>
      </c>
      <c r="Z93">
        <f>HYPERLINK("https://klasma.github.io/Logging_2283/fåglar/A 59045-2022 prioriterade fågelarter.docx", "A 59045-2022")</f>
        <v/>
      </c>
    </row>
    <row r="94" ht="15" customHeight="1">
      <c r="A94" t="inlineStr">
        <is>
          <t>A 28997-2025</t>
        </is>
      </c>
      <c r="B94" s="1" t="n">
        <v>45821.38616898148</v>
      </c>
      <c r="C94" s="1" t="n">
        <v>45908</v>
      </c>
      <c r="D94" t="inlineStr">
        <is>
          <t>VÄSTERNORRLANDS LÄN</t>
        </is>
      </c>
      <c r="E94" t="inlineStr">
        <is>
          <t>SOLLEFTEÅ</t>
        </is>
      </c>
      <c r="F94" t="inlineStr">
        <is>
          <t>SCA</t>
        </is>
      </c>
      <c r="G94" t="n">
        <v>4.2</v>
      </c>
      <c r="H94" t="n">
        <v>0</v>
      </c>
      <c r="I94" t="n">
        <v>3</v>
      </c>
      <c r="J94" t="n">
        <v>4</v>
      </c>
      <c r="K94" t="n">
        <v>0</v>
      </c>
      <c r="L94" t="n">
        <v>0</v>
      </c>
      <c r="M94" t="n">
        <v>0</v>
      </c>
      <c r="N94" t="n">
        <v>0</v>
      </c>
      <c r="O94" t="n">
        <v>4</v>
      </c>
      <c r="P94" t="n">
        <v>0</v>
      </c>
      <c r="Q94" t="n">
        <v>7</v>
      </c>
      <c r="R94" s="2" t="inlineStr">
        <is>
          <t>Dvärgbägarlav
Garnlav
Vaddporing
Vedtrappmossa
Bollvitmossa
Norrlandslav
Skuggblåslav</t>
        </is>
      </c>
      <c r="S94">
        <f>HYPERLINK("https://klasma.github.io/Logging_2283/artfynd/A 28997-2025 artfynd.xlsx", "A 28997-2025")</f>
        <v/>
      </c>
      <c r="T94">
        <f>HYPERLINK("https://klasma.github.io/Logging_2283/kartor/A 28997-2025 karta.png", "A 28997-2025")</f>
        <v/>
      </c>
      <c r="V94">
        <f>HYPERLINK("https://klasma.github.io/Logging_2283/klagomål/A 28997-2025 FSC-klagomål.docx", "A 28997-2025")</f>
        <v/>
      </c>
      <c r="W94">
        <f>HYPERLINK("https://klasma.github.io/Logging_2283/klagomålsmail/A 28997-2025 FSC-klagomål mail.docx", "A 28997-2025")</f>
        <v/>
      </c>
      <c r="X94">
        <f>HYPERLINK("https://klasma.github.io/Logging_2283/tillsyn/A 28997-2025 tillsynsbegäran.docx", "A 28997-2025")</f>
        <v/>
      </c>
      <c r="Y94">
        <f>HYPERLINK("https://klasma.github.io/Logging_2283/tillsynsmail/A 28997-2025 tillsynsbegäran mail.docx", "A 28997-2025")</f>
        <v/>
      </c>
    </row>
    <row r="95" ht="15" customHeight="1">
      <c r="A95" t="inlineStr">
        <is>
          <t>A 14580-2024</t>
        </is>
      </c>
      <c r="B95" s="1" t="n">
        <v>45394</v>
      </c>
      <c r="C95" s="1" t="n">
        <v>45908</v>
      </c>
      <c r="D95" t="inlineStr">
        <is>
          <t>VÄSTERNORRLANDS LÄN</t>
        </is>
      </c>
      <c r="E95" t="inlineStr">
        <is>
          <t>SOLLEFTEÅ</t>
        </is>
      </c>
      <c r="F95" t="inlineStr">
        <is>
          <t>SCA</t>
        </is>
      </c>
      <c r="G95" t="n">
        <v>4.1</v>
      </c>
      <c r="H95" t="n">
        <v>2</v>
      </c>
      <c r="I95" t="n">
        <v>1</v>
      </c>
      <c r="J95" t="n">
        <v>6</v>
      </c>
      <c r="K95" t="n">
        <v>0</v>
      </c>
      <c r="L95" t="n">
        <v>0</v>
      </c>
      <c r="M95" t="n">
        <v>0</v>
      </c>
      <c r="N95" t="n">
        <v>0</v>
      </c>
      <c r="O95" t="n">
        <v>6</v>
      </c>
      <c r="P95" t="n">
        <v>0</v>
      </c>
      <c r="Q95" t="n">
        <v>7</v>
      </c>
      <c r="R95" s="2" t="inlineStr">
        <is>
          <t>Garnlav
Lunglav
Rosenticka
Talltita
Tretåig hackspett
Ullticka
Vedticka</t>
        </is>
      </c>
      <c r="S95">
        <f>HYPERLINK("https://klasma.github.io/Logging_2283/artfynd/A 14580-2024 artfynd.xlsx", "A 14580-2024")</f>
        <v/>
      </c>
      <c r="T95">
        <f>HYPERLINK("https://klasma.github.io/Logging_2283/kartor/A 14580-2024 karta.png", "A 14580-2024")</f>
        <v/>
      </c>
      <c r="V95">
        <f>HYPERLINK("https://klasma.github.io/Logging_2283/klagomål/A 14580-2024 FSC-klagomål.docx", "A 14580-2024")</f>
        <v/>
      </c>
      <c r="W95">
        <f>HYPERLINK("https://klasma.github.io/Logging_2283/klagomålsmail/A 14580-2024 FSC-klagomål mail.docx", "A 14580-2024")</f>
        <v/>
      </c>
      <c r="X95">
        <f>HYPERLINK("https://klasma.github.io/Logging_2283/tillsyn/A 14580-2024 tillsynsbegäran.docx", "A 14580-2024")</f>
        <v/>
      </c>
      <c r="Y95">
        <f>HYPERLINK("https://klasma.github.io/Logging_2283/tillsynsmail/A 14580-2024 tillsynsbegäran mail.docx", "A 14580-2024")</f>
        <v/>
      </c>
      <c r="Z95">
        <f>HYPERLINK("https://klasma.github.io/Logging_2283/fåglar/A 14580-2024 prioriterade fågelarter.docx", "A 14580-2024")</f>
        <v/>
      </c>
    </row>
    <row r="96" ht="15" customHeight="1">
      <c r="A96" t="inlineStr">
        <is>
          <t>A 38157-2025</t>
        </is>
      </c>
      <c r="B96" s="1" t="n">
        <v>45882.61505787037</v>
      </c>
      <c r="C96" s="1" t="n">
        <v>45908</v>
      </c>
      <c r="D96" t="inlineStr">
        <is>
          <t>VÄSTERNORRLANDS LÄN</t>
        </is>
      </c>
      <c r="E96" t="inlineStr">
        <is>
          <t>SOLLEFTEÅ</t>
        </is>
      </c>
      <c r="F96" t="inlineStr">
        <is>
          <t>SCA</t>
        </is>
      </c>
      <c r="G96" t="n">
        <v>14.9</v>
      </c>
      <c r="H96" t="n">
        <v>0</v>
      </c>
      <c r="I96" t="n">
        <v>0</v>
      </c>
      <c r="J96" t="n">
        <v>4</v>
      </c>
      <c r="K96" t="n">
        <v>3</v>
      </c>
      <c r="L96" t="n">
        <v>0</v>
      </c>
      <c r="M96" t="n">
        <v>0</v>
      </c>
      <c r="N96" t="n">
        <v>0</v>
      </c>
      <c r="O96" t="n">
        <v>7</v>
      </c>
      <c r="P96" t="n">
        <v>3</v>
      </c>
      <c r="Q96" t="n">
        <v>7</v>
      </c>
      <c r="R96" s="2" t="inlineStr">
        <is>
          <t>Fläckporing
Smalfotad taggsvamp
Tajgataggsvamp
Blå taggsvamp
Dvärgbägarlav
Lunglav
Vedskivlav</t>
        </is>
      </c>
      <c r="S96">
        <f>HYPERLINK("https://klasma.github.io/Logging_2283/artfynd/A 38157-2025 artfynd.xlsx", "A 38157-2025")</f>
        <v/>
      </c>
      <c r="T96">
        <f>HYPERLINK("https://klasma.github.io/Logging_2283/kartor/A 38157-2025 karta.png", "A 38157-2025")</f>
        <v/>
      </c>
      <c r="V96">
        <f>HYPERLINK("https://klasma.github.io/Logging_2283/klagomål/A 38157-2025 FSC-klagomål.docx", "A 38157-2025")</f>
        <v/>
      </c>
      <c r="W96">
        <f>HYPERLINK("https://klasma.github.io/Logging_2283/klagomålsmail/A 38157-2025 FSC-klagomål mail.docx", "A 38157-2025")</f>
        <v/>
      </c>
      <c r="X96">
        <f>HYPERLINK("https://klasma.github.io/Logging_2283/tillsyn/A 38157-2025 tillsynsbegäran.docx", "A 38157-2025")</f>
        <v/>
      </c>
      <c r="Y96">
        <f>HYPERLINK("https://klasma.github.io/Logging_2283/tillsynsmail/A 38157-2025 tillsynsbegäran mail.docx", "A 38157-2025")</f>
        <v/>
      </c>
    </row>
    <row r="97" ht="15" customHeight="1">
      <c r="A97" t="inlineStr">
        <is>
          <t>A 39197-2025</t>
        </is>
      </c>
      <c r="B97" s="1" t="n">
        <v>45888.69832175926</v>
      </c>
      <c r="C97" s="1" t="n">
        <v>45908</v>
      </c>
      <c r="D97" t="inlineStr">
        <is>
          <t>VÄSTERNORRLANDS LÄN</t>
        </is>
      </c>
      <c r="E97" t="inlineStr">
        <is>
          <t>SOLLEFTEÅ</t>
        </is>
      </c>
      <c r="G97" t="n">
        <v>1.8</v>
      </c>
      <c r="H97" t="n">
        <v>0</v>
      </c>
      <c r="I97" t="n">
        <v>3</v>
      </c>
      <c r="J97" t="n">
        <v>4</v>
      </c>
      <c r="K97" t="n">
        <v>0</v>
      </c>
      <c r="L97" t="n">
        <v>0</v>
      </c>
      <c r="M97" t="n">
        <v>0</v>
      </c>
      <c r="N97" t="n">
        <v>0</v>
      </c>
      <c r="O97" t="n">
        <v>4</v>
      </c>
      <c r="P97" t="n">
        <v>0</v>
      </c>
      <c r="Q97" t="n">
        <v>7</v>
      </c>
      <c r="R97" s="2" t="inlineStr">
        <is>
          <t>Gammelgransskål
Lunglav
Skrovellav
Ullticka
Stuplav
Trådticka
Vedticka</t>
        </is>
      </c>
      <c r="S97">
        <f>HYPERLINK("https://klasma.github.io/Logging_2283/artfynd/A 39197-2025 artfynd.xlsx", "A 39197-2025")</f>
        <v/>
      </c>
      <c r="T97">
        <f>HYPERLINK("https://klasma.github.io/Logging_2283/kartor/A 39197-2025 karta.png", "A 39197-2025")</f>
        <v/>
      </c>
      <c r="U97">
        <f>HYPERLINK("https://klasma.github.io/Logging_2283/knärot/A 39197-2025 karta knärot.png", "A 39197-2025")</f>
        <v/>
      </c>
      <c r="V97">
        <f>HYPERLINK("https://klasma.github.io/Logging_2283/klagomål/A 39197-2025 FSC-klagomål.docx", "A 39197-2025")</f>
        <v/>
      </c>
      <c r="W97">
        <f>HYPERLINK("https://klasma.github.io/Logging_2283/klagomålsmail/A 39197-2025 FSC-klagomål mail.docx", "A 39197-2025")</f>
        <v/>
      </c>
      <c r="X97">
        <f>HYPERLINK("https://klasma.github.io/Logging_2283/tillsyn/A 39197-2025 tillsynsbegäran.docx", "A 39197-2025")</f>
        <v/>
      </c>
      <c r="Y97">
        <f>HYPERLINK("https://klasma.github.io/Logging_2283/tillsynsmail/A 39197-2025 tillsynsbegäran mail.docx", "A 39197-2025")</f>
        <v/>
      </c>
    </row>
    <row r="98" ht="15" customHeight="1">
      <c r="A98" t="inlineStr">
        <is>
          <t>A 21253-2025</t>
        </is>
      </c>
      <c r="B98" s="1" t="n">
        <v>45779</v>
      </c>
      <c r="C98" s="1" t="n">
        <v>45908</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24359-2025</t>
        </is>
      </c>
      <c r="B99" s="1" t="n">
        <v>45797.59490740741</v>
      </c>
      <c r="C99" s="1" t="n">
        <v>45908</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54049-2023</t>
        </is>
      </c>
      <c r="B100" s="1" t="n">
        <v>45231</v>
      </c>
      <c r="C100" s="1" t="n">
        <v>45908</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47647-2022</t>
        </is>
      </c>
      <c r="B101" s="1" t="n">
        <v>44852</v>
      </c>
      <c r="C101" s="1" t="n">
        <v>45908</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55422-2024</t>
        </is>
      </c>
      <c r="B102" s="1" t="n">
        <v>45622.38619212963</v>
      </c>
      <c r="C102" s="1" t="n">
        <v>45908</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62992-2023</t>
        </is>
      </c>
      <c r="B103" s="1" t="n">
        <v>45272</v>
      </c>
      <c r="C103" s="1" t="n">
        <v>45908</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715-2023</t>
        </is>
      </c>
      <c r="B104" s="1" t="n">
        <v>44930</v>
      </c>
      <c r="C104" s="1" t="n">
        <v>45908</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16087-2022</t>
        </is>
      </c>
      <c r="B105" s="1" t="n">
        <v>44665</v>
      </c>
      <c r="C105" s="1" t="n">
        <v>45908</v>
      </c>
      <c r="D105" t="inlineStr">
        <is>
          <t>VÄSTERNORRLANDS LÄN</t>
        </is>
      </c>
      <c r="E105" t="inlineStr">
        <is>
          <t>SOLLEFTEÅ</t>
        </is>
      </c>
      <c r="F105" t="inlineStr">
        <is>
          <t>Holmen skog AB</t>
        </is>
      </c>
      <c r="G105" t="n">
        <v>7.5</v>
      </c>
      <c r="H105" t="n">
        <v>0</v>
      </c>
      <c r="I105" t="n">
        <v>1</v>
      </c>
      <c r="J105" t="n">
        <v>3</v>
      </c>
      <c r="K105" t="n">
        <v>2</v>
      </c>
      <c r="L105" t="n">
        <v>0</v>
      </c>
      <c r="M105" t="n">
        <v>0</v>
      </c>
      <c r="N105" t="n">
        <v>0</v>
      </c>
      <c r="O105" t="n">
        <v>5</v>
      </c>
      <c r="P105" t="n">
        <v>2</v>
      </c>
      <c r="Q105" t="n">
        <v>6</v>
      </c>
      <c r="R105" s="2" t="inlineStr">
        <is>
          <t>Bitter taggsvamp
Goliatmusseron
Blå taggsvamp
Orange taggsvamp
Skrovlig taggsvamp
Skarp dropptaggsvamp</t>
        </is>
      </c>
      <c r="S105">
        <f>HYPERLINK("https://klasma.github.io/Logging_2283/artfynd/A 16087-2022 artfynd.xlsx", "A 16087-2022")</f>
        <v/>
      </c>
      <c r="T105">
        <f>HYPERLINK("https://klasma.github.io/Logging_2283/kartor/A 16087-2022 karta.png", "A 16087-2022")</f>
        <v/>
      </c>
      <c r="V105">
        <f>HYPERLINK("https://klasma.github.io/Logging_2283/klagomål/A 16087-2022 FSC-klagomål.docx", "A 16087-2022")</f>
        <v/>
      </c>
      <c r="W105">
        <f>HYPERLINK("https://klasma.github.io/Logging_2283/klagomålsmail/A 16087-2022 FSC-klagomål mail.docx", "A 16087-2022")</f>
        <v/>
      </c>
      <c r="X105">
        <f>HYPERLINK("https://klasma.github.io/Logging_2283/tillsyn/A 16087-2022 tillsynsbegäran.docx", "A 16087-2022")</f>
        <v/>
      </c>
      <c r="Y105">
        <f>HYPERLINK("https://klasma.github.io/Logging_2283/tillsynsmail/A 16087-2022 tillsynsbegäran mail.docx", "A 16087-2022")</f>
        <v/>
      </c>
    </row>
    <row r="106" ht="15" customHeight="1">
      <c r="A106" t="inlineStr">
        <is>
          <t>A 4528-2022</t>
        </is>
      </c>
      <c r="B106" s="1" t="n">
        <v>44589.93622685185</v>
      </c>
      <c r="C106" s="1" t="n">
        <v>45908</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61541-2024</t>
        </is>
      </c>
      <c r="B107" s="1" t="n">
        <v>45646</v>
      </c>
      <c r="C107" s="1" t="n">
        <v>45908</v>
      </c>
      <c r="D107" t="inlineStr">
        <is>
          <t>VÄSTERNORRLANDS LÄN</t>
        </is>
      </c>
      <c r="E107" t="inlineStr">
        <is>
          <t>SOLLEFTEÅ</t>
        </is>
      </c>
      <c r="F107" t="inlineStr">
        <is>
          <t>SCA</t>
        </is>
      </c>
      <c r="G107" t="n">
        <v>6.8</v>
      </c>
      <c r="H107" t="n">
        <v>1</v>
      </c>
      <c r="I107" t="n">
        <v>0</v>
      </c>
      <c r="J107" t="n">
        <v>6</v>
      </c>
      <c r="K107" t="n">
        <v>0</v>
      </c>
      <c r="L107" t="n">
        <v>0</v>
      </c>
      <c r="M107" t="n">
        <v>0</v>
      </c>
      <c r="N107" t="n">
        <v>0</v>
      </c>
      <c r="O107" t="n">
        <v>6</v>
      </c>
      <c r="P107" t="n">
        <v>0</v>
      </c>
      <c r="Q107" t="n">
        <v>6</v>
      </c>
      <c r="R107" s="2" t="inlineStr">
        <is>
          <t>Gammelgransskål
Garnlav
Skogshare
Tretåig hackspett
Ullticka
Vitgrynig nållav</t>
        </is>
      </c>
      <c r="S107">
        <f>HYPERLINK("https://klasma.github.io/Logging_2283/artfynd/A 61541-2024 artfynd.xlsx", "A 61541-2024")</f>
        <v/>
      </c>
      <c r="T107">
        <f>HYPERLINK("https://klasma.github.io/Logging_2283/kartor/A 61541-2024 karta.png", "A 61541-2024")</f>
        <v/>
      </c>
      <c r="V107">
        <f>HYPERLINK("https://klasma.github.io/Logging_2283/klagomål/A 61541-2024 FSC-klagomål.docx", "A 61541-2024")</f>
        <v/>
      </c>
      <c r="W107">
        <f>HYPERLINK("https://klasma.github.io/Logging_2283/klagomålsmail/A 61541-2024 FSC-klagomål mail.docx", "A 61541-2024")</f>
        <v/>
      </c>
      <c r="X107">
        <f>HYPERLINK("https://klasma.github.io/Logging_2283/tillsyn/A 61541-2024 tillsynsbegäran.docx", "A 61541-2024")</f>
        <v/>
      </c>
      <c r="Y107">
        <f>HYPERLINK("https://klasma.github.io/Logging_2283/tillsynsmail/A 61541-2024 tillsynsbegäran mail.docx", "A 61541-2024")</f>
        <v/>
      </c>
      <c r="Z107">
        <f>HYPERLINK("https://klasma.github.io/Logging_2283/fåglar/A 61541-2024 prioriterade fågelarter.docx", "A 61541-2024")</f>
        <v/>
      </c>
    </row>
    <row r="108" ht="15" customHeight="1">
      <c r="A108" t="inlineStr">
        <is>
          <t>A 36470-2024</t>
        </is>
      </c>
      <c r="B108" s="1" t="n">
        <v>45537</v>
      </c>
      <c r="C108" s="1" t="n">
        <v>45908</v>
      </c>
      <c r="D108" t="inlineStr">
        <is>
          <t>VÄSTERNORRLANDS LÄN</t>
        </is>
      </c>
      <c r="E108" t="inlineStr">
        <is>
          <t>SOLLEFTEÅ</t>
        </is>
      </c>
      <c r="F108" t="inlineStr">
        <is>
          <t>SCA</t>
        </is>
      </c>
      <c r="G108" t="n">
        <v>10.3</v>
      </c>
      <c r="H108" t="n">
        <v>3</v>
      </c>
      <c r="I108" t="n">
        <v>0</v>
      </c>
      <c r="J108" t="n">
        <v>6</v>
      </c>
      <c r="K108" t="n">
        <v>0</v>
      </c>
      <c r="L108" t="n">
        <v>0</v>
      </c>
      <c r="M108" t="n">
        <v>0</v>
      </c>
      <c r="N108" t="n">
        <v>0</v>
      </c>
      <c r="O108" t="n">
        <v>6</v>
      </c>
      <c r="P108" t="n">
        <v>0</v>
      </c>
      <c r="Q108" t="n">
        <v>6</v>
      </c>
      <c r="R108" s="2" t="inlineStr">
        <is>
          <t>Gammelgransskål
Granticka
Harticka
Spillkråka
Talltita
Tretåig hackspett</t>
        </is>
      </c>
      <c r="S108">
        <f>HYPERLINK("https://klasma.github.io/Logging_2283/artfynd/A 36470-2024 artfynd.xlsx", "A 36470-2024")</f>
        <v/>
      </c>
      <c r="T108">
        <f>HYPERLINK("https://klasma.github.io/Logging_2283/kartor/A 36470-2024 karta.png", "A 36470-2024")</f>
        <v/>
      </c>
      <c r="V108">
        <f>HYPERLINK("https://klasma.github.io/Logging_2283/klagomål/A 36470-2024 FSC-klagomål.docx", "A 36470-2024")</f>
        <v/>
      </c>
      <c r="W108">
        <f>HYPERLINK("https://klasma.github.io/Logging_2283/klagomålsmail/A 36470-2024 FSC-klagomål mail.docx", "A 36470-2024")</f>
        <v/>
      </c>
      <c r="X108">
        <f>HYPERLINK("https://klasma.github.io/Logging_2283/tillsyn/A 36470-2024 tillsynsbegäran.docx", "A 36470-2024")</f>
        <v/>
      </c>
      <c r="Y108">
        <f>HYPERLINK("https://klasma.github.io/Logging_2283/tillsynsmail/A 36470-2024 tillsynsbegäran mail.docx", "A 36470-2024")</f>
        <v/>
      </c>
      <c r="Z108">
        <f>HYPERLINK("https://klasma.github.io/Logging_2283/fåglar/A 36470-2024 prioriterade fågelarter.docx", "A 36470-2024")</f>
        <v/>
      </c>
    </row>
    <row r="109" ht="15" customHeight="1">
      <c r="A109" t="inlineStr">
        <is>
          <t>A 26594-2022</t>
        </is>
      </c>
      <c r="B109" s="1" t="n">
        <v>44739</v>
      </c>
      <c r="C109" s="1" t="n">
        <v>45908</v>
      </c>
      <c r="D109" t="inlineStr">
        <is>
          <t>VÄSTERNORRLANDS LÄN</t>
        </is>
      </c>
      <c r="E109" t="inlineStr">
        <is>
          <t>SOLLEFTEÅ</t>
        </is>
      </c>
      <c r="F109" t="inlineStr">
        <is>
          <t>Holmen skog AB</t>
        </is>
      </c>
      <c r="G109" t="n">
        <v>1.6</v>
      </c>
      <c r="H109" t="n">
        <v>4</v>
      </c>
      <c r="I109" t="n">
        <v>0</v>
      </c>
      <c r="J109" t="n">
        <v>4</v>
      </c>
      <c r="K109" t="n">
        <v>1</v>
      </c>
      <c r="L109" t="n">
        <v>0</v>
      </c>
      <c r="M109" t="n">
        <v>0</v>
      </c>
      <c r="N109" t="n">
        <v>0</v>
      </c>
      <c r="O109" t="n">
        <v>5</v>
      </c>
      <c r="P109" t="n">
        <v>1</v>
      </c>
      <c r="Q109" t="n">
        <v>6</v>
      </c>
      <c r="R109" s="2" t="inlineStr">
        <is>
          <t>Knärot
Garnlav
Granticka
Spillkråka
Talltita
Tjäder</t>
        </is>
      </c>
      <c r="S109">
        <f>HYPERLINK("https://klasma.github.io/Logging_2283/artfynd/A 26594-2022 artfynd.xlsx", "A 26594-2022")</f>
        <v/>
      </c>
      <c r="T109">
        <f>HYPERLINK("https://klasma.github.io/Logging_2283/kartor/A 26594-2022 karta.png", "A 26594-2022")</f>
        <v/>
      </c>
      <c r="U109">
        <f>HYPERLINK("https://klasma.github.io/Logging_2283/knärot/A 26594-2022 karta knärot.png", "A 26594-2022")</f>
        <v/>
      </c>
      <c r="V109">
        <f>HYPERLINK("https://klasma.github.io/Logging_2283/klagomål/A 26594-2022 FSC-klagomål.docx", "A 26594-2022")</f>
        <v/>
      </c>
      <c r="W109">
        <f>HYPERLINK("https://klasma.github.io/Logging_2283/klagomålsmail/A 26594-2022 FSC-klagomål mail.docx", "A 26594-2022")</f>
        <v/>
      </c>
      <c r="X109">
        <f>HYPERLINK("https://klasma.github.io/Logging_2283/tillsyn/A 26594-2022 tillsynsbegäran.docx", "A 26594-2022")</f>
        <v/>
      </c>
      <c r="Y109">
        <f>HYPERLINK("https://klasma.github.io/Logging_2283/tillsynsmail/A 26594-2022 tillsynsbegäran mail.docx", "A 26594-2022")</f>
        <v/>
      </c>
      <c r="Z109">
        <f>HYPERLINK("https://klasma.github.io/Logging_2283/fåglar/A 26594-2022 prioriterade fågelarter.docx", "A 26594-2022")</f>
        <v/>
      </c>
    </row>
    <row r="110" ht="15" customHeight="1">
      <c r="A110" t="inlineStr">
        <is>
          <t>A 4827-2025</t>
        </is>
      </c>
      <c r="B110" s="1" t="n">
        <v>45688</v>
      </c>
      <c r="C110" s="1" t="n">
        <v>45908</v>
      </c>
      <c r="D110" t="inlineStr">
        <is>
          <t>VÄSTERNORRLANDS LÄN</t>
        </is>
      </c>
      <c r="E110" t="inlineStr">
        <is>
          <t>SOLLEFTEÅ</t>
        </is>
      </c>
      <c r="G110" t="n">
        <v>33</v>
      </c>
      <c r="H110" t="n">
        <v>2</v>
      </c>
      <c r="I110" t="n">
        <v>0</v>
      </c>
      <c r="J110" t="n">
        <v>6</v>
      </c>
      <c r="K110" t="n">
        <v>0</v>
      </c>
      <c r="L110" t="n">
        <v>0</v>
      </c>
      <c r="M110" t="n">
        <v>0</v>
      </c>
      <c r="N110" t="n">
        <v>0</v>
      </c>
      <c r="O110" t="n">
        <v>6</v>
      </c>
      <c r="P110" t="n">
        <v>0</v>
      </c>
      <c r="Q110" t="n">
        <v>6</v>
      </c>
      <c r="R110" s="2" t="inlineStr">
        <is>
          <t>Garnlav
Granticka
Lunglav
Talltita
Tretåig hackspett
Ullticka</t>
        </is>
      </c>
      <c r="S110">
        <f>HYPERLINK("https://klasma.github.io/Logging_2283/artfynd/A 4827-2025 artfynd.xlsx", "A 4827-2025")</f>
        <v/>
      </c>
      <c r="T110">
        <f>HYPERLINK("https://klasma.github.io/Logging_2283/kartor/A 4827-2025 karta.png", "A 4827-2025")</f>
        <v/>
      </c>
      <c r="V110">
        <f>HYPERLINK("https://klasma.github.io/Logging_2283/klagomål/A 4827-2025 FSC-klagomål.docx", "A 4827-2025")</f>
        <v/>
      </c>
      <c r="W110">
        <f>HYPERLINK("https://klasma.github.io/Logging_2283/klagomålsmail/A 4827-2025 FSC-klagomål mail.docx", "A 4827-2025")</f>
        <v/>
      </c>
      <c r="X110">
        <f>HYPERLINK("https://klasma.github.io/Logging_2283/tillsyn/A 4827-2025 tillsynsbegäran.docx", "A 4827-2025")</f>
        <v/>
      </c>
      <c r="Y110">
        <f>HYPERLINK("https://klasma.github.io/Logging_2283/tillsynsmail/A 4827-2025 tillsynsbegäran mail.docx", "A 4827-2025")</f>
        <v/>
      </c>
      <c r="Z110">
        <f>HYPERLINK("https://klasma.github.io/Logging_2283/fåglar/A 4827-2025 prioriterade fågelarter.docx", "A 4827-2025")</f>
        <v/>
      </c>
    </row>
    <row r="111" ht="15" customHeight="1">
      <c r="A111" t="inlineStr">
        <is>
          <t>A 7334-2025</t>
        </is>
      </c>
      <c r="B111" s="1" t="n">
        <v>45703.35998842592</v>
      </c>
      <c r="C111" s="1" t="n">
        <v>45908</v>
      </c>
      <c r="D111" t="inlineStr">
        <is>
          <t>VÄSTERNORRLANDS LÄN</t>
        </is>
      </c>
      <c r="E111" t="inlineStr">
        <is>
          <t>SOLLEFTEÅ</t>
        </is>
      </c>
      <c r="G111" t="n">
        <v>2.2</v>
      </c>
      <c r="H111" t="n">
        <v>4</v>
      </c>
      <c r="I111" t="n">
        <v>2</v>
      </c>
      <c r="J111" t="n">
        <v>3</v>
      </c>
      <c r="K111" t="n">
        <v>0</v>
      </c>
      <c r="L111" t="n">
        <v>0</v>
      </c>
      <c r="M111" t="n">
        <v>0</v>
      </c>
      <c r="N111" t="n">
        <v>0</v>
      </c>
      <c r="O111" t="n">
        <v>3</v>
      </c>
      <c r="P111" t="n">
        <v>0</v>
      </c>
      <c r="Q111" t="n">
        <v>6</v>
      </c>
      <c r="R111" s="2" t="inlineStr">
        <is>
          <t>Björktrast
Gulsparv
Rödvingetrast
Skinnlav
Stor aspticka
Revlummer</t>
        </is>
      </c>
      <c r="S111">
        <f>HYPERLINK("https://klasma.github.io/Logging_2283/artfynd/A 7334-2025 artfynd.xlsx", "A 7334-2025")</f>
        <v/>
      </c>
      <c r="T111">
        <f>HYPERLINK("https://klasma.github.io/Logging_2283/kartor/A 7334-2025 karta.png", "A 7334-2025")</f>
        <v/>
      </c>
      <c r="V111">
        <f>HYPERLINK("https://klasma.github.io/Logging_2283/klagomål/A 7334-2025 FSC-klagomål.docx", "A 7334-2025")</f>
        <v/>
      </c>
      <c r="W111">
        <f>HYPERLINK("https://klasma.github.io/Logging_2283/klagomålsmail/A 7334-2025 FSC-klagomål mail.docx", "A 7334-2025")</f>
        <v/>
      </c>
      <c r="X111">
        <f>HYPERLINK("https://klasma.github.io/Logging_2283/tillsyn/A 7334-2025 tillsynsbegäran.docx", "A 7334-2025")</f>
        <v/>
      </c>
      <c r="Y111">
        <f>HYPERLINK("https://klasma.github.io/Logging_2283/tillsynsmail/A 7334-2025 tillsynsbegäran mail.docx", "A 7334-2025")</f>
        <v/>
      </c>
      <c r="Z111">
        <f>HYPERLINK("https://klasma.github.io/Logging_2283/fåglar/A 7334-2025 prioriterade fågelarter.docx", "A 7334-2025")</f>
        <v/>
      </c>
    </row>
    <row r="112" ht="15" customHeight="1">
      <c r="A112" t="inlineStr">
        <is>
          <t>A 14860-2023</t>
        </is>
      </c>
      <c r="B112" s="1" t="n">
        <v>45015.07157407407</v>
      </c>
      <c r="C112" s="1" t="n">
        <v>45908</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31885-2024</t>
        </is>
      </c>
      <c r="B113" s="1" t="n">
        <v>45509.95769675926</v>
      </c>
      <c r="C113" s="1" t="n">
        <v>45908</v>
      </c>
      <c r="D113" t="inlineStr">
        <is>
          <t>VÄSTERNORRLANDS LÄN</t>
        </is>
      </c>
      <c r="E113" t="inlineStr">
        <is>
          <t>SOLLEFTEÅ</t>
        </is>
      </c>
      <c r="F113" t="inlineStr">
        <is>
          <t>SCA</t>
        </is>
      </c>
      <c r="G113" t="n">
        <v>4.1</v>
      </c>
      <c r="H113" t="n">
        <v>3</v>
      </c>
      <c r="I113" t="n">
        <v>1</v>
      </c>
      <c r="J113" t="n">
        <v>4</v>
      </c>
      <c r="K113" t="n">
        <v>1</v>
      </c>
      <c r="L113" t="n">
        <v>0</v>
      </c>
      <c r="M113" t="n">
        <v>0</v>
      </c>
      <c r="N113" t="n">
        <v>0</v>
      </c>
      <c r="O113" t="n">
        <v>5</v>
      </c>
      <c r="P113" t="n">
        <v>1</v>
      </c>
      <c r="Q113" t="n">
        <v>6</v>
      </c>
      <c r="R113" s="2" t="inlineStr">
        <is>
          <t>Knärot
Garnlav
Lunglav
Spillkråka
Talltita
Luddlav</t>
        </is>
      </c>
      <c r="S113">
        <f>HYPERLINK("https://klasma.github.io/Logging_2283/artfynd/A 31885-2024 artfynd.xlsx", "A 31885-2024")</f>
        <v/>
      </c>
      <c r="T113">
        <f>HYPERLINK("https://klasma.github.io/Logging_2283/kartor/A 31885-2024 karta.png", "A 31885-2024")</f>
        <v/>
      </c>
      <c r="U113">
        <f>HYPERLINK("https://klasma.github.io/Logging_2283/knärot/A 31885-2024 karta knärot.png", "A 31885-2024")</f>
        <v/>
      </c>
      <c r="V113">
        <f>HYPERLINK("https://klasma.github.io/Logging_2283/klagomål/A 31885-2024 FSC-klagomål.docx", "A 31885-2024")</f>
        <v/>
      </c>
      <c r="W113">
        <f>HYPERLINK("https://klasma.github.io/Logging_2283/klagomålsmail/A 31885-2024 FSC-klagomål mail.docx", "A 31885-2024")</f>
        <v/>
      </c>
      <c r="X113">
        <f>HYPERLINK("https://klasma.github.io/Logging_2283/tillsyn/A 31885-2024 tillsynsbegäran.docx", "A 31885-2024")</f>
        <v/>
      </c>
      <c r="Y113">
        <f>HYPERLINK("https://klasma.github.io/Logging_2283/tillsynsmail/A 31885-2024 tillsynsbegäran mail.docx", "A 31885-2024")</f>
        <v/>
      </c>
      <c r="Z113">
        <f>HYPERLINK("https://klasma.github.io/Logging_2283/fåglar/A 31885-2024 prioriterade fågelarter.docx", "A 31885-2024")</f>
        <v/>
      </c>
    </row>
    <row r="114" ht="15" customHeight="1">
      <c r="A114" t="inlineStr">
        <is>
          <t>A 3056-2025</t>
        </is>
      </c>
      <c r="B114" s="1" t="n">
        <v>45678.61554398148</v>
      </c>
      <c r="C114" s="1" t="n">
        <v>45908</v>
      </c>
      <c r="D114" t="inlineStr">
        <is>
          <t>VÄSTERNORRLANDS LÄN</t>
        </is>
      </c>
      <c r="E114" t="inlineStr">
        <is>
          <t>SOLLEFTEÅ</t>
        </is>
      </c>
      <c r="F114" t="inlineStr">
        <is>
          <t>SCA</t>
        </is>
      </c>
      <c r="G114" t="n">
        <v>9.800000000000001</v>
      </c>
      <c r="H114" t="n">
        <v>3</v>
      </c>
      <c r="I114" t="n">
        <v>0</v>
      </c>
      <c r="J114" t="n">
        <v>5</v>
      </c>
      <c r="K114" t="n">
        <v>0</v>
      </c>
      <c r="L114" t="n">
        <v>0</v>
      </c>
      <c r="M114" t="n">
        <v>0</v>
      </c>
      <c r="N114" t="n">
        <v>0</v>
      </c>
      <c r="O114" t="n">
        <v>5</v>
      </c>
      <c r="P114" t="n">
        <v>0</v>
      </c>
      <c r="Q114" t="n">
        <v>6</v>
      </c>
      <c r="R114" s="2" t="inlineStr">
        <is>
          <t>Garnlav
Granticka
Lunglav
Talltita
Tretåig hackspett
Tjäder</t>
        </is>
      </c>
      <c r="S114">
        <f>HYPERLINK("https://klasma.github.io/Logging_2283/artfynd/A 3056-2025 artfynd.xlsx", "A 3056-2025")</f>
        <v/>
      </c>
      <c r="T114">
        <f>HYPERLINK("https://klasma.github.io/Logging_2283/kartor/A 3056-2025 karta.png", "A 3056-2025")</f>
        <v/>
      </c>
      <c r="V114">
        <f>HYPERLINK("https://klasma.github.io/Logging_2283/klagomål/A 3056-2025 FSC-klagomål.docx", "A 3056-2025")</f>
        <v/>
      </c>
      <c r="W114">
        <f>HYPERLINK("https://klasma.github.io/Logging_2283/klagomålsmail/A 3056-2025 FSC-klagomål mail.docx", "A 3056-2025")</f>
        <v/>
      </c>
      <c r="X114">
        <f>HYPERLINK("https://klasma.github.io/Logging_2283/tillsyn/A 3056-2025 tillsynsbegäran.docx", "A 3056-2025")</f>
        <v/>
      </c>
      <c r="Y114">
        <f>HYPERLINK("https://klasma.github.io/Logging_2283/tillsynsmail/A 3056-2025 tillsynsbegäran mail.docx", "A 3056-2025")</f>
        <v/>
      </c>
      <c r="Z114">
        <f>HYPERLINK("https://klasma.github.io/Logging_2283/fåglar/A 3056-2025 prioriterade fågelarter.docx", "A 3056-2025")</f>
        <v/>
      </c>
    </row>
    <row r="115" ht="15" customHeight="1">
      <c r="A115" t="inlineStr">
        <is>
          <t>A 53829-2024</t>
        </is>
      </c>
      <c r="B115" s="1" t="n">
        <v>45615.6153125</v>
      </c>
      <c r="C115" s="1" t="n">
        <v>45908</v>
      </c>
      <c r="D115" t="inlineStr">
        <is>
          <t>VÄSTERNORRLANDS LÄN</t>
        </is>
      </c>
      <c r="E115" t="inlineStr">
        <is>
          <t>SOLLEFTEÅ</t>
        </is>
      </c>
      <c r="F115" t="inlineStr">
        <is>
          <t>SCA</t>
        </is>
      </c>
      <c r="G115" t="n">
        <v>12</v>
      </c>
      <c r="H115" t="n">
        <v>0</v>
      </c>
      <c r="I115" t="n">
        <v>1</v>
      </c>
      <c r="J115" t="n">
        <v>5</v>
      </c>
      <c r="K115" t="n">
        <v>0</v>
      </c>
      <c r="L115" t="n">
        <v>0</v>
      </c>
      <c r="M115" t="n">
        <v>0</v>
      </c>
      <c r="N115" t="n">
        <v>0</v>
      </c>
      <c r="O115" t="n">
        <v>5</v>
      </c>
      <c r="P115" t="n">
        <v>0</v>
      </c>
      <c r="Q115" t="n">
        <v>6</v>
      </c>
      <c r="R115" s="2" t="inlineStr">
        <is>
          <t>Blå taggsvamp
Granticka
Lunglav
Orange taggsvamp
Tallticka
Dropptaggsvamp</t>
        </is>
      </c>
      <c r="S115">
        <f>HYPERLINK("https://klasma.github.io/Logging_2283/artfynd/A 53829-2024 artfynd.xlsx", "A 53829-2024")</f>
        <v/>
      </c>
      <c r="T115">
        <f>HYPERLINK("https://klasma.github.io/Logging_2283/kartor/A 53829-2024 karta.png", "A 53829-2024")</f>
        <v/>
      </c>
      <c r="V115">
        <f>HYPERLINK("https://klasma.github.io/Logging_2283/klagomål/A 53829-2024 FSC-klagomål.docx", "A 53829-2024")</f>
        <v/>
      </c>
      <c r="W115">
        <f>HYPERLINK("https://klasma.github.io/Logging_2283/klagomålsmail/A 53829-2024 FSC-klagomål mail.docx", "A 53829-2024")</f>
        <v/>
      </c>
      <c r="X115">
        <f>HYPERLINK("https://klasma.github.io/Logging_2283/tillsyn/A 53829-2024 tillsynsbegäran.docx", "A 53829-2024")</f>
        <v/>
      </c>
      <c r="Y115">
        <f>HYPERLINK("https://klasma.github.io/Logging_2283/tillsynsmail/A 53829-2024 tillsynsbegäran mail.docx", "A 53829-2024")</f>
        <v/>
      </c>
    </row>
    <row r="116" ht="15" customHeight="1">
      <c r="A116" t="inlineStr">
        <is>
          <t>A 35406-2024</t>
        </is>
      </c>
      <c r="B116" s="1" t="n">
        <v>45531.40607638889</v>
      </c>
      <c r="C116" s="1" t="n">
        <v>45908</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33321-2025</t>
        </is>
      </c>
      <c r="B117" s="1" t="n">
        <v>45841.34490740741</v>
      </c>
      <c r="C117" s="1" t="n">
        <v>45908</v>
      </c>
      <c r="D117" t="inlineStr">
        <is>
          <t>VÄSTERNORRLANDS LÄN</t>
        </is>
      </c>
      <c r="E117" t="inlineStr">
        <is>
          <t>SOLLEFTEÅ</t>
        </is>
      </c>
      <c r="F117" t="inlineStr">
        <is>
          <t>SCA</t>
        </is>
      </c>
      <c r="G117" t="n">
        <v>3</v>
      </c>
      <c r="H117" t="n">
        <v>3</v>
      </c>
      <c r="I117" t="n">
        <v>2</v>
      </c>
      <c r="J117" t="n">
        <v>0</v>
      </c>
      <c r="K117" t="n">
        <v>3</v>
      </c>
      <c r="L117" t="n">
        <v>0</v>
      </c>
      <c r="M117" t="n">
        <v>0</v>
      </c>
      <c r="N117" t="n">
        <v>0</v>
      </c>
      <c r="O117" t="n">
        <v>3</v>
      </c>
      <c r="P117" t="n">
        <v>3</v>
      </c>
      <c r="Q117" t="n">
        <v>6</v>
      </c>
      <c r="R117" s="2" t="inlineStr">
        <is>
          <t>Gräddporing
Knärot
Laxporing
Grönpyrola
Plattlummer
Revlummer</t>
        </is>
      </c>
      <c r="S117">
        <f>HYPERLINK("https://klasma.github.io/Logging_2283/artfynd/A 33321-2025 artfynd.xlsx", "A 33321-2025")</f>
        <v/>
      </c>
      <c r="T117">
        <f>HYPERLINK("https://klasma.github.io/Logging_2283/kartor/A 33321-2025 karta.png", "A 33321-2025")</f>
        <v/>
      </c>
      <c r="U117">
        <f>HYPERLINK("https://klasma.github.io/Logging_2283/knärot/A 33321-2025 karta knärot.png", "A 33321-2025")</f>
        <v/>
      </c>
      <c r="V117">
        <f>HYPERLINK("https://klasma.github.io/Logging_2283/klagomål/A 33321-2025 FSC-klagomål.docx", "A 33321-2025")</f>
        <v/>
      </c>
      <c r="W117">
        <f>HYPERLINK("https://klasma.github.io/Logging_2283/klagomålsmail/A 33321-2025 FSC-klagomål mail.docx", "A 33321-2025")</f>
        <v/>
      </c>
      <c r="X117">
        <f>HYPERLINK("https://klasma.github.io/Logging_2283/tillsyn/A 33321-2025 tillsynsbegäran.docx", "A 33321-2025")</f>
        <v/>
      </c>
      <c r="Y117">
        <f>HYPERLINK("https://klasma.github.io/Logging_2283/tillsynsmail/A 33321-2025 tillsynsbegäran mail.docx", "A 33321-2025")</f>
        <v/>
      </c>
    </row>
    <row r="118" ht="15" customHeight="1">
      <c r="A118" t="inlineStr">
        <is>
          <t>A 21987-2025</t>
        </is>
      </c>
      <c r="B118" s="1" t="n">
        <v>45784.65710648148</v>
      </c>
      <c r="C118" s="1" t="n">
        <v>45908</v>
      </c>
      <c r="D118" t="inlineStr">
        <is>
          <t>VÄSTERNORRLANDS LÄN</t>
        </is>
      </c>
      <c r="E118" t="inlineStr">
        <is>
          <t>SOLLEFTEÅ</t>
        </is>
      </c>
      <c r="G118" t="n">
        <v>2.5</v>
      </c>
      <c r="H118" t="n">
        <v>1</v>
      </c>
      <c r="I118" t="n">
        <v>2</v>
      </c>
      <c r="J118" t="n">
        <v>2</v>
      </c>
      <c r="K118" t="n">
        <v>1</v>
      </c>
      <c r="L118" t="n">
        <v>0</v>
      </c>
      <c r="M118" t="n">
        <v>0</v>
      </c>
      <c r="N118" t="n">
        <v>0</v>
      </c>
      <c r="O118" t="n">
        <v>3</v>
      </c>
      <c r="P118" t="n">
        <v>1</v>
      </c>
      <c r="Q118" t="n">
        <v>6</v>
      </c>
      <c r="R118" s="2" t="inlineStr">
        <is>
          <t>Rynkskinn
Garnlav
Ullticka
Norrlandslav
Stuplav
Lavskrika</t>
        </is>
      </c>
      <c r="S118">
        <f>HYPERLINK("https://klasma.github.io/Logging_2283/artfynd/A 21987-2025 artfynd.xlsx", "A 21987-2025")</f>
        <v/>
      </c>
      <c r="T118">
        <f>HYPERLINK("https://klasma.github.io/Logging_2283/kartor/A 21987-2025 karta.png", "A 21987-2025")</f>
        <v/>
      </c>
      <c r="V118">
        <f>HYPERLINK("https://klasma.github.io/Logging_2283/klagomål/A 21987-2025 FSC-klagomål.docx", "A 21987-2025")</f>
        <v/>
      </c>
      <c r="W118">
        <f>HYPERLINK("https://klasma.github.io/Logging_2283/klagomålsmail/A 21987-2025 FSC-klagomål mail.docx", "A 21987-2025")</f>
        <v/>
      </c>
      <c r="X118">
        <f>HYPERLINK("https://klasma.github.io/Logging_2283/tillsyn/A 21987-2025 tillsynsbegäran.docx", "A 21987-2025")</f>
        <v/>
      </c>
      <c r="Y118">
        <f>HYPERLINK("https://klasma.github.io/Logging_2283/tillsynsmail/A 21987-2025 tillsynsbegäran mail.docx", "A 21987-2025")</f>
        <v/>
      </c>
      <c r="Z118">
        <f>HYPERLINK("https://klasma.github.io/Logging_2283/fåglar/A 21987-2025 prioriterade fågelarter.docx", "A 21987-2025")</f>
        <v/>
      </c>
    </row>
    <row r="119" ht="15" customHeight="1">
      <c r="A119" t="inlineStr">
        <is>
          <t>A 61323-2024</t>
        </is>
      </c>
      <c r="B119" s="1" t="n">
        <v>45646</v>
      </c>
      <c r="C119" s="1" t="n">
        <v>45908</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35632-2025</t>
        </is>
      </c>
      <c r="B120" s="1" t="n">
        <v>45859.44893518519</v>
      </c>
      <c r="C120" s="1" t="n">
        <v>45908</v>
      </c>
      <c r="D120" t="inlineStr">
        <is>
          <t>VÄSTERNORRLANDS LÄN</t>
        </is>
      </c>
      <c r="E120" t="inlineStr">
        <is>
          <t>SOLLEFTEÅ</t>
        </is>
      </c>
      <c r="F120" t="inlineStr">
        <is>
          <t>SCA</t>
        </is>
      </c>
      <c r="G120" t="n">
        <v>6.1</v>
      </c>
      <c r="H120" t="n">
        <v>2</v>
      </c>
      <c r="I120" t="n">
        <v>3</v>
      </c>
      <c r="J120" t="n">
        <v>3</v>
      </c>
      <c r="K120" t="n">
        <v>0</v>
      </c>
      <c r="L120" t="n">
        <v>0</v>
      </c>
      <c r="M120" t="n">
        <v>0</v>
      </c>
      <c r="N120" t="n">
        <v>0</v>
      </c>
      <c r="O120" t="n">
        <v>3</v>
      </c>
      <c r="P120" t="n">
        <v>0</v>
      </c>
      <c r="Q120" t="n">
        <v>6</v>
      </c>
      <c r="R120" s="2" t="inlineStr">
        <is>
          <t>Björktrast
Kolflarnlav
Vaddporing
Bollvitmossa
Plattlummer
Zontaggsvamp</t>
        </is>
      </c>
      <c r="S120">
        <f>HYPERLINK("https://klasma.github.io/Logging_2283/artfynd/A 35632-2025 artfynd.xlsx", "A 35632-2025")</f>
        <v/>
      </c>
      <c r="T120">
        <f>HYPERLINK("https://klasma.github.io/Logging_2283/kartor/A 35632-2025 karta.png", "A 35632-2025")</f>
        <v/>
      </c>
      <c r="V120">
        <f>HYPERLINK("https://klasma.github.io/Logging_2283/klagomål/A 35632-2025 FSC-klagomål.docx", "A 35632-2025")</f>
        <v/>
      </c>
      <c r="W120">
        <f>HYPERLINK("https://klasma.github.io/Logging_2283/klagomålsmail/A 35632-2025 FSC-klagomål mail.docx", "A 35632-2025")</f>
        <v/>
      </c>
      <c r="X120">
        <f>HYPERLINK("https://klasma.github.io/Logging_2283/tillsyn/A 35632-2025 tillsynsbegäran.docx", "A 35632-2025")</f>
        <v/>
      </c>
      <c r="Y120">
        <f>HYPERLINK("https://klasma.github.io/Logging_2283/tillsynsmail/A 35632-2025 tillsynsbegäran mail.docx", "A 35632-2025")</f>
        <v/>
      </c>
      <c r="Z120">
        <f>HYPERLINK("https://klasma.github.io/Logging_2283/fåglar/A 35632-2025 prioriterade fågelarter.docx", "A 35632-2025")</f>
        <v/>
      </c>
    </row>
    <row r="121" ht="15" customHeight="1">
      <c r="A121" t="inlineStr">
        <is>
          <t>A 13250-2025</t>
        </is>
      </c>
      <c r="B121" s="1" t="n">
        <v>45735.49013888889</v>
      </c>
      <c r="C121" s="1" t="n">
        <v>45908</v>
      </c>
      <c r="D121" t="inlineStr">
        <is>
          <t>VÄSTERNORRLANDS LÄN</t>
        </is>
      </c>
      <c r="E121" t="inlineStr">
        <is>
          <t>SOLLEFTEÅ</t>
        </is>
      </c>
      <c r="F121" t="inlineStr">
        <is>
          <t>SCA</t>
        </is>
      </c>
      <c r="G121" t="n">
        <v>1.4</v>
      </c>
      <c r="H121" t="n">
        <v>3</v>
      </c>
      <c r="I121" t="n">
        <v>1</v>
      </c>
      <c r="J121" t="n">
        <v>4</v>
      </c>
      <c r="K121" t="n">
        <v>0</v>
      </c>
      <c r="L121" t="n">
        <v>0</v>
      </c>
      <c r="M121" t="n">
        <v>0</v>
      </c>
      <c r="N121" t="n">
        <v>0</v>
      </c>
      <c r="O121" t="n">
        <v>4</v>
      </c>
      <c r="P121" t="n">
        <v>0</v>
      </c>
      <c r="Q121" t="n">
        <v>6</v>
      </c>
      <c r="R121" s="2" t="inlineStr">
        <is>
          <t>Lunglav
Spillkråka
Tretåig hackspett
Ullticka
Vedticka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24887-2022</t>
        </is>
      </c>
      <c r="B122" s="1" t="n">
        <v>44728</v>
      </c>
      <c r="C122" s="1" t="n">
        <v>45908</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45908</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11552-2024</t>
        </is>
      </c>
      <c r="B124" s="1" t="n">
        <v>45372</v>
      </c>
      <c r="C124" s="1" t="n">
        <v>45908</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40420-2023</t>
        </is>
      </c>
      <c r="B125" s="1" t="n">
        <v>45169</v>
      </c>
      <c r="C125" s="1" t="n">
        <v>45908</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29871-2024</t>
        </is>
      </c>
      <c r="B126" s="1" t="n">
        <v>45485.94521990741</v>
      </c>
      <c r="C126" s="1" t="n">
        <v>45908</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20949-2022</t>
        </is>
      </c>
      <c r="B127" s="1" t="n">
        <v>44701.93967592593</v>
      </c>
      <c r="C127" s="1" t="n">
        <v>45908</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11490-2022</t>
        </is>
      </c>
      <c r="B128" s="1" t="n">
        <v>44630.93877314815</v>
      </c>
      <c r="C128" s="1" t="n">
        <v>45908</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Lunglav
Spillkråka
Tretåig hackspett
Ullticka</t>
        </is>
      </c>
      <c r="S128">
        <f>HYPERLINK("https://klasma.github.io/Logging_2283/artfynd/A 11490-2022 artfynd.xlsx", "A 11490-2022")</f>
        <v/>
      </c>
      <c r="T128">
        <f>HYPERLINK("https://klasma.github.io/Logging_2283/kartor/A 11490-2022 karta.png", "A 11490-2022")</f>
        <v/>
      </c>
      <c r="V128">
        <f>HYPERLINK("https://klasma.github.io/Logging_2283/klagomål/A 11490-2022 FSC-klagomål.docx", "A 11490-2022")</f>
        <v/>
      </c>
      <c r="W128">
        <f>HYPERLINK("https://klasma.github.io/Logging_2283/klagomålsmail/A 11490-2022 FSC-klagomål mail.docx", "A 11490-2022")</f>
        <v/>
      </c>
      <c r="X128">
        <f>HYPERLINK("https://klasma.github.io/Logging_2283/tillsyn/A 11490-2022 tillsynsbegäran.docx", "A 11490-2022")</f>
        <v/>
      </c>
      <c r="Y128">
        <f>HYPERLINK("https://klasma.github.io/Logging_2283/tillsynsmail/A 11490-2022 tillsynsbegäran mail.docx", "A 11490-2022")</f>
        <v/>
      </c>
      <c r="Z128">
        <f>HYPERLINK("https://klasma.github.io/Logging_2283/fåglar/A 11490-2022 prioriterade fågelarter.docx", "A 11490-2022")</f>
        <v/>
      </c>
    </row>
    <row r="129" ht="15" customHeight="1">
      <c r="A129" t="inlineStr">
        <is>
          <t>A 50418-2024</t>
        </is>
      </c>
      <c r="B129" s="1" t="n">
        <v>45601.38575231482</v>
      </c>
      <c r="C129" s="1" t="n">
        <v>45908</v>
      </c>
      <c r="D129" t="inlineStr">
        <is>
          <t>VÄSTERNORRLANDS LÄN</t>
        </is>
      </c>
      <c r="E129" t="inlineStr">
        <is>
          <t>SOLLEFTEÅ</t>
        </is>
      </c>
      <c r="F129" t="inlineStr">
        <is>
          <t>SCA</t>
        </is>
      </c>
      <c r="G129" t="n">
        <v>3.4</v>
      </c>
      <c r="H129" t="n">
        <v>0</v>
      </c>
      <c r="I129" t="n">
        <v>0</v>
      </c>
      <c r="J129" t="n">
        <v>4</v>
      </c>
      <c r="K129" t="n">
        <v>1</v>
      </c>
      <c r="L129" t="n">
        <v>0</v>
      </c>
      <c r="M129" t="n">
        <v>0</v>
      </c>
      <c r="N129" t="n">
        <v>0</v>
      </c>
      <c r="O129" t="n">
        <v>5</v>
      </c>
      <c r="P129" t="n">
        <v>1</v>
      </c>
      <c r="Q129" t="n">
        <v>5</v>
      </c>
      <c r="R129" s="2" t="inlineStr">
        <is>
          <t>Rynkskinn
Garnlav
Granticka
Harticka
Lunglav</t>
        </is>
      </c>
      <c r="S129">
        <f>HYPERLINK("https://klasma.github.io/Logging_2283/artfynd/A 50418-2024 artfynd.xlsx", "A 50418-2024")</f>
        <v/>
      </c>
      <c r="T129">
        <f>HYPERLINK("https://klasma.github.io/Logging_2283/kartor/A 50418-2024 karta.png", "A 50418-2024")</f>
        <v/>
      </c>
      <c r="V129">
        <f>HYPERLINK("https://klasma.github.io/Logging_2283/klagomål/A 50418-2024 FSC-klagomål.docx", "A 50418-2024")</f>
        <v/>
      </c>
      <c r="W129">
        <f>HYPERLINK("https://klasma.github.io/Logging_2283/klagomålsmail/A 50418-2024 FSC-klagomål mail.docx", "A 50418-2024")</f>
        <v/>
      </c>
      <c r="X129">
        <f>HYPERLINK("https://klasma.github.io/Logging_2283/tillsyn/A 50418-2024 tillsynsbegäran.docx", "A 50418-2024")</f>
        <v/>
      </c>
      <c r="Y129">
        <f>HYPERLINK("https://klasma.github.io/Logging_2283/tillsynsmail/A 50418-2024 tillsynsbegäran mail.docx", "A 50418-2024")</f>
        <v/>
      </c>
    </row>
    <row r="130" ht="15" customHeight="1">
      <c r="A130" t="inlineStr">
        <is>
          <t>A 11547-2025</t>
        </is>
      </c>
      <c r="B130" s="1" t="n">
        <v>45727.34447916667</v>
      </c>
      <c r="C130" s="1" t="n">
        <v>45908</v>
      </c>
      <c r="D130" t="inlineStr">
        <is>
          <t>VÄSTERNORRLANDS LÄN</t>
        </is>
      </c>
      <c r="E130" t="inlineStr">
        <is>
          <t>SOLLEFTEÅ</t>
        </is>
      </c>
      <c r="F130" t="inlineStr">
        <is>
          <t>SCA</t>
        </is>
      </c>
      <c r="G130" t="n">
        <v>2.9</v>
      </c>
      <c r="H130" t="n">
        <v>2</v>
      </c>
      <c r="I130" t="n">
        <v>0</v>
      </c>
      <c r="J130" t="n">
        <v>5</v>
      </c>
      <c r="K130" t="n">
        <v>0</v>
      </c>
      <c r="L130" t="n">
        <v>0</v>
      </c>
      <c r="M130" t="n">
        <v>0</v>
      </c>
      <c r="N130" t="n">
        <v>0</v>
      </c>
      <c r="O130" t="n">
        <v>5</v>
      </c>
      <c r="P130" t="n">
        <v>0</v>
      </c>
      <c r="Q130" t="n">
        <v>5</v>
      </c>
      <c r="R130" s="2" t="inlineStr">
        <is>
          <t>Garnlav
Järpe
Lunglav
Tretåig hackspett
Ullticka</t>
        </is>
      </c>
      <c r="S130">
        <f>HYPERLINK("https://klasma.github.io/Logging_2283/artfynd/A 11547-2025 artfynd.xlsx", "A 11547-2025")</f>
        <v/>
      </c>
      <c r="T130">
        <f>HYPERLINK("https://klasma.github.io/Logging_2283/kartor/A 11547-2025 karta.png", "A 11547-2025")</f>
        <v/>
      </c>
      <c r="V130">
        <f>HYPERLINK("https://klasma.github.io/Logging_2283/klagomål/A 11547-2025 FSC-klagomål.docx", "A 11547-2025")</f>
        <v/>
      </c>
      <c r="W130">
        <f>HYPERLINK("https://klasma.github.io/Logging_2283/klagomålsmail/A 11547-2025 FSC-klagomål mail.docx", "A 11547-2025")</f>
        <v/>
      </c>
      <c r="X130">
        <f>HYPERLINK("https://klasma.github.io/Logging_2283/tillsyn/A 11547-2025 tillsynsbegäran.docx", "A 11547-2025")</f>
        <v/>
      </c>
      <c r="Y130">
        <f>HYPERLINK("https://klasma.github.io/Logging_2283/tillsynsmail/A 11547-2025 tillsynsbegäran mail.docx", "A 11547-2025")</f>
        <v/>
      </c>
      <c r="Z130">
        <f>HYPERLINK("https://klasma.github.io/Logging_2283/fåglar/A 11547-2025 prioriterade fågelarter.docx", "A 11547-2025")</f>
        <v/>
      </c>
    </row>
    <row r="131" ht="15" customHeight="1">
      <c r="A131" t="inlineStr">
        <is>
          <t>A 32216-2023</t>
        </is>
      </c>
      <c r="B131" s="1" t="n">
        <v>45119</v>
      </c>
      <c r="C131" s="1" t="n">
        <v>45908</v>
      </c>
      <c r="D131" t="inlineStr">
        <is>
          <t>VÄSTERNORRLANDS LÄN</t>
        </is>
      </c>
      <c r="E131" t="inlineStr">
        <is>
          <t>SOLLEFTEÅ</t>
        </is>
      </c>
      <c r="F131" t="inlineStr">
        <is>
          <t>SCA</t>
        </is>
      </c>
      <c r="G131" t="n">
        <v>2.2</v>
      </c>
      <c r="H131" t="n">
        <v>1</v>
      </c>
      <c r="I131" t="n">
        <v>0</v>
      </c>
      <c r="J131" t="n">
        <v>4</v>
      </c>
      <c r="K131" t="n">
        <v>1</v>
      </c>
      <c r="L131" t="n">
        <v>0</v>
      </c>
      <c r="M131" t="n">
        <v>0</v>
      </c>
      <c r="N131" t="n">
        <v>0</v>
      </c>
      <c r="O131" t="n">
        <v>5</v>
      </c>
      <c r="P131" t="n">
        <v>1</v>
      </c>
      <c r="Q131" t="n">
        <v>5</v>
      </c>
      <c r="R131" s="2" t="inlineStr">
        <is>
          <t>Rynkskinn
Lunglav
Rosenticka
Tretåig hackspett
Ullticka</t>
        </is>
      </c>
      <c r="S131">
        <f>HYPERLINK("https://klasma.github.io/Logging_2283/artfynd/A 32216-2023 artfynd.xlsx", "A 32216-2023")</f>
        <v/>
      </c>
      <c r="T131">
        <f>HYPERLINK("https://klasma.github.io/Logging_2283/kartor/A 32216-2023 karta.png", "A 32216-2023")</f>
        <v/>
      </c>
      <c r="V131">
        <f>HYPERLINK("https://klasma.github.io/Logging_2283/klagomål/A 32216-2023 FSC-klagomål.docx", "A 32216-2023")</f>
        <v/>
      </c>
      <c r="W131">
        <f>HYPERLINK("https://klasma.github.io/Logging_2283/klagomålsmail/A 32216-2023 FSC-klagomål mail.docx", "A 32216-2023")</f>
        <v/>
      </c>
      <c r="X131">
        <f>HYPERLINK("https://klasma.github.io/Logging_2283/tillsyn/A 32216-2023 tillsynsbegäran.docx", "A 32216-2023")</f>
        <v/>
      </c>
      <c r="Y131">
        <f>HYPERLINK("https://klasma.github.io/Logging_2283/tillsynsmail/A 32216-2023 tillsynsbegäran mail.docx", "A 32216-2023")</f>
        <v/>
      </c>
      <c r="Z131">
        <f>HYPERLINK("https://klasma.github.io/Logging_2283/fåglar/A 32216-2023 prioriterade fågelarter.docx", "A 32216-2023")</f>
        <v/>
      </c>
    </row>
    <row r="132" ht="15" customHeight="1">
      <c r="A132" t="inlineStr">
        <is>
          <t>A 21002-2025</t>
        </is>
      </c>
      <c r="B132" s="1" t="n">
        <v>45777.48998842593</v>
      </c>
      <c r="C132" s="1" t="n">
        <v>45908</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30235-2022</t>
        </is>
      </c>
      <c r="B133" s="1" t="n">
        <v>44757</v>
      </c>
      <c r="C133" s="1" t="n">
        <v>45908</v>
      </c>
      <c r="D133" t="inlineStr">
        <is>
          <t>VÄSTERNORRLANDS LÄN</t>
        </is>
      </c>
      <c r="E133" t="inlineStr">
        <is>
          <t>SOLLEFTEÅ</t>
        </is>
      </c>
      <c r="F133" t="inlineStr">
        <is>
          <t>SCA</t>
        </is>
      </c>
      <c r="G133" t="n">
        <v>4.7</v>
      </c>
      <c r="H133" t="n">
        <v>3</v>
      </c>
      <c r="I133" t="n">
        <v>0</v>
      </c>
      <c r="J133" t="n">
        <v>3</v>
      </c>
      <c r="K133" t="n">
        <v>2</v>
      </c>
      <c r="L133" t="n">
        <v>0</v>
      </c>
      <c r="M133" t="n">
        <v>0</v>
      </c>
      <c r="N133" t="n">
        <v>0</v>
      </c>
      <c r="O133" t="n">
        <v>5</v>
      </c>
      <c r="P133" t="n">
        <v>2</v>
      </c>
      <c r="Q133" t="n">
        <v>5</v>
      </c>
      <c r="R133" s="2" t="inlineStr">
        <is>
          <t>Doftticka
Knärot
Lunglav
Skrovellav
Tretåig hackspett</t>
        </is>
      </c>
      <c r="S133">
        <f>HYPERLINK("https://klasma.github.io/Logging_2283/artfynd/A 30235-2022 artfynd.xlsx", "A 30235-2022")</f>
        <v/>
      </c>
      <c r="T133">
        <f>HYPERLINK("https://klasma.github.io/Logging_2283/kartor/A 30235-2022 karta.png", "A 30235-2022")</f>
        <v/>
      </c>
      <c r="U133">
        <f>HYPERLINK("https://klasma.github.io/Logging_2283/knärot/A 30235-2022 karta knärot.png", "A 30235-2022")</f>
        <v/>
      </c>
      <c r="V133">
        <f>HYPERLINK("https://klasma.github.io/Logging_2283/klagomål/A 30235-2022 FSC-klagomål.docx", "A 30235-2022")</f>
        <v/>
      </c>
      <c r="W133">
        <f>HYPERLINK("https://klasma.github.io/Logging_2283/klagomålsmail/A 30235-2022 FSC-klagomål mail.docx", "A 30235-2022")</f>
        <v/>
      </c>
      <c r="X133">
        <f>HYPERLINK("https://klasma.github.io/Logging_2283/tillsyn/A 30235-2022 tillsynsbegäran.docx", "A 30235-2022")</f>
        <v/>
      </c>
      <c r="Y133">
        <f>HYPERLINK("https://klasma.github.io/Logging_2283/tillsynsmail/A 30235-2022 tillsynsbegäran mail.docx", "A 30235-2022")</f>
        <v/>
      </c>
      <c r="Z133">
        <f>HYPERLINK("https://klasma.github.io/Logging_2283/fåglar/A 30235-2022 prioriterade fågelarter.docx", "A 30235-2022")</f>
        <v/>
      </c>
    </row>
    <row r="134" ht="15" customHeight="1">
      <c r="A134" t="inlineStr">
        <is>
          <t>A 46629-2022</t>
        </is>
      </c>
      <c r="B134" s="1" t="n">
        <v>44848</v>
      </c>
      <c r="C134" s="1" t="n">
        <v>45908</v>
      </c>
      <c r="D134" t="inlineStr">
        <is>
          <t>VÄSTERNORRLANDS LÄN</t>
        </is>
      </c>
      <c r="E134" t="inlineStr">
        <is>
          <t>SOLLEFTEÅ</t>
        </is>
      </c>
      <c r="F134" t="inlineStr">
        <is>
          <t>SCA</t>
        </is>
      </c>
      <c r="G134" t="n">
        <v>4.5</v>
      </c>
      <c r="H134" t="n">
        <v>2</v>
      </c>
      <c r="I134" t="n">
        <v>0</v>
      </c>
      <c r="J134" t="n">
        <v>4</v>
      </c>
      <c r="K134" t="n">
        <v>1</v>
      </c>
      <c r="L134" t="n">
        <v>0</v>
      </c>
      <c r="M134" t="n">
        <v>0</v>
      </c>
      <c r="N134" t="n">
        <v>0</v>
      </c>
      <c r="O134" t="n">
        <v>5</v>
      </c>
      <c r="P134" t="n">
        <v>1</v>
      </c>
      <c r="Q134" t="n">
        <v>5</v>
      </c>
      <c r="R134" s="2" t="inlineStr">
        <is>
          <t>Knärot
Garnlav
Lunglav
Skogshare
Tretåig hackspett</t>
        </is>
      </c>
      <c r="S134">
        <f>HYPERLINK("https://klasma.github.io/Logging_2283/artfynd/A 46629-2022 artfynd.xlsx", "A 46629-2022")</f>
        <v/>
      </c>
      <c r="T134">
        <f>HYPERLINK("https://klasma.github.io/Logging_2283/kartor/A 46629-2022 karta.png", "A 46629-2022")</f>
        <v/>
      </c>
      <c r="U134">
        <f>HYPERLINK("https://klasma.github.io/Logging_2283/knärot/A 46629-2022 karta knärot.png", "A 46629-2022")</f>
        <v/>
      </c>
      <c r="V134">
        <f>HYPERLINK("https://klasma.github.io/Logging_2283/klagomål/A 46629-2022 FSC-klagomål.docx", "A 46629-2022")</f>
        <v/>
      </c>
      <c r="W134">
        <f>HYPERLINK("https://klasma.github.io/Logging_2283/klagomålsmail/A 46629-2022 FSC-klagomål mail.docx", "A 46629-2022")</f>
        <v/>
      </c>
      <c r="X134">
        <f>HYPERLINK("https://klasma.github.io/Logging_2283/tillsyn/A 46629-2022 tillsynsbegäran.docx", "A 46629-2022")</f>
        <v/>
      </c>
      <c r="Y134">
        <f>HYPERLINK("https://klasma.github.io/Logging_2283/tillsynsmail/A 46629-2022 tillsynsbegäran mail.docx", "A 46629-2022")</f>
        <v/>
      </c>
      <c r="Z134">
        <f>HYPERLINK("https://klasma.github.io/Logging_2283/fåglar/A 46629-2022 prioriterade fågelarter.docx", "A 46629-2022")</f>
        <v/>
      </c>
    </row>
    <row r="135" ht="15" customHeight="1">
      <c r="A135" t="inlineStr">
        <is>
          <t>A 2438-2025</t>
        </is>
      </c>
      <c r="B135" s="1" t="n">
        <v>45674.41815972222</v>
      </c>
      <c r="C135" s="1" t="n">
        <v>45908</v>
      </c>
      <c r="D135" t="inlineStr">
        <is>
          <t>VÄSTERNORRLANDS LÄN</t>
        </is>
      </c>
      <c r="E135" t="inlineStr">
        <is>
          <t>SOLLEFTEÅ</t>
        </is>
      </c>
      <c r="G135" t="n">
        <v>6.4</v>
      </c>
      <c r="H135" t="n">
        <v>3</v>
      </c>
      <c r="I135" t="n">
        <v>0</v>
      </c>
      <c r="J135" t="n">
        <v>4</v>
      </c>
      <c r="K135" t="n">
        <v>1</v>
      </c>
      <c r="L135" t="n">
        <v>0</v>
      </c>
      <c r="M135" t="n">
        <v>0</v>
      </c>
      <c r="N135" t="n">
        <v>0</v>
      </c>
      <c r="O135" t="n">
        <v>5</v>
      </c>
      <c r="P135" t="n">
        <v>1</v>
      </c>
      <c r="Q135" t="n">
        <v>5</v>
      </c>
      <c r="R135" s="2" t="inlineStr">
        <is>
          <t>Knärot
Garnlav
Kolflarnlav
Talltita
Tretåig hackspett</t>
        </is>
      </c>
      <c r="S135">
        <f>HYPERLINK("https://klasma.github.io/Logging_2283/artfynd/A 2438-2025 artfynd.xlsx", "A 2438-2025")</f>
        <v/>
      </c>
      <c r="T135">
        <f>HYPERLINK("https://klasma.github.io/Logging_2283/kartor/A 2438-2025 karta.png", "A 2438-2025")</f>
        <v/>
      </c>
      <c r="U135">
        <f>HYPERLINK("https://klasma.github.io/Logging_2283/knärot/A 2438-2025 karta knärot.png", "A 2438-2025")</f>
        <v/>
      </c>
      <c r="V135">
        <f>HYPERLINK("https://klasma.github.io/Logging_2283/klagomål/A 2438-2025 FSC-klagomål.docx", "A 2438-2025")</f>
        <v/>
      </c>
      <c r="W135">
        <f>HYPERLINK("https://klasma.github.io/Logging_2283/klagomålsmail/A 2438-2025 FSC-klagomål mail.docx", "A 2438-2025")</f>
        <v/>
      </c>
      <c r="X135">
        <f>HYPERLINK("https://klasma.github.io/Logging_2283/tillsyn/A 2438-2025 tillsynsbegäran.docx", "A 2438-2025")</f>
        <v/>
      </c>
      <c r="Y135">
        <f>HYPERLINK("https://klasma.github.io/Logging_2283/tillsynsmail/A 2438-2025 tillsynsbegäran mail.docx", "A 2438-2025")</f>
        <v/>
      </c>
      <c r="Z135">
        <f>HYPERLINK("https://klasma.github.io/Logging_2283/fåglar/A 2438-2025 prioriterade fågelarter.docx", "A 2438-2025")</f>
        <v/>
      </c>
    </row>
    <row r="136" ht="15" customHeight="1">
      <c r="A136" t="inlineStr">
        <is>
          <t>A 4552-2022</t>
        </is>
      </c>
      <c r="B136" s="1" t="n">
        <v>44590</v>
      </c>
      <c r="C136" s="1" t="n">
        <v>45908</v>
      </c>
      <c r="D136" t="inlineStr">
        <is>
          <t>VÄSTERNORRLANDS LÄN</t>
        </is>
      </c>
      <c r="E136" t="inlineStr">
        <is>
          <t>SOLLEFTEÅ</t>
        </is>
      </c>
      <c r="F136" t="inlineStr">
        <is>
          <t>SCA</t>
        </is>
      </c>
      <c r="G136" t="n">
        <v>4.4</v>
      </c>
      <c r="H136" t="n">
        <v>0</v>
      </c>
      <c r="I136" t="n">
        <v>1</v>
      </c>
      <c r="J136" t="n">
        <v>4</v>
      </c>
      <c r="K136" t="n">
        <v>0</v>
      </c>
      <c r="L136" t="n">
        <v>0</v>
      </c>
      <c r="M136" t="n">
        <v>0</v>
      </c>
      <c r="N136" t="n">
        <v>0</v>
      </c>
      <c r="O136" t="n">
        <v>4</v>
      </c>
      <c r="P136" t="n">
        <v>0</v>
      </c>
      <c r="Q136" t="n">
        <v>5</v>
      </c>
      <c r="R136" s="2" t="inlineStr">
        <is>
          <t>Gammelgransskål
Garnlav
Skrovlig taggsvamp
Vedskivlav
Skarp dropptaggsvamp</t>
        </is>
      </c>
      <c r="S136">
        <f>HYPERLINK("https://klasma.github.io/Logging_2283/artfynd/A 4552-2022 artfynd.xlsx", "A 4552-2022")</f>
        <v/>
      </c>
      <c r="T136">
        <f>HYPERLINK("https://klasma.github.io/Logging_2283/kartor/A 4552-2022 karta.png", "A 4552-2022")</f>
        <v/>
      </c>
      <c r="V136">
        <f>HYPERLINK("https://klasma.github.io/Logging_2283/klagomål/A 4552-2022 FSC-klagomål.docx", "A 4552-2022")</f>
        <v/>
      </c>
      <c r="W136">
        <f>HYPERLINK("https://klasma.github.io/Logging_2283/klagomålsmail/A 4552-2022 FSC-klagomål mail.docx", "A 4552-2022")</f>
        <v/>
      </c>
      <c r="X136">
        <f>HYPERLINK("https://klasma.github.io/Logging_2283/tillsyn/A 4552-2022 tillsynsbegäran.docx", "A 4552-2022")</f>
        <v/>
      </c>
      <c r="Y136">
        <f>HYPERLINK("https://klasma.github.io/Logging_2283/tillsynsmail/A 4552-2022 tillsynsbegäran mail.docx", "A 4552-2022")</f>
        <v/>
      </c>
    </row>
    <row r="137" ht="15" customHeight="1">
      <c r="A137" t="inlineStr">
        <is>
          <t>A 22797-2025</t>
        </is>
      </c>
      <c r="B137" s="1" t="n">
        <v>45789</v>
      </c>
      <c r="C137" s="1" t="n">
        <v>45908</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33519-2024</t>
        </is>
      </c>
      <c r="B138" s="1" t="n">
        <v>45519</v>
      </c>
      <c r="C138" s="1" t="n">
        <v>45908</v>
      </c>
      <c r="D138" t="inlineStr">
        <is>
          <t>VÄSTERNORRLANDS LÄN</t>
        </is>
      </c>
      <c r="E138" t="inlineStr">
        <is>
          <t>SOLLEFTEÅ</t>
        </is>
      </c>
      <c r="G138" t="n">
        <v>3.6</v>
      </c>
      <c r="H138" t="n">
        <v>0</v>
      </c>
      <c r="I138" t="n">
        <v>1</v>
      </c>
      <c r="J138" t="n">
        <v>4</v>
      </c>
      <c r="K138" t="n">
        <v>0</v>
      </c>
      <c r="L138" t="n">
        <v>0</v>
      </c>
      <c r="M138" t="n">
        <v>0</v>
      </c>
      <c r="N138" t="n">
        <v>0</v>
      </c>
      <c r="O138" t="n">
        <v>4</v>
      </c>
      <c r="P138" t="n">
        <v>0</v>
      </c>
      <c r="Q138" t="n">
        <v>5</v>
      </c>
      <c r="R138" s="2" t="inlineStr">
        <is>
          <t>Garnlav
Kolflarnlav
Skrovlig taggsvamp
Vaddporing
Dropptaggsvamp</t>
        </is>
      </c>
      <c r="S138">
        <f>HYPERLINK("https://klasma.github.io/Logging_2283/artfynd/A 33519-2024 artfynd.xlsx", "A 33519-2024")</f>
        <v/>
      </c>
      <c r="T138">
        <f>HYPERLINK("https://klasma.github.io/Logging_2283/kartor/A 33519-2024 karta.png", "A 33519-2024")</f>
        <v/>
      </c>
      <c r="U138">
        <f>HYPERLINK("https://klasma.github.io/Logging_2283/knärot/A 33519-2024 karta knärot.png", "A 33519-2024")</f>
        <v/>
      </c>
      <c r="V138">
        <f>HYPERLINK("https://klasma.github.io/Logging_2283/klagomål/A 33519-2024 FSC-klagomål.docx", "A 33519-2024")</f>
        <v/>
      </c>
      <c r="W138">
        <f>HYPERLINK("https://klasma.github.io/Logging_2283/klagomålsmail/A 33519-2024 FSC-klagomål mail.docx", "A 33519-2024")</f>
        <v/>
      </c>
      <c r="X138">
        <f>HYPERLINK("https://klasma.github.io/Logging_2283/tillsyn/A 33519-2024 tillsynsbegäran.docx", "A 33519-2024")</f>
        <v/>
      </c>
      <c r="Y138">
        <f>HYPERLINK("https://klasma.github.io/Logging_2283/tillsynsmail/A 33519-2024 tillsynsbegäran mail.docx", "A 33519-2024")</f>
        <v/>
      </c>
    </row>
    <row r="139" ht="15" customHeight="1">
      <c r="A139" t="inlineStr">
        <is>
          <t>A 23319-2025</t>
        </is>
      </c>
      <c r="B139" s="1" t="n">
        <v>45791.61511574074</v>
      </c>
      <c r="C139" s="1" t="n">
        <v>45908</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57076-2020</t>
        </is>
      </c>
      <c r="B140" s="1" t="n">
        <v>44138</v>
      </c>
      <c r="C140" s="1" t="n">
        <v>45908</v>
      </c>
      <c r="D140" t="inlineStr">
        <is>
          <t>VÄSTERNORRLANDS LÄN</t>
        </is>
      </c>
      <c r="E140" t="inlineStr">
        <is>
          <t>SOLLEFTEÅ</t>
        </is>
      </c>
      <c r="G140" t="n">
        <v>3.8</v>
      </c>
      <c r="H140" t="n">
        <v>3</v>
      </c>
      <c r="I140" t="n">
        <v>1</v>
      </c>
      <c r="J140" t="n">
        <v>3</v>
      </c>
      <c r="K140" t="n">
        <v>0</v>
      </c>
      <c r="L140" t="n">
        <v>0</v>
      </c>
      <c r="M140" t="n">
        <v>0</v>
      </c>
      <c r="N140" t="n">
        <v>0</v>
      </c>
      <c r="O140" t="n">
        <v>3</v>
      </c>
      <c r="P140" t="n">
        <v>0</v>
      </c>
      <c r="Q140" t="n">
        <v>5</v>
      </c>
      <c r="R140" s="2" t="inlineStr">
        <is>
          <t>Kråka
Nipsippa
Rosenticka
Strutbräken
Revlummer</t>
        </is>
      </c>
      <c r="S140">
        <f>HYPERLINK("https://klasma.github.io/Logging_2283/artfynd/A 57076-2020 artfynd.xlsx", "A 57076-2020")</f>
        <v/>
      </c>
      <c r="T140">
        <f>HYPERLINK("https://klasma.github.io/Logging_2283/kartor/A 57076-2020 karta.png", "A 57076-2020")</f>
        <v/>
      </c>
      <c r="V140">
        <f>HYPERLINK("https://klasma.github.io/Logging_2283/klagomål/A 57076-2020 FSC-klagomål.docx", "A 57076-2020")</f>
        <v/>
      </c>
      <c r="W140">
        <f>HYPERLINK("https://klasma.github.io/Logging_2283/klagomålsmail/A 57076-2020 FSC-klagomål mail.docx", "A 57076-2020")</f>
        <v/>
      </c>
      <c r="X140">
        <f>HYPERLINK("https://klasma.github.io/Logging_2283/tillsyn/A 57076-2020 tillsynsbegäran.docx", "A 57076-2020")</f>
        <v/>
      </c>
      <c r="Y140">
        <f>HYPERLINK("https://klasma.github.io/Logging_2283/tillsynsmail/A 57076-2020 tillsynsbegäran mail.docx", "A 57076-2020")</f>
        <v/>
      </c>
      <c r="Z140">
        <f>HYPERLINK("https://klasma.github.io/Logging_2283/fåglar/A 57076-2020 prioriterade fågelarter.docx", "A 57076-2020")</f>
        <v/>
      </c>
    </row>
    <row r="141" ht="15" customHeight="1">
      <c r="A141" t="inlineStr">
        <is>
          <t>A 4005-2025</t>
        </is>
      </c>
      <c r="B141" s="1" t="n">
        <v>45684.57365740741</v>
      </c>
      <c r="C141" s="1" t="n">
        <v>45908</v>
      </c>
      <c r="D141" t="inlineStr">
        <is>
          <t>VÄSTERNORRLANDS LÄN</t>
        </is>
      </c>
      <c r="E141" t="inlineStr">
        <is>
          <t>SOLLEFTEÅ</t>
        </is>
      </c>
      <c r="F141" t="inlineStr">
        <is>
          <t>SCA</t>
        </is>
      </c>
      <c r="G141" t="n">
        <v>7.5</v>
      </c>
      <c r="H141" t="n">
        <v>2</v>
      </c>
      <c r="I141" t="n">
        <v>0</v>
      </c>
      <c r="J141" t="n">
        <v>5</v>
      </c>
      <c r="K141" t="n">
        <v>0</v>
      </c>
      <c r="L141" t="n">
        <v>0</v>
      </c>
      <c r="M141" t="n">
        <v>0</v>
      </c>
      <c r="N141" t="n">
        <v>0</v>
      </c>
      <c r="O141" t="n">
        <v>5</v>
      </c>
      <c r="P141" t="n">
        <v>0</v>
      </c>
      <c r="Q141" t="n">
        <v>5</v>
      </c>
      <c r="R141" s="2" t="inlineStr">
        <is>
          <t>Gammelgransskål
Garnlav
Granticka
Spillkråka
Tretåig hackspett</t>
        </is>
      </c>
      <c r="S141">
        <f>HYPERLINK("https://klasma.github.io/Logging_2283/artfynd/A 4005-2025 artfynd.xlsx", "A 4005-2025")</f>
        <v/>
      </c>
      <c r="T141">
        <f>HYPERLINK("https://klasma.github.io/Logging_2283/kartor/A 4005-2025 karta.png", "A 4005-2025")</f>
        <v/>
      </c>
      <c r="V141">
        <f>HYPERLINK("https://klasma.github.io/Logging_2283/klagomål/A 4005-2025 FSC-klagomål.docx", "A 4005-2025")</f>
        <v/>
      </c>
      <c r="W141">
        <f>HYPERLINK("https://klasma.github.io/Logging_2283/klagomålsmail/A 4005-2025 FSC-klagomål mail.docx", "A 4005-2025")</f>
        <v/>
      </c>
      <c r="X141">
        <f>HYPERLINK("https://klasma.github.io/Logging_2283/tillsyn/A 4005-2025 tillsynsbegäran.docx", "A 4005-2025")</f>
        <v/>
      </c>
      <c r="Y141">
        <f>HYPERLINK("https://klasma.github.io/Logging_2283/tillsynsmail/A 4005-2025 tillsynsbegäran mail.docx", "A 4005-2025")</f>
        <v/>
      </c>
      <c r="Z141">
        <f>HYPERLINK("https://klasma.github.io/Logging_2283/fåglar/A 4005-2025 prioriterade fågelarter.docx", "A 4005-2025")</f>
        <v/>
      </c>
    </row>
    <row r="142" ht="15" customHeight="1">
      <c r="A142" t="inlineStr">
        <is>
          <t>A 48562-2024</t>
        </is>
      </c>
      <c r="B142" s="1" t="n">
        <v>45593.38597222222</v>
      </c>
      <c r="C142" s="1" t="n">
        <v>45908</v>
      </c>
      <c r="D142" t="inlineStr">
        <is>
          <t>VÄSTERNORRLANDS LÄN</t>
        </is>
      </c>
      <c r="E142" t="inlineStr">
        <is>
          <t>SOLLEFTEÅ</t>
        </is>
      </c>
      <c r="F142" t="inlineStr">
        <is>
          <t>SCA</t>
        </is>
      </c>
      <c r="G142" t="n">
        <v>5.3</v>
      </c>
      <c r="H142" t="n">
        <v>1</v>
      </c>
      <c r="I142" t="n">
        <v>1</v>
      </c>
      <c r="J142" t="n">
        <v>4</v>
      </c>
      <c r="K142" t="n">
        <v>0</v>
      </c>
      <c r="L142" t="n">
        <v>0</v>
      </c>
      <c r="M142" t="n">
        <v>0</v>
      </c>
      <c r="N142" t="n">
        <v>0</v>
      </c>
      <c r="O142" t="n">
        <v>4</v>
      </c>
      <c r="P142" t="n">
        <v>0</v>
      </c>
      <c r="Q142" t="n">
        <v>5</v>
      </c>
      <c r="R142" s="2" t="inlineStr">
        <is>
          <t>Gammelgransskål
Garnlav
Lunglav
Vitgrynig nållav
Lappranunkel</t>
        </is>
      </c>
      <c r="S142">
        <f>HYPERLINK("https://klasma.github.io/Logging_2283/artfynd/A 48562-2024 artfynd.xlsx", "A 48562-2024")</f>
        <v/>
      </c>
      <c r="T142">
        <f>HYPERLINK("https://klasma.github.io/Logging_2283/kartor/A 48562-2024 karta.png", "A 48562-2024")</f>
        <v/>
      </c>
      <c r="V142">
        <f>HYPERLINK("https://klasma.github.io/Logging_2283/klagomål/A 48562-2024 FSC-klagomål.docx", "A 48562-2024")</f>
        <v/>
      </c>
      <c r="W142">
        <f>HYPERLINK("https://klasma.github.io/Logging_2283/klagomålsmail/A 48562-2024 FSC-klagomål mail.docx", "A 48562-2024")</f>
        <v/>
      </c>
      <c r="X142">
        <f>HYPERLINK("https://klasma.github.io/Logging_2283/tillsyn/A 48562-2024 tillsynsbegäran.docx", "A 48562-2024")</f>
        <v/>
      </c>
      <c r="Y142">
        <f>HYPERLINK("https://klasma.github.io/Logging_2283/tillsynsmail/A 48562-2024 tillsynsbegäran mail.docx", "A 48562-2024")</f>
        <v/>
      </c>
    </row>
    <row r="143" ht="15" customHeight="1">
      <c r="A143" t="inlineStr">
        <is>
          <t>A 41169-2022</t>
        </is>
      </c>
      <c r="B143" s="1" t="n">
        <v>44825</v>
      </c>
      <c r="C143" s="1" t="n">
        <v>45908</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32217-2023</t>
        </is>
      </c>
      <c r="B144" s="1" t="n">
        <v>45119</v>
      </c>
      <c r="C144" s="1" t="n">
        <v>45908</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22517-2025</t>
        </is>
      </c>
      <c r="B145" s="1" t="n">
        <v>45786.67818287037</v>
      </c>
      <c r="C145" s="1" t="n">
        <v>45908</v>
      </c>
      <c r="D145" t="inlineStr">
        <is>
          <t>VÄSTERNORRLANDS LÄN</t>
        </is>
      </c>
      <c r="E145" t="inlineStr">
        <is>
          <t>SOLLEFTEÅ</t>
        </is>
      </c>
      <c r="F145" t="inlineStr">
        <is>
          <t>SCA</t>
        </is>
      </c>
      <c r="G145" t="n">
        <v>3.7</v>
      </c>
      <c r="H145" t="n">
        <v>1</v>
      </c>
      <c r="I145" t="n">
        <v>1</v>
      </c>
      <c r="J145" t="n">
        <v>4</v>
      </c>
      <c r="K145" t="n">
        <v>0</v>
      </c>
      <c r="L145" t="n">
        <v>0</v>
      </c>
      <c r="M145" t="n">
        <v>0</v>
      </c>
      <c r="N145" t="n">
        <v>0</v>
      </c>
      <c r="O145" t="n">
        <v>4</v>
      </c>
      <c r="P145" t="n">
        <v>0</v>
      </c>
      <c r="Q145" t="n">
        <v>5</v>
      </c>
      <c r="R145" s="2" t="inlineStr">
        <is>
          <t>Garnlav
Kolflarnlav
Tretåig hackspett
Vedskivlav
Dropptaggsvamp</t>
        </is>
      </c>
      <c r="S145">
        <f>HYPERLINK("https://klasma.github.io/Logging_2283/artfynd/A 22517-2025 artfynd.xlsx", "A 22517-2025")</f>
        <v/>
      </c>
      <c r="T145">
        <f>HYPERLINK("https://klasma.github.io/Logging_2283/kartor/A 22517-2025 karta.png", "A 22517-2025")</f>
        <v/>
      </c>
      <c r="V145">
        <f>HYPERLINK("https://klasma.github.io/Logging_2283/klagomål/A 22517-2025 FSC-klagomål.docx", "A 22517-2025")</f>
        <v/>
      </c>
      <c r="W145">
        <f>HYPERLINK("https://klasma.github.io/Logging_2283/klagomålsmail/A 22517-2025 FSC-klagomål mail.docx", "A 22517-2025")</f>
        <v/>
      </c>
      <c r="X145">
        <f>HYPERLINK("https://klasma.github.io/Logging_2283/tillsyn/A 22517-2025 tillsynsbegäran.docx", "A 22517-2025")</f>
        <v/>
      </c>
      <c r="Y145">
        <f>HYPERLINK("https://klasma.github.io/Logging_2283/tillsynsmail/A 22517-2025 tillsynsbegäran mail.docx", "A 22517-2025")</f>
        <v/>
      </c>
      <c r="Z145">
        <f>HYPERLINK("https://klasma.github.io/Logging_2283/fåglar/A 22517-2025 prioriterade fågelarter.docx", "A 22517-2025")</f>
        <v/>
      </c>
    </row>
    <row r="146" ht="15" customHeight="1">
      <c r="A146" t="inlineStr">
        <is>
          <t>A 29249-2024</t>
        </is>
      </c>
      <c r="B146" s="1" t="n">
        <v>45482</v>
      </c>
      <c r="C146" s="1" t="n">
        <v>45908</v>
      </c>
      <c r="D146" t="inlineStr">
        <is>
          <t>VÄSTERNORRLANDS LÄN</t>
        </is>
      </c>
      <c r="E146" t="inlineStr">
        <is>
          <t>SOLLEFTEÅ</t>
        </is>
      </c>
      <c r="F146" t="inlineStr">
        <is>
          <t>SCA</t>
        </is>
      </c>
      <c r="G146" t="n">
        <v>7.3</v>
      </c>
      <c r="H146" t="n">
        <v>3</v>
      </c>
      <c r="I146" t="n">
        <v>1</v>
      </c>
      <c r="J146" t="n">
        <v>3</v>
      </c>
      <c r="K146" t="n">
        <v>1</v>
      </c>
      <c r="L146" t="n">
        <v>0</v>
      </c>
      <c r="M146" t="n">
        <v>0</v>
      </c>
      <c r="N146" t="n">
        <v>0</v>
      </c>
      <c r="O146" t="n">
        <v>4</v>
      </c>
      <c r="P146" t="n">
        <v>1</v>
      </c>
      <c r="Q146" t="n">
        <v>5</v>
      </c>
      <c r="R146" s="2" t="inlineStr">
        <is>
          <t>Knärot
Harticka
Talltita
Tretåig hackspett
Stuplav</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44372-2024</t>
        </is>
      </c>
      <c r="B147" s="1" t="n">
        <v>45573</v>
      </c>
      <c r="C147" s="1" t="n">
        <v>45908</v>
      </c>
      <c r="D147" t="inlineStr">
        <is>
          <t>VÄSTERNORRLANDS LÄN</t>
        </is>
      </c>
      <c r="E147" t="inlineStr">
        <is>
          <t>SOLLEFTEÅ</t>
        </is>
      </c>
      <c r="F147" t="inlineStr">
        <is>
          <t>SCA</t>
        </is>
      </c>
      <c r="G147" t="n">
        <v>3.3</v>
      </c>
      <c r="H147" t="n">
        <v>1</v>
      </c>
      <c r="I147" t="n">
        <v>1</v>
      </c>
      <c r="J147" t="n">
        <v>4</v>
      </c>
      <c r="K147" t="n">
        <v>0</v>
      </c>
      <c r="L147" t="n">
        <v>0</v>
      </c>
      <c r="M147" t="n">
        <v>0</v>
      </c>
      <c r="N147" t="n">
        <v>0</v>
      </c>
      <c r="O147" t="n">
        <v>4</v>
      </c>
      <c r="P147" t="n">
        <v>0</v>
      </c>
      <c r="Q147" t="n">
        <v>5</v>
      </c>
      <c r="R147" s="2" t="inlineStr">
        <is>
          <t>Gammelgransskål
Garnlav
Rosenticka
Tretåig hackspett
Bollvitmossa</t>
        </is>
      </c>
      <c r="S147">
        <f>HYPERLINK("https://klasma.github.io/Logging_2283/artfynd/A 44372-2024 artfynd.xlsx", "A 44372-2024")</f>
        <v/>
      </c>
      <c r="T147">
        <f>HYPERLINK("https://klasma.github.io/Logging_2283/kartor/A 44372-2024 karta.png", "A 44372-2024")</f>
        <v/>
      </c>
      <c r="V147">
        <f>HYPERLINK("https://klasma.github.io/Logging_2283/klagomål/A 44372-2024 FSC-klagomål.docx", "A 44372-2024")</f>
        <v/>
      </c>
      <c r="W147">
        <f>HYPERLINK("https://klasma.github.io/Logging_2283/klagomålsmail/A 44372-2024 FSC-klagomål mail.docx", "A 44372-2024")</f>
        <v/>
      </c>
      <c r="X147">
        <f>HYPERLINK("https://klasma.github.io/Logging_2283/tillsyn/A 44372-2024 tillsynsbegäran.docx", "A 44372-2024")</f>
        <v/>
      </c>
      <c r="Y147">
        <f>HYPERLINK("https://klasma.github.io/Logging_2283/tillsynsmail/A 44372-2024 tillsynsbegäran mail.docx", "A 44372-2024")</f>
        <v/>
      </c>
      <c r="Z147">
        <f>HYPERLINK("https://klasma.github.io/Logging_2283/fåglar/A 44372-2024 prioriterade fågelarter.docx", "A 44372-2024")</f>
        <v/>
      </c>
    </row>
    <row r="148" ht="15" customHeight="1">
      <c r="A148" t="inlineStr">
        <is>
          <t>A 19200-2025</t>
        </is>
      </c>
      <c r="B148" s="1" t="n">
        <v>45769.42778935185</v>
      </c>
      <c r="C148" s="1" t="n">
        <v>45908</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45908</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16314-2025</t>
        </is>
      </c>
      <c r="B150" s="1" t="n">
        <v>45751.34763888889</v>
      </c>
      <c r="C150" s="1" t="n">
        <v>45908</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22125-2024</t>
        </is>
      </c>
      <c r="B151" s="1" t="n">
        <v>45443</v>
      </c>
      <c r="C151" s="1" t="n">
        <v>45908</v>
      </c>
      <c r="D151" t="inlineStr">
        <is>
          <t>VÄSTERNORRLANDS LÄN</t>
        </is>
      </c>
      <c r="E151" t="inlineStr">
        <is>
          <t>SOLLEFTEÅ</t>
        </is>
      </c>
      <c r="F151" t="inlineStr">
        <is>
          <t>SCA</t>
        </is>
      </c>
      <c r="G151" t="n">
        <v>1.8</v>
      </c>
      <c r="H151" t="n">
        <v>2</v>
      </c>
      <c r="I151" t="n">
        <v>0</v>
      </c>
      <c r="J151" t="n">
        <v>4</v>
      </c>
      <c r="K151" t="n">
        <v>1</v>
      </c>
      <c r="L151" t="n">
        <v>0</v>
      </c>
      <c r="M151" t="n">
        <v>0</v>
      </c>
      <c r="N151" t="n">
        <v>0</v>
      </c>
      <c r="O151" t="n">
        <v>5</v>
      </c>
      <c r="P151" t="n">
        <v>1</v>
      </c>
      <c r="Q151" t="n">
        <v>5</v>
      </c>
      <c r="R151" s="2" t="inlineStr">
        <is>
          <t>Knärot
Garnlav
Kolflarnlav
Lunglav
Tretåig hackspett</t>
        </is>
      </c>
      <c r="S151">
        <f>HYPERLINK("https://klasma.github.io/Logging_2283/artfynd/A 22125-2024 artfynd.xlsx", "A 22125-2024")</f>
        <v/>
      </c>
      <c r="T151">
        <f>HYPERLINK("https://klasma.github.io/Logging_2283/kartor/A 22125-2024 karta.png", "A 22125-2024")</f>
        <v/>
      </c>
      <c r="U151">
        <f>HYPERLINK("https://klasma.github.io/Logging_2283/knärot/A 22125-2024 karta knärot.png", "A 22125-2024")</f>
        <v/>
      </c>
      <c r="V151">
        <f>HYPERLINK("https://klasma.github.io/Logging_2283/klagomål/A 22125-2024 FSC-klagomål.docx", "A 22125-2024")</f>
        <v/>
      </c>
      <c r="W151">
        <f>HYPERLINK("https://klasma.github.io/Logging_2283/klagomålsmail/A 22125-2024 FSC-klagomål mail.docx", "A 22125-2024")</f>
        <v/>
      </c>
      <c r="X151">
        <f>HYPERLINK("https://klasma.github.io/Logging_2283/tillsyn/A 22125-2024 tillsynsbegäran.docx", "A 22125-2024")</f>
        <v/>
      </c>
      <c r="Y151">
        <f>HYPERLINK("https://klasma.github.io/Logging_2283/tillsynsmail/A 22125-2024 tillsynsbegäran mail.docx", "A 22125-2024")</f>
        <v/>
      </c>
      <c r="Z151">
        <f>HYPERLINK("https://klasma.github.io/Logging_2283/fåglar/A 22125-2024 prioriterade fågelarter.docx", "A 22125-2024")</f>
        <v/>
      </c>
    </row>
    <row r="152" ht="15" customHeight="1">
      <c r="A152" t="inlineStr">
        <is>
          <t>A 19081-2024</t>
        </is>
      </c>
      <c r="B152" s="1" t="n">
        <v>45428</v>
      </c>
      <c r="C152" s="1" t="n">
        <v>45908</v>
      </c>
      <c r="D152" t="inlineStr">
        <is>
          <t>VÄSTERNORRLANDS LÄN</t>
        </is>
      </c>
      <c r="E152" t="inlineStr">
        <is>
          <t>SOLLEFTEÅ</t>
        </is>
      </c>
      <c r="F152" t="inlineStr">
        <is>
          <t>SCA</t>
        </is>
      </c>
      <c r="G152" t="n">
        <v>21.5</v>
      </c>
      <c r="H152" t="n">
        <v>2</v>
      </c>
      <c r="I152" t="n">
        <v>0</v>
      </c>
      <c r="J152" t="n">
        <v>4</v>
      </c>
      <c r="K152" t="n">
        <v>0</v>
      </c>
      <c r="L152" t="n">
        <v>0</v>
      </c>
      <c r="M152" t="n">
        <v>0</v>
      </c>
      <c r="N152" t="n">
        <v>0</v>
      </c>
      <c r="O152" t="n">
        <v>4</v>
      </c>
      <c r="P152" t="n">
        <v>0</v>
      </c>
      <c r="Q152" t="n">
        <v>5</v>
      </c>
      <c r="R152" s="2" t="inlineStr">
        <is>
          <t>Garnlav
Granticka
Järpe
Ullticka
Fläcknycklar</t>
        </is>
      </c>
      <c r="S152">
        <f>HYPERLINK("https://klasma.github.io/Logging_2283/artfynd/A 19081-2024 artfynd.xlsx", "A 19081-2024")</f>
        <v/>
      </c>
      <c r="T152">
        <f>HYPERLINK("https://klasma.github.io/Logging_2283/kartor/A 19081-2024 karta.png", "A 19081-2024")</f>
        <v/>
      </c>
      <c r="V152">
        <f>HYPERLINK("https://klasma.github.io/Logging_2283/klagomål/A 19081-2024 FSC-klagomål.docx", "A 19081-2024")</f>
        <v/>
      </c>
      <c r="W152">
        <f>HYPERLINK("https://klasma.github.io/Logging_2283/klagomålsmail/A 19081-2024 FSC-klagomål mail.docx", "A 19081-2024")</f>
        <v/>
      </c>
      <c r="X152">
        <f>HYPERLINK("https://klasma.github.io/Logging_2283/tillsyn/A 19081-2024 tillsynsbegäran.docx", "A 19081-2024")</f>
        <v/>
      </c>
      <c r="Y152">
        <f>HYPERLINK("https://klasma.github.io/Logging_2283/tillsynsmail/A 19081-2024 tillsynsbegäran mail.docx", "A 19081-2024")</f>
        <v/>
      </c>
      <c r="Z152">
        <f>HYPERLINK("https://klasma.github.io/Logging_2283/fåglar/A 19081-2024 prioriterade fågelarter.docx", "A 19081-2024")</f>
        <v/>
      </c>
    </row>
    <row r="153" ht="15" customHeight="1">
      <c r="A153" t="inlineStr">
        <is>
          <t>A 59662-2023</t>
        </is>
      </c>
      <c r="B153" s="1" t="n">
        <v>45254.96438657407</v>
      </c>
      <c r="C153" s="1" t="n">
        <v>45908</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27675-2023</t>
        </is>
      </c>
      <c r="B154" s="1" t="n">
        <v>45097</v>
      </c>
      <c r="C154" s="1" t="n">
        <v>45908</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3795-2022</t>
        </is>
      </c>
      <c r="B155" s="1" t="n">
        <v>44586</v>
      </c>
      <c r="C155" s="1" t="n">
        <v>45908</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45908</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45908</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13342-2024</t>
        </is>
      </c>
      <c r="B158" s="1" t="n">
        <v>45386</v>
      </c>
      <c r="C158" s="1" t="n">
        <v>45908</v>
      </c>
      <c r="D158" t="inlineStr">
        <is>
          <t>VÄSTERNORRLANDS LÄN</t>
        </is>
      </c>
      <c r="E158" t="inlineStr">
        <is>
          <t>SOLLEFTEÅ</t>
        </is>
      </c>
      <c r="F158" t="inlineStr">
        <is>
          <t>SCA</t>
        </is>
      </c>
      <c r="G158" t="n">
        <v>4.4</v>
      </c>
      <c r="H158" t="n">
        <v>0</v>
      </c>
      <c r="I158" t="n">
        <v>1</v>
      </c>
      <c r="J158" t="n">
        <v>3</v>
      </c>
      <c r="K158" t="n">
        <v>0</v>
      </c>
      <c r="L158" t="n">
        <v>0</v>
      </c>
      <c r="M158" t="n">
        <v>0</v>
      </c>
      <c r="N158" t="n">
        <v>0</v>
      </c>
      <c r="O158" t="n">
        <v>3</v>
      </c>
      <c r="P158" t="n">
        <v>0</v>
      </c>
      <c r="Q158" t="n">
        <v>4</v>
      </c>
      <c r="R158" s="2" t="inlineStr">
        <is>
          <t>Lunglav
Skrovellav
Ullticka
Stuplav</t>
        </is>
      </c>
      <c r="S158">
        <f>HYPERLINK("https://klasma.github.io/Logging_2283/artfynd/A 13342-2024 artfynd.xlsx", "A 13342-2024")</f>
        <v/>
      </c>
      <c r="T158">
        <f>HYPERLINK("https://klasma.github.io/Logging_2283/kartor/A 13342-2024 karta.png", "A 13342-2024")</f>
        <v/>
      </c>
      <c r="V158">
        <f>HYPERLINK("https://klasma.github.io/Logging_2283/klagomål/A 13342-2024 FSC-klagomål.docx", "A 13342-2024")</f>
        <v/>
      </c>
      <c r="W158">
        <f>HYPERLINK("https://klasma.github.io/Logging_2283/klagomålsmail/A 13342-2024 FSC-klagomål mail.docx", "A 13342-2024")</f>
        <v/>
      </c>
      <c r="X158">
        <f>HYPERLINK("https://klasma.github.io/Logging_2283/tillsyn/A 13342-2024 tillsynsbegäran.docx", "A 13342-2024")</f>
        <v/>
      </c>
      <c r="Y158">
        <f>HYPERLINK("https://klasma.github.io/Logging_2283/tillsynsmail/A 13342-2024 tillsynsbegäran mail.docx", "A 13342-2024")</f>
        <v/>
      </c>
    </row>
    <row r="159" ht="15" customHeight="1">
      <c r="A159" t="inlineStr">
        <is>
          <t>A 57081-2024</t>
        </is>
      </c>
      <c r="B159" s="1" t="n">
        <v>45629</v>
      </c>
      <c r="C159" s="1" t="n">
        <v>45908</v>
      </c>
      <c r="D159" t="inlineStr">
        <is>
          <t>VÄSTERNORRLANDS LÄN</t>
        </is>
      </c>
      <c r="E159" t="inlineStr">
        <is>
          <t>SOLLEFTEÅ</t>
        </is>
      </c>
      <c r="F159" t="inlineStr">
        <is>
          <t>SCA</t>
        </is>
      </c>
      <c r="G159" t="n">
        <v>0.7</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57081-2024 artfynd.xlsx", "A 57081-2024")</f>
        <v/>
      </c>
      <c r="T159">
        <f>HYPERLINK("https://klasma.github.io/Logging_2283/kartor/A 57081-2024 karta.png", "A 57081-2024")</f>
        <v/>
      </c>
      <c r="V159">
        <f>HYPERLINK("https://klasma.github.io/Logging_2283/klagomål/A 57081-2024 FSC-klagomål.docx", "A 57081-2024")</f>
        <v/>
      </c>
      <c r="W159">
        <f>HYPERLINK("https://klasma.github.io/Logging_2283/klagomålsmail/A 57081-2024 FSC-klagomål mail.docx", "A 57081-2024")</f>
        <v/>
      </c>
      <c r="X159">
        <f>HYPERLINK("https://klasma.github.io/Logging_2283/tillsyn/A 57081-2024 tillsynsbegäran.docx", "A 57081-2024")</f>
        <v/>
      </c>
      <c r="Y159">
        <f>HYPERLINK("https://klasma.github.io/Logging_2283/tillsynsmail/A 57081-2024 tillsynsbegäran mail.docx", "A 57081-2024")</f>
        <v/>
      </c>
      <c r="Z159">
        <f>HYPERLINK("https://klasma.github.io/Logging_2283/fåglar/A 57081-2024 prioriterade fågelarter.docx", "A 57081-2024")</f>
        <v/>
      </c>
    </row>
    <row r="160" ht="15" customHeight="1">
      <c r="A160" t="inlineStr">
        <is>
          <t>A 20933-2025</t>
        </is>
      </c>
      <c r="B160" s="1" t="n">
        <v>45777.42752314815</v>
      </c>
      <c r="C160" s="1" t="n">
        <v>45908</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9819-2024</t>
        </is>
      </c>
      <c r="B161" s="1" t="n">
        <v>45363</v>
      </c>
      <c r="C161" s="1" t="n">
        <v>45908</v>
      </c>
      <c r="D161" t="inlineStr">
        <is>
          <t>VÄSTERNORRLANDS LÄN</t>
        </is>
      </c>
      <c r="E161" t="inlineStr">
        <is>
          <t>SOLLEFTEÅ</t>
        </is>
      </c>
      <c r="F161" t="inlineStr">
        <is>
          <t>SCA</t>
        </is>
      </c>
      <c r="G161" t="n">
        <v>6.8</v>
      </c>
      <c r="H161" t="n">
        <v>1</v>
      </c>
      <c r="I161" t="n">
        <v>1</v>
      </c>
      <c r="J161" t="n">
        <v>2</v>
      </c>
      <c r="K161" t="n">
        <v>1</v>
      </c>
      <c r="L161" t="n">
        <v>0</v>
      </c>
      <c r="M161" t="n">
        <v>0</v>
      </c>
      <c r="N161" t="n">
        <v>0</v>
      </c>
      <c r="O161" t="n">
        <v>3</v>
      </c>
      <c r="P161" t="n">
        <v>1</v>
      </c>
      <c r="Q161" t="n">
        <v>4</v>
      </c>
      <c r="R161" s="2" t="inlineStr">
        <is>
          <t>Knärot
Motaggsvamp
Vitgrynig nållav
Dropptaggsvamp</t>
        </is>
      </c>
      <c r="S161">
        <f>HYPERLINK("https://klasma.github.io/Logging_2283/artfynd/A 9819-2024 artfynd.xlsx", "A 9819-2024")</f>
        <v/>
      </c>
      <c r="T161">
        <f>HYPERLINK("https://klasma.github.io/Logging_2283/kartor/A 9819-2024 karta.png", "A 9819-2024")</f>
        <v/>
      </c>
      <c r="U161">
        <f>HYPERLINK("https://klasma.github.io/Logging_2283/knärot/A 9819-2024 karta knärot.png", "A 9819-2024")</f>
        <v/>
      </c>
      <c r="V161">
        <f>HYPERLINK("https://klasma.github.io/Logging_2283/klagomål/A 9819-2024 FSC-klagomål.docx", "A 9819-2024")</f>
        <v/>
      </c>
      <c r="W161">
        <f>HYPERLINK("https://klasma.github.io/Logging_2283/klagomålsmail/A 9819-2024 FSC-klagomål mail.docx", "A 9819-2024")</f>
        <v/>
      </c>
      <c r="X161">
        <f>HYPERLINK("https://klasma.github.io/Logging_2283/tillsyn/A 9819-2024 tillsynsbegäran.docx", "A 9819-2024")</f>
        <v/>
      </c>
      <c r="Y161">
        <f>HYPERLINK("https://klasma.github.io/Logging_2283/tillsynsmail/A 9819-2024 tillsynsbegäran mail.docx", "A 9819-2024")</f>
        <v/>
      </c>
    </row>
    <row r="162" ht="15" customHeight="1">
      <c r="A162" t="inlineStr">
        <is>
          <t>A 2409-2023</t>
        </is>
      </c>
      <c r="B162" s="1" t="n">
        <v>44942</v>
      </c>
      <c r="C162" s="1" t="n">
        <v>45908</v>
      </c>
      <c r="D162" t="inlineStr">
        <is>
          <t>VÄSTERNORRLANDS LÄN</t>
        </is>
      </c>
      <c r="E162" t="inlineStr">
        <is>
          <t>SOLLEFTEÅ</t>
        </is>
      </c>
      <c r="F162" t="inlineStr">
        <is>
          <t>SCA</t>
        </is>
      </c>
      <c r="G162" t="n">
        <v>2</v>
      </c>
      <c r="H162" t="n">
        <v>0</v>
      </c>
      <c r="I162" t="n">
        <v>1</v>
      </c>
      <c r="J162" t="n">
        <v>3</v>
      </c>
      <c r="K162" t="n">
        <v>0</v>
      </c>
      <c r="L162" t="n">
        <v>0</v>
      </c>
      <c r="M162" t="n">
        <v>0</v>
      </c>
      <c r="N162" t="n">
        <v>0</v>
      </c>
      <c r="O162" t="n">
        <v>3</v>
      </c>
      <c r="P162" t="n">
        <v>0</v>
      </c>
      <c r="Q162" t="n">
        <v>4</v>
      </c>
      <c r="R162" s="2" t="inlineStr">
        <is>
          <t>Rosenticka
Tallticka
Ullticka
Dropptaggsvamp</t>
        </is>
      </c>
      <c r="S162">
        <f>HYPERLINK("https://klasma.github.io/Logging_2283/artfynd/A 2409-2023 artfynd.xlsx", "A 2409-2023")</f>
        <v/>
      </c>
      <c r="T162">
        <f>HYPERLINK("https://klasma.github.io/Logging_2283/kartor/A 2409-2023 karta.png", "A 2409-2023")</f>
        <v/>
      </c>
      <c r="V162">
        <f>HYPERLINK("https://klasma.github.io/Logging_2283/klagomål/A 2409-2023 FSC-klagomål.docx", "A 2409-2023")</f>
        <v/>
      </c>
      <c r="W162">
        <f>HYPERLINK("https://klasma.github.io/Logging_2283/klagomålsmail/A 2409-2023 FSC-klagomål mail.docx", "A 2409-2023")</f>
        <v/>
      </c>
      <c r="X162">
        <f>HYPERLINK("https://klasma.github.io/Logging_2283/tillsyn/A 2409-2023 tillsynsbegäran.docx", "A 2409-2023")</f>
        <v/>
      </c>
      <c r="Y162">
        <f>HYPERLINK("https://klasma.github.io/Logging_2283/tillsynsmail/A 2409-2023 tillsynsbegäran mail.docx", "A 2409-2023")</f>
        <v/>
      </c>
    </row>
    <row r="163" ht="15" customHeight="1">
      <c r="A163" t="inlineStr">
        <is>
          <t>A 20572-2025</t>
        </is>
      </c>
      <c r="B163" s="1" t="n">
        <v>45775.67054398148</v>
      </c>
      <c r="C163" s="1" t="n">
        <v>45908</v>
      </c>
      <c r="D163" t="inlineStr">
        <is>
          <t>VÄSTERNORRLANDS LÄN</t>
        </is>
      </c>
      <c r="E163" t="inlineStr">
        <is>
          <t>SOLLEFTEÅ</t>
        </is>
      </c>
      <c r="G163" t="n">
        <v>1.6</v>
      </c>
      <c r="H163" t="n">
        <v>4</v>
      </c>
      <c r="I163" t="n">
        <v>0</v>
      </c>
      <c r="J163" t="n">
        <v>2</v>
      </c>
      <c r="K163" t="n">
        <v>0</v>
      </c>
      <c r="L163" t="n">
        <v>0</v>
      </c>
      <c r="M163" t="n">
        <v>0</v>
      </c>
      <c r="N163" t="n">
        <v>0</v>
      </c>
      <c r="O163" t="n">
        <v>2</v>
      </c>
      <c r="P163" t="n">
        <v>0</v>
      </c>
      <c r="Q163" t="n">
        <v>4</v>
      </c>
      <c r="R163" s="2" t="inlineStr">
        <is>
          <t>Blå kärrhök
Spillkråka
Göktyta
Sångsvan</t>
        </is>
      </c>
      <c r="S163">
        <f>HYPERLINK("https://klasma.github.io/Logging_2283/artfynd/A 20572-2025 artfynd.xlsx", "A 20572-2025")</f>
        <v/>
      </c>
      <c r="T163">
        <f>HYPERLINK("https://klasma.github.io/Logging_2283/kartor/A 20572-2025 karta.png", "A 20572-2025")</f>
        <v/>
      </c>
      <c r="V163">
        <f>HYPERLINK("https://klasma.github.io/Logging_2283/klagomål/A 20572-2025 FSC-klagomål.docx", "A 20572-2025")</f>
        <v/>
      </c>
      <c r="W163">
        <f>HYPERLINK("https://klasma.github.io/Logging_2283/klagomålsmail/A 20572-2025 FSC-klagomål mail.docx", "A 20572-2025")</f>
        <v/>
      </c>
      <c r="X163">
        <f>HYPERLINK("https://klasma.github.io/Logging_2283/tillsyn/A 20572-2025 tillsynsbegäran.docx", "A 20572-2025")</f>
        <v/>
      </c>
      <c r="Y163">
        <f>HYPERLINK("https://klasma.github.io/Logging_2283/tillsynsmail/A 20572-2025 tillsynsbegäran mail.docx", "A 20572-2025")</f>
        <v/>
      </c>
      <c r="Z163">
        <f>HYPERLINK("https://klasma.github.io/Logging_2283/fåglar/A 20572-2025 prioriterade fågelarter.docx", "A 20572-2025")</f>
        <v/>
      </c>
    </row>
    <row r="164" ht="15" customHeight="1">
      <c r="A164" t="inlineStr">
        <is>
          <t>A 26467-2024</t>
        </is>
      </c>
      <c r="B164" s="1" t="n">
        <v>45469</v>
      </c>
      <c r="C164" s="1" t="n">
        <v>45908</v>
      </c>
      <c r="D164" t="inlineStr">
        <is>
          <t>VÄSTERNORRLANDS LÄN</t>
        </is>
      </c>
      <c r="E164" t="inlineStr">
        <is>
          <t>SOLLEFTEÅ</t>
        </is>
      </c>
      <c r="G164" t="n">
        <v>1.1</v>
      </c>
      <c r="H164" t="n">
        <v>2</v>
      </c>
      <c r="I164" t="n">
        <v>1</v>
      </c>
      <c r="J164" t="n">
        <v>1</v>
      </c>
      <c r="K164" t="n">
        <v>0</v>
      </c>
      <c r="L164" t="n">
        <v>0</v>
      </c>
      <c r="M164" t="n">
        <v>0</v>
      </c>
      <c r="N164" t="n">
        <v>0</v>
      </c>
      <c r="O164" t="n">
        <v>1</v>
      </c>
      <c r="P164" t="n">
        <v>0</v>
      </c>
      <c r="Q164" t="n">
        <v>4</v>
      </c>
      <c r="R164" s="2" t="inlineStr">
        <is>
          <t>Rosenticka
Springkorn
Skogsrör
Revlummer</t>
        </is>
      </c>
      <c r="S164">
        <f>HYPERLINK("https://klasma.github.io/Logging_2283/artfynd/A 26467-2024 artfynd.xlsx", "A 26467-2024")</f>
        <v/>
      </c>
      <c r="T164">
        <f>HYPERLINK("https://klasma.github.io/Logging_2283/kartor/A 26467-2024 karta.png", "A 26467-2024")</f>
        <v/>
      </c>
      <c r="V164">
        <f>HYPERLINK("https://klasma.github.io/Logging_2283/klagomål/A 26467-2024 FSC-klagomål.docx", "A 26467-2024")</f>
        <v/>
      </c>
      <c r="W164">
        <f>HYPERLINK("https://klasma.github.io/Logging_2283/klagomålsmail/A 26467-2024 FSC-klagomål mail.docx", "A 26467-2024")</f>
        <v/>
      </c>
      <c r="X164">
        <f>HYPERLINK("https://klasma.github.io/Logging_2283/tillsyn/A 26467-2024 tillsynsbegäran.docx", "A 26467-2024")</f>
        <v/>
      </c>
      <c r="Y164">
        <f>HYPERLINK("https://klasma.github.io/Logging_2283/tillsynsmail/A 26467-2024 tillsynsbegäran mail.docx", "A 26467-2024")</f>
        <v/>
      </c>
    </row>
    <row r="165" ht="15" customHeight="1">
      <c r="A165" t="inlineStr">
        <is>
          <t>A 51192-2024</t>
        </is>
      </c>
      <c r="B165" s="1" t="n">
        <v>45603.61493055556</v>
      </c>
      <c r="C165" s="1" t="n">
        <v>45908</v>
      </c>
      <c r="D165" t="inlineStr">
        <is>
          <t>VÄSTERNORRLANDS LÄN</t>
        </is>
      </c>
      <c r="E165" t="inlineStr">
        <is>
          <t>SOLLEFTEÅ</t>
        </is>
      </c>
      <c r="F165" t="inlineStr">
        <is>
          <t>SCA</t>
        </is>
      </c>
      <c r="G165" t="n">
        <v>3.9</v>
      </c>
      <c r="H165" t="n">
        <v>1</v>
      </c>
      <c r="I165" t="n">
        <v>0</v>
      </c>
      <c r="J165" t="n">
        <v>3</v>
      </c>
      <c r="K165" t="n">
        <v>1</v>
      </c>
      <c r="L165" t="n">
        <v>0</v>
      </c>
      <c r="M165" t="n">
        <v>0</v>
      </c>
      <c r="N165" t="n">
        <v>0</v>
      </c>
      <c r="O165" t="n">
        <v>4</v>
      </c>
      <c r="P165" t="n">
        <v>1</v>
      </c>
      <c r="Q165" t="n">
        <v>4</v>
      </c>
      <c r="R165" s="2" t="inlineStr">
        <is>
          <t>Rynkskinn
Garnlav
Lunglav
Talltita</t>
        </is>
      </c>
      <c r="S165">
        <f>HYPERLINK("https://klasma.github.io/Logging_2283/artfynd/A 51192-2024 artfynd.xlsx", "A 51192-2024")</f>
        <v/>
      </c>
      <c r="T165">
        <f>HYPERLINK("https://klasma.github.io/Logging_2283/kartor/A 51192-2024 karta.png", "A 51192-2024")</f>
        <v/>
      </c>
      <c r="V165">
        <f>HYPERLINK("https://klasma.github.io/Logging_2283/klagomål/A 51192-2024 FSC-klagomål.docx", "A 51192-2024")</f>
        <v/>
      </c>
      <c r="W165">
        <f>HYPERLINK("https://klasma.github.io/Logging_2283/klagomålsmail/A 51192-2024 FSC-klagomål mail.docx", "A 51192-2024")</f>
        <v/>
      </c>
      <c r="X165">
        <f>HYPERLINK("https://klasma.github.io/Logging_2283/tillsyn/A 51192-2024 tillsynsbegäran.docx", "A 51192-2024")</f>
        <v/>
      </c>
      <c r="Y165">
        <f>HYPERLINK("https://klasma.github.io/Logging_2283/tillsynsmail/A 51192-2024 tillsynsbegäran mail.docx", "A 51192-2024")</f>
        <v/>
      </c>
      <c r="Z165">
        <f>HYPERLINK("https://klasma.github.io/Logging_2283/fåglar/A 51192-2024 prioriterade fågelarter.docx", "A 51192-2024")</f>
        <v/>
      </c>
    </row>
    <row r="166" ht="15" customHeight="1">
      <c r="A166" t="inlineStr">
        <is>
          <t>A 25954-2025</t>
        </is>
      </c>
      <c r="B166" s="1" t="n">
        <v>45804.60334490741</v>
      </c>
      <c r="C166" s="1" t="n">
        <v>45908</v>
      </c>
      <c r="D166" t="inlineStr">
        <is>
          <t>VÄSTERNORRLANDS LÄN</t>
        </is>
      </c>
      <c r="E166" t="inlineStr">
        <is>
          <t>SOLLEFTEÅ</t>
        </is>
      </c>
      <c r="G166" t="n">
        <v>3.2</v>
      </c>
      <c r="H166" t="n">
        <v>1</v>
      </c>
      <c r="I166" t="n">
        <v>3</v>
      </c>
      <c r="J166" t="n">
        <v>0</v>
      </c>
      <c r="K166" t="n">
        <v>0</v>
      </c>
      <c r="L166" t="n">
        <v>0</v>
      </c>
      <c r="M166" t="n">
        <v>0</v>
      </c>
      <c r="N166" t="n">
        <v>0</v>
      </c>
      <c r="O166" t="n">
        <v>0</v>
      </c>
      <c r="P166" t="n">
        <v>0</v>
      </c>
      <c r="Q166" t="n">
        <v>4</v>
      </c>
      <c r="R166" s="2" t="inlineStr">
        <is>
          <t>Dvärghäxört
Springkorn
Svart trolldruva
Revlummer</t>
        </is>
      </c>
      <c r="S166">
        <f>HYPERLINK("https://klasma.github.io/Logging_2283/artfynd/A 25954-2025 artfynd.xlsx", "A 25954-2025")</f>
        <v/>
      </c>
      <c r="T166">
        <f>HYPERLINK("https://klasma.github.io/Logging_2283/kartor/A 25954-2025 karta.png", "A 25954-2025")</f>
        <v/>
      </c>
      <c r="V166">
        <f>HYPERLINK("https://klasma.github.io/Logging_2283/klagomål/A 25954-2025 FSC-klagomål.docx", "A 25954-2025")</f>
        <v/>
      </c>
      <c r="W166">
        <f>HYPERLINK("https://klasma.github.io/Logging_2283/klagomålsmail/A 25954-2025 FSC-klagomål mail.docx", "A 25954-2025")</f>
        <v/>
      </c>
      <c r="X166">
        <f>HYPERLINK("https://klasma.github.io/Logging_2283/tillsyn/A 25954-2025 tillsynsbegäran.docx", "A 25954-2025")</f>
        <v/>
      </c>
      <c r="Y166">
        <f>HYPERLINK("https://klasma.github.io/Logging_2283/tillsynsmail/A 25954-2025 tillsynsbegäran mail.docx", "A 25954-2025")</f>
        <v/>
      </c>
    </row>
    <row r="167" ht="15" customHeight="1">
      <c r="A167" t="inlineStr">
        <is>
          <t>A 37270-2023</t>
        </is>
      </c>
      <c r="B167" s="1" t="n">
        <v>45155</v>
      </c>
      <c r="C167" s="1" t="n">
        <v>45908</v>
      </c>
      <c r="D167" t="inlineStr">
        <is>
          <t>VÄSTERNORRLANDS LÄN</t>
        </is>
      </c>
      <c r="E167" t="inlineStr">
        <is>
          <t>SOLLEFTEÅ</t>
        </is>
      </c>
      <c r="F167" t="inlineStr">
        <is>
          <t>SCA</t>
        </is>
      </c>
      <c r="G167" t="n">
        <v>2.3</v>
      </c>
      <c r="H167" t="n">
        <v>1</v>
      </c>
      <c r="I167" t="n">
        <v>1</v>
      </c>
      <c r="J167" t="n">
        <v>3</v>
      </c>
      <c r="K167" t="n">
        <v>0</v>
      </c>
      <c r="L167" t="n">
        <v>0</v>
      </c>
      <c r="M167" t="n">
        <v>0</v>
      </c>
      <c r="N167" t="n">
        <v>0</v>
      </c>
      <c r="O167" t="n">
        <v>3</v>
      </c>
      <c r="P167" t="n">
        <v>0</v>
      </c>
      <c r="Q167" t="n">
        <v>4</v>
      </c>
      <c r="R167" s="2" t="inlineStr">
        <is>
          <t>Orange taggsvamp
Tallticka
Tretåig hackspett
Dropptaggsvamp</t>
        </is>
      </c>
      <c r="S167">
        <f>HYPERLINK("https://klasma.github.io/Logging_2283/artfynd/A 37270-2023 artfynd.xlsx", "A 37270-2023")</f>
        <v/>
      </c>
      <c r="T167">
        <f>HYPERLINK("https://klasma.github.io/Logging_2283/kartor/A 37270-2023 karta.png", "A 37270-2023")</f>
        <v/>
      </c>
      <c r="V167">
        <f>HYPERLINK("https://klasma.github.io/Logging_2283/klagomål/A 37270-2023 FSC-klagomål.docx", "A 37270-2023")</f>
        <v/>
      </c>
      <c r="W167">
        <f>HYPERLINK("https://klasma.github.io/Logging_2283/klagomålsmail/A 37270-2023 FSC-klagomål mail.docx", "A 37270-2023")</f>
        <v/>
      </c>
      <c r="X167">
        <f>HYPERLINK("https://klasma.github.io/Logging_2283/tillsyn/A 37270-2023 tillsynsbegäran.docx", "A 37270-2023")</f>
        <v/>
      </c>
      <c r="Y167">
        <f>HYPERLINK("https://klasma.github.io/Logging_2283/tillsynsmail/A 37270-2023 tillsynsbegäran mail.docx", "A 37270-2023")</f>
        <v/>
      </c>
      <c r="Z167">
        <f>HYPERLINK("https://klasma.github.io/Logging_2283/fåglar/A 37270-2023 prioriterade fågelarter.docx", "A 37270-2023")</f>
        <v/>
      </c>
    </row>
    <row r="168" ht="15" customHeight="1">
      <c r="A168" t="inlineStr">
        <is>
          <t>A 53898-2024</t>
        </is>
      </c>
      <c r="B168" s="1" t="n">
        <v>45615.69824074074</v>
      </c>
      <c r="C168" s="1" t="n">
        <v>45908</v>
      </c>
      <c r="D168" t="inlineStr">
        <is>
          <t>VÄSTERNORRLANDS LÄN</t>
        </is>
      </c>
      <c r="E168" t="inlineStr">
        <is>
          <t>SOLLEFTEÅ</t>
        </is>
      </c>
      <c r="F168" t="inlineStr">
        <is>
          <t>SCA</t>
        </is>
      </c>
      <c r="G168" t="n">
        <v>2</v>
      </c>
      <c r="H168" t="n">
        <v>0</v>
      </c>
      <c r="I168" t="n">
        <v>2</v>
      </c>
      <c r="J168" t="n">
        <v>2</v>
      </c>
      <c r="K168" t="n">
        <v>0</v>
      </c>
      <c r="L168" t="n">
        <v>0</v>
      </c>
      <c r="M168" t="n">
        <v>0</v>
      </c>
      <c r="N168" t="n">
        <v>0</v>
      </c>
      <c r="O168" t="n">
        <v>2</v>
      </c>
      <c r="P168" t="n">
        <v>0</v>
      </c>
      <c r="Q168" t="n">
        <v>4</v>
      </c>
      <c r="R168" s="2" t="inlineStr">
        <is>
          <t>Garnlav
Lunglav
Norrlandslav
Stuplav</t>
        </is>
      </c>
      <c r="S168">
        <f>HYPERLINK("https://klasma.github.io/Logging_2283/artfynd/A 53898-2024 artfynd.xlsx", "A 53898-2024")</f>
        <v/>
      </c>
      <c r="T168">
        <f>HYPERLINK("https://klasma.github.io/Logging_2283/kartor/A 53898-2024 karta.png", "A 53898-2024")</f>
        <v/>
      </c>
      <c r="V168">
        <f>HYPERLINK("https://klasma.github.io/Logging_2283/klagomål/A 53898-2024 FSC-klagomål.docx", "A 53898-2024")</f>
        <v/>
      </c>
      <c r="W168">
        <f>HYPERLINK("https://klasma.github.io/Logging_2283/klagomålsmail/A 53898-2024 FSC-klagomål mail.docx", "A 53898-2024")</f>
        <v/>
      </c>
      <c r="X168">
        <f>HYPERLINK("https://klasma.github.io/Logging_2283/tillsyn/A 53898-2024 tillsynsbegäran.docx", "A 53898-2024")</f>
        <v/>
      </c>
      <c r="Y168">
        <f>HYPERLINK("https://klasma.github.io/Logging_2283/tillsynsmail/A 53898-2024 tillsynsbegäran mail.docx", "A 53898-2024")</f>
        <v/>
      </c>
    </row>
    <row r="169" ht="15" customHeight="1">
      <c r="A169" t="inlineStr">
        <is>
          <t>A 32218-2023</t>
        </is>
      </c>
      <c r="B169" s="1" t="n">
        <v>45119</v>
      </c>
      <c r="C169" s="1" t="n">
        <v>45908</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47527-2024</t>
        </is>
      </c>
      <c r="B170" s="1" t="n">
        <v>45587.63574074074</v>
      </c>
      <c r="C170" s="1" t="n">
        <v>45908</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29561-2025</t>
        </is>
      </c>
      <c r="B171" s="1" t="n">
        <v>45825.36510416667</v>
      </c>
      <c r="C171" s="1" t="n">
        <v>45908</v>
      </c>
      <c r="D171" t="inlineStr">
        <is>
          <t>VÄSTERNORRLANDS LÄN</t>
        </is>
      </c>
      <c r="E171" t="inlineStr">
        <is>
          <t>SOLLEFTEÅ</t>
        </is>
      </c>
      <c r="F171" t="inlineStr">
        <is>
          <t>SCA</t>
        </is>
      </c>
      <c r="G171" t="n">
        <v>11.9</v>
      </c>
      <c r="H171" t="n">
        <v>0</v>
      </c>
      <c r="I171" t="n">
        <v>1</v>
      </c>
      <c r="J171" t="n">
        <v>3</v>
      </c>
      <c r="K171" t="n">
        <v>0</v>
      </c>
      <c r="L171" t="n">
        <v>0</v>
      </c>
      <c r="M171" t="n">
        <v>0</v>
      </c>
      <c r="N171" t="n">
        <v>0</v>
      </c>
      <c r="O171" t="n">
        <v>3</v>
      </c>
      <c r="P171" t="n">
        <v>0</v>
      </c>
      <c r="Q171" t="n">
        <v>4</v>
      </c>
      <c r="R171" s="2" t="inlineStr">
        <is>
          <t>Garnlav
Kolflarnlav
Vedskivlav
Stuplav</t>
        </is>
      </c>
      <c r="S171">
        <f>HYPERLINK("https://klasma.github.io/Logging_2283/artfynd/A 29561-2025 artfynd.xlsx", "A 29561-2025")</f>
        <v/>
      </c>
      <c r="T171">
        <f>HYPERLINK("https://klasma.github.io/Logging_2283/kartor/A 29561-2025 karta.png", "A 29561-2025")</f>
        <v/>
      </c>
      <c r="V171">
        <f>HYPERLINK("https://klasma.github.io/Logging_2283/klagomål/A 29561-2025 FSC-klagomål.docx", "A 29561-2025")</f>
        <v/>
      </c>
      <c r="W171">
        <f>HYPERLINK("https://klasma.github.io/Logging_2283/klagomålsmail/A 29561-2025 FSC-klagomål mail.docx", "A 29561-2025")</f>
        <v/>
      </c>
      <c r="X171">
        <f>HYPERLINK("https://klasma.github.io/Logging_2283/tillsyn/A 29561-2025 tillsynsbegäran.docx", "A 29561-2025")</f>
        <v/>
      </c>
      <c r="Y171">
        <f>HYPERLINK("https://klasma.github.io/Logging_2283/tillsynsmail/A 29561-2025 tillsynsbegäran mail.docx", "A 29561-2025")</f>
        <v/>
      </c>
    </row>
    <row r="172" ht="15" customHeight="1">
      <c r="A172" t="inlineStr">
        <is>
          <t>A 36943-2025</t>
        </is>
      </c>
      <c r="B172" s="1" t="n">
        <v>45874.59422453704</v>
      </c>
      <c r="C172" s="1" t="n">
        <v>45908</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2349-2025</t>
        </is>
      </c>
      <c r="B173" s="1" t="n">
        <v>45673.67807870371</v>
      </c>
      <c r="C173" s="1" t="n">
        <v>45908</v>
      </c>
      <c r="D173" t="inlineStr">
        <is>
          <t>VÄSTERNORRLANDS LÄN</t>
        </is>
      </c>
      <c r="E173" t="inlineStr">
        <is>
          <t>SOLLEFTEÅ</t>
        </is>
      </c>
      <c r="F173" t="inlineStr">
        <is>
          <t>SCA</t>
        </is>
      </c>
      <c r="G173" t="n">
        <v>3.5</v>
      </c>
      <c r="H173" t="n">
        <v>2</v>
      </c>
      <c r="I173" t="n">
        <v>0</v>
      </c>
      <c r="J173" t="n">
        <v>3</v>
      </c>
      <c r="K173" t="n">
        <v>0</v>
      </c>
      <c r="L173" t="n">
        <v>0</v>
      </c>
      <c r="M173" t="n">
        <v>0</v>
      </c>
      <c r="N173" t="n">
        <v>0</v>
      </c>
      <c r="O173" t="n">
        <v>3</v>
      </c>
      <c r="P173" t="n">
        <v>0</v>
      </c>
      <c r="Q173" t="n">
        <v>4</v>
      </c>
      <c r="R173" s="2" t="inlineStr">
        <is>
          <t>Garnlav
Spillkråka
Ullticka
Tjäder</t>
        </is>
      </c>
      <c r="S173">
        <f>HYPERLINK("https://klasma.github.io/Logging_2283/artfynd/A 2349-2025 artfynd.xlsx", "A 2349-2025")</f>
        <v/>
      </c>
      <c r="T173">
        <f>HYPERLINK("https://klasma.github.io/Logging_2283/kartor/A 2349-2025 karta.png", "A 2349-2025")</f>
        <v/>
      </c>
      <c r="V173">
        <f>HYPERLINK("https://klasma.github.io/Logging_2283/klagomål/A 2349-2025 FSC-klagomål.docx", "A 2349-2025")</f>
        <v/>
      </c>
      <c r="W173">
        <f>HYPERLINK("https://klasma.github.io/Logging_2283/klagomålsmail/A 2349-2025 FSC-klagomål mail.docx", "A 2349-2025")</f>
        <v/>
      </c>
      <c r="X173">
        <f>HYPERLINK("https://klasma.github.io/Logging_2283/tillsyn/A 2349-2025 tillsynsbegäran.docx", "A 2349-2025")</f>
        <v/>
      </c>
      <c r="Y173">
        <f>HYPERLINK("https://klasma.github.io/Logging_2283/tillsynsmail/A 2349-2025 tillsynsbegäran mail.docx", "A 2349-2025")</f>
        <v/>
      </c>
      <c r="Z173">
        <f>HYPERLINK("https://klasma.github.io/Logging_2283/fåglar/A 2349-2025 prioriterade fågelarter.docx", "A 2349-2025")</f>
        <v/>
      </c>
    </row>
    <row r="174" ht="15" customHeight="1">
      <c r="A174" t="inlineStr">
        <is>
          <t>A 59381-2024</t>
        </is>
      </c>
      <c r="B174" s="1" t="n">
        <v>45638</v>
      </c>
      <c r="C174" s="1" t="n">
        <v>45908</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40740-2025</t>
        </is>
      </c>
      <c r="B175" s="1" t="n">
        <v>45897.36840277778</v>
      </c>
      <c r="C175" s="1" t="n">
        <v>45908</v>
      </c>
      <c r="D175" t="inlineStr">
        <is>
          <t>VÄSTERNORRLANDS LÄN</t>
        </is>
      </c>
      <c r="E175" t="inlineStr">
        <is>
          <t>SOLLEFTEÅ</t>
        </is>
      </c>
      <c r="G175" t="n">
        <v>6.3</v>
      </c>
      <c r="H175" t="n">
        <v>0</v>
      </c>
      <c r="I175" t="n">
        <v>0</v>
      </c>
      <c r="J175" t="n">
        <v>4</v>
      </c>
      <c r="K175" t="n">
        <v>0</v>
      </c>
      <c r="L175" t="n">
        <v>0</v>
      </c>
      <c r="M175" t="n">
        <v>0</v>
      </c>
      <c r="N175" t="n">
        <v>0</v>
      </c>
      <c r="O175" t="n">
        <v>4</v>
      </c>
      <c r="P175" t="n">
        <v>0</v>
      </c>
      <c r="Q175" t="n">
        <v>4</v>
      </c>
      <c r="R175" s="2" t="inlineStr">
        <is>
          <t>Garnlav
Kolflarnlav
Vedflamlav
Vedskivlav</t>
        </is>
      </c>
      <c r="S175">
        <f>HYPERLINK("https://klasma.github.io/Logging_2283/artfynd/A 40740-2025 artfynd.xlsx", "A 40740-2025")</f>
        <v/>
      </c>
      <c r="T175">
        <f>HYPERLINK("https://klasma.github.io/Logging_2283/kartor/A 40740-2025 karta.png", "A 40740-2025")</f>
        <v/>
      </c>
      <c r="V175">
        <f>HYPERLINK("https://klasma.github.io/Logging_2283/klagomål/A 40740-2025 FSC-klagomål.docx", "A 40740-2025")</f>
        <v/>
      </c>
      <c r="W175">
        <f>HYPERLINK("https://klasma.github.io/Logging_2283/klagomålsmail/A 40740-2025 FSC-klagomål mail.docx", "A 40740-2025")</f>
        <v/>
      </c>
      <c r="X175">
        <f>HYPERLINK("https://klasma.github.io/Logging_2283/tillsyn/A 40740-2025 tillsynsbegäran.docx", "A 40740-2025")</f>
        <v/>
      </c>
      <c r="Y175">
        <f>HYPERLINK("https://klasma.github.io/Logging_2283/tillsynsmail/A 40740-2025 tillsynsbegäran mail.docx", "A 40740-2025")</f>
        <v/>
      </c>
    </row>
    <row r="176" ht="15" customHeight="1">
      <c r="A176" t="inlineStr">
        <is>
          <t>A 53130-2022</t>
        </is>
      </c>
      <c r="B176" s="1" t="n">
        <v>44873</v>
      </c>
      <c r="C176" s="1" t="n">
        <v>45908</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62364-2023</t>
        </is>
      </c>
      <c r="B177" s="1" t="n">
        <v>45267.95166666667</v>
      </c>
      <c r="C177" s="1" t="n">
        <v>45908</v>
      </c>
      <c r="D177" t="inlineStr">
        <is>
          <t>VÄSTERNORRLANDS LÄN</t>
        </is>
      </c>
      <c r="E177" t="inlineStr">
        <is>
          <t>SOLLEFTEÅ</t>
        </is>
      </c>
      <c r="F177" t="inlineStr">
        <is>
          <t>SCA</t>
        </is>
      </c>
      <c r="G177" t="n">
        <v>22.1</v>
      </c>
      <c r="H177" t="n">
        <v>1</v>
      </c>
      <c r="I177" t="n">
        <v>0</v>
      </c>
      <c r="J177" t="n">
        <v>3</v>
      </c>
      <c r="K177" t="n">
        <v>0</v>
      </c>
      <c r="L177" t="n">
        <v>0</v>
      </c>
      <c r="M177" t="n">
        <v>0</v>
      </c>
      <c r="N177" t="n">
        <v>0</v>
      </c>
      <c r="O177" t="n">
        <v>3</v>
      </c>
      <c r="P177" t="n">
        <v>0</v>
      </c>
      <c r="Q177" t="n">
        <v>4</v>
      </c>
      <c r="R177" s="2" t="inlineStr">
        <is>
          <t>Granticka
Harticka
Skogshare
Tjäder</t>
        </is>
      </c>
      <c r="S177">
        <f>HYPERLINK("https://klasma.github.io/Logging_2283/artfynd/A 62364-2023 artfynd.xlsx", "A 62364-2023")</f>
        <v/>
      </c>
      <c r="T177">
        <f>HYPERLINK("https://klasma.github.io/Logging_2283/kartor/A 62364-2023 karta.png", "A 62364-2023")</f>
        <v/>
      </c>
      <c r="V177">
        <f>HYPERLINK("https://klasma.github.io/Logging_2283/klagomål/A 62364-2023 FSC-klagomål.docx", "A 62364-2023")</f>
        <v/>
      </c>
      <c r="W177">
        <f>HYPERLINK("https://klasma.github.io/Logging_2283/klagomålsmail/A 62364-2023 FSC-klagomål mail.docx", "A 62364-2023")</f>
        <v/>
      </c>
      <c r="X177">
        <f>HYPERLINK("https://klasma.github.io/Logging_2283/tillsyn/A 62364-2023 tillsynsbegäran.docx", "A 62364-2023")</f>
        <v/>
      </c>
      <c r="Y177">
        <f>HYPERLINK("https://klasma.github.io/Logging_2283/tillsynsmail/A 62364-2023 tillsynsbegäran mail.docx", "A 62364-2023")</f>
        <v/>
      </c>
      <c r="Z177">
        <f>HYPERLINK("https://klasma.github.io/Logging_2283/fåglar/A 62364-2023 prioriterade fågelarter.docx", "A 62364-2023")</f>
        <v/>
      </c>
    </row>
    <row r="178" ht="15" customHeight="1">
      <c r="A178" t="inlineStr">
        <is>
          <t>A 5018-2025</t>
        </is>
      </c>
      <c r="B178" s="1" t="n">
        <v>45691</v>
      </c>
      <c r="C178" s="1" t="n">
        <v>45908</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50839-2023</t>
        </is>
      </c>
      <c r="B179" s="1" t="n">
        <v>45217</v>
      </c>
      <c r="C179" s="1" t="n">
        <v>45908</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31560-2024</t>
        </is>
      </c>
      <c r="B180" s="1" t="n">
        <v>45505</v>
      </c>
      <c r="C180" s="1" t="n">
        <v>45908</v>
      </c>
      <c r="D180" t="inlineStr">
        <is>
          <t>VÄSTERNORRLANDS LÄN</t>
        </is>
      </c>
      <c r="E180" t="inlineStr">
        <is>
          <t>SOLLEFTEÅ</t>
        </is>
      </c>
      <c r="F180" t="inlineStr">
        <is>
          <t>SCA</t>
        </is>
      </c>
      <c r="G180" t="n">
        <v>6</v>
      </c>
      <c r="H180" t="n">
        <v>0</v>
      </c>
      <c r="I180" t="n">
        <v>0</v>
      </c>
      <c r="J180" t="n">
        <v>2</v>
      </c>
      <c r="K180" t="n">
        <v>2</v>
      </c>
      <c r="L180" t="n">
        <v>0</v>
      </c>
      <c r="M180" t="n">
        <v>0</v>
      </c>
      <c r="N180" t="n">
        <v>0</v>
      </c>
      <c r="O180" t="n">
        <v>4</v>
      </c>
      <c r="P180" t="n">
        <v>2</v>
      </c>
      <c r="Q180" t="n">
        <v>4</v>
      </c>
      <c r="R180" s="2" t="inlineStr">
        <is>
          <t>Lappticka
Rynkskinn
Rosenticka
Ullticka</t>
        </is>
      </c>
      <c r="S180">
        <f>HYPERLINK("https://klasma.github.io/Logging_2283/artfynd/A 31560-2024 artfynd.xlsx", "A 31560-2024")</f>
        <v/>
      </c>
      <c r="T180">
        <f>HYPERLINK("https://klasma.github.io/Logging_2283/kartor/A 31560-2024 karta.png", "A 31560-2024")</f>
        <v/>
      </c>
      <c r="V180">
        <f>HYPERLINK("https://klasma.github.io/Logging_2283/klagomål/A 31560-2024 FSC-klagomål.docx", "A 31560-2024")</f>
        <v/>
      </c>
      <c r="W180">
        <f>HYPERLINK("https://klasma.github.io/Logging_2283/klagomålsmail/A 31560-2024 FSC-klagomål mail.docx", "A 31560-2024")</f>
        <v/>
      </c>
      <c r="X180">
        <f>HYPERLINK("https://klasma.github.io/Logging_2283/tillsyn/A 31560-2024 tillsynsbegäran.docx", "A 31560-2024")</f>
        <v/>
      </c>
      <c r="Y180">
        <f>HYPERLINK("https://klasma.github.io/Logging_2283/tillsynsmail/A 31560-2024 tillsynsbegäran mail.docx", "A 31560-2024")</f>
        <v/>
      </c>
    </row>
    <row r="181" ht="15" customHeight="1">
      <c r="A181" t="inlineStr">
        <is>
          <t>A 19898-2025</t>
        </is>
      </c>
      <c r="B181" s="1" t="n">
        <v>45771.58626157408</v>
      </c>
      <c r="C181" s="1" t="n">
        <v>45908</v>
      </c>
      <c r="D181" t="inlineStr">
        <is>
          <t>VÄSTERNORRLANDS LÄN</t>
        </is>
      </c>
      <c r="E181" t="inlineStr">
        <is>
          <t>SOLLEFTEÅ</t>
        </is>
      </c>
      <c r="G181" t="n">
        <v>12.4</v>
      </c>
      <c r="H181" t="n">
        <v>0</v>
      </c>
      <c r="I181" t="n">
        <v>1</v>
      </c>
      <c r="J181" t="n">
        <v>3</v>
      </c>
      <c r="K181" t="n">
        <v>0</v>
      </c>
      <c r="L181" t="n">
        <v>0</v>
      </c>
      <c r="M181" t="n">
        <v>0</v>
      </c>
      <c r="N181" t="n">
        <v>0</v>
      </c>
      <c r="O181" t="n">
        <v>3</v>
      </c>
      <c r="P181" t="n">
        <v>0</v>
      </c>
      <c r="Q181" t="n">
        <v>4</v>
      </c>
      <c r="R181" s="2" t="inlineStr">
        <is>
          <t>Garnlav
Rosenticka
Vitgrynig nållav
Barkticka</t>
        </is>
      </c>
      <c r="S181">
        <f>HYPERLINK("https://klasma.github.io/Logging_2283/artfynd/A 19898-2025 artfynd.xlsx", "A 19898-2025")</f>
        <v/>
      </c>
      <c r="T181">
        <f>HYPERLINK("https://klasma.github.io/Logging_2283/kartor/A 19898-2025 karta.png", "A 19898-2025")</f>
        <v/>
      </c>
      <c r="V181">
        <f>HYPERLINK("https://klasma.github.io/Logging_2283/klagomål/A 19898-2025 FSC-klagomål.docx", "A 19898-2025")</f>
        <v/>
      </c>
      <c r="W181">
        <f>HYPERLINK("https://klasma.github.io/Logging_2283/klagomålsmail/A 19898-2025 FSC-klagomål mail.docx", "A 19898-2025")</f>
        <v/>
      </c>
      <c r="X181">
        <f>HYPERLINK("https://klasma.github.io/Logging_2283/tillsyn/A 19898-2025 tillsynsbegäran.docx", "A 19898-2025")</f>
        <v/>
      </c>
      <c r="Y181">
        <f>HYPERLINK("https://klasma.github.io/Logging_2283/tillsynsmail/A 19898-2025 tillsynsbegäran mail.docx", "A 19898-2025")</f>
        <v/>
      </c>
    </row>
    <row r="182" ht="15" customHeight="1">
      <c r="A182" t="inlineStr">
        <is>
          <t>A 56248-2023</t>
        </is>
      </c>
      <c r="B182" s="1" t="n">
        <v>45240</v>
      </c>
      <c r="C182" s="1" t="n">
        <v>45908</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8885-2024</t>
        </is>
      </c>
      <c r="B183" s="1" t="n">
        <v>45357</v>
      </c>
      <c r="C183" s="1" t="n">
        <v>45908</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54093-2024</t>
        </is>
      </c>
      <c r="B184" s="1" t="n">
        <v>45616.51100694444</v>
      </c>
      <c r="C184" s="1" t="n">
        <v>45908</v>
      </c>
      <c r="D184" t="inlineStr">
        <is>
          <t>VÄSTERNORRLANDS LÄN</t>
        </is>
      </c>
      <c r="E184" t="inlineStr">
        <is>
          <t>SOLLEFTEÅ</t>
        </is>
      </c>
      <c r="F184" t="inlineStr">
        <is>
          <t>SCA</t>
        </is>
      </c>
      <c r="G184" t="n">
        <v>3.9</v>
      </c>
      <c r="H184" t="n">
        <v>0</v>
      </c>
      <c r="I184" t="n">
        <v>0</v>
      </c>
      <c r="J184" t="n">
        <v>4</v>
      </c>
      <c r="K184" t="n">
        <v>0</v>
      </c>
      <c r="L184" t="n">
        <v>0</v>
      </c>
      <c r="M184" t="n">
        <v>0</v>
      </c>
      <c r="N184" t="n">
        <v>0</v>
      </c>
      <c r="O184" t="n">
        <v>4</v>
      </c>
      <c r="P184" t="n">
        <v>0</v>
      </c>
      <c r="Q184" t="n">
        <v>4</v>
      </c>
      <c r="R184" s="2" t="inlineStr">
        <is>
          <t>Garnlav
Lunglav
Rosenticka
Ullticka</t>
        </is>
      </c>
      <c r="S184">
        <f>HYPERLINK("https://klasma.github.io/Logging_2283/artfynd/A 54093-2024 artfynd.xlsx", "A 54093-2024")</f>
        <v/>
      </c>
      <c r="T184">
        <f>HYPERLINK("https://klasma.github.io/Logging_2283/kartor/A 54093-2024 karta.png", "A 54093-2024")</f>
        <v/>
      </c>
      <c r="V184">
        <f>HYPERLINK("https://klasma.github.io/Logging_2283/klagomål/A 54093-2024 FSC-klagomål.docx", "A 54093-2024")</f>
        <v/>
      </c>
      <c r="W184">
        <f>HYPERLINK("https://klasma.github.io/Logging_2283/klagomålsmail/A 54093-2024 FSC-klagomål mail.docx", "A 54093-2024")</f>
        <v/>
      </c>
      <c r="X184">
        <f>HYPERLINK("https://klasma.github.io/Logging_2283/tillsyn/A 54093-2024 tillsynsbegäran.docx", "A 54093-2024")</f>
        <v/>
      </c>
      <c r="Y184">
        <f>HYPERLINK("https://klasma.github.io/Logging_2283/tillsynsmail/A 54093-2024 tillsynsbegäran mail.docx", "A 54093-2024")</f>
        <v/>
      </c>
    </row>
    <row r="185" ht="15" customHeight="1">
      <c r="A185" t="inlineStr">
        <is>
          <t>A 62638-2022</t>
        </is>
      </c>
      <c r="B185" s="1" t="n">
        <v>44925</v>
      </c>
      <c r="C185" s="1" t="n">
        <v>45908</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45908</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44599-2021</t>
        </is>
      </c>
      <c r="B187" s="1" t="n">
        <v>44435.94106481481</v>
      </c>
      <c r="C187" s="1" t="n">
        <v>45908</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45908</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15098-2021</t>
        </is>
      </c>
      <c r="B189" s="1" t="n">
        <v>44281</v>
      </c>
      <c r="C189" s="1" t="n">
        <v>45908</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42301-2022</t>
        </is>
      </c>
      <c r="B190" s="1" t="n">
        <v>44830.95461805556</v>
      </c>
      <c r="C190" s="1" t="n">
        <v>45908</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59046-2022</t>
        </is>
      </c>
      <c r="B191" s="1" t="n">
        <v>44903</v>
      </c>
      <c r="C191" s="1" t="n">
        <v>45908</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20781-2023</t>
        </is>
      </c>
      <c r="B192" s="1" t="n">
        <v>45058</v>
      </c>
      <c r="C192" s="1" t="n">
        <v>45908</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21097-2024</t>
        </is>
      </c>
      <c r="B193" s="1" t="n">
        <v>45439</v>
      </c>
      <c r="C193" s="1" t="n">
        <v>45908</v>
      </c>
      <c r="D193" t="inlineStr">
        <is>
          <t>VÄSTERNORRLANDS LÄN</t>
        </is>
      </c>
      <c r="E193" t="inlineStr">
        <is>
          <t>SOLLEFTEÅ</t>
        </is>
      </c>
      <c r="F193" t="inlineStr">
        <is>
          <t>SCA</t>
        </is>
      </c>
      <c r="G193" t="n">
        <v>7.7</v>
      </c>
      <c r="H193" t="n">
        <v>1</v>
      </c>
      <c r="I193" t="n">
        <v>1</v>
      </c>
      <c r="J193" t="n">
        <v>2</v>
      </c>
      <c r="K193" t="n">
        <v>0</v>
      </c>
      <c r="L193" t="n">
        <v>0</v>
      </c>
      <c r="M193" t="n">
        <v>0</v>
      </c>
      <c r="N193" t="n">
        <v>0</v>
      </c>
      <c r="O193" t="n">
        <v>2</v>
      </c>
      <c r="P193" t="n">
        <v>0</v>
      </c>
      <c r="Q193" t="n">
        <v>3</v>
      </c>
      <c r="R193" s="2" t="inlineStr">
        <is>
          <t>Lunglav
Ullticka
Lappranunkel</t>
        </is>
      </c>
      <c r="S193">
        <f>HYPERLINK("https://klasma.github.io/Logging_2283/artfynd/A 21097-2024 artfynd.xlsx", "A 21097-2024")</f>
        <v/>
      </c>
      <c r="T193">
        <f>HYPERLINK("https://klasma.github.io/Logging_2283/kartor/A 21097-2024 karta.png", "A 21097-2024")</f>
        <v/>
      </c>
      <c r="V193">
        <f>HYPERLINK("https://klasma.github.io/Logging_2283/klagomål/A 21097-2024 FSC-klagomål.docx", "A 21097-2024")</f>
        <v/>
      </c>
      <c r="W193">
        <f>HYPERLINK("https://klasma.github.io/Logging_2283/klagomålsmail/A 21097-2024 FSC-klagomål mail.docx", "A 21097-2024")</f>
        <v/>
      </c>
      <c r="X193">
        <f>HYPERLINK("https://klasma.github.io/Logging_2283/tillsyn/A 21097-2024 tillsynsbegäran.docx", "A 21097-2024")</f>
        <v/>
      </c>
      <c r="Y193">
        <f>HYPERLINK("https://klasma.github.io/Logging_2283/tillsynsmail/A 21097-2024 tillsynsbegäran mail.docx", "A 21097-2024")</f>
        <v/>
      </c>
    </row>
    <row r="194" ht="15" customHeight="1">
      <c r="A194" t="inlineStr">
        <is>
          <t>A 13877-2025</t>
        </is>
      </c>
      <c r="B194" s="1" t="n">
        <v>45737.59407407408</v>
      </c>
      <c r="C194" s="1" t="n">
        <v>45908</v>
      </c>
      <c r="D194" t="inlineStr">
        <is>
          <t>VÄSTERNORRLANDS LÄN</t>
        </is>
      </c>
      <c r="E194" t="inlineStr">
        <is>
          <t>SOLLEFTEÅ</t>
        </is>
      </c>
      <c r="F194" t="inlineStr">
        <is>
          <t>SCA</t>
        </is>
      </c>
      <c r="G194" t="n">
        <v>3.9</v>
      </c>
      <c r="H194" t="n">
        <v>2</v>
      </c>
      <c r="I194" t="n">
        <v>0</v>
      </c>
      <c r="J194" t="n">
        <v>2</v>
      </c>
      <c r="K194" t="n">
        <v>0</v>
      </c>
      <c r="L194" t="n">
        <v>0</v>
      </c>
      <c r="M194" t="n">
        <v>0</v>
      </c>
      <c r="N194" t="n">
        <v>0</v>
      </c>
      <c r="O194" t="n">
        <v>2</v>
      </c>
      <c r="P194" t="n">
        <v>0</v>
      </c>
      <c r="Q194" t="n">
        <v>3</v>
      </c>
      <c r="R194" s="2" t="inlineStr">
        <is>
          <t>Granticka
Spillkråka
Revlummer</t>
        </is>
      </c>
      <c r="S194">
        <f>HYPERLINK("https://klasma.github.io/Logging_2283/artfynd/A 13877-2025 artfynd.xlsx", "A 13877-2025")</f>
        <v/>
      </c>
      <c r="T194">
        <f>HYPERLINK("https://klasma.github.io/Logging_2283/kartor/A 13877-2025 karta.png", "A 13877-2025")</f>
        <v/>
      </c>
      <c r="V194">
        <f>HYPERLINK("https://klasma.github.io/Logging_2283/klagomål/A 13877-2025 FSC-klagomål.docx", "A 13877-2025")</f>
        <v/>
      </c>
      <c r="W194">
        <f>HYPERLINK("https://klasma.github.io/Logging_2283/klagomålsmail/A 13877-2025 FSC-klagomål mail.docx", "A 13877-2025")</f>
        <v/>
      </c>
      <c r="X194">
        <f>HYPERLINK("https://klasma.github.io/Logging_2283/tillsyn/A 13877-2025 tillsynsbegäran.docx", "A 13877-2025")</f>
        <v/>
      </c>
      <c r="Y194">
        <f>HYPERLINK("https://klasma.github.io/Logging_2283/tillsynsmail/A 13877-2025 tillsynsbegäran mail.docx", "A 13877-2025")</f>
        <v/>
      </c>
      <c r="Z194">
        <f>HYPERLINK("https://klasma.github.io/Logging_2283/fåglar/A 13877-2025 prioriterade fågelarter.docx", "A 13877-2025")</f>
        <v/>
      </c>
    </row>
    <row r="195" ht="15" customHeight="1">
      <c r="A195" t="inlineStr">
        <is>
          <t>A 26374-2023</t>
        </is>
      </c>
      <c r="B195" s="1" t="n">
        <v>45091.94403935185</v>
      </c>
      <c r="C195" s="1" t="n">
        <v>45908</v>
      </c>
      <c r="D195" t="inlineStr">
        <is>
          <t>VÄSTERNORRLANDS LÄN</t>
        </is>
      </c>
      <c r="E195" t="inlineStr">
        <is>
          <t>SOLLEFTEÅ</t>
        </is>
      </c>
      <c r="F195" t="inlineStr">
        <is>
          <t>SCA</t>
        </is>
      </c>
      <c r="G195" t="n">
        <v>0.9</v>
      </c>
      <c r="H195" t="n">
        <v>0</v>
      </c>
      <c r="I195" t="n">
        <v>0</v>
      </c>
      <c r="J195" t="n">
        <v>2</v>
      </c>
      <c r="K195" t="n">
        <v>1</v>
      </c>
      <c r="L195" t="n">
        <v>0</v>
      </c>
      <c r="M195" t="n">
        <v>0</v>
      </c>
      <c r="N195" t="n">
        <v>0</v>
      </c>
      <c r="O195" t="n">
        <v>3</v>
      </c>
      <c r="P195" t="n">
        <v>1</v>
      </c>
      <c r="Q195" t="n">
        <v>3</v>
      </c>
      <c r="R195" s="2" t="inlineStr">
        <is>
          <t>Blackticka
Granticka
Ullticka</t>
        </is>
      </c>
      <c r="S195">
        <f>HYPERLINK("https://klasma.github.io/Logging_2283/artfynd/A 26374-2023 artfynd.xlsx", "A 26374-2023")</f>
        <v/>
      </c>
      <c r="T195">
        <f>HYPERLINK("https://klasma.github.io/Logging_2283/kartor/A 26374-2023 karta.png", "A 26374-2023")</f>
        <v/>
      </c>
      <c r="V195">
        <f>HYPERLINK("https://klasma.github.io/Logging_2283/klagomål/A 26374-2023 FSC-klagomål.docx", "A 26374-2023")</f>
        <v/>
      </c>
      <c r="W195">
        <f>HYPERLINK("https://klasma.github.io/Logging_2283/klagomålsmail/A 26374-2023 FSC-klagomål mail.docx", "A 26374-2023")</f>
        <v/>
      </c>
      <c r="X195">
        <f>HYPERLINK("https://klasma.github.io/Logging_2283/tillsyn/A 26374-2023 tillsynsbegäran.docx", "A 26374-2023")</f>
        <v/>
      </c>
      <c r="Y195">
        <f>HYPERLINK("https://klasma.github.io/Logging_2283/tillsynsmail/A 26374-2023 tillsynsbegäran mail.docx", "A 26374-2023")</f>
        <v/>
      </c>
    </row>
    <row r="196" ht="15" customHeight="1">
      <c r="A196" t="inlineStr">
        <is>
          <t>A 22183-2025</t>
        </is>
      </c>
      <c r="B196" s="1" t="n">
        <v>45785.61677083333</v>
      </c>
      <c r="C196" s="1" t="n">
        <v>45908</v>
      </c>
      <c r="D196" t="inlineStr">
        <is>
          <t>VÄSTERNORRLANDS LÄN</t>
        </is>
      </c>
      <c r="E196" t="inlineStr">
        <is>
          <t>SOLLEFTEÅ</t>
        </is>
      </c>
      <c r="F196" t="inlineStr">
        <is>
          <t>SCA</t>
        </is>
      </c>
      <c r="G196" t="n">
        <v>0.3</v>
      </c>
      <c r="H196" t="n">
        <v>0</v>
      </c>
      <c r="I196" t="n">
        <v>1</v>
      </c>
      <c r="J196" t="n">
        <v>2</v>
      </c>
      <c r="K196" t="n">
        <v>0</v>
      </c>
      <c r="L196" t="n">
        <v>0</v>
      </c>
      <c r="M196" t="n">
        <v>0</v>
      </c>
      <c r="N196" t="n">
        <v>0</v>
      </c>
      <c r="O196" t="n">
        <v>2</v>
      </c>
      <c r="P196" t="n">
        <v>0</v>
      </c>
      <c r="Q196" t="n">
        <v>3</v>
      </c>
      <c r="R196" s="2" t="inlineStr">
        <is>
          <t>Garnlav
Rosenticka
Trådticka</t>
        </is>
      </c>
      <c r="S196">
        <f>HYPERLINK("https://klasma.github.io/Logging_2283/artfynd/A 22183-2025 artfynd.xlsx", "A 22183-2025")</f>
        <v/>
      </c>
      <c r="T196">
        <f>HYPERLINK("https://klasma.github.io/Logging_2283/kartor/A 22183-2025 karta.png", "A 22183-2025")</f>
        <v/>
      </c>
      <c r="V196">
        <f>HYPERLINK("https://klasma.github.io/Logging_2283/klagomål/A 22183-2025 FSC-klagomål.docx", "A 22183-2025")</f>
        <v/>
      </c>
      <c r="W196">
        <f>HYPERLINK("https://klasma.github.io/Logging_2283/klagomålsmail/A 22183-2025 FSC-klagomål mail.docx", "A 22183-2025")</f>
        <v/>
      </c>
      <c r="X196">
        <f>HYPERLINK("https://klasma.github.io/Logging_2283/tillsyn/A 22183-2025 tillsynsbegäran.docx", "A 22183-2025")</f>
        <v/>
      </c>
      <c r="Y196">
        <f>HYPERLINK("https://klasma.github.io/Logging_2283/tillsynsmail/A 22183-2025 tillsynsbegäran mail.docx", "A 22183-2025")</f>
        <v/>
      </c>
    </row>
    <row r="197" ht="15" customHeight="1">
      <c r="A197" t="inlineStr">
        <is>
          <t>A 23939-2024</t>
        </is>
      </c>
      <c r="B197" s="1" t="n">
        <v>45455.96303240741</v>
      </c>
      <c r="C197" s="1" t="n">
        <v>45908</v>
      </c>
      <c r="D197" t="inlineStr">
        <is>
          <t>VÄSTERNORRLANDS LÄN</t>
        </is>
      </c>
      <c r="E197" t="inlineStr">
        <is>
          <t>SOLLEFTEÅ</t>
        </is>
      </c>
      <c r="F197" t="inlineStr">
        <is>
          <t>SCA</t>
        </is>
      </c>
      <c r="G197" t="n">
        <v>3</v>
      </c>
      <c r="H197" t="n">
        <v>1</v>
      </c>
      <c r="I197" t="n">
        <v>1</v>
      </c>
      <c r="J197" t="n">
        <v>2</v>
      </c>
      <c r="K197" t="n">
        <v>0</v>
      </c>
      <c r="L197" t="n">
        <v>0</v>
      </c>
      <c r="M197" t="n">
        <v>0</v>
      </c>
      <c r="N197" t="n">
        <v>0</v>
      </c>
      <c r="O197" t="n">
        <v>2</v>
      </c>
      <c r="P197" t="n">
        <v>0</v>
      </c>
      <c r="Q197" t="n">
        <v>3</v>
      </c>
      <c r="R197" s="2" t="inlineStr">
        <is>
          <t>Lunglav
Talltita
Stuplav</t>
        </is>
      </c>
      <c r="S197">
        <f>HYPERLINK("https://klasma.github.io/Logging_2283/artfynd/A 23939-2024 artfynd.xlsx", "A 23939-2024")</f>
        <v/>
      </c>
      <c r="T197">
        <f>HYPERLINK("https://klasma.github.io/Logging_2283/kartor/A 23939-2024 karta.png", "A 23939-2024")</f>
        <v/>
      </c>
      <c r="V197">
        <f>HYPERLINK("https://klasma.github.io/Logging_2283/klagomål/A 23939-2024 FSC-klagomål.docx", "A 23939-2024")</f>
        <v/>
      </c>
      <c r="W197">
        <f>HYPERLINK("https://klasma.github.io/Logging_2283/klagomålsmail/A 23939-2024 FSC-klagomål mail.docx", "A 23939-2024")</f>
        <v/>
      </c>
      <c r="X197">
        <f>HYPERLINK("https://klasma.github.io/Logging_2283/tillsyn/A 23939-2024 tillsynsbegäran.docx", "A 23939-2024")</f>
        <v/>
      </c>
      <c r="Y197">
        <f>HYPERLINK("https://klasma.github.io/Logging_2283/tillsynsmail/A 23939-2024 tillsynsbegäran mail.docx", "A 23939-2024")</f>
        <v/>
      </c>
      <c r="Z197">
        <f>HYPERLINK("https://klasma.github.io/Logging_2283/fåglar/A 23939-2024 prioriterade fågelarter.docx", "A 23939-2024")</f>
        <v/>
      </c>
    </row>
    <row r="198" ht="15" customHeight="1">
      <c r="A198" t="inlineStr">
        <is>
          <t>A 5121-2025</t>
        </is>
      </c>
      <c r="B198" s="1" t="n">
        <v>45691</v>
      </c>
      <c r="C198" s="1" t="n">
        <v>45908</v>
      </c>
      <c r="D198" t="inlineStr">
        <is>
          <t>VÄSTERNORRLANDS LÄN</t>
        </is>
      </c>
      <c r="E198" t="inlineStr">
        <is>
          <t>SOLLEFTEÅ</t>
        </is>
      </c>
      <c r="G198" t="n">
        <v>3.4</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HYPERLINK("https://klasma.github.io/Logging_2283/artfynd/A 5121-2025 artfynd.xlsx", "A 5121-2025")</f>
        <v/>
      </c>
      <c r="T198">
        <f>HYPERLINK("https://klasma.github.io/Logging_2283/kartor/A 5121-2025 karta.png", "A 5121-2025")</f>
        <v/>
      </c>
      <c r="V198">
        <f>HYPERLINK("https://klasma.github.io/Logging_2283/klagomål/A 5121-2025 FSC-klagomål.docx", "A 5121-2025")</f>
        <v/>
      </c>
      <c r="W198">
        <f>HYPERLINK("https://klasma.github.io/Logging_2283/klagomålsmail/A 5121-2025 FSC-klagomål mail.docx", "A 5121-2025")</f>
        <v/>
      </c>
      <c r="X198">
        <f>HYPERLINK("https://klasma.github.io/Logging_2283/tillsyn/A 5121-2025 tillsynsbegäran.docx", "A 5121-2025")</f>
        <v/>
      </c>
      <c r="Y198">
        <f>HYPERLINK("https://klasma.github.io/Logging_2283/tillsynsmail/A 5121-2025 tillsynsbegäran mail.docx", "A 5121-2025")</f>
        <v/>
      </c>
      <c r="Z198">
        <f>HYPERLINK("https://klasma.github.io/Logging_2283/fåglar/A 5121-2025 prioriterade fågelarter.docx", "A 5121-2025")</f>
        <v/>
      </c>
    </row>
    <row r="199" ht="15" customHeight="1">
      <c r="A199" t="inlineStr">
        <is>
          <t>A 25707-2025</t>
        </is>
      </c>
      <c r="B199" s="1" t="n">
        <v>45803.67806712963</v>
      </c>
      <c r="C199" s="1" t="n">
        <v>45908</v>
      </c>
      <c r="D199" t="inlineStr">
        <is>
          <t>VÄSTERNORRLANDS LÄN</t>
        </is>
      </c>
      <c r="E199" t="inlineStr">
        <is>
          <t>SOLLEFTEÅ</t>
        </is>
      </c>
      <c r="F199" t="inlineStr">
        <is>
          <t>SCA</t>
        </is>
      </c>
      <c r="G199" t="n">
        <v>2.6</v>
      </c>
      <c r="H199" t="n">
        <v>1</v>
      </c>
      <c r="I199" t="n">
        <v>1</v>
      </c>
      <c r="J199" t="n">
        <v>2</v>
      </c>
      <c r="K199" t="n">
        <v>0</v>
      </c>
      <c r="L199" t="n">
        <v>0</v>
      </c>
      <c r="M199" t="n">
        <v>0</v>
      </c>
      <c r="N199" t="n">
        <v>0</v>
      </c>
      <c r="O199" t="n">
        <v>2</v>
      </c>
      <c r="P199" t="n">
        <v>0</v>
      </c>
      <c r="Q199" t="n">
        <v>3</v>
      </c>
      <c r="R199" s="2" t="inlineStr">
        <is>
          <t>Kolflarnlav
Talltita
Norrlandslav</t>
        </is>
      </c>
      <c r="S199">
        <f>HYPERLINK("https://klasma.github.io/Logging_2283/artfynd/A 25707-2025 artfynd.xlsx", "A 25707-2025")</f>
        <v/>
      </c>
      <c r="T199">
        <f>HYPERLINK("https://klasma.github.io/Logging_2283/kartor/A 25707-2025 karta.png", "A 25707-2025")</f>
        <v/>
      </c>
      <c r="V199">
        <f>HYPERLINK("https://klasma.github.io/Logging_2283/klagomål/A 25707-2025 FSC-klagomål.docx", "A 25707-2025")</f>
        <v/>
      </c>
      <c r="W199">
        <f>HYPERLINK("https://klasma.github.io/Logging_2283/klagomålsmail/A 25707-2025 FSC-klagomål mail.docx", "A 25707-2025")</f>
        <v/>
      </c>
      <c r="X199">
        <f>HYPERLINK("https://klasma.github.io/Logging_2283/tillsyn/A 25707-2025 tillsynsbegäran.docx", "A 25707-2025")</f>
        <v/>
      </c>
      <c r="Y199">
        <f>HYPERLINK("https://klasma.github.io/Logging_2283/tillsynsmail/A 25707-2025 tillsynsbegäran mail.docx", "A 25707-2025")</f>
        <v/>
      </c>
      <c r="Z199">
        <f>HYPERLINK("https://klasma.github.io/Logging_2283/fåglar/A 25707-2025 prioriterade fågelarter.docx", "A 25707-2025")</f>
        <v/>
      </c>
    </row>
    <row r="200" ht="15" customHeight="1">
      <c r="A200" t="inlineStr">
        <is>
          <t>A 54624-2024</t>
        </is>
      </c>
      <c r="B200" s="1" t="n">
        <v>45617</v>
      </c>
      <c r="C200" s="1" t="n">
        <v>45908</v>
      </c>
      <c r="D200" t="inlineStr">
        <is>
          <t>VÄSTERNORRLANDS LÄN</t>
        </is>
      </c>
      <c r="E200" t="inlineStr">
        <is>
          <t>SOLLEFTEÅ</t>
        </is>
      </c>
      <c r="G200" t="n">
        <v>11.5</v>
      </c>
      <c r="H200" t="n">
        <v>0</v>
      </c>
      <c r="I200" t="n">
        <v>2</v>
      </c>
      <c r="J200" t="n">
        <v>1</v>
      </c>
      <c r="K200" t="n">
        <v>0</v>
      </c>
      <c r="L200" t="n">
        <v>0</v>
      </c>
      <c r="M200" t="n">
        <v>0</v>
      </c>
      <c r="N200" t="n">
        <v>0</v>
      </c>
      <c r="O200" t="n">
        <v>1</v>
      </c>
      <c r="P200" t="n">
        <v>0</v>
      </c>
      <c r="Q200" t="n">
        <v>3</v>
      </c>
      <c r="R200" s="2" t="inlineStr">
        <is>
          <t>Ullticka
Stuplav
Vedticka</t>
        </is>
      </c>
      <c r="S200">
        <f>HYPERLINK("https://klasma.github.io/Logging_2283/artfynd/A 54624-2024 artfynd.xlsx", "A 54624-2024")</f>
        <v/>
      </c>
      <c r="T200">
        <f>HYPERLINK("https://klasma.github.io/Logging_2283/kartor/A 54624-2024 karta.png", "A 54624-2024")</f>
        <v/>
      </c>
      <c r="V200">
        <f>HYPERLINK("https://klasma.github.io/Logging_2283/klagomål/A 54624-2024 FSC-klagomål.docx", "A 54624-2024")</f>
        <v/>
      </c>
      <c r="W200">
        <f>HYPERLINK("https://klasma.github.io/Logging_2283/klagomålsmail/A 54624-2024 FSC-klagomål mail.docx", "A 54624-2024")</f>
        <v/>
      </c>
      <c r="X200">
        <f>HYPERLINK("https://klasma.github.io/Logging_2283/tillsyn/A 54624-2024 tillsynsbegäran.docx", "A 54624-2024")</f>
        <v/>
      </c>
      <c r="Y200">
        <f>HYPERLINK("https://klasma.github.io/Logging_2283/tillsynsmail/A 54624-2024 tillsynsbegäran mail.docx", "A 54624-2024")</f>
        <v/>
      </c>
    </row>
    <row r="201" ht="15" customHeight="1">
      <c r="A201" t="inlineStr">
        <is>
          <t>A 51212-2022</t>
        </is>
      </c>
      <c r="B201" s="1" t="n">
        <v>44868.62265046296</v>
      </c>
      <c r="C201" s="1" t="n">
        <v>45908</v>
      </c>
      <c r="D201" t="inlineStr">
        <is>
          <t>VÄSTERNORRLANDS LÄN</t>
        </is>
      </c>
      <c r="E201" t="inlineStr">
        <is>
          <t>SOLLEFTEÅ</t>
        </is>
      </c>
      <c r="F201" t="inlineStr">
        <is>
          <t>Holmen skog AB</t>
        </is>
      </c>
      <c r="G201" t="n">
        <v>18.3</v>
      </c>
      <c r="H201" t="n">
        <v>1</v>
      </c>
      <c r="I201" t="n">
        <v>1</v>
      </c>
      <c r="J201" t="n">
        <v>1</v>
      </c>
      <c r="K201" t="n">
        <v>1</v>
      </c>
      <c r="L201" t="n">
        <v>0</v>
      </c>
      <c r="M201" t="n">
        <v>0</v>
      </c>
      <c r="N201" t="n">
        <v>0</v>
      </c>
      <c r="O201" t="n">
        <v>2</v>
      </c>
      <c r="P201" t="n">
        <v>1</v>
      </c>
      <c r="Q201" t="n">
        <v>3</v>
      </c>
      <c r="R201" s="2" t="inlineStr">
        <is>
          <t>Doftticka
Lunglav
Stuplav</t>
        </is>
      </c>
      <c r="S201">
        <f>HYPERLINK("https://klasma.github.io/Logging_2283/artfynd/A 51212-2022 artfynd.xlsx", "A 51212-2022")</f>
        <v/>
      </c>
      <c r="T201">
        <f>HYPERLINK("https://klasma.github.io/Logging_2283/kartor/A 51212-2022 karta.png", "A 51212-2022")</f>
        <v/>
      </c>
      <c r="V201">
        <f>HYPERLINK("https://klasma.github.io/Logging_2283/klagomål/A 51212-2022 FSC-klagomål.docx", "A 51212-2022")</f>
        <v/>
      </c>
      <c r="W201">
        <f>HYPERLINK("https://klasma.github.io/Logging_2283/klagomålsmail/A 51212-2022 FSC-klagomål mail.docx", "A 51212-2022")</f>
        <v/>
      </c>
      <c r="X201">
        <f>HYPERLINK("https://klasma.github.io/Logging_2283/tillsyn/A 51212-2022 tillsynsbegäran.docx", "A 51212-2022")</f>
        <v/>
      </c>
      <c r="Y201">
        <f>HYPERLINK("https://klasma.github.io/Logging_2283/tillsynsmail/A 51212-2022 tillsynsbegäran mail.docx", "A 51212-2022")</f>
        <v/>
      </c>
    </row>
    <row r="202" ht="15" customHeight="1">
      <c r="A202" t="inlineStr">
        <is>
          <t>A 25919-2025</t>
        </is>
      </c>
      <c r="B202" s="1" t="n">
        <v>45804.56901620371</v>
      </c>
      <c r="C202" s="1" t="n">
        <v>45908</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32256-2024</t>
        </is>
      </c>
      <c r="B203" s="1" t="n">
        <v>45511</v>
      </c>
      <c r="C203" s="1" t="n">
        <v>45908</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38096-2024</t>
        </is>
      </c>
      <c r="B204" s="1" t="n">
        <v>45545.345</v>
      </c>
      <c r="C204" s="1" t="n">
        <v>45908</v>
      </c>
      <c r="D204" t="inlineStr">
        <is>
          <t>VÄSTERNORRLANDS LÄN</t>
        </is>
      </c>
      <c r="E204" t="inlineStr">
        <is>
          <t>SOLLEFTEÅ</t>
        </is>
      </c>
      <c r="F204" t="inlineStr">
        <is>
          <t>SCA</t>
        </is>
      </c>
      <c r="G204" t="n">
        <v>5.2</v>
      </c>
      <c r="H204" t="n">
        <v>1</v>
      </c>
      <c r="I204" t="n">
        <v>2</v>
      </c>
      <c r="J204" t="n">
        <v>1</v>
      </c>
      <c r="K204" t="n">
        <v>0</v>
      </c>
      <c r="L204" t="n">
        <v>0</v>
      </c>
      <c r="M204" t="n">
        <v>0</v>
      </c>
      <c r="N204" t="n">
        <v>0</v>
      </c>
      <c r="O204" t="n">
        <v>1</v>
      </c>
      <c r="P204" t="n">
        <v>0</v>
      </c>
      <c r="Q204" t="n">
        <v>3</v>
      </c>
      <c r="R204" s="2" t="inlineStr">
        <is>
          <t>Lunglav
Bollvitmossa
Lappranunkel</t>
        </is>
      </c>
      <c r="S204">
        <f>HYPERLINK("https://klasma.github.io/Logging_2283/artfynd/A 38096-2024 artfynd.xlsx", "A 38096-2024")</f>
        <v/>
      </c>
      <c r="T204">
        <f>HYPERLINK("https://klasma.github.io/Logging_2283/kartor/A 38096-2024 karta.png", "A 38096-2024")</f>
        <v/>
      </c>
      <c r="V204">
        <f>HYPERLINK("https://klasma.github.io/Logging_2283/klagomål/A 38096-2024 FSC-klagomål.docx", "A 38096-2024")</f>
        <v/>
      </c>
      <c r="W204">
        <f>HYPERLINK("https://klasma.github.io/Logging_2283/klagomålsmail/A 38096-2024 FSC-klagomål mail.docx", "A 38096-2024")</f>
        <v/>
      </c>
      <c r="X204">
        <f>HYPERLINK("https://klasma.github.io/Logging_2283/tillsyn/A 38096-2024 tillsynsbegäran.docx", "A 38096-2024")</f>
        <v/>
      </c>
      <c r="Y204">
        <f>HYPERLINK("https://klasma.github.io/Logging_2283/tillsynsmail/A 38096-2024 tillsynsbegäran mail.docx", "A 38096-2024")</f>
        <v/>
      </c>
    </row>
    <row r="205" ht="15" customHeight="1">
      <c r="A205" t="inlineStr">
        <is>
          <t>A 61481-2021</t>
        </is>
      </c>
      <c r="B205" s="1" t="n">
        <v>44500</v>
      </c>
      <c r="C205" s="1" t="n">
        <v>45908</v>
      </c>
      <c r="D205" t="inlineStr">
        <is>
          <t>VÄSTERNORRLANDS LÄN</t>
        </is>
      </c>
      <c r="E205" t="inlineStr">
        <is>
          <t>SOLLEFTEÅ</t>
        </is>
      </c>
      <c r="F205" t="inlineStr">
        <is>
          <t>SCA</t>
        </is>
      </c>
      <c r="G205" t="n">
        <v>6.8</v>
      </c>
      <c r="H205" t="n">
        <v>0</v>
      </c>
      <c r="I205" t="n">
        <v>1</v>
      </c>
      <c r="J205" t="n">
        <v>2</v>
      </c>
      <c r="K205" t="n">
        <v>0</v>
      </c>
      <c r="L205" t="n">
        <v>0</v>
      </c>
      <c r="M205" t="n">
        <v>0</v>
      </c>
      <c r="N205" t="n">
        <v>0</v>
      </c>
      <c r="O205" t="n">
        <v>2</v>
      </c>
      <c r="P205" t="n">
        <v>0</v>
      </c>
      <c r="Q205" t="n">
        <v>3</v>
      </c>
      <c r="R205" s="2" t="inlineStr">
        <is>
          <t>Lunglav
Skrovellav
Kambräken</t>
        </is>
      </c>
      <c r="S205">
        <f>HYPERLINK("https://klasma.github.io/Logging_2283/artfynd/A 61481-2021 artfynd.xlsx", "A 61481-2021")</f>
        <v/>
      </c>
      <c r="T205">
        <f>HYPERLINK("https://klasma.github.io/Logging_2283/kartor/A 61481-2021 karta.png", "A 61481-2021")</f>
        <v/>
      </c>
      <c r="V205">
        <f>HYPERLINK("https://klasma.github.io/Logging_2283/klagomål/A 61481-2021 FSC-klagomål.docx", "A 61481-2021")</f>
        <v/>
      </c>
      <c r="W205">
        <f>HYPERLINK("https://klasma.github.io/Logging_2283/klagomålsmail/A 61481-2021 FSC-klagomål mail.docx", "A 61481-2021")</f>
        <v/>
      </c>
      <c r="X205">
        <f>HYPERLINK("https://klasma.github.io/Logging_2283/tillsyn/A 61481-2021 tillsynsbegäran.docx", "A 61481-2021")</f>
        <v/>
      </c>
      <c r="Y205">
        <f>HYPERLINK("https://klasma.github.io/Logging_2283/tillsynsmail/A 61481-2021 tillsynsbegäran mail.docx", "A 61481-2021")</f>
        <v/>
      </c>
    </row>
    <row r="206" ht="15" customHeight="1">
      <c r="A206" t="inlineStr">
        <is>
          <t>A 32070-2025</t>
        </is>
      </c>
      <c r="B206" s="1" t="n">
        <v>45835.44885416667</v>
      </c>
      <c r="C206" s="1" t="n">
        <v>45908</v>
      </c>
      <c r="D206" t="inlineStr">
        <is>
          <t>VÄSTERNORRLANDS LÄN</t>
        </is>
      </c>
      <c r="E206" t="inlineStr">
        <is>
          <t>SOLLEFTEÅ</t>
        </is>
      </c>
      <c r="F206" t="inlineStr">
        <is>
          <t>SCA</t>
        </is>
      </c>
      <c r="G206" t="n">
        <v>6.4</v>
      </c>
      <c r="H206" t="n">
        <v>0</v>
      </c>
      <c r="I206" t="n">
        <v>1</v>
      </c>
      <c r="J206" t="n">
        <v>1</v>
      </c>
      <c r="K206" t="n">
        <v>1</v>
      </c>
      <c r="L206" t="n">
        <v>0</v>
      </c>
      <c r="M206" t="n">
        <v>0</v>
      </c>
      <c r="N206" t="n">
        <v>0</v>
      </c>
      <c r="O206" t="n">
        <v>2</v>
      </c>
      <c r="P206" t="n">
        <v>1</v>
      </c>
      <c r="Q206" t="n">
        <v>3</v>
      </c>
      <c r="R206" s="2" t="inlineStr">
        <is>
          <t>Rynkskinn
Garnlav
Vedticka</t>
        </is>
      </c>
      <c r="S206">
        <f>HYPERLINK("https://klasma.github.io/Logging_2283/artfynd/A 32070-2025 artfynd.xlsx", "A 32070-2025")</f>
        <v/>
      </c>
      <c r="T206">
        <f>HYPERLINK("https://klasma.github.io/Logging_2283/kartor/A 32070-2025 karta.png", "A 32070-2025")</f>
        <v/>
      </c>
      <c r="V206">
        <f>HYPERLINK("https://klasma.github.io/Logging_2283/klagomål/A 32070-2025 FSC-klagomål.docx", "A 32070-2025")</f>
        <v/>
      </c>
      <c r="W206">
        <f>HYPERLINK("https://klasma.github.io/Logging_2283/klagomålsmail/A 32070-2025 FSC-klagomål mail.docx", "A 32070-2025")</f>
        <v/>
      </c>
      <c r="X206">
        <f>HYPERLINK("https://klasma.github.io/Logging_2283/tillsyn/A 32070-2025 tillsynsbegäran.docx", "A 32070-2025")</f>
        <v/>
      </c>
      <c r="Y206">
        <f>HYPERLINK("https://klasma.github.io/Logging_2283/tillsynsmail/A 32070-2025 tillsynsbegäran mail.docx", "A 32070-2025")</f>
        <v/>
      </c>
    </row>
    <row r="207" ht="15" customHeight="1">
      <c r="A207" t="inlineStr">
        <is>
          <t>A 38270-2025</t>
        </is>
      </c>
      <c r="B207" s="1" t="n">
        <v>45883.40696759259</v>
      </c>
      <c r="C207" s="1" t="n">
        <v>45908</v>
      </c>
      <c r="D207" t="inlineStr">
        <is>
          <t>VÄSTERNORRLANDS LÄN</t>
        </is>
      </c>
      <c r="E207" t="inlineStr">
        <is>
          <t>SOLLEFTEÅ</t>
        </is>
      </c>
      <c r="F207" t="inlineStr">
        <is>
          <t>SCA</t>
        </is>
      </c>
      <c r="G207" t="n">
        <v>16</v>
      </c>
      <c r="H207" t="n">
        <v>0</v>
      </c>
      <c r="I207" t="n">
        <v>0</v>
      </c>
      <c r="J207" t="n">
        <v>3</v>
      </c>
      <c r="K207" t="n">
        <v>0</v>
      </c>
      <c r="L207" t="n">
        <v>0</v>
      </c>
      <c r="M207" t="n">
        <v>0</v>
      </c>
      <c r="N207" t="n">
        <v>0</v>
      </c>
      <c r="O207" t="n">
        <v>3</v>
      </c>
      <c r="P207" t="n">
        <v>0</v>
      </c>
      <c r="Q207" t="n">
        <v>3</v>
      </c>
      <c r="R207" s="2" t="inlineStr">
        <is>
          <t>Blågrå svartspik
Reliktbock
Vedflamlav</t>
        </is>
      </c>
      <c r="S207">
        <f>HYPERLINK("https://klasma.github.io/Logging_2283/artfynd/A 38270-2025 artfynd.xlsx", "A 38270-2025")</f>
        <v/>
      </c>
      <c r="T207">
        <f>HYPERLINK("https://klasma.github.io/Logging_2283/kartor/A 38270-2025 karta.png", "A 38270-2025")</f>
        <v/>
      </c>
      <c r="V207">
        <f>HYPERLINK("https://klasma.github.io/Logging_2283/klagomål/A 38270-2025 FSC-klagomål.docx", "A 38270-2025")</f>
        <v/>
      </c>
      <c r="W207">
        <f>HYPERLINK("https://klasma.github.io/Logging_2283/klagomålsmail/A 38270-2025 FSC-klagomål mail.docx", "A 38270-2025")</f>
        <v/>
      </c>
      <c r="X207">
        <f>HYPERLINK("https://klasma.github.io/Logging_2283/tillsyn/A 38270-2025 tillsynsbegäran.docx", "A 38270-2025")</f>
        <v/>
      </c>
      <c r="Y207">
        <f>HYPERLINK("https://klasma.github.io/Logging_2283/tillsynsmail/A 38270-2025 tillsynsbegäran mail.docx", "A 38270-2025")</f>
        <v/>
      </c>
    </row>
    <row r="208" ht="15" customHeight="1">
      <c r="A208" t="inlineStr">
        <is>
          <t>A 8077-2025</t>
        </is>
      </c>
      <c r="B208" s="1" t="n">
        <v>45707.65659722222</v>
      </c>
      <c r="C208" s="1" t="n">
        <v>45908</v>
      </c>
      <c r="D208" t="inlineStr">
        <is>
          <t>VÄSTERNORRLANDS LÄN</t>
        </is>
      </c>
      <c r="E208" t="inlineStr">
        <is>
          <t>SOLLEFTEÅ</t>
        </is>
      </c>
      <c r="F208" t="inlineStr">
        <is>
          <t>SCA</t>
        </is>
      </c>
      <c r="G208" t="n">
        <v>2.7</v>
      </c>
      <c r="H208" t="n">
        <v>3</v>
      </c>
      <c r="I208" t="n">
        <v>0</v>
      </c>
      <c r="J208" t="n">
        <v>2</v>
      </c>
      <c r="K208" t="n">
        <v>0</v>
      </c>
      <c r="L208" t="n">
        <v>0</v>
      </c>
      <c r="M208" t="n">
        <v>0</v>
      </c>
      <c r="N208" t="n">
        <v>0</v>
      </c>
      <c r="O208" t="n">
        <v>2</v>
      </c>
      <c r="P208" t="n">
        <v>0</v>
      </c>
      <c r="Q208" t="n">
        <v>3</v>
      </c>
      <c r="R208" s="2" t="inlineStr">
        <is>
          <t>Spillkråka
Tretåig hackspett
Tjäder</t>
        </is>
      </c>
      <c r="S208">
        <f>HYPERLINK("https://klasma.github.io/Logging_2283/artfynd/A 8077-2025 artfynd.xlsx", "A 8077-2025")</f>
        <v/>
      </c>
      <c r="T208">
        <f>HYPERLINK("https://klasma.github.io/Logging_2283/kartor/A 8077-2025 karta.png", "A 8077-2025")</f>
        <v/>
      </c>
      <c r="V208">
        <f>HYPERLINK("https://klasma.github.io/Logging_2283/klagomål/A 8077-2025 FSC-klagomål.docx", "A 8077-2025")</f>
        <v/>
      </c>
      <c r="W208">
        <f>HYPERLINK("https://klasma.github.io/Logging_2283/klagomålsmail/A 8077-2025 FSC-klagomål mail.docx", "A 8077-2025")</f>
        <v/>
      </c>
      <c r="X208">
        <f>HYPERLINK("https://klasma.github.io/Logging_2283/tillsyn/A 8077-2025 tillsynsbegäran.docx", "A 8077-2025")</f>
        <v/>
      </c>
      <c r="Y208">
        <f>HYPERLINK("https://klasma.github.io/Logging_2283/tillsynsmail/A 8077-2025 tillsynsbegäran mail.docx", "A 8077-2025")</f>
        <v/>
      </c>
      <c r="Z208">
        <f>HYPERLINK("https://klasma.github.io/Logging_2283/fåglar/A 8077-2025 prioriterade fågelarter.docx", "A 8077-2025")</f>
        <v/>
      </c>
    </row>
    <row r="209" ht="15" customHeight="1">
      <c r="A209" t="inlineStr">
        <is>
          <t>A 53852-2024</t>
        </is>
      </c>
      <c r="B209" s="1" t="n">
        <v>45615.63590277778</v>
      </c>
      <c r="C209" s="1" t="n">
        <v>45908</v>
      </c>
      <c r="D209" t="inlineStr">
        <is>
          <t>VÄSTERNORRLANDS LÄN</t>
        </is>
      </c>
      <c r="E209" t="inlineStr">
        <is>
          <t>SOLLEFTEÅ</t>
        </is>
      </c>
      <c r="F209" t="inlineStr">
        <is>
          <t>SCA</t>
        </is>
      </c>
      <c r="G209" t="n">
        <v>0.7</v>
      </c>
      <c r="H209" t="n">
        <v>1</v>
      </c>
      <c r="I209" t="n">
        <v>2</v>
      </c>
      <c r="J209" t="n">
        <v>1</v>
      </c>
      <c r="K209" t="n">
        <v>0</v>
      </c>
      <c r="L209" t="n">
        <v>0</v>
      </c>
      <c r="M209" t="n">
        <v>0</v>
      </c>
      <c r="N209" t="n">
        <v>0</v>
      </c>
      <c r="O209" t="n">
        <v>1</v>
      </c>
      <c r="P209" t="n">
        <v>0</v>
      </c>
      <c r="Q209" t="n">
        <v>3</v>
      </c>
      <c r="R209" s="2" t="inlineStr">
        <is>
          <t>Garnlav
Korallrot
Ögonpyrola</t>
        </is>
      </c>
      <c r="S209">
        <f>HYPERLINK("https://klasma.github.io/Logging_2283/artfynd/A 53852-2024 artfynd.xlsx", "A 53852-2024")</f>
        <v/>
      </c>
      <c r="T209">
        <f>HYPERLINK("https://klasma.github.io/Logging_2283/kartor/A 53852-2024 karta.png", "A 53852-2024")</f>
        <v/>
      </c>
      <c r="V209">
        <f>HYPERLINK("https://klasma.github.io/Logging_2283/klagomål/A 53852-2024 FSC-klagomål.docx", "A 53852-2024")</f>
        <v/>
      </c>
      <c r="W209">
        <f>HYPERLINK("https://klasma.github.io/Logging_2283/klagomålsmail/A 53852-2024 FSC-klagomål mail.docx", "A 53852-2024")</f>
        <v/>
      </c>
      <c r="X209">
        <f>HYPERLINK("https://klasma.github.io/Logging_2283/tillsyn/A 53852-2024 tillsynsbegäran.docx", "A 53852-2024")</f>
        <v/>
      </c>
      <c r="Y209">
        <f>HYPERLINK("https://klasma.github.io/Logging_2283/tillsynsmail/A 53852-2024 tillsynsbegäran mail.docx", "A 53852-2024")</f>
        <v/>
      </c>
    </row>
    <row r="210" ht="15" customHeight="1">
      <c r="A210" t="inlineStr">
        <is>
          <t>A 24551-2025</t>
        </is>
      </c>
      <c r="B210" s="1" t="n">
        <v>45798.44850694444</v>
      </c>
      <c r="C210" s="1" t="n">
        <v>45908</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50838-2023</t>
        </is>
      </c>
      <c r="B211" s="1" t="n">
        <v>45217</v>
      </c>
      <c r="C211" s="1" t="n">
        <v>45908</v>
      </c>
      <c r="D211" t="inlineStr">
        <is>
          <t>VÄSTERNORRLANDS LÄN</t>
        </is>
      </c>
      <c r="E211" t="inlineStr">
        <is>
          <t>SOLLEFTEÅ</t>
        </is>
      </c>
      <c r="F211" t="inlineStr">
        <is>
          <t>SCA</t>
        </is>
      </c>
      <c r="G211" t="n">
        <v>2.1</v>
      </c>
      <c r="H211" t="n">
        <v>2</v>
      </c>
      <c r="I211" t="n">
        <v>0</v>
      </c>
      <c r="J211" t="n">
        <v>1</v>
      </c>
      <c r="K211" t="n">
        <v>2</v>
      </c>
      <c r="L211" t="n">
        <v>0</v>
      </c>
      <c r="M211" t="n">
        <v>0</v>
      </c>
      <c r="N211" t="n">
        <v>0</v>
      </c>
      <c r="O211" t="n">
        <v>3</v>
      </c>
      <c r="P211" t="n">
        <v>2</v>
      </c>
      <c r="Q211" t="n">
        <v>3</v>
      </c>
      <c r="R211" s="2" t="inlineStr">
        <is>
          <t>Doftticka
Knärot
Lunglav</t>
        </is>
      </c>
      <c r="S211">
        <f>HYPERLINK("https://klasma.github.io/Logging_2283/artfynd/A 50838-2023 artfynd.xlsx", "A 50838-2023")</f>
        <v/>
      </c>
      <c r="T211">
        <f>HYPERLINK("https://klasma.github.io/Logging_2283/kartor/A 50838-2023 karta.png", "A 50838-2023")</f>
        <v/>
      </c>
      <c r="U211">
        <f>HYPERLINK("https://klasma.github.io/Logging_2283/knärot/A 50838-2023 karta knärot.png", "A 50838-2023")</f>
        <v/>
      </c>
      <c r="V211">
        <f>HYPERLINK("https://klasma.github.io/Logging_2283/klagomål/A 50838-2023 FSC-klagomål.docx", "A 50838-2023")</f>
        <v/>
      </c>
      <c r="W211">
        <f>HYPERLINK("https://klasma.github.io/Logging_2283/klagomålsmail/A 50838-2023 FSC-klagomål mail.docx", "A 50838-2023")</f>
        <v/>
      </c>
      <c r="X211">
        <f>HYPERLINK("https://klasma.github.io/Logging_2283/tillsyn/A 50838-2023 tillsynsbegäran.docx", "A 50838-2023")</f>
        <v/>
      </c>
      <c r="Y211">
        <f>HYPERLINK("https://klasma.github.io/Logging_2283/tillsynsmail/A 50838-2023 tillsynsbegäran mail.docx", "A 50838-2023")</f>
        <v/>
      </c>
    </row>
    <row r="212" ht="15" customHeight="1">
      <c r="A212" t="inlineStr">
        <is>
          <t>A 6235-2023</t>
        </is>
      </c>
      <c r="B212" s="1" t="n">
        <v>44964</v>
      </c>
      <c r="C212" s="1" t="n">
        <v>45908</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40866-2023</t>
        </is>
      </c>
      <c r="B213" s="1" t="n">
        <v>45173</v>
      </c>
      <c r="C213" s="1" t="n">
        <v>45908</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18012-2022</t>
        </is>
      </c>
      <c r="B214" s="1" t="n">
        <v>44683</v>
      </c>
      <c r="C214" s="1" t="n">
        <v>45908</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45007-2023</t>
        </is>
      </c>
      <c r="B215" s="1" t="n">
        <v>45190</v>
      </c>
      <c r="C215" s="1" t="n">
        <v>45908</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53682-2024</t>
        </is>
      </c>
      <c r="B216" s="1" t="n">
        <v>45615</v>
      </c>
      <c r="C216" s="1" t="n">
        <v>45908</v>
      </c>
      <c r="D216" t="inlineStr">
        <is>
          <t>VÄSTERNORRLANDS LÄN</t>
        </is>
      </c>
      <c r="E216" t="inlineStr">
        <is>
          <t>SOLLEFTEÅ</t>
        </is>
      </c>
      <c r="F216" t="inlineStr">
        <is>
          <t>SCA</t>
        </is>
      </c>
      <c r="G216" t="n">
        <v>9.5</v>
      </c>
      <c r="H216" t="n">
        <v>0</v>
      </c>
      <c r="I216" t="n">
        <v>0</v>
      </c>
      <c r="J216" t="n">
        <v>2</v>
      </c>
      <c r="K216" t="n">
        <v>1</v>
      </c>
      <c r="L216" t="n">
        <v>0</v>
      </c>
      <c r="M216" t="n">
        <v>0</v>
      </c>
      <c r="N216" t="n">
        <v>0</v>
      </c>
      <c r="O216" t="n">
        <v>3</v>
      </c>
      <c r="P216" t="n">
        <v>1</v>
      </c>
      <c r="Q216" t="n">
        <v>3</v>
      </c>
      <c r="R216" s="2" t="inlineStr">
        <is>
          <t>Tallgråticka
Blå taggsvamp
Skrovlig taggsvamp</t>
        </is>
      </c>
      <c r="S216">
        <f>HYPERLINK("https://klasma.github.io/Logging_2283/artfynd/A 53682-2024 artfynd.xlsx", "A 53682-2024")</f>
        <v/>
      </c>
      <c r="T216">
        <f>HYPERLINK("https://klasma.github.io/Logging_2283/kartor/A 53682-2024 karta.png", "A 53682-2024")</f>
        <v/>
      </c>
      <c r="V216">
        <f>HYPERLINK("https://klasma.github.io/Logging_2283/klagomål/A 53682-2024 FSC-klagomål.docx", "A 53682-2024")</f>
        <v/>
      </c>
      <c r="W216">
        <f>HYPERLINK("https://klasma.github.io/Logging_2283/klagomålsmail/A 53682-2024 FSC-klagomål mail.docx", "A 53682-2024")</f>
        <v/>
      </c>
      <c r="X216">
        <f>HYPERLINK("https://klasma.github.io/Logging_2283/tillsyn/A 53682-2024 tillsynsbegäran.docx", "A 53682-2024")</f>
        <v/>
      </c>
      <c r="Y216">
        <f>HYPERLINK("https://klasma.github.io/Logging_2283/tillsynsmail/A 53682-2024 tillsynsbegäran mail.docx", "A 53682-2024")</f>
        <v/>
      </c>
    </row>
    <row r="217" ht="15" customHeight="1">
      <c r="A217" t="inlineStr">
        <is>
          <t>A 24757-2024</t>
        </is>
      </c>
      <c r="B217" s="1" t="n">
        <v>45460.67375</v>
      </c>
      <c r="C217" s="1" t="n">
        <v>45908</v>
      </c>
      <c r="D217" t="inlineStr">
        <is>
          <t>VÄSTERNORRLANDS LÄN</t>
        </is>
      </c>
      <c r="E217" t="inlineStr">
        <is>
          <t>SOLLEFTEÅ</t>
        </is>
      </c>
      <c r="G217" t="n">
        <v>1.4</v>
      </c>
      <c r="H217" t="n">
        <v>1</v>
      </c>
      <c r="I217" t="n">
        <v>0</v>
      </c>
      <c r="J217" t="n">
        <v>2</v>
      </c>
      <c r="K217" t="n">
        <v>0</v>
      </c>
      <c r="L217" t="n">
        <v>0</v>
      </c>
      <c r="M217" t="n">
        <v>0</v>
      </c>
      <c r="N217" t="n">
        <v>0</v>
      </c>
      <c r="O217" t="n">
        <v>2</v>
      </c>
      <c r="P217" t="n">
        <v>0</v>
      </c>
      <c r="Q217" t="n">
        <v>3</v>
      </c>
      <c r="R217" s="2" t="inlineStr">
        <is>
          <t>Harticka
Lunglav
Revlummer</t>
        </is>
      </c>
      <c r="S217">
        <f>HYPERLINK("https://klasma.github.io/Logging_2283/artfynd/A 24757-2024 artfynd.xlsx", "A 24757-2024")</f>
        <v/>
      </c>
      <c r="T217">
        <f>HYPERLINK("https://klasma.github.io/Logging_2283/kartor/A 24757-2024 karta.png", "A 24757-2024")</f>
        <v/>
      </c>
      <c r="V217">
        <f>HYPERLINK("https://klasma.github.io/Logging_2283/klagomål/A 24757-2024 FSC-klagomål.docx", "A 24757-2024")</f>
        <v/>
      </c>
      <c r="W217">
        <f>HYPERLINK("https://klasma.github.io/Logging_2283/klagomålsmail/A 24757-2024 FSC-klagomål mail.docx", "A 24757-2024")</f>
        <v/>
      </c>
      <c r="X217">
        <f>HYPERLINK("https://klasma.github.io/Logging_2283/tillsyn/A 24757-2024 tillsynsbegäran.docx", "A 24757-2024")</f>
        <v/>
      </c>
      <c r="Y217">
        <f>HYPERLINK("https://klasma.github.io/Logging_2283/tillsynsmail/A 24757-2024 tillsynsbegäran mail.docx", "A 24757-2024")</f>
        <v/>
      </c>
    </row>
    <row r="218" ht="15" customHeight="1">
      <c r="A218" t="inlineStr">
        <is>
          <t>A 48017-2024</t>
        </is>
      </c>
      <c r="B218" s="1" t="n">
        <v>45589.46935185185</v>
      </c>
      <c r="C218" s="1" t="n">
        <v>45908</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13059-2022</t>
        </is>
      </c>
      <c r="B219" s="1" t="n">
        <v>44643</v>
      </c>
      <c r="C219" s="1" t="n">
        <v>45908</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9583-2022</t>
        </is>
      </c>
      <c r="B220" s="1" t="n">
        <v>44617</v>
      </c>
      <c r="C220" s="1" t="n">
        <v>45908</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45908</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45908</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45908</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45908</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45908</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45908</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51024-2021</t>
        </is>
      </c>
      <c r="B227" s="1" t="n">
        <v>44460.94056712963</v>
      </c>
      <c r="C227" s="1" t="n">
        <v>45908</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35071-2021</t>
        </is>
      </c>
      <c r="B228" s="1" t="n">
        <v>44383</v>
      </c>
      <c r="C228" s="1" t="n">
        <v>45908</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13658-2022</t>
        </is>
      </c>
      <c r="B229" s="1" t="n">
        <v>44648</v>
      </c>
      <c r="C229" s="1" t="n">
        <v>45908</v>
      </c>
      <c r="D229" t="inlineStr">
        <is>
          <t>VÄSTERNORRLANDS LÄN</t>
        </is>
      </c>
      <c r="E229" t="inlineStr">
        <is>
          <t>SOLLEFTEÅ</t>
        </is>
      </c>
      <c r="G229" t="n">
        <v>7.4</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HYPERLINK("https://klasma.github.io/Logging_2283/artfynd/A 13658-2022 artfynd.xlsx", "A 13658-2022")</f>
        <v/>
      </c>
      <c r="T229">
        <f>HYPERLINK("https://klasma.github.io/Logging_2283/kartor/A 13658-2022 karta.png", "A 13658-2022")</f>
        <v/>
      </c>
      <c r="V229">
        <f>HYPERLINK("https://klasma.github.io/Logging_2283/klagomål/A 13658-2022 FSC-klagomål.docx", "A 13658-2022")</f>
        <v/>
      </c>
      <c r="W229">
        <f>HYPERLINK("https://klasma.github.io/Logging_2283/klagomålsmail/A 13658-2022 FSC-klagomål mail.docx", "A 13658-2022")</f>
        <v/>
      </c>
      <c r="X229">
        <f>HYPERLINK("https://klasma.github.io/Logging_2283/tillsyn/A 13658-2022 tillsynsbegäran.docx", "A 13658-2022")</f>
        <v/>
      </c>
      <c r="Y229">
        <f>HYPERLINK("https://klasma.github.io/Logging_2283/tillsynsmail/A 13658-2022 tillsynsbegäran mail.docx", "A 13658-2022")</f>
        <v/>
      </c>
    </row>
    <row r="230" ht="15" customHeight="1">
      <c r="A230" t="inlineStr">
        <is>
          <t>A 6698-2024</t>
        </is>
      </c>
      <c r="B230" s="1" t="n">
        <v>45341</v>
      </c>
      <c r="C230" s="1" t="n">
        <v>45908</v>
      </c>
      <c r="D230" t="inlineStr">
        <is>
          <t>VÄSTERNORRLANDS LÄN</t>
        </is>
      </c>
      <c r="E230" t="inlineStr">
        <is>
          <t>SOLLEFTEÅ</t>
        </is>
      </c>
      <c r="F230" t="inlineStr">
        <is>
          <t>SCA</t>
        </is>
      </c>
      <c r="G230" t="n">
        <v>3</v>
      </c>
      <c r="H230" t="n">
        <v>0</v>
      </c>
      <c r="I230" t="n">
        <v>0</v>
      </c>
      <c r="J230" t="n">
        <v>2</v>
      </c>
      <c r="K230" t="n">
        <v>0</v>
      </c>
      <c r="L230" t="n">
        <v>0</v>
      </c>
      <c r="M230" t="n">
        <v>0</v>
      </c>
      <c r="N230" t="n">
        <v>0</v>
      </c>
      <c r="O230" t="n">
        <v>2</v>
      </c>
      <c r="P230" t="n">
        <v>0</v>
      </c>
      <c r="Q230" t="n">
        <v>2</v>
      </c>
      <c r="R230" s="2" t="inlineStr">
        <is>
          <t>Granticka
Harticka</t>
        </is>
      </c>
      <c r="S230">
        <f>HYPERLINK("https://klasma.github.io/Logging_2283/artfynd/A 6698-2024 artfynd.xlsx", "A 6698-2024")</f>
        <v/>
      </c>
      <c r="T230">
        <f>HYPERLINK("https://klasma.github.io/Logging_2283/kartor/A 6698-2024 karta.png", "A 6698-2024")</f>
        <v/>
      </c>
      <c r="V230">
        <f>HYPERLINK("https://klasma.github.io/Logging_2283/klagomål/A 6698-2024 FSC-klagomål.docx", "A 6698-2024")</f>
        <v/>
      </c>
      <c r="W230">
        <f>HYPERLINK("https://klasma.github.io/Logging_2283/klagomålsmail/A 6698-2024 FSC-klagomål mail.docx", "A 6698-2024")</f>
        <v/>
      </c>
      <c r="X230">
        <f>HYPERLINK("https://klasma.github.io/Logging_2283/tillsyn/A 6698-2024 tillsynsbegäran.docx", "A 6698-2024")</f>
        <v/>
      </c>
      <c r="Y230">
        <f>HYPERLINK("https://klasma.github.io/Logging_2283/tillsynsmail/A 6698-2024 tillsynsbegäran mail.docx", "A 6698-2024")</f>
        <v/>
      </c>
    </row>
    <row r="231" ht="15" customHeight="1">
      <c r="A231" t="inlineStr">
        <is>
          <t>A 17377-2021</t>
        </is>
      </c>
      <c r="B231" s="1" t="n">
        <v>44298</v>
      </c>
      <c r="C231" s="1" t="n">
        <v>45908</v>
      </c>
      <c r="D231" t="inlineStr">
        <is>
          <t>VÄSTERNORRLANDS LÄN</t>
        </is>
      </c>
      <c r="E231" t="inlineStr">
        <is>
          <t>SOLLEFTEÅ</t>
        </is>
      </c>
      <c r="G231" t="n">
        <v>5.1</v>
      </c>
      <c r="H231" t="n">
        <v>1</v>
      </c>
      <c r="I231" t="n">
        <v>0</v>
      </c>
      <c r="J231" t="n">
        <v>2</v>
      </c>
      <c r="K231" t="n">
        <v>0</v>
      </c>
      <c r="L231" t="n">
        <v>0</v>
      </c>
      <c r="M231" t="n">
        <v>0</v>
      </c>
      <c r="N231" t="n">
        <v>0</v>
      </c>
      <c r="O231" t="n">
        <v>2</v>
      </c>
      <c r="P231" t="n">
        <v>0</v>
      </c>
      <c r="Q231" t="n">
        <v>2</v>
      </c>
      <c r="R231" s="2" t="inlineStr">
        <is>
          <t>Tretåig hackspett
Ullticka</t>
        </is>
      </c>
      <c r="S231">
        <f>HYPERLINK("https://klasma.github.io/Logging_2283/artfynd/A 17377-2021 artfynd.xlsx", "A 17377-2021")</f>
        <v/>
      </c>
      <c r="T231">
        <f>HYPERLINK("https://klasma.github.io/Logging_2283/kartor/A 17377-2021 karta.png", "A 17377-2021")</f>
        <v/>
      </c>
      <c r="V231">
        <f>HYPERLINK("https://klasma.github.io/Logging_2283/klagomål/A 17377-2021 FSC-klagomål.docx", "A 17377-2021")</f>
        <v/>
      </c>
      <c r="W231">
        <f>HYPERLINK("https://klasma.github.io/Logging_2283/klagomålsmail/A 17377-2021 FSC-klagomål mail.docx", "A 17377-2021")</f>
        <v/>
      </c>
      <c r="X231">
        <f>HYPERLINK("https://klasma.github.io/Logging_2283/tillsyn/A 17377-2021 tillsynsbegäran.docx", "A 17377-2021")</f>
        <v/>
      </c>
      <c r="Y231">
        <f>HYPERLINK("https://klasma.github.io/Logging_2283/tillsynsmail/A 17377-2021 tillsynsbegäran mail.docx", "A 17377-2021")</f>
        <v/>
      </c>
      <c r="Z231">
        <f>HYPERLINK("https://klasma.github.io/Logging_2283/fåglar/A 17377-2021 prioriterade fågelarter.docx", "A 17377-2021")</f>
        <v/>
      </c>
    </row>
    <row r="232" ht="15" customHeight="1">
      <c r="A232" t="inlineStr">
        <is>
          <t>A 21742-2025</t>
        </is>
      </c>
      <c r="B232" s="1" t="n">
        <v>45783.59428240741</v>
      </c>
      <c r="C232" s="1" t="n">
        <v>45908</v>
      </c>
      <c r="D232" t="inlineStr">
        <is>
          <t>VÄSTERNORRLANDS LÄN</t>
        </is>
      </c>
      <c r="E232" t="inlineStr">
        <is>
          <t>SOLLEFTEÅ</t>
        </is>
      </c>
      <c r="F232" t="inlineStr">
        <is>
          <t>SCA</t>
        </is>
      </c>
      <c r="G232" t="n">
        <v>1.5</v>
      </c>
      <c r="H232" t="n">
        <v>1</v>
      </c>
      <c r="I232" t="n">
        <v>0</v>
      </c>
      <c r="J232" t="n">
        <v>1</v>
      </c>
      <c r="K232" t="n">
        <v>0</v>
      </c>
      <c r="L232" t="n">
        <v>0</v>
      </c>
      <c r="M232" t="n">
        <v>0</v>
      </c>
      <c r="N232" t="n">
        <v>0</v>
      </c>
      <c r="O232" t="n">
        <v>1</v>
      </c>
      <c r="P232" t="n">
        <v>0</v>
      </c>
      <c r="Q232" t="n">
        <v>2</v>
      </c>
      <c r="R232" s="2" t="inlineStr">
        <is>
          <t>Garnlav
Revlummer</t>
        </is>
      </c>
      <c r="S232">
        <f>HYPERLINK("https://klasma.github.io/Logging_2283/artfynd/A 21742-2025 artfynd.xlsx", "A 21742-2025")</f>
        <v/>
      </c>
      <c r="T232">
        <f>HYPERLINK("https://klasma.github.io/Logging_2283/kartor/A 21742-2025 karta.png", "A 21742-2025")</f>
        <v/>
      </c>
      <c r="V232">
        <f>HYPERLINK("https://klasma.github.io/Logging_2283/klagomål/A 21742-2025 FSC-klagomål.docx", "A 21742-2025")</f>
        <v/>
      </c>
      <c r="W232">
        <f>HYPERLINK("https://klasma.github.io/Logging_2283/klagomålsmail/A 21742-2025 FSC-klagomål mail.docx", "A 21742-2025")</f>
        <v/>
      </c>
      <c r="X232">
        <f>HYPERLINK("https://klasma.github.io/Logging_2283/tillsyn/A 21742-2025 tillsynsbegäran.docx", "A 21742-2025")</f>
        <v/>
      </c>
      <c r="Y232">
        <f>HYPERLINK("https://klasma.github.io/Logging_2283/tillsynsmail/A 21742-2025 tillsynsbegäran mail.docx", "A 21742-2025")</f>
        <v/>
      </c>
    </row>
    <row r="233" ht="15" customHeight="1">
      <c r="A233" t="inlineStr">
        <is>
          <t>A 54153-2021</t>
        </is>
      </c>
      <c r="B233" s="1" t="n">
        <v>44469</v>
      </c>
      <c r="C233" s="1" t="n">
        <v>45908</v>
      </c>
      <c r="D233" t="inlineStr">
        <is>
          <t>VÄSTERNORRLANDS LÄN</t>
        </is>
      </c>
      <c r="E233" t="inlineStr">
        <is>
          <t>SOLLEFTEÅ</t>
        </is>
      </c>
      <c r="G233" t="n">
        <v>1.4</v>
      </c>
      <c r="H233" t="n">
        <v>0</v>
      </c>
      <c r="I233" t="n">
        <v>0</v>
      </c>
      <c r="J233" t="n">
        <v>2</v>
      </c>
      <c r="K233" t="n">
        <v>0</v>
      </c>
      <c r="L233" t="n">
        <v>0</v>
      </c>
      <c r="M233" t="n">
        <v>0</v>
      </c>
      <c r="N233" t="n">
        <v>0</v>
      </c>
      <c r="O233" t="n">
        <v>2</v>
      </c>
      <c r="P233" t="n">
        <v>0</v>
      </c>
      <c r="Q233" t="n">
        <v>2</v>
      </c>
      <c r="R233" s="2" t="inlineStr">
        <is>
          <t>Garnlav
Rosenticka</t>
        </is>
      </c>
      <c r="S233">
        <f>HYPERLINK("https://klasma.github.io/Logging_2283/artfynd/A 54153-2021 artfynd.xlsx", "A 54153-2021")</f>
        <v/>
      </c>
      <c r="T233">
        <f>HYPERLINK("https://klasma.github.io/Logging_2283/kartor/A 54153-2021 karta.png", "A 54153-2021")</f>
        <v/>
      </c>
      <c r="V233">
        <f>HYPERLINK("https://klasma.github.io/Logging_2283/klagomål/A 54153-2021 FSC-klagomål.docx", "A 54153-2021")</f>
        <v/>
      </c>
      <c r="W233">
        <f>HYPERLINK("https://klasma.github.io/Logging_2283/klagomålsmail/A 54153-2021 FSC-klagomål mail.docx", "A 54153-2021")</f>
        <v/>
      </c>
      <c r="X233">
        <f>HYPERLINK("https://klasma.github.io/Logging_2283/tillsyn/A 54153-2021 tillsynsbegäran.docx", "A 54153-2021")</f>
        <v/>
      </c>
      <c r="Y233">
        <f>HYPERLINK("https://klasma.github.io/Logging_2283/tillsynsmail/A 54153-2021 tillsynsbegäran mail.docx", "A 54153-2021")</f>
        <v/>
      </c>
    </row>
    <row r="234" ht="15" customHeight="1">
      <c r="A234" t="inlineStr">
        <is>
          <t>A 21485-2025</t>
        </is>
      </c>
      <c r="B234" s="1" t="n">
        <v>45782.59512731482</v>
      </c>
      <c r="C234" s="1" t="n">
        <v>45908</v>
      </c>
      <c r="D234" t="inlineStr">
        <is>
          <t>VÄSTERNORRLANDS LÄN</t>
        </is>
      </c>
      <c r="E234" t="inlineStr">
        <is>
          <t>SOLLEFTEÅ</t>
        </is>
      </c>
      <c r="F234" t="inlineStr">
        <is>
          <t>SCA</t>
        </is>
      </c>
      <c r="G234" t="n">
        <v>5.4</v>
      </c>
      <c r="H234" t="n">
        <v>0</v>
      </c>
      <c r="I234" t="n">
        <v>1</v>
      </c>
      <c r="J234" t="n">
        <v>1</v>
      </c>
      <c r="K234" t="n">
        <v>0</v>
      </c>
      <c r="L234" t="n">
        <v>0</v>
      </c>
      <c r="M234" t="n">
        <v>0</v>
      </c>
      <c r="N234" t="n">
        <v>0</v>
      </c>
      <c r="O234" t="n">
        <v>1</v>
      </c>
      <c r="P234" t="n">
        <v>0</v>
      </c>
      <c r="Q234" t="n">
        <v>2</v>
      </c>
      <c r="R234" s="2" t="inlineStr">
        <is>
          <t>Garnlav
Vågbandad barkbock</t>
        </is>
      </c>
      <c r="S234">
        <f>HYPERLINK("https://klasma.github.io/Logging_2283/artfynd/A 21485-2025 artfynd.xlsx", "A 21485-2025")</f>
        <v/>
      </c>
      <c r="T234">
        <f>HYPERLINK("https://klasma.github.io/Logging_2283/kartor/A 21485-2025 karta.png", "A 21485-2025")</f>
        <v/>
      </c>
      <c r="V234">
        <f>HYPERLINK("https://klasma.github.io/Logging_2283/klagomål/A 21485-2025 FSC-klagomål.docx", "A 21485-2025")</f>
        <v/>
      </c>
      <c r="W234">
        <f>HYPERLINK("https://klasma.github.io/Logging_2283/klagomålsmail/A 21485-2025 FSC-klagomål mail.docx", "A 21485-2025")</f>
        <v/>
      </c>
      <c r="X234">
        <f>HYPERLINK("https://klasma.github.io/Logging_2283/tillsyn/A 21485-2025 tillsynsbegäran.docx", "A 21485-2025")</f>
        <v/>
      </c>
      <c r="Y234">
        <f>HYPERLINK("https://klasma.github.io/Logging_2283/tillsynsmail/A 21485-2025 tillsynsbegäran mail.docx", "A 21485-2025")</f>
        <v/>
      </c>
    </row>
    <row r="235" ht="15" customHeight="1">
      <c r="A235" t="inlineStr">
        <is>
          <t>A 34812-2024</t>
        </is>
      </c>
      <c r="B235" s="1" t="n">
        <v>45526</v>
      </c>
      <c r="C235" s="1" t="n">
        <v>45908</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27644-2024</t>
        </is>
      </c>
      <c r="B236" s="1" t="n">
        <v>45474</v>
      </c>
      <c r="C236" s="1" t="n">
        <v>45908</v>
      </c>
      <c r="D236" t="inlineStr">
        <is>
          <t>VÄSTERNORRLANDS LÄN</t>
        </is>
      </c>
      <c r="E236" t="inlineStr">
        <is>
          <t>SOLLEFTEÅ</t>
        </is>
      </c>
      <c r="F236" t="inlineStr">
        <is>
          <t>SCA</t>
        </is>
      </c>
      <c r="G236" t="n">
        <v>2.8</v>
      </c>
      <c r="H236" t="n">
        <v>1</v>
      </c>
      <c r="I236" t="n">
        <v>0</v>
      </c>
      <c r="J236" t="n">
        <v>1</v>
      </c>
      <c r="K236" t="n">
        <v>0</v>
      </c>
      <c r="L236" t="n">
        <v>0</v>
      </c>
      <c r="M236" t="n">
        <v>0</v>
      </c>
      <c r="N236" t="n">
        <v>0</v>
      </c>
      <c r="O236" t="n">
        <v>1</v>
      </c>
      <c r="P236" t="n">
        <v>0</v>
      </c>
      <c r="Q236" t="n">
        <v>2</v>
      </c>
      <c r="R236" s="2" t="inlineStr">
        <is>
          <t>Granticka
Fläcknycklar</t>
        </is>
      </c>
      <c r="S236">
        <f>HYPERLINK("https://klasma.github.io/Logging_2283/artfynd/A 27644-2024 artfynd.xlsx", "A 27644-2024")</f>
        <v/>
      </c>
      <c r="T236">
        <f>HYPERLINK("https://klasma.github.io/Logging_2283/kartor/A 27644-2024 karta.png", "A 27644-2024")</f>
        <v/>
      </c>
      <c r="V236">
        <f>HYPERLINK("https://klasma.github.io/Logging_2283/klagomål/A 27644-2024 FSC-klagomål.docx", "A 27644-2024")</f>
        <v/>
      </c>
      <c r="W236">
        <f>HYPERLINK("https://klasma.github.io/Logging_2283/klagomålsmail/A 27644-2024 FSC-klagomål mail.docx", "A 27644-2024")</f>
        <v/>
      </c>
      <c r="X236">
        <f>HYPERLINK("https://klasma.github.io/Logging_2283/tillsyn/A 27644-2024 tillsynsbegäran.docx", "A 27644-2024")</f>
        <v/>
      </c>
      <c r="Y236">
        <f>HYPERLINK("https://klasma.github.io/Logging_2283/tillsynsmail/A 27644-2024 tillsynsbegäran mail.docx", "A 27644-2024")</f>
        <v/>
      </c>
    </row>
    <row r="237" ht="15" customHeight="1">
      <c r="A237" t="inlineStr">
        <is>
          <t>A 46630-2022</t>
        </is>
      </c>
      <c r="B237" s="1" t="n">
        <v>44848</v>
      </c>
      <c r="C237" s="1" t="n">
        <v>45908</v>
      </c>
      <c r="D237" t="inlineStr">
        <is>
          <t>VÄSTERNORRLANDS LÄN</t>
        </is>
      </c>
      <c r="E237" t="inlineStr">
        <is>
          <t>SOLLEFTEÅ</t>
        </is>
      </c>
      <c r="F237" t="inlineStr">
        <is>
          <t>SCA</t>
        </is>
      </c>
      <c r="G237" t="n">
        <v>3.1</v>
      </c>
      <c r="H237" t="n">
        <v>2</v>
      </c>
      <c r="I237" t="n">
        <v>0</v>
      </c>
      <c r="J237" t="n">
        <v>1</v>
      </c>
      <c r="K237" t="n">
        <v>1</v>
      </c>
      <c r="L237" t="n">
        <v>0</v>
      </c>
      <c r="M237" t="n">
        <v>0</v>
      </c>
      <c r="N237" t="n">
        <v>0</v>
      </c>
      <c r="O237" t="n">
        <v>2</v>
      </c>
      <c r="P237" t="n">
        <v>1</v>
      </c>
      <c r="Q237" t="n">
        <v>2</v>
      </c>
      <c r="R237" s="2" t="inlineStr">
        <is>
          <t>Knärot
Tretåig hackspett</t>
        </is>
      </c>
      <c r="S237">
        <f>HYPERLINK("https://klasma.github.io/Logging_2283/artfynd/A 46630-2022 artfynd.xlsx", "A 46630-2022")</f>
        <v/>
      </c>
      <c r="T237">
        <f>HYPERLINK("https://klasma.github.io/Logging_2283/kartor/A 46630-2022 karta.png", "A 46630-2022")</f>
        <v/>
      </c>
      <c r="U237">
        <f>HYPERLINK("https://klasma.github.io/Logging_2283/knärot/A 46630-2022 karta knärot.png", "A 46630-2022")</f>
        <v/>
      </c>
      <c r="V237">
        <f>HYPERLINK("https://klasma.github.io/Logging_2283/klagomål/A 46630-2022 FSC-klagomål.docx", "A 46630-2022")</f>
        <v/>
      </c>
      <c r="W237">
        <f>HYPERLINK("https://klasma.github.io/Logging_2283/klagomålsmail/A 46630-2022 FSC-klagomål mail.docx", "A 46630-2022")</f>
        <v/>
      </c>
      <c r="X237">
        <f>HYPERLINK("https://klasma.github.io/Logging_2283/tillsyn/A 46630-2022 tillsynsbegäran.docx", "A 46630-2022")</f>
        <v/>
      </c>
      <c r="Y237">
        <f>HYPERLINK("https://klasma.github.io/Logging_2283/tillsynsmail/A 46630-2022 tillsynsbegäran mail.docx", "A 46630-2022")</f>
        <v/>
      </c>
      <c r="Z237">
        <f>HYPERLINK("https://klasma.github.io/Logging_2283/fåglar/A 46630-2022 prioriterade fågelarter.docx", "A 46630-2022")</f>
        <v/>
      </c>
    </row>
    <row r="238" ht="15" customHeight="1">
      <c r="A238" t="inlineStr">
        <is>
          <t>A 22220-2025</t>
        </is>
      </c>
      <c r="B238" s="1" t="n">
        <v>45785.65862268519</v>
      </c>
      <c r="C238" s="1" t="n">
        <v>45908</v>
      </c>
      <c r="D238" t="inlineStr">
        <is>
          <t>VÄSTERNORRLANDS LÄN</t>
        </is>
      </c>
      <c r="E238" t="inlineStr">
        <is>
          <t>SOLLEFTEÅ</t>
        </is>
      </c>
      <c r="F238" t="inlineStr">
        <is>
          <t>SCA</t>
        </is>
      </c>
      <c r="G238" t="n">
        <v>4.6</v>
      </c>
      <c r="H238" t="n">
        <v>0</v>
      </c>
      <c r="I238" t="n">
        <v>1</v>
      </c>
      <c r="J238" t="n">
        <v>1</v>
      </c>
      <c r="K238" t="n">
        <v>0</v>
      </c>
      <c r="L238" t="n">
        <v>0</v>
      </c>
      <c r="M238" t="n">
        <v>0</v>
      </c>
      <c r="N238" t="n">
        <v>0</v>
      </c>
      <c r="O238" t="n">
        <v>1</v>
      </c>
      <c r="P238" t="n">
        <v>0</v>
      </c>
      <c r="Q238" t="n">
        <v>2</v>
      </c>
      <c r="R238" s="2" t="inlineStr">
        <is>
          <t>Lunglav
Stor aspticka</t>
        </is>
      </c>
      <c r="S238">
        <f>HYPERLINK("https://klasma.github.io/Logging_2283/artfynd/A 22220-2025 artfynd.xlsx", "A 22220-2025")</f>
        <v/>
      </c>
      <c r="T238">
        <f>HYPERLINK("https://klasma.github.io/Logging_2283/kartor/A 22220-2025 karta.png", "A 22220-2025")</f>
        <v/>
      </c>
      <c r="V238">
        <f>HYPERLINK("https://klasma.github.io/Logging_2283/klagomål/A 22220-2025 FSC-klagomål.docx", "A 22220-2025")</f>
        <v/>
      </c>
      <c r="W238">
        <f>HYPERLINK("https://klasma.github.io/Logging_2283/klagomålsmail/A 22220-2025 FSC-klagomål mail.docx", "A 22220-2025")</f>
        <v/>
      </c>
      <c r="X238">
        <f>HYPERLINK("https://klasma.github.io/Logging_2283/tillsyn/A 22220-2025 tillsynsbegäran.docx", "A 22220-2025")</f>
        <v/>
      </c>
      <c r="Y238">
        <f>HYPERLINK("https://klasma.github.io/Logging_2283/tillsynsmail/A 22220-2025 tillsynsbegäran mail.docx", "A 22220-2025")</f>
        <v/>
      </c>
    </row>
    <row r="239" ht="15" customHeight="1">
      <c r="A239" t="inlineStr">
        <is>
          <t>A 20347-2025</t>
        </is>
      </c>
      <c r="B239" s="1" t="n">
        <v>45775</v>
      </c>
      <c r="C239" s="1" t="n">
        <v>45908</v>
      </c>
      <c r="D239" t="inlineStr">
        <is>
          <t>VÄSTERNORRLANDS LÄN</t>
        </is>
      </c>
      <c r="E239" t="inlineStr">
        <is>
          <t>SOLLEFTEÅ</t>
        </is>
      </c>
      <c r="G239" t="n">
        <v>8.699999999999999</v>
      </c>
      <c r="H239" t="n">
        <v>1</v>
      </c>
      <c r="I239" t="n">
        <v>1</v>
      </c>
      <c r="J239" t="n">
        <v>0</v>
      </c>
      <c r="K239" t="n">
        <v>0</v>
      </c>
      <c r="L239" t="n">
        <v>0</v>
      </c>
      <c r="M239" t="n">
        <v>0</v>
      </c>
      <c r="N239" t="n">
        <v>0</v>
      </c>
      <c r="O239" t="n">
        <v>0</v>
      </c>
      <c r="P239" t="n">
        <v>0</v>
      </c>
      <c r="Q239" t="n">
        <v>2</v>
      </c>
      <c r="R239" s="2" t="inlineStr">
        <is>
          <t>Gräsull
Fläcknycklar</t>
        </is>
      </c>
      <c r="S239">
        <f>HYPERLINK("https://klasma.github.io/Logging_2283/artfynd/A 20347-2025 artfynd.xlsx", "A 20347-2025")</f>
        <v/>
      </c>
      <c r="T239">
        <f>HYPERLINK("https://klasma.github.io/Logging_2283/kartor/A 20347-2025 karta.png", "A 20347-2025")</f>
        <v/>
      </c>
      <c r="V239">
        <f>HYPERLINK("https://klasma.github.io/Logging_2283/klagomål/A 20347-2025 FSC-klagomål.docx", "A 20347-2025")</f>
        <v/>
      </c>
      <c r="W239">
        <f>HYPERLINK("https://klasma.github.io/Logging_2283/klagomålsmail/A 20347-2025 FSC-klagomål mail.docx", "A 20347-2025")</f>
        <v/>
      </c>
      <c r="X239">
        <f>HYPERLINK("https://klasma.github.io/Logging_2283/tillsyn/A 20347-2025 tillsynsbegäran.docx", "A 20347-2025")</f>
        <v/>
      </c>
      <c r="Y239">
        <f>HYPERLINK("https://klasma.github.io/Logging_2283/tillsynsmail/A 20347-2025 tillsynsbegäran mail.docx", "A 20347-2025")</f>
        <v/>
      </c>
    </row>
    <row r="240" ht="15" customHeight="1">
      <c r="A240" t="inlineStr">
        <is>
          <t>A 22518-2025</t>
        </is>
      </c>
      <c r="B240" s="1" t="n">
        <v>45786.67831018518</v>
      </c>
      <c r="C240" s="1" t="n">
        <v>45908</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22808-2025</t>
        </is>
      </c>
      <c r="B241" s="1" t="n">
        <v>45789</v>
      </c>
      <c r="C241" s="1" t="n">
        <v>45908</v>
      </c>
      <c r="D241" t="inlineStr">
        <is>
          <t>VÄSTERNORRLANDS LÄN</t>
        </is>
      </c>
      <c r="E241" t="inlineStr">
        <is>
          <t>SOLLEFTEÅ</t>
        </is>
      </c>
      <c r="G241" t="n">
        <v>0.7</v>
      </c>
      <c r="H241" t="n">
        <v>0</v>
      </c>
      <c r="I241" t="n">
        <v>1</v>
      </c>
      <c r="J241" t="n">
        <v>1</v>
      </c>
      <c r="K241" t="n">
        <v>0</v>
      </c>
      <c r="L241" t="n">
        <v>0</v>
      </c>
      <c r="M241" t="n">
        <v>0</v>
      </c>
      <c r="N241" t="n">
        <v>0</v>
      </c>
      <c r="O241" t="n">
        <v>1</v>
      </c>
      <c r="P241" t="n">
        <v>0</v>
      </c>
      <c r="Q241" t="n">
        <v>2</v>
      </c>
      <c r="R241" s="2" t="inlineStr">
        <is>
          <t>Lunglav
Bårdlav</t>
        </is>
      </c>
      <c r="S241">
        <f>HYPERLINK("https://klasma.github.io/Logging_2283/artfynd/A 22808-2025 artfynd.xlsx", "A 22808-2025")</f>
        <v/>
      </c>
      <c r="T241">
        <f>HYPERLINK("https://klasma.github.io/Logging_2283/kartor/A 22808-2025 karta.png", "A 22808-2025")</f>
        <v/>
      </c>
      <c r="V241">
        <f>HYPERLINK("https://klasma.github.io/Logging_2283/klagomål/A 22808-2025 FSC-klagomål.docx", "A 22808-2025")</f>
        <v/>
      </c>
      <c r="W241">
        <f>HYPERLINK("https://klasma.github.io/Logging_2283/klagomålsmail/A 22808-2025 FSC-klagomål mail.docx", "A 22808-2025")</f>
        <v/>
      </c>
      <c r="X241">
        <f>HYPERLINK("https://klasma.github.io/Logging_2283/tillsyn/A 22808-2025 tillsynsbegäran.docx", "A 22808-2025")</f>
        <v/>
      </c>
      <c r="Y241">
        <f>HYPERLINK("https://klasma.github.io/Logging_2283/tillsynsmail/A 22808-2025 tillsynsbegäran mail.docx", "A 22808-2025")</f>
        <v/>
      </c>
    </row>
    <row r="242" ht="15" customHeight="1">
      <c r="A242" t="inlineStr">
        <is>
          <t>A 54486-2024</t>
        </is>
      </c>
      <c r="B242" s="1" t="n">
        <v>45617</v>
      </c>
      <c r="C242" s="1" t="n">
        <v>45908</v>
      </c>
      <c r="D242" t="inlineStr">
        <is>
          <t>VÄSTERNORRLANDS LÄN</t>
        </is>
      </c>
      <c r="E242" t="inlineStr">
        <is>
          <t>SOLLEFTEÅ</t>
        </is>
      </c>
      <c r="G242" t="n">
        <v>18.3</v>
      </c>
      <c r="H242" t="n">
        <v>2</v>
      </c>
      <c r="I242" t="n">
        <v>1</v>
      </c>
      <c r="J242" t="n">
        <v>0</v>
      </c>
      <c r="K242" t="n">
        <v>0</v>
      </c>
      <c r="L242" t="n">
        <v>0</v>
      </c>
      <c r="M242" t="n">
        <v>0</v>
      </c>
      <c r="N242" t="n">
        <v>0</v>
      </c>
      <c r="O242" t="n">
        <v>0</v>
      </c>
      <c r="P242" t="n">
        <v>0</v>
      </c>
      <c r="Q242" t="n">
        <v>2</v>
      </c>
      <c r="R242" s="2" t="inlineStr">
        <is>
          <t>Tvåblad
Ängsnycklar</t>
        </is>
      </c>
      <c r="S242">
        <f>HYPERLINK("https://klasma.github.io/Logging_2283/artfynd/A 54486-2024 artfynd.xlsx", "A 54486-2024")</f>
        <v/>
      </c>
      <c r="T242">
        <f>HYPERLINK("https://klasma.github.io/Logging_2283/kartor/A 54486-2024 karta.png", "A 54486-2024")</f>
        <v/>
      </c>
      <c r="V242">
        <f>HYPERLINK("https://klasma.github.io/Logging_2283/klagomål/A 54486-2024 FSC-klagomål.docx", "A 54486-2024")</f>
        <v/>
      </c>
      <c r="W242">
        <f>HYPERLINK("https://klasma.github.io/Logging_2283/klagomålsmail/A 54486-2024 FSC-klagomål mail.docx", "A 54486-2024")</f>
        <v/>
      </c>
      <c r="X242">
        <f>HYPERLINK("https://klasma.github.io/Logging_2283/tillsyn/A 54486-2024 tillsynsbegäran.docx", "A 54486-2024")</f>
        <v/>
      </c>
      <c r="Y242">
        <f>HYPERLINK("https://klasma.github.io/Logging_2283/tillsynsmail/A 54486-2024 tillsynsbegäran mail.docx", "A 54486-2024")</f>
        <v/>
      </c>
    </row>
    <row r="243" ht="15" customHeight="1">
      <c r="A243" t="inlineStr">
        <is>
          <t>A 58880-2024</t>
        </is>
      </c>
      <c r="B243" s="1" t="n">
        <v>45636.44836805556</v>
      </c>
      <c r="C243" s="1" t="n">
        <v>45908</v>
      </c>
      <c r="D243" t="inlineStr">
        <is>
          <t>VÄSTERNORRLANDS LÄN</t>
        </is>
      </c>
      <c r="E243" t="inlineStr">
        <is>
          <t>SOLLEFTEÅ</t>
        </is>
      </c>
      <c r="F243" t="inlineStr">
        <is>
          <t>SCA</t>
        </is>
      </c>
      <c r="G243" t="n">
        <v>2</v>
      </c>
      <c r="H243" t="n">
        <v>0</v>
      </c>
      <c r="I243" t="n">
        <v>0</v>
      </c>
      <c r="J243" t="n">
        <v>2</v>
      </c>
      <c r="K243" t="n">
        <v>0</v>
      </c>
      <c r="L243" t="n">
        <v>0</v>
      </c>
      <c r="M243" t="n">
        <v>0</v>
      </c>
      <c r="N243" t="n">
        <v>0</v>
      </c>
      <c r="O243" t="n">
        <v>2</v>
      </c>
      <c r="P243" t="n">
        <v>0</v>
      </c>
      <c r="Q243" t="n">
        <v>2</v>
      </c>
      <c r="R243" s="2" t="inlineStr">
        <is>
          <t>Gammelgransskål
Garnlav</t>
        </is>
      </c>
      <c r="S243">
        <f>HYPERLINK("https://klasma.github.io/Logging_2283/artfynd/A 58880-2024 artfynd.xlsx", "A 58880-2024")</f>
        <v/>
      </c>
      <c r="T243">
        <f>HYPERLINK("https://klasma.github.io/Logging_2283/kartor/A 58880-2024 karta.png", "A 58880-2024")</f>
        <v/>
      </c>
      <c r="V243">
        <f>HYPERLINK("https://klasma.github.io/Logging_2283/klagomål/A 58880-2024 FSC-klagomål.docx", "A 58880-2024")</f>
        <v/>
      </c>
      <c r="W243">
        <f>HYPERLINK("https://klasma.github.io/Logging_2283/klagomålsmail/A 58880-2024 FSC-klagomål mail.docx", "A 58880-2024")</f>
        <v/>
      </c>
      <c r="X243">
        <f>HYPERLINK("https://klasma.github.io/Logging_2283/tillsyn/A 58880-2024 tillsynsbegäran.docx", "A 58880-2024")</f>
        <v/>
      </c>
      <c r="Y243">
        <f>HYPERLINK("https://klasma.github.io/Logging_2283/tillsynsmail/A 58880-2024 tillsynsbegäran mail.docx", "A 58880-2024")</f>
        <v/>
      </c>
    </row>
    <row r="244" ht="15" customHeight="1">
      <c r="A244" t="inlineStr">
        <is>
          <t>A 31491-2024</t>
        </is>
      </c>
      <c r="B244" s="1" t="n">
        <v>45505</v>
      </c>
      <c r="C244" s="1" t="n">
        <v>45908</v>
      </c>
      <c r="D244" t="inlineStr">
        <is>
          <t>VÄSTERNORRLANDS LÄN</t>
        </is>
      </c>
      <c r="E244" t="inlineStr">
        <is>
          <t>SOLLEFTEÅ</t>
        </is>
      </c>
      <c r="F244" t="inlineStr">
        <is>
          <t>SCA</t>
        </is>
      </c>
      <c r="G244" t="n">
        <v>17.2</v>
      </c>
      <c r="H244" t="n">
        <v>1</v>
      </c>
      <c r="I244" t="n">
        <v>0</v>
      </c>
      <c r="J244" t="n">
        <v>2</v>
      </c>
      <c r="K244" t="n">
        <v>0</v>
      </c>
      <c r="L244" t="n">
        <v>0</v>
      </c>
      <c r="M244" t="n">
        <v>0</v>
      </c>
      <c r="N244" t="n">
        <v>0</v>
      </c>
      <c r="O244" t="n">
        <v>2</v>
      </c>
      <c r="P244" t="n">
        <v>0</v>
      </c>
      <c r="Q244" t="n">
        <v>2</v>
      </c>
      <c r="R244" s="2" t="inlineStr">
        <is>
          <t>Lunglav
Tretåig hackspett</t>
        </is>
      </c>
      <c r="S244">
        <f>HYPERLINK("https://klasma.github.io/Logging_2283/artfynd/A 31491-2024 artfynd.xlsx", "A 31491-2024")</f>
        <v/>
      </c>
      <c r="T244">
        <f>HYPERLINK("https://klasma.github.io/Logging_2283/kartor/A 31491-2024 karta.png", "A 31491-2024")</f>
        <v/>
      </c>
      <c r="V244">
        <f>HYPERLINK("https://klasma.github.io/Logging_2283/klagomål/A 31491-2024 FSC-klagomål.docx", "A 31491-2024")</f>
        <v/>
      </c>
      <c r="W244">
        <f>HYPERLINK("https://klasma.github.io/Logging_2283/klagomålsmail/A 31491-2024 FSC-klagomål mail.docx", "A 31491-2024")</f>
        <v/>
      </c>
      <c r="X244">
        <f>HYPERLINK("https://klasma.github.io/Logging_2283/tillsyn/A 31491-2024 tillsynsbegäran.docx", "A 31491-2024")</f>
        <v/>
      </c>
      <c r="Y244">
        <f>HYPERLINK("https://klasma.github.io/Logging_2283/tillsynsmail/A 31491-2024 tillsynsbegäran mail.docx", "A 31491-2024")</f>
        <v/>
      </c>
      <c r="Z244">
        <f>HYPERLINK("https://klasma.github.io/Logging_2283/fåglar/A 31491-2024 prioriterade fågelarter.docx", "A 31491-2024")</f>
        <v/>
      </c>
    </row>
    <row r="245" ht="15" customHeight="1">
      <c r="A245" t="inlineStr">
        <is>
          <t>A 20329-2025</t>
        </is>
      </c>
      <c r="B245" s="1" t="n">
        <v>45775</v>
      </c>
      <c r="C245" s="1" t="n">
        <v>45908</v>
      </c>
      <c r="D245" t="inlineStr">
        <is>
          <t>VÄSTERNORRLANDS LÄN</t>
        </is>
      </c>
      <c r="E245" t="inlineStr">
        <is>
          <t>SOLLEFTEÅ</t>
        </is>
      </c>
      <c r="G245" t="n">
        <v>9.5</v>
      </c>
      <c r="H245" t="n">
        <v>2</v>
      </c>
      <c r="I245" t="n">
        <v>1</v>
      </c>
      <c r="J245" t="n">
        <v>0</v>
      </c>
      <c r="K245" t="n">
        <v>0</v>
      </c>
      <c r="L245" t="n">
        <v>0</v>
      </c>
      <c r="M245" t="n">
        <v>0</v>
      </c>
      <c r="N245" t="n">
        <v>0</v>
      </c>
      <c r="O245" t="n">
        <v>0</v>
      </c>
      <c r="P245" t="n">
        <v>0</v>
      </c>
      <c r="Q245" t="n">
        <v>2</v>
      </c>
      <c r="R245" s="2" t="inlineStr">
        <is>
          <t>Tvåblad
Fläcknycklar</t>
        </is>
      </c>
      <c r="S245">
        <f>HYPERLINK("https://klasma.github.io/Logging_2283/artfynd/A 20329-2025 artfynd.xlsx", "A 20329-2025")</f>
        <v/>
      </c>
      <c r="T245">
        <f>HYPERLINK("https://klasma.github.io/Logging_2283/kartor/A 20329-2025 karta.png", "A 20329-2025")</f>
        <v/>
      </c>
      <c r="V245">
        <f>HYPERLINK("https://klasma.github.io/Logging_2283/klagomål/A 20329-2025 FSC-klagomål.docx", "A 20329-2025")</f>
        <v/>
      </c>
      <c r="W245">
        <f>HYPERLINK("https://klasma.github.io/Logging_2283/klagomålsmail/A 20329-2025 FSC-klagomål mail.docx", "A 20329-2025")</f>
        <v/>
      </c>
      <c r="X245">
        <f>HYPERLINK("https://klasma.github.io/Logging_2283/tillsyn/A 20329-2025 tillsynsbegäran.docx", "A 20329-2025")</f>
        <v/>
      </c>
      <c r="Y245">
        <f>HYPERLINK("https://klasma.github.io/Logging_2283/tillsynsmail/A 20329-2025 tillsynsbegäran mail.docx", "A 20329-2025")</f>
        <v/>
      </c>
    </row>
    <row r="246" ht="15" customHeight="1">
      <c r="A246" t="inlineStr">
        <is>
          <t>A 11578-2025</t>
        </is>
      </c>
      <c r="B246" s="1" t="n">
        <v>45727.38609953703</v>
      </c>
      <c r="C246" s="1" t="n">
        <v>45908</v>
      </c>
      <c r="D246" t="inlineStr">
        <is>
          <t>VÄSTERNORRLANDS LÄN</t>
        </is>
      </c>
      <c r="E246" t="inlineStr">
        <is>
          <t>SOLLEFTEÅ</t>
        </is>
      </c>
      <c r="F246" t="inlineStr">
        <is>
          <t>SCA</t>
        </is>
      </c>
      <c r="G246" t="n">
        <v>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HYPERLINK("https://klasma.github.io/Logging_2283/artfynd/A 11578-2025 artfynd.xlsx", "A 11578-2025")</f>
        <v/>
      </c>
      <c r="T246">
        <f>HYPERLINK("https://klasma.github.io/Logging_2283/kartor/A 11578-2025 karta.png", "A 11578-2025")</f>
        <v/>
      </c>
      <c r="U246">
        <f>HYPERLINK("https://klasma.github.io/Logging_2283/knärot/A 11578-2025 karta knärot.png", "A 11578-2025")</f>
        <v/>
      </c>
      <c r="V246">
        <f>HYPERLINK("https://klasma.github.io/Logging_2283/klagomål/A 11578-2025 FSC-klagomål.docx", "A 11578-2025")</f>
        <v/>
      </c>
      <c r="W246">
        <f>HYPERLINK("https://klasma.github.io/Logging_2283/klagomålsmail/A 11578-2025 FSC-klagomål mail.docx", "A 11578-2025")</f>
        <v/>
      </c>
      <c r="X246">
        <f>HYPERLINK("https://klasma.github.io/Logging_2283/tillsyn/A 11578-2025 tillsynsbegäran.docx", "A 11578-2025")</f>
        <v/>
      </c>
      <c r="Y246">
        <f>HYPERLINK("https://klasma.github.io/Logging_2283/tillsynsmail/A 11578-2025 tillsynsbegäran mail.docx", "A 11578-2025")</f>
        <v/>
      </c>
      <c r="Z246">
        <f>HYPERLINK("https://klasma.github.io/Logging_2283/fåglar/A 11578-2025 prioriterade fågelarter.docx", "A 11578-2025")</f>
        <v/>
      </c>
    </row>
    <row r="247" ht="15" customHeight="1">
      <c r="A247" t="inlineStr">
        <is>
          <t>A 25522-2025</t>
        </is>
      </c>
      <c r="B247" s="1" t="n">
        <v>45803.38619212963</v>
      </c>
      <c r="C247" s="1" t="n">
        <v>45908</v>
      </c>
      <c r="D247" t="inlineStr">
        <is>
          <t>VÄSTERNORRLANDS LÄN</t>
        </is>
      </c>
      <c r="E247" t="inlineStr">
        <is>
          <t>SOLLEFTEÅ</t>
        </is>
      </c>
      <c r="F247" t="inlineStr">
        <is>
          <t>SCA</t>
        </is>
      </c>
      <c r="G247" t="n">
        <v>0.8</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25522-2025 artfynd.xlsx", "A 25522-2025")</f>
        <v/>
      </c>
      <c r="T247">
        <f>HYPERLINK("https://klasma.github.io/Logging_2283/kartor/A 25522-2025 karta.png", "A 25522-2025")</f>
        <v/>
      </c>
      <c r="V247">
        <f>HYPERLINK("https://klasma.github.io/Logging_2283/klagomål/A 25522-2025 FSC-klagomål.docx", "A 25522-2025")</f>
        <v/>
      </c>
      <c r="W247">
        <f>HYPERLINK("https://klasma.github.io/Logging_2283/klagomålsmail/A 25522-2025 FSC-klagomål mail.docx", "A 25522-2025")</f>
        <v/>
      </c>
      <c r="X247">
        <f>HYPERLINK("https://klasma.github.io/Logging_2283/tillsyn/A 25522-2025 tillsynsbegäran.docx", "A 25522-2025")</f>
        <v/>
      </c>
      <c r="Y247">
        <f>HYPERLINK("https://klasma.github.io/Logging_2283/tillsynsmail/A 25522-2025 tillsynsbegäran mail.docx", "A 25522-2025")</f>
        <v/>
      </c>
    </row>
    <row r="248" ht="15" customHeight="1">
      <c r="A248" t="inlineStr">
        <is>
          <t>A 2515-2024</t>
        </is>
      </c>
      <c r="B248" s="1" t="n">
        <v>45313</v>
      </c>
      <c r="C248" s="1" t="n">
        <v>45908</v>
      </c>
      <c r="D248" t="inlineStr">
        <is>
          <t>VÄSTERNORRLANDS LÄN</t>
        </is>
      </c>
      <c r="E248" t="inlineStr">
        <is>
          <t>SOLLEFTEÅ</t>
        </is>
      </c>
      <c r="F248" t="inlineStr">
        <is>
          <t>Kommuner</t>
        </is>
      </c>
      <c r="G248" t="n">
        <v>8.699999999999999</v>
      </c>
      <c r="H248" t="n">
        <v>1</v>
      </c>
      <c r="I248" t="n">
        <v>0</v>
      </c>
      <c r="J248" t="n">
        <v>2</v>
      </c>
      <c r="K248" t="n">
        <v>0</v>
      </c>
      <c r="L248" t="n">
        <v>0</v>
      </c>
      <c r="M248" t="n">
        <v>0</v>
      </c>
      <c r="N248" t="n">
        <v>0</v>
      </c>
      <c r="O248" t="n">
        <v>2</v>
      </c>
      <c r="P248" t="n">
        <v>0</v>
      </c>
      <c r="Q248" t="n">
        <v>2</v>
      </c>
      <c r="R248" s="2" t="inlineStr">
        <is>
          <t>Granticka
Talltita</t>
        </is>
      </c>
      <c r="S248">
        <f>HYPERLINK("https://klasma.github.io/Logging_2283/artfynd/A 2515-2024 artfynd.xlsx", "A 2515-2024")</f>
        <v/>
      </c>
      <c r="T248">
        <f>HYPERLINK("https://klasma.github.io/Logging_2283/kartor/A 2515-2024 karta.png", "A 2515-2024")</f>
        <v/>
      </c>
      <c r="V248">
        <f>HYPERLINK("https://klasma.github.io/Logging_2283/klagomål/A 2515-2024 FSC-klagomål.docx", "A 2515-2024")</f>
        <v/>
      </c>
      <c r="W248">
        <f>HYPERLINK("https://klasma.github.io/Logging_2283/klagomålsmail/A 2515-2024 FSC-klagomål mail.docx", "A 2515-2024")</f>
        <v/>
      </c>
      <c r="X248">
        <f>HYPERLINK("https://klasma.github.io/Logging_2283/tillsyn/A 2515-2024 tillsynsbegäran.docx", "A 2515-2024")</f>
        <v/>
      </c>
      <c r="Y248">
        <f>HYPERLINK("https://klasma.github.io/Logging_2283/tillsynsmail/A 2515-2024 tillsynsbegäran mail.docx", "A 2515-2024")</f>
        <v/>
      </c>
      <c r="Z248">
        <f>HYPERLINK("https://klasma.github.io/Logging_2283/fåglar/A 2515-2024 prioriterade fågelarter.docx", "A 2515-2024")</f>
        <v/>
      </c>
    </row>
    <row r="249" ht="15" customHeight="1">
      <c r="A249" t="inlineStr">
        <is>
          <t>A 36563-2025</t>
        </is>
      </c>
      <c r="B249" s="1" t="n">
        <v>45870.37332175926</v>
      </c>
      <c r="C249" s="1" t="n">
        <v>45908</v>
      </c>
      <c r="D249" t="inlineStr">
        <is>
          <t>VÄSTERNORRLANDS LÄN</t>
        </is>
      </c>
      <c r="E249" t="inlineStr">
        <is>
          <t>SOLLEFTEÅ</t>
        </is>
      </c>
      <c r="G249" t="n">
        <v>5.9</v>
      </c>
      <c r="H249" t="n">
        <v>1</v>
      </c>
      <c r="I249" t="n">
        <v>0</v>
      </c>
      <c r="J249" t="n">
        <v>0</v>
      </c>
      <c r="K249" t="n">
        <v>0</v>
      </c>
      <c r="L249" t="n">
        <v>1</v>
      </c>
      <c r="M249" t="n">
        <v>0</v>
      </c>
      <c r="N249" t="n">
        <v>0</v>
      </c>
      <c r="O249" t="n">
        <v>1</v>
      </c>
      <c r="P249" t="n">
        <v>1</v>
      </c>
      <c r="Q249" t="n">
        <v>2</v>
      </c>
      <c r="R249" s="2" t="inlineStr">
        <is>
          <t>Fältgentiana
Fläcknycklar</t>
        </is>
      </c>
      <c r="S249">
        <f>HYPERLINK("https://klasma.github.io/Logging_2283/artfynd/A 36563-2025 artfynd.xlsx", "A 36563-2025")</f>
        <v/>
      </c>
      <c r="T249">
        <f>HYPERLINK("https://klasma.github.io/Logging_2283/kartor/A 36563-2025 karta.png", "A 36563-2025")</f>
        <v/>
      </c>
      <c r="V249">
        <f>HYPERLINK("https://klasma.github.io/Logging_2283/klagomål/A 36563-2025 FSC-klagomål.docx", "A 36563-2025")</f>
        <v/>
      </c>
      <c r="W249">
        <f>HYPERLINK("https://klasma.github.io/Logging_2283/klagomålsmail/A 36563-2025 FSC-klagomål mail.docx", "A 36563-2025")</f>
        <v/>
      </c>
      <c r="X249">
        <f>HYPERLINK("https://klasma.github.io/Logging_2283/tillsyn/A 36563-2025 tillsynsbegäran.docx", "A 36563-2025")</f>
        <v/>
      </c>
      <c r="Y249">
        <f>HYPERLINK("https://klasma.github.io/Logging_2283/tillsynsmail/A 36563-2025 tillsynsbegäran mail.docx", "A 36563-2025")</f>
        <v/>
      </c>
    </row>
    <row r="250" ht="15" customHeight="1">
      <c r="A250" t="inlineStr">
        <is>
          <t>A 30972-2025</t>
        </is>
      </c>
      <c r="B250" s="1" t="n">
        <v>45832.4615625</v>
      </c>
      <c r="C250" s="1" t="n">
        <v>45908</v>
      </c>
      <c r="D250" t="inlineStr">
        <is>
          <t>VÄSTERNORRLANDS LÄN</t>
        </is>
      </c>
      <c r="E250" t="inlineStr">
        <is>
          <t>SOLLEFTEÅ</t>
        </is>
      </c>
      <c r="G250" t="n">
        <v>0.6</v>
      </c>
      <c r="H250" t="n">
        <v>0</v>
      </c>
      <c r="I250" t="n">
        <v>0</v>
      </c>
      <c r="J250" t="n">
        <v>2</v>
      </c>
      <c r="K250" t="n">
        <v>0</v>
      </c>
      <c r="L250" t="n">
        <v>0</v>
      </c>
      <c r="M250" t="n">
        <v>0</v>
      </c>
      <c r="N250" t="n">
        <v>0</v>
      </c>
      <c r="O250" t="n">
        <v>2</v>
      </c>
      <c r="P250" t="n">
        <v>0</v>
      </c>
      <c r="Q250" t="n">
        <v>2</v>
      </c>
      <c r="R250" s="2" t="inlineStr">
        <is>
          <t>Rosenticka
Ullticka</t>
        </is>
      </c>
      <c r="S250">
        <f>HYPERLINK("https://klasma.github.io/Logging_2283/artfynd/A 30972-2025 artfynd.xlsx", "A 30972-2025")</f>
        <v/>
      </c>
      <c r="T250">
        <f>HYPERLINK("https://klasma.github.io/Logging_2283/kartor/A 30972-2025 karta.png", "A 30972-2025")</f>
        <v/>
      </c>
      <c r="V250">
        <f>HYPERLINK("https://klasma.github.io/Logging_2283/klagomål/A 30972-2025 FSC-klagomål.docx", "A 30972-2025")</f>
        <v/>
      </c>
      <c r="W250">
        <f>HYPERLINK("https://klasma.github.io/Logging_2283/klagomålsmail/A 30972-2025 FSC-klagomål mail.docx", "A 30972-2025")</f>
        <v/>
      </c>
      <c r="X250">
        <f>HYPERLINK("https://klasma.github.io/Logging_2283/tillsyn/A 30972-2025 tillsynsbegäran.docx", "A 30972-2025")</f>
        <v/>
      </c>
      <c r="Y250">
        <f>HYPERLINK("https://klasma.github.io/Logging_2283/tillsynsmail/A 30972-2025 tillsynsbegäran mail.docx", "A 30972-2025")</f>
        <v/>
      </c>
    </row>
    <row r="251" ht="15" customHeight="1">
      <c r="A251" t="inlineStr">
        <is>
          <t>A 31503-2025</t>
        </is>
      </c>
      <c r="B251" s="1" t="n">
        <v>45833.59417824074</v>
      </c>
      <c r="C251" s="1" t="n">
        <v>45908</v>
      </c>
      <c r="D251" t="inlineStr">
        <is>
          <t>VÄSTERNORRLANDS LÄN</t>
        </is>
      </c>
      <c r="E251" t="inlineStr">
        <is>
          <t>SOLLEFTEÅ</t>
        </is>
      </c>
      <c r="F251" t="inlineStr">
        <is>
          <t>SCA</t>
        </is>
      </c>
      <c r="G251" t="n">
        <v>22.8</v>
      </c>
      <c r="H251" t="n">
        <v>2</v>
      </c>
      <c r="I251" t="n">
        <v>1</v>
      </c>
      <c r="J251" t="n">
        <v>0</v>
      </c>
      <c r="K251" t="n">
        <v>1</v>
      </c>
      <c r="L251" t="n">
        <v>0</v>
      </c>
      <c r="M251" t="n">
        <v>0</v>
      </c>
      <c r="N251" t="n">
        <v>0</v>
      </c>
      <c r="O251" t="n">
        <v>1</v>
      </c>
      <c r="P251" t="n">
        <v>1</v>
      </c>
      <c r="Q251" t="n">
        <v>2</v>
      </c>
      <c r="R251" s="2" t="inlineStr">
        <is>
          <t>Knärot
Plattlummer</t>
        </is>
      </c>
      <c r="S251">
        <f>HYPERLINK("https://klasma.github.io/Logging_2283/artfynd/A 31503-2025 artfynd.xlsx", "A 31503-2025")</f>
        <v/>
      </c>
      <c r="T251">
        <f>HYPERLINK("https://klasma.github.io/Logging_2283/kartor/A 31503-2025 karta.png", "A 31503-2025")</f>
        <v/>
      </c>
      <c r="U251">
        <f>HYPERLINK("https://klasma.github.io/Logging_2283/knärot/A 31503-2025 karta knärot.png", "A 31503-2025")</f>
        <v/>
      </c>
      <c r="V251">
        <f>HYPERLINK("https://klasma.github.io/Logging_2283/klagomål/A 31503-2025 FSC-klagomål.docx", "A 31503-2025")</f>
        <v/>
      </c>
      <c r="W251">
        <f>HYPERLINK("https://klasma.github.io/Logging_2283/klagomålsmail/A 31503-2025 FSC-klagomål mail.docx", "A 31503-2025")</f>
        <v/>
      </c>
      <c r="X251">
        <f>HYPERLINK("https://klasma.github.io/Logging_2283/tillsyn/A 31503-2025 tillsynsbegäran.docx", "A 31503-2025")</f>
        <v/>
      </c>
      <c r="Y251">
        <f>HYPERLINK("https://klasma.github.io/Logging_2283/tillsynsmail/A 31503-2025 tillsynsbegäran mail.docx", "A 31503-2025")</f>
        <v/>
      </c>
    </row>
    <row r="252" ht="15" customHeight="1">
      <c r="A252" t="inlineStr">
        <is>
          <t>A 32738-2025</t>
        </is>
      </c>
      <c r="B252" s="1" t="n">
        <v>45839.41827546297</v>
      </c>
      <c r="C252" s="1" t="n">
        <v>45908</v>
      </c>
      <c r="D252" t="inlineStr">
        <is>
          <t>VÄSTERNORRLANDS LÄN</t>
        </is>
      </c>
      <c r="E252" t="inlineStr">
        <is>
          <t>SOLLEFTEÅ</t>
        </is>
      </c>
      <c r="G252" t="n">
        <v>3.1</v>
      </c>
      <c r="H252" t="n">
        <v>2</v>
      </c>
      <c r="I252" t="n">
        <v>0</v>
      </c>
      <c r="J252" t="n">
        <v>1</v>
      </c>
      <c r="K252" t="n">
        <v>0</v>
      </c>
      <c r="L252" t="n">
        <v>0</v>
      </c>
      <c r="M252" t="n">
        <v>0</v>
      </c>
      <c r="N252" t="n">
        <v>0</v>
      </c>
      <c r="O252" t="n">
        <v>1</v>
      </c>
      <c r="P252" t="n">
        <v>0</v>
      </c>
      <c r="Q252" t="n">
        <v>2</v>
      </c>
      <c r="R252" s="2" t="inlineStr">
        <is>
          <t>Spillkråka
Tjäder</t>
        </is>
      </c>
      <c r="S252">
        <f>HYPERLINK("https://klasma.github.io/Logging_2283/artfynd/A 32738-2025 artfynd.xlsx", "A 32738-2025")</f>
        <v/>
      </c>
      <c r="T252">
        <f>HYPERLINK("https://klasma.github.io/Logging_2283/kartor/A 32738-2025 karta.png", "A 32738-2025")</f>
        <v/>
      </c>
      <c r="V252">
        <f>HYPERLINK("https://klasma.github.io/Logging_2283/klagomål/A 32738-2025 FSC-klagomål.docx", "A 32738-2025")</f>
        <v/>
      </c>
      <c r="W252">
        <f>HYPERLINK("https://klasma.github.io/Logging_2283/klagomålsmail/A 32738-2025 FSC-klagomål mail.docx", "A 32738-2025")</f>
        <v/>
      </c>
      <c r="X252">
        <f>HYPERLINK("https://klasma.github.io/Logging_2283/tillsyn/A 32738-2025 tillsynsbegäran.docx", "A 32738-2025")</f>
        <v/>
      </c>
      <c r="Y252">
        <f>HYPERLINK("https://klasma.github.io/Logging_2283/tillsynsmail/A 32738-2025 tillsynsbegäran mail.docx", "A 32738-2025")</f>
        <v/>
      </c>
      <c r="Z252">
        <f>HYPERLINK("https://klasma.github.io/Logging_2283/fåglar/A 32738-2025 prioriterade fågelarter.docx", "A 32738-2025")</f>
        <v/>
      </c>
    </row>
    <row r="253" ht="15" customHeight="1">
      <c r="A253" t="inlineStr">
        <is>
          <t>A 27983-2021</t>
        </is>
      </c>
      <c r="B253" s="1" t="n">
        <v>44354</v>
      </c>
      <c r="C253" s="1" t="n">
        <v>45908</v>
      </c>
      <c r="D253" t="inlineStr">
        <is>
          <t>VÄSTERNORRLANDS LÄN</t>
        </is>
      </c>
      <c r="E253" t="inlineStr">
        <is>
          <t>SOLLEFTEÅ</t>
        </is>
      </c>
      <c r="F253" t="inlineStr">
        <is>
          <t>SCA</t>
        </is>
      </c>
      <c r="G253" t="n">
        <v>5.4</v>
      </c>
      <c r="H253" t="n">
        <v>0</v>
      </c>
      <c r="I253" t="n">
        <v>0</v>
      </c>
      <c r="J253" t="n">
        <v>2</v>
      </c>
      <c r="K253" t="n">
        <v>0</v>
      </c>
      <c r="L253" t="n">
        <v>0</v>
      </c>
      <c r="M253" t="n">
        <v>0</v>
      </c>
      <c r="N253" t="n">
        <v>0</v>
      </c>
      <c r="O253" t="n">
        <v>2</v>
      </c>
      <c r="P253" t="n">
        <v>0</v>
      </c>
      <c r="Q253" t="n">
        <v>2</v>
      </c>
      <c r="R253" s="2" t="inlineStr">
        <is>
          <t>Rosenticka
Ullticka</t>
        </is>
      </c>
      <c r="S253">
        <f>HYPERLINK("https://klasma.github.io/Logging_2283/artfynd/A 27983-2021 artfynd.xlsx", "A 27983-2021")</f>
        <v/>
      </c>
      <c r="T253">
        <f>HYPERLINK("https://klasma.github.io/Logging_2283/kartor/A 27983-2021 karta.png", "A 27983-2021")</f>
        <v/>
      </c>
      <c r="V253">
        <f>HYPERLINK("https://klasma.github.io/Logging_2283/klagomål/A 27983-2021 FSC-klagomål.docx", "A 27983-2021")</f>
        <v/>
      </c>
      <c r="W253">
        <f>HYPERLINK("https://klasma.github.io/Logging_2283/klagomålsmail/A 27983-2021 FSC-klagomål mail.docx", "A 27983-2021")</f>
        <v/>
      </c>
      <c r="X253">
        <f>HYPERLINK("https://klasma.github.io/Logging_2283/tillsyn/A 27983-2021 tillsynsbegäran.docx", "A 27983-2021")</f>
        <v/>
      </c>
      <c r="Y253">
        <f>HYPERLINK("https://klasma.github.io/Logging_2283/tillsynsmail/A 27983-2021 tillsynsbegäran mail.docx", "A 27983-2021")</f>
        <v/>
      </c>
    </row>
    <row r="254" ht="15" customHeight="1">
      <c r="A254" t="inlineStr">
        <is>
          <t>A 39095-2025</t>
        </is>
      </c>
      <c r="B254" s="1" t="n">
        <v>45888.49751157407</v>
      </c>
      <c r="C254" s="1" t="n">
        <v>45908</v>
      </c>
      <c r="D254" t="inlineStr">
        <is>
          <t>VÄSTERNORRLANDS LÄN</t>
        </is>
      </c>
      <c r="E254" t="inlineStr">
        <is>
          <t>SOLLEFTEÅ</t>
        </is>
      </c>
      <c r="F254" t="inlineStr">
        <is>
          <t>Holmen skog AB</t>
        </is>
      </c>
      <c r="G254" t="n">
        <v>1.3</v>
      </c>
      <c r="H254" t="n">
        <v>2</v>
      </c>
      <c r="I254" t="n">
        <v>0</v>
      </c>
      <c r="J254" t="n">
        <v>1</v>
      </c>
      <c r="K254" t="n">
        <v>0</v>
      </c>
      <c r="L254" t="n">
        <v>0</v>
      </c>
      <c r="M254" t="n">
        <v>0</v>
      </c>
      <c r="N254" t="n">
        <v>0</v>
      </c>
      <c r="O254" t="n">
        <v>1</v>
      </c>
      <c r="P254" t="n">
        <v>0</v>
      </c>
      <c r="Q254" t="n">
        <v>2</v>
      </c>
      <c r="R254" s="2" t="inlineStr">
        <is>
          <t>Talltita
Tjäder</t>
        </is>
      </c>
      <c r="S254">
        <f>HYPERLINK("https://klasma.github.io/Logging_2283/artfynd/A 39095-2025 artfynd.xlsx", "A 39095-2025")</f>
        <v/>
      </c>
      <c r="T254">
        <f>HYPERLINK("https://klasma.github.io/Logging_2283/kartor/A 39095-2025 karta.png", "A 39095-2025")</f>
        <v/>
      </c>
      <c r="V254">
        <f>HYPERLINK("https://klasma.github.io/Logging_2283/klagomål/A 39095-2025 FSC-klagomål.docx", "A 39095-2025")</f>
        <v/>
      </c>
      <c r="W254">
        <f>HYPERLINK("https://klasma.github.io/Logging_2283/klagomålsmail/A 39095-2025 FSC-klagomål mail.docx", "A 39095-2025")</f>
        <v/>
      </c>
      <c r="X254">
        <f>HYPERLINK("https://klasma.github.io/Logging_2283/tillsyn/A 39095-2025 tillsynsbegäran.docx", "A 39095-2025")</f>
        <v/>
      </c>
      <c r="Y254">
        <f>HYPERLINK("https://klasma.github.io/Logging_2283/tillsynsmail/A 39095-2025 tillsynsbegäran mail.docx", "A 39095-2025")</f>
        <v/>
      </c>
      <c r="Z254">
        <f>HYPERLINK("https://klasma.github.io/Logging_2283/fåglar/A 39095-2025 prioriterade fågelarter.docx", "A 39095-2025")</f>
        <v/>
      </c>
    </row>
    <row r="255" ht="15" customHeight="1">
      <c r="A255" t="inlineStr">
        <is>
          <t>A 50751-2024</t>
        </is>
      </c>
      <c r="B255" s="1" t="n">
        <v>45602</v>
      </c>
      <c r="C255" s="1" t="n">
        <v>45908</v>
      </c>
      <c r="D255" t="inlineStr">
        <is>
          <t>VÄSTERNORRLANDS LÄN</t>
        </is>
      </c>
      <c r="E255" t="inlineStr">
        <is>
          <t>SOLLEFTEÅ</t>
        </is>
      </c>
      <c r="G255" t="n">
        <v>4.4</v>
      </c>
      <c r="H255" t="n">
        <v>0</v>
      </c>
      <c r="I255" t="n">
        <v>1</v>
      </c>
      <c r="J255" t="n">
        <v>1</v>
      </c>
      <c r="K255" t="n">
        <v>0</v>
      </c>
      <c r="L255" t="n">
        <v>0</v>
      </c>
      <c r="M255" t="n">
        <v>0</v>
      </c>
      <c r="N255" t="n">
        <v>0</v>
      </c>
      <c r="O255" t="n">
        <v>1</v>
      </c>
      <c r="P255" t="n">
        <v>0</v>
      </c>
      <c r="Q255" t="n">
        <v>2</v>
      </c>
      <c r="R255" s="2" t="inlineStr">
        <is>
          <t>Garnlav
Norrlandslav</t>
        </is>
      </c>
      <c r="S255">
        <f>HYPERLINK("https://klasma.github.io/Logging_2283/artfynd/A 50751-2024 artfynd.xlsx", "A 50751-2024")</f>
        <v/>
      </c>
      <c r="T255">
        <f>HYPERLINK("https://klasma.github.io/Logging_2283/kartor/A 50751-2024 karta.png", "A 50751-2024")</f>
        <v/>
      </c>
      <c r="V255">
        <f>HYPERLINK("https://klasma.github.io/Logging_2283/klagomål/A 50751-2024 FSC-klagomål.docx", "A 50751-2024")</f>
        <v/>
      </c>
      <c r="W255">
        <f>HYPERLINK("https://klasma.github.io/Logging_2283/klagomålsmail/A 50751-2024 FSC-klagomål mail.docx", "A 50751-2024")</f>
        <v/>
      </c>
      <c r="X255">
        <f>HYPERLINK("https://klasma.github.io/Logging_2283/tillsyn/A 50751-2024 tillsynsbegäran.docx", "A 50751-2024")</f>
        <v/>
      </c>
      <c r="Y255">
        <f>HYPERLINK("https://klasma.github.io/Logging_2283/tillsynsmail/A 50751-2024 tillsynsbegäran mail.docx", "A 50751-2024")</f>
        <v/>
      </c>
    </row>
    <row r="256" ht="15" customHeight="1">
      <c r="A256" t="inlineStr">
        <is>
          <t>A 36912-2024</t>
        </is>
      </c>
      <c r="B256" s="1" t="n">
        <v>45538.63604166666</v>
      </c>
      <c r="C256" s="1" t="n">
        <v>45908</v>
      </c>
      <c r="D256" t="inlineStr">
        <is>
          <t>VÄSTERNORRLANDS LÄN</t>
        </is>
      </c>
      <c r="E256" t="inlineStr">
        <is>
          <t>SOLLEFTEÅ</t>
        </is>
      </c>
      <c r="F256" t="inlineStr">
        <is>
          <t>SCA</t>
        </is>
      </c>
      <c r="G256" t="n">
        <v>2</v>
      </c>
      <c r="H256" t="n">
        <v>1</v>
      </c>
      <c r="I256" t="n">
        <v>0</v>
      </c>
      <c r="J256" t="n">
        <v>2</v>
      </c>
      <c r="K256" t="n">
        <v>0</v>
      </c>
      <c r="L256" t="n">
        <v>0</v>
      </c>
      <c r="M256" t="n">
        <v>0</v>
      </c>
      <c r="N256" t="n">
        <v>0</v>
      </c>
      <c r="O256" t="n">
        <v>2</v>
      </c>
      <c r="P256" t="n">
        <v>0</v>
      </c>
      <c r="Q256" t="n">
        <v>2</v>
      </c>
      <c r="R256" s="2" t="inlineStr">
        <is>
          <t>Talltita
Ullticka</t>
        </is>
      </c>
      <c r="S256">
        <f>HYPERLINK("https://klasma.github.io/Logging_2283/artfynd/A 36912-2024 artfynd.xlsx", "A 36912-2024")</f>
        <v/>
      </c>
      <c r="T256">
        <f>HYPERLINK("https://klasma.github.io/Logging_2283/kartor/A 36912-2024 karta.png", "A 36912-2024")</f>
        <v/>
      </c>
      <c r="V256">
        <f>HYPERLINK("https://klasma.github.io/Logging_2283/klagomål/A 36912-2024 FSC-klagomål.docx", "A 36912-2024")</f>
        <v/>
      </c>
      <c r="W256">
        <f>HYPERLINK("https://klasma.github.io/Logging_2283/klagomålsmail/A 36912-2024 FSC-klagomål mail.docx", "A 36912-2024")</f>
        <v/>
      </c>
      <c r="X256">
        <f>HYPERLINK("https://klasma.github.io/Logging_2283/tillsyn/A 36912-2024 tillsynsbegäran.docx", "A 36912-2024")</f>
        <v/>
      </c>
      <c r="Y256">
        <f>HYPERLINK("https://klasma.github.io/Logging_2283/tillsynsmail/A 36912-2024 tillsynsbegäran mail.docx", "A 36912-2024")</f>
        <v/>
      </c>
      <c r="Z256">
        <f>HYPERLINK("https://klasma.github.io/Logging_2283/fåglar/A 36912-2024 prioriterade fågelarter.docx", "A 36912-2024")</f>
        <v/>
      </c>
    </row>
    <row r="257" ht="15" customHeight="1">
      <c r="A257" t="inlineStr">
        <is>
          <t>A 29264-2024</t>
        </is>
      </c>
      <c r="B257" s="1" t="n">
        <v>45482</v>
      </c>
      <c r="C257" s="1" t="n">
        <v>45908</v>
      </c>
      <c r="D257" t="inlineStr">
        <is>
          <t>VÄSTERNORRLANDS LÄN</t>
        </is>
      </c>
      <c r="E257" t="inlineStr">
        <is>
          <t>SOLLEFTEÅ</t>
        </is>
      </c>
      <c r="F257" t="inlineStr">
        <is>
          <t>SCA</t>
        </is>
      </c>
      <c r="G257" t="n">
        <v>3</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HYPERLINK("https://klasma.github.io/Logging_2283/artfynd/A 29264-2024 artfynd.xlsx", "A 29264-2024")</f>
        <v/>
      </c>
      <c r="T257">
        <f>HYPERLINK("https://klasma.github.io/Logging_2283/kartor/A 29264-2024 karta.png", "A 29264-2024")</f>
        <v/>
      </c>
      <c r="V257">
        <f>HYPERLINK("https://klasma.github.io/Logging_2283/klagomål/A 29264-2024 FSC-klagomål.docx", "A 29264-2024")</f>
        <v/>
      </c>
      <c r="W257">
        <f>HYPERLINK("https://klasma.github.io/Logging_2283/klagomålsmail/A 29264-2024 FSC-klagomål mail.docx", "A 29264-2024")</f>
        <v/>
      </c>
      <c r="X257">
        <f>HYPERLINK("https://klasma.github.io/Logging_2283/tillsyn/A 29264-2024 tillsynsbegäran.docx", "A 29264-2024")</f>
        <v/>
      </c>
      <c r="Y257">
        <f>HYPERLINK("https://klasma.github.io/Logging_2283/tillsynsmail/A 29264-2024 tillsynsbegäran mail.docx", "A 29264-2024")</f>
        <v/>
      </c>
      <c r="Z257">
        <f>HYPERLINK("https://klasma.github.io/Logging_2283/fåglar/A 29264-2024 prioriterade fågelarter.docx", "A 29264-2024")</f>
        <v/>
      </c>
    </row>
    <row r="258" ht="15" customHeight="1">
      <c r="A258" t="inlineStr">
        <is>
          <t>A 48489-2023</t>
        </is>
      </c>
      <c r="B258" s="1" t="n">
        <v>45206</v>
      </c>
      <c r="C258" s="1" t="n">
        <v>45908</v>
      </c>
      <c r="D258" t="inlineStr">
        <is>
          <t>VÄSTERNORRLANDS LÄN</t>
        </is>
      </c>
      <c r="E258" t="inlineStr">
        <is>
          <t>SOLLEFTEÅ</t>
        </is>
      </c>
      <c r="F258" t="inlineStr">
        <is>
          <t>SCA</t>
        </is>
      </c>
      <c r="G258" t="n">
        <v>51.8</v>
      </c>
      <c r="H258" t="n">
        <v>2</v>
      </c>
      <c r="I258" t="n">
        <v>0</v>
      </c>
      <c r="J258" t="n">
        <v>2</v>
      </c>
      <c r="K258" t="n">
        <v>0</v>
      </c>
      <c r="L258" t="n">
        <v>0</v>
      </c>
      <c r="M258" t="n">
        <v>0</v>
      </c>
      <c r="N258" t="n">
        <v>0</v>
      </c>
      <c r="O258" t="n">
        <v>2</v>
      </c>
      <c r="P258" t="n">
        <v>0</v>
      </c>
      <c r="Q258" t="n">
        <v>2</v>
      </c>
      <c r="R258" s="2" t="inlineStr">
        <is>
          <t>Spillkråka
Talltita</t>
        </is>
      </c>
      <c r="S258">
        <f>HYPERLINK("https://klasma.github.io/Logging_2283/artfynd/A 48489-2023 artfynd.xlsx", "A 48489-2023")</f>
        <v/>
      </c>
      <c r="T258">
        <f>HYPERLINK("https://klasma.github.io/Logging_2283/kartor/A 48489-2023 karta.png", "A 48489-2023")</f>
        <v/>
      </c>
      <c r="V258">
        <f>HYPERLINK("https://klasma.github.io/Logging_2283/klagomål/A 48489-2023 FSC-klagomål.docx", "A 48489-2023")</f>
        <v/>
      </c>
      <c r="W258">
        <f>HYPERLINK("https://klasma.github.io/Logging_2283/klagomålsmail/A 48489-2023 FSC-klagomål mail.docx", "A 48489-2023")</f>
        <v/>
      </c>
      <c r="X258">
        <f>HYPERLINK("https://klasma.github.io/Logging_2283/tillsyn/A 48489-2023 tillsynsbegäran.docx", "A 48489-2023")</f>
        <v/>
      </c>
      <c r="Y258">
        <f>HYPERLINK("https://klasma.github.io/Logging_2283/tillsynsmail/A 48489-2023 tillsynsbegäran mail.docx", "A 48489-2023")</f>
        <v/>
      </c>
      <c r="Z258">
        <f>HYPERLINK("https://klasma.github.io/Logging_2283/fåglar/A 48489-2023 prioriterade fågelarter.docx", "A 48489-2023")</f>
        <v/>
      </c>
    </row>
    <row r="259" ht="15" customHeight="1">
      <c r="A259" t="inlineStr">
        <is>
          <t>A 45083-2022</t>
        </is>
      </c>
      <c r="B259" s="1" t="n">
        <v>44841</v>
      </c>
      <c r="C259" s="1" t="n">
        <v>45908</v>
      </c>
      <c r="D259" t="inlineStr">
        <is>
          <t>VÄSTERNORRLANDS LÄN</t>
        </is>
      </c>
      <c r="E259" t="inlineStr">
        <is>
          <t>SOLLEFTEÅ</t>
        </is>
      </c>
      <c r="F259" t="inlineStr">
        <is>
          <t>SCA</t>
        </is>
      </c>
      <c r="G259" t="n">
        <v>4.3</v>
      </c>
      <c r="H259" t="n">
        <v>2</v>
      </c>
      <c r="I259" t="n">
        <v>0</v>
      </c>
      <c r="J259" t="n">
        <v>1</v>
      </c>
      <c r="K259" t="n">
        <v>0</v>
      </c>
      <c r="L259" t="n">
        <v>0</v>
      </c>
      <c r="M259" t="n">
        <v>0</v>
      </c>
      <c r="N259" t="n">
        <v>0</v>
      </c>
      <c r="O259" t="n">
        <v>1</v>
      </c>
      <c r="P259" t="n">
        <v>0</v>
      </c>
      <c r="Q259" t="n">
        <v>2</v>
      </c>
      <c r="R259" s="2" t="inlineStr">
        <is>
          <t>Talltita
Blåsippa</t>
        </is>
      </c>
      <c r="S259">
        <f>HYPERLINK("https://klasma.github.io/Logging_2283/artfynd/A 45083-2022 artfynd.xlsx", "A 45083-2022")</f>
        <v/>
      </c>
      <c r="T259">
        <f>HYPERLINK("https://klasma.github.io/Logging_2283/kartor/A 45083-2022 karta.png", "A 45083-2022")</f>
        <v/>
      </c>
      <c r="V259">
        <f>HYPERLINK("https://klasma.github.io/Logging_2283/klagomål/A 45083-2022 FSC-klagomål.docx", "A 45083-2022")</f>
        <v/>
      </c>
      <c r="W259">
        <f>HYPERLINK("https://klasma.github.io/Logging_2283/klagomålsmail/A 45083-2022 FSC-klagomål mail.docx", "A 45083-2022")</f>
        <v/>
      </c>
      <c r="X259">
        <f>HYPERLINK("https://klasma.github.io/Logging_2283/tillsyn/A 45083-2022 tillsynsbegäran.docx", "A 45083-2022")</f>
        <v/>
      </c>
      <c r="Y259">
        <f>HYPERLINK("https://klasma.github.io/Logging_2283/tillsynsmail/A 45083-2022 tillsynsbegäran mail.docx", "A 45083-2022")</f>
        <v/>
      </c>
      <c r="Z259">
        <f>HYPERLINK("https://klasma.github.io/Logging_2283/fåglar/A 45083-2022 prioriterade fågelarter.docx", "A 45083-2022")</f>
        <v/>
      </c>
    </row>
    <row r="260" ht="15" customHeight="1">
      <c r="A260" t="inlineStr">
        <is>
          <t>A 7108-2024</t>
        </is>
      </c>
      <c r="B260" s="1" t="n">
        <v>45343</v>
      </c>
      <c r="C260" s="1" t="n">
        <v>45908</v>
      </c>
      <c r="D260" t="inlineStr">
        <is>
          <t>VÄSTERNORRLANDS LÄN</t>
        </is>
      </c>
      <c r="E260" t="inlineStr">
        <is>
          <t>SOLLEFTEÅ</t>
        </is>
      </c>
      <c r="F260" t="inlineStr">
        <is>
          <t>SCA</t>
        </is>
      </c>
      <c r="G260" t="n">
        <v>3.8</v>
      </c>
      <c r="H260" t="n">
        <v>2</v>
      </c>
      <c r="I260" t="n">
        <v>0</v>
      </c>
      <c r="J260" t="n">
        <v>1</v>
      </c>
      <c r="K260" t="n">
        <v>0</v>
      </c>
      <c r="L260" t="n">
        <v>0</v>
      </c>
      <c r="M260" t="n">
        <v>0</v>
      </c>
      <c r="N260" t="n">
        <v>0</v>
      </c>
      <c r="O260" t="n">
        <v>1</v>
      </c>
      <c r="P260" t="n">
        <v>0</v>
      </c>
      <c r="Q260" t="n">
        <v>2</v>
      </c>
      <c r="R260" s="2" t="inlineStr">
        <is>
          <t>Nordfladdermus
Vattenfladdermus</t>
        </is>
      </c>
      <c r="S260">
        <f>HYPERLINK("https://klasma.github.io/Logging_2283/artfynd/A 7108-2024 artfynd.xlsx", "A 7108-2024")</f>
        <v/>
      </c>
      <c r="T260">
        <f>HYPERLINK("https://klasma.github.io/Logging_2283/kartor/A 7108-2024 karta.png", "A 7108-2024")</f>
        <v/>
      </c>
      <c r="V260">
        <f>HYPERLINK("https://klasma.github.io/Logging_2283/klagomål/A 7108-2024 FSC-klagomål.docx", "A 7108-2024")</f>
        <v/>
      </c>
      <c r="W260">
        <f>HYPERLINK("https://klasma.github.io/Logging_2283/klagomålsmail/A 7108-2024 FSC-klagomål mail.docx", "A 7108-2024")</f>
        <v/>
      </c>
      <c r="X260">
        <f>HYPERLINK("https://klasma.github.io/Logging_2283/tillsyn/A 7108-2024 tillsynsbegäran.docx", "A 7108-2024")</f>
        <v/>
      </c>
      <c r="Y260">
        <f>HYPERLINK("https://klasma.github.io/Logging_2283/tillsynsmail/A 7108-2024 tillsynsbegäran mail.docx", "A 7108-2024")</f>
        <v/>
      </c>
    </row>
    <row r="261" ht="15" customHeight="1">
      <c r="A261" t="inlineStr">
        <is>
          <t>A 53949-2023</t>
        </is>
      </c>
      <c r="B261" s="1" t="n">
        <v>45224</v>
      </c>
      <c r="C261" s="1" t="n">
        <v>45908</v>
      </c>
      <c r="D261" t="inlineStr">
        <is>
          <t>VÄSTERNORRLANDS LÄN</t>
        </is>
      </c>
      <c r="E261" t="inlineStr">
        <is>
          <t>SOLLEFTEÅ</t>
        </is>
      </c>
      <c r="G261" t="n">
        <v>4</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53949-2023 artfynd.xlsx", "A 53949-2023")</f>
        <v/>
      </c>
      <c r="T261">
        <f>HYPERLINK("https://klasma.github.io/Logging_2283/kartor/A 53949-2023 karta.png", "A 53949-2023")</f>
        <v/>
      </c>
      <c r="V261">
        <f>HYPERLINK("https://klasma.github.io/Logging_2283/klagomål/A 53949-2023 FSC-klagomål.docx", "A 53949-2023")</f>
        <v/>
      </c>
      <c r="W261">
        <f>HYPERLINK("https://klasma.github.io/Logging_2283/klagomålsmail/A 53949-2023 FSC-klagomål mail.docx", "A 53949-2023")</f>
        <v/>
      </c>
      <c r="X261">
        <f>HYPERLINK("https://klasma.github.io/Logging_2283/tillsyn/A 53949-2023 tillsynsbegäran.docx", "A 53949-2023")</f>
        <v/>
      </c>
      <c r="Y261">
        <f>HYPERLINK("https://klasma.github.io/Logging_2283/tillsynsmail/A 53949-2023 tillsynsbegäran mail.docx", "A 53949-2023")</f>
        <v/>
      </c>
    </row>
    <row r="262" ht="15" customHeight="1">
      <c r="A262" t="inlineStr">
        <is>
          <t>A 59020-2024</t>
        </is>
      </c>
      <c r="B262" s="1" t="n">
        <v>45636.67765046296</v>
      </c>
      <c r="C262" s="1" t="n">
        <v>45908</v>
      </c>
      <c r="D262" t="inlineStr">
        <is>
          <t>VÄSTERNORRLANDS LÄN</t>
        </is>
      </c>
      <c r="E262" t="inlineStr">
        <is>
          <t>SOLLEFTEÅ</t>
        </is>
      </c>
      <c r="F262" t="inlineStr">
        <is>
          <t>SCA</t>
        </is>
      </c>
      <c r="G262" t="n">
        <v>9.300000000000001</v>
      </c>
      <c r="H262" t="n">
        <v>0</v>
      </c>
      <c r="I262" t="n">
        <v>1</v>
      </c>
      <c r="J262" t="n">
        <v>1</v>
      </c>
      <c r="K262" t="n">
        <v>0</v>
      </c>
      <c r="L262" t="n">
        <v>0</v>
      </c>
      <c r="M262" t="n">
        <v>0</v>
      </c>
      <c r="N262" t="n">
        <v>0</v>
      </c>
      <c r="O262" t="n">
        <v>1</v>
      </c>
      <c r="P262" t="n">
        <v>0</v>
      </c>
      <c r="Q262" t="n">
        <v>2</v>
      </c>
      <c r="R262" s="2" t="inlineStr">
        <is>
          <t>Kortskaftad ärgspik
Bronshjon</t>
        </is>
      </c>
      <c r="S262">
        <f>HYPERLINK("https://klasma.github.io/Logging_2283/artfynd/A 59020-2024 artfynd.xlsx", "A 59020-2024")</f>
        <v/>
      </c>
      <c r="T262">
        <f>HYPERLINK("https://klasma.github.io/Logging_2283/kartor/A 59020-2024 karta.png", "A 59020-2024")</f>
        <v/>
      </c>
      <c r="V262">
        <f>HYPERLINK("https://klasma.github.io/Logging_2283/klagomål/A 59020-2024 FSC-klagomål.docx", "A 59020-2024")</f>
        <v/>
      </c>
      <c r="W262">
        <f>HYPERLINK("https://klasma.github.io/Logging_2283/klagomålsmail/A 59020-2024 FSC-klagomål mail.docx", "A 59020-2024")</f>
        <v/>
      </c>
      <c r="X262">
        <f>HYPERLINK("https://klasma.github.io/Logging_2283/tillsyn/A 59020-2024 tillsynsbegäran.docx", "A 59020-2024")</f>
        <v/>
      </c>
      <c r="Y262">
        <f>HYPERLINK("https://klasma.github.io/Logging_2283/tillsynsmail/A 59020-2024 tillsynsbegäran mail.docx", "A 59020-2024")</f>
        <v/>
      </c>
    </row>
    <row r="263" ht="15" customHeight="1">
      <c r="A263" t="inlineStr">
        <is>
          <t>A 12269-2025</t>
        </is>
      </c>
      <c r="B263" s="1" t="n">
        <v>45729.63542824074</v>
      </c>
      <c r="C263" s="1" t="n">
        <v>45908</v>
      </c>
      <c r="D263" t="inlineStr">
        <is>
          <t>VÄSTERNORRLANDS LÄN</t>
        </is>
      </c>
      <c r="E263" t="inlineStr">
        <is>
          <t>SOLLEFTEÅ</t>
        </is>
      </c>
      <c r="G263" t="n">
        <v>10.9</v>
      </c>
      <c r="H263" t="n">
        <v>0</v>
      </c>
      <c r="I263" t="n">
        <v>0</v>
      </c>
      <c r="J263" t="n">
        <v>2</v>
      </c>
      <c r="K263" t="n">
        <v>0</v>
      </c>
      <c r="L263" t="n">
        <v>0</v>
      </c>
      <c r="M263" t="n">
        <v>0</v>
      </c>
      <c r="N263" t="n">
        <v>0</v>
      </c>
      <c r="O263" t="n">
        <v>2</v>
      </c>
      <c r="P263" t="n">
        <v>0</v>
      </c>
      <c r="Q263" t="n">
        <v>2</v>
      </c>
      <c r="R263" s="2" t="inlineStr">
        <is>
          <t>Garnlav
Lunglav</t>
        </is>
      </c>
      <c r="S263">
        <f>HYPERLINK("https://klasma.github.io/Logging_2283/artfynd/A 12269-2025 artfynd.xlsx", "A 12269-2025")</f>
        <v/>
      </c>
      <c r="T263">
        <f>HYPERLINK("https://klasma.github.io/Logging_2283/kartor/A 12269-2025 karta.png", "A 12269-2025")</f>
        <v/>
      </c>
      <c r="V263">
        <f>HYPERLINK("https://klasma.github.io/Logging_2283/klagomål/A 12269-2025 FSC-klagomål.docx", "A 12269-2025")</f>
        <v/>
      </c>
      <c r="W263">
        <f>HYPERLINK("https://klasma.github.io/Logging_2283/klagomålsmail/A 12269-2025 FSC-klagomål mail.docx", "A 12269-2025")</f>
        <v/>
      </c>
      <c r="X263">
        <f>HYPERLINK("https://klasma.github.io/Logging_2283/tillsyn/A 12269-2025 tillsynsbegäran.docx", "A 12269-2025")</f>
        <v/>
      </c>
      <c r="Y263">
        <f>HYPERLINK("https://klasma.github.io/Logging_2283/tillsynsmail/A 12269-2025 tillsynsbegäran mail.docx", "A 12269-2025")</f>
        <v/>
      </c>
    </row>
    <row r="264" ht="15" customHeight="1">
      <c r="A264" t="inlineStr">
        <is>
          <t>A 2347-2025</t>
        </is>
      </c>
      <c r="B264" s="1" t="n">
        <v>45673.67782407408</v>
      </c>
      <c r="C264" s="1" t="n">
        <v>45908</v>
      </c>
      <c r="D264" t="inlineStr">
        <is>
          <t>VÄSTERNORRLANDS LÄN</t>
        </is>
      </c>
      <c r="E264" t="inlineStr">
        <is>
          <t>SOLLEFTEÅ</t>
        </is>
      </c>
      <c r="F264" t="inlineStr">
        <is>
          <t>SCA</t>
        </is>
      </c>
      <c r="G264" t="n">
        <v>3.3</v>
      </c>
      <c r="H264" t="n">
        <v>1</v>
      </c>
      <c r="I264" t="n">
        <v>0</v>
      </c>
      <c r="J264" t="n">
        <v>2</v>
      </c>
      <c r="K264" t="n">
        <v>0</v>
      </c>
      <c r="L264" t="n">
        <v>0</v>
      </c>
      <c r="M264" t="n">
        <v>0</v>
      </c>
      <c r="N264" t="n">
        <v>0</v>
      </c>
      <c r="O264" t="n">
        <v>2</v>
      </c>
      <c r="P264" t="n">
        <v>0</v>
      </c>
      <c r="Q264" t="n">
        <v>2</v>
      </c>
      <c r="R264" s="2" t="inlineStr">
        <is>
          <t>Garnlav
Spillkråka</t>
        </is>
      </c>
      <c r="S264">
        <f>HYPERLINK("https://klasma.github.io/Logging_2283/artfynd/A 2347-2025 artfynd.xlsx", "A 2347-2025")</f>
        <v/>
      </c>
      <c r="T264">
        <f>HYPERLINK("https://klasma.github.io/Logging_2283/kartor/A 2347-2025 karta.png", "A 2347-2025")</f>
        <v/>
      </c>
      <c r="V264">
        <f>HYPERLINK("https://klasma.github.io/Logging_2283/klagomål/A 2347-2025 FSC-klagomål.docx", "A 2347-2025")</f>
        <v/>
      </c>
      <c r="W264">
        <f>HYPERLINK("https://klasma.github.io/Logging_2283/klagomålsmail/A 2347-2025 FSC-klagomål mail.docx", "A 2347-2025")</f>
        <v/>
      </c>
      <c r="X264">
        <f>HYPERLINK("https://klasma.github.io/Logging_2283/tillsyn/A 2347-2025 tillsynsbegäran.docx", "A 2347-2025")</f>
        <v/>
      </c>
      <c r="Y264">
        <f>HYPERLINK("https://klasma.github.io/Logging_2283/tillsynsmail/A 2347-2025 tillsynsbegäran mail.docx", "A 2347-2025")</f>
        <v/>
      </c>
      <c r="Z264">
        <f>HYPERLINK("https://klasma.github.io/Logging_2283/fåglar/A 2347-2025 prioriterade fågelarter.docx", "A 2347-2025")</f>
        <v/>
      </c>
    </row>
    <row r="265" ht="15" customHeight="1">
      <c r="A265" t="inlineStr">
        <is>
          <t>A 13743-2025</t>
        </is>
      </c>
      <c r="B265" s="1" t="n">
        <v>45737.40663194445</v>
      </c>
      <c r="C265" s="1" t="n">
        <v>45908</v>
      </c>
      <c r="D265" t="inlineStr">
        <is>
          <t>VÄSTERNORRLANDS LÄN</t>
        </is>
      </c>
      <c r="E265" t="inlineStr">
        <is>
          <t>SOLLEFTEÅ</t>
        </is>
      </c>
      <c r="F265" t="inlineStr">
        <is>
          <t>SCA</t>
        </is>
      </c>
      <c r="G265" t="n">
        <v>2.1</v>
      </c>
      <c r="H265" t="n">
        <v>2</v>
      </c>
      <c r="I265" t="n">
        <v>0</v>
      </c>
      <c r="J265" t="n">
        <v>0</v>
      </c>
      <c r="K265" t="n">
        <v>0</v>
      </c>
      <c r="L265" t="n">
        <v>0</v>
      </c>
      <c r="M265" t="n">
        <v>0</v>
      </c>
      <c r="N265" t="n">
        <v>0</v>
      </c>
      <c r="O265" t="n">
        <v>0</v>
      </c>
      <c r="P265" t="n">
        <v>0</v>
      </c>
      <c r="Q265" t="n">
        <v>2</v>
      </c>
      <c r="R265" s="2" t="inlineStr">
        <is>
          <t>Vanlig groda
Revlummer</t>
        </is>
      </c>
      <c r="S265">
        <f>HYPERLINK("https://klasma.github.io/Logging_2283/artfynd/A 13743-2025 artfynd.xlsx", "A 13743-2025")</f>
        <v/>
      </c>
      <c r="T265">
        <f>HYPERLINK("https://klasma.github.io/Logging_2283/kartor/A 13743-2025 karta.png", "A 13743-2025")</f>
        <v/>
      </c>
      <c r="V265">
        <f>HYPERLINK("https://klasma.github.io/Logging_2283/klagomål/A 13743-2025 FSC-klagomål.docx", "A 13743-2025")</f>
        <v/>
      </c>
      <c r="W265">
        <f>HYPERLINK("https://klasma.github.io/Logging_2283/klagomålsmail/A 13743-2025 FSC-klagomål mail.docx", "A 13743-2025")</f>
        <v/>
      </c>
      <c r="X265">
        <f>HYPERLINK("https://klasma.github.io/Logging_2283/tillsyn/A 13743-2025 tillsynsbegäran.docx", "A 13743-2025")</f>
        <v/>
      </c>
      <c r="Y265">
        <f>HYPERLINK("https://klasma.github.io/Logging_2283/tillsynsmail/A 13743-2025 tillsynsbegäran mail.docx", "A 13743-2025")</f>
        <v/>
      </c>
    </row>
    <row r="266" ht="15" customHeight="1">
      <c r="A266" t="inlineStr">
        <is>
          <t>A 45016-2023</t>
        </is>
      </c>
      <c r="B266" s="1" t="n">
        <v>45190.96188657408</v>
      </c>
      <c r="C266" s="1" t="n">
        <v>45908</v>
      </c>
      <c r="D266" t="inlineStr">
        <is>
          <t>VÄSTERNORRLANDS LÄN</t>
        </is>
      </c>
      <c r="E266" t="inlineStr">
        <is>
          <t>SOLLEFTEÅ</t>
        </is>
      </c>
      <c r="F266" t="inlineStr">
        <is>
          <t>SCA</t>
        </is>
      </c>
      <c r="G266" t="n">
        <v>1.5</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45016-2023 artfynd.xlsx", "A 45016-2023")</f>
        <v/>
      </c>
      <c r="T266">
        <f>HYPERLINK("https://klasma.github.io/Logging_2283/kartor/A 45016-2023 karta.png", "A 45016-2023")</f>
        <v/>
      </c>
      <c r="V266">
        <f>HYPERLINK("https://klasma.github.io/Logging_2283/klagomål/A 45016-2023 FSC-klagomål.docx", "A 45016-2023")</f>
        <v/>
      </c>
      <c r="W266">
        <f>HYPERLINK("https://klasma.github.io/Logging_2283/klagomålsmail/A 45016-2023 FSC-klagomål mail.docx", "A 45016-2023")</f>
        <v/>
      </c>
      <c r="X266">
        <f>HYPERLINK("https://klasma.github.io/Logging_2283/tillsyn/A 45016-2023 tillsynsbegäran.docx", "A 45016-2023")</f>
        <v/>
      </c>
      <c r="Y266">
        <f>HYPERLINK("https://klasma.github.io/Logging_2283/tillsynsmail/A 45016-2023 tillsynsbegäran mail.docx", "A 45016-2023")</f>
        <v/>
      </c>
    </row>
    <row r="267" ht="15" customHeight="1">
      <c r="A267" t="inlineStr">
        <is>
          <t>A 7837-2025</t>
        </is>
      </c>
      <c r="B267" s="1" t="n">
        <v>45706</v>
      </c>
      <c r="C267" s="1" t="n">
        <v>45908</v>
      </c>
      <c r="D267" t="inlineStr">
        <is>
          <t>VÄSTERNORRLANDS LÄN</t>
        </is>
      </c>
      <c r="E267" t="inlineStr">
        <is>
          <t>SOLLEFTEÅ</t>
        </is>
      </c>
      <c r="F267" t="inlineStr">
        <is>
          <t>SCA</t>
        </is>
      </c>
      <c r="G267" t="n">
        <v>2</v>
      </c>
      <c r="H267" t="n">
        <v>0</v>
      </c>
      <c r="I267" t="n">
        <v>1</v>
      </c>
      <c r="J267" t="n">
        <v>1</v>
      </c>
      <c r="K267" t="n">
        <v>0</v>
      </c>
      <c r="L267" t="n">
        <v>0</v>
      </c>
      <c r="M267" t="n">
        <v>0</v>
      </c>
      <c r="N267" t="n">
        <v>0</v>
      </c>
      <c r="O267" t="n">
        <v>1</v>
      </c>
      <c r="P267" t="n">
        <v>0</v>
      </c>
      <c r="Q267" t="n">
        <v>2</v>
      </c>
      <c r="R267" s="2" t="inlineStr">
        <is>
          <t>Gammelgransskål
Norrlandslav</t>
        </is>
      </c>
      <c r="S267">
        <f>HYPERLINK("https://klasma.github.io/Logging_2283/artfynd/A 7837-2025 artfynd.xlsx", "A 7837-2025")</f>
        <v/>
      </c>
      <c r="T267">
        <f>HYPERLINK("https://klasma.github.io/Logging_2283/kartor/A 7837-2025 karta.png", "A 7837-2025")</f>
        <v/>
      </c>
      <c r="V267">
        <f>HYPERLINK("https://klasma.github.io/Logging_2283/klagomål/A 7837-2025 FSC-klagomål.docx", "A 7837-2025")</f>
        <v/>
      </c>
      <c r="W267">
        <f>HYPERLINK("https://klasma.github.io/Logging_2283/klagomålsmail/A 7837-2025 FSC-klagomål mail.docx", "A 7837-2025")</f>
        <v/>
      </c>
      <c r="X267">
        <f>HYPERLINK("https://klasma.github.io/Logging_2283/tillsyn/A 7837-2025 tillsynsbegäran.docx", "A 7837-2025")</f>
        <v/>
      </c>
      <c r="Y267">
        <f>HYPERLINK("https://klasma.github.io/Logging_2283/tillsynsmail/A 7837-2025 tillsynsbegäran mail.docx", "A 7837-2025")</f>
        <v/>
      </c>
    </row>
    <row r="268" ht="15" customHeight="1">
      <c r="A268" t="inlineStr">
        <is>
          <t>A 16718-2025</t>
        </is>
      </c>
      <c r="B268" s="1" t="n">
        <v>45754.48990740741</v>
      </c>
      <c r="C268" s="1" t="n">
        <v>45908</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58314-2024</t>
        </is>
      </c>
      <c r="B269" s="1" t="n">
        <v>45632.61516203704</v>
      </c>
      <c r="C269" s="1" t="n">
        <v>45908</v>
      </c>
      <c r="D269" t="inlineStr">
        <is>
          <t>VÄSTERNORRLANDS LÄN</t>
        </is>
      </c>
      <c r="E269" t="inlineStr">
        <is>
          <t>SOLLEFTEÅ</t>
        </is>
      </c>
      <c r="F269" t="inlineStr">
        <is>
          <t>SCA</t>
        </is>
      </c>
      <c r="G269" t="n">
        <v>3.3</v>
      </c>
      <c r="H269" t="n">
        <v>0</v>
      </c>
      <c r="I269" t="n">
        <v>0</v>
      </c>
      <c r="J269" t="n">
        <v>2</v>
      </c>
      <c r="K269" t="n">
        <v>0</v>
      </c>
      <c r="L269" t="n">
        <v>0</v>
      </c>
      <c r="M269" t="n">
        <v>0</v>
      </c>
      <c r="N269" t="n">
        <v>0</v>
      </c>
      <c r="O269" t="n">
        <v>2</v>
      </c>
      <c r="P269" t="n">
        <v>0</v>
      </c>
      <c r="Q269" t="n">
        <v>2</v>
      </c>
      <c r="R269" s="2" t="inlineStr">
        <is>
          <t>Garnlav
Gränsticka</t>
        </is>
      </c>
      <c r="S269">
        <f>HYPERLINK("https://klasma.github.io/Logging_2283/artfynd/A 58314-2024 artfynd.xlsx", "A 58314-2024")</f>
        <v/>
      </c>
      <c r="T269">
        <f>HYPERLINK("https://klasma.github.io/Logging_2283/kartor/A 58314-2024 karta.png", "A 58314-2024")</f>
        <v/>
      </c>
      <c r="V269">
        <f>HYPERLINK("https://klasma.github.io/Logging_2283/klagomål/A 58314-2024 FSC-klagomål.docx", "A 58314-2024")</f>
        <v/>
      </c>
      <c r="W269">
        <f>HYPERLINK("https://klasma.github.io/Logging_2283/klagomålsmail/A 58314-2024 FSC-klagomål mail.docx", "A 58314-2024")</f>
        <v/>
      </c>
      <c r="X269">
        <f>HYPERLINK("https://klasma.github.io/Logging_2283/tillsyn/A 58314-2024 tillsynsbegäran.docx", "A 58314-2024")</f>
        <v/>
      </c>
      <c r="Y269">
        <f>HYPERLINK("https://klasma.github.io/Logging_2283/tillsynsmail/A 58314-2024 tillsynsbegäran mail.docx", "A 58314-2024")</f>
        <v/>
      </c>
    </row>
    <row r="270" ht="15" customHeight="1">
      <c r="A270" t="inlineStr">
        <is>
          <t>A 48016-2024</t>
        </is>
      </c>
      <c r="B270" s="1" t="n">
        <v>45589.46909722222</v>
      </c>
      <c r="C270" s="1" t="n">
        <v>45908</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20836-2021</t>
        </is>
      </c>
      <c r="B271" s="1" t="n">
        <v>44318</v>
      </c>
      <c r="C271" s="1" t="n">
        <v>45908</v>
      </c>
      <c r="D271" t="inlineStr">
        <is>
          <t>VÄSTERNORRLANDS LÄN</t>
        </is>
      </c>
      <c r="E271" t="inlineStr">
        <is>
          <t>SOLLEFTEÅ</t>
        </is>
      </c>
      <c r="F271" t="inlineStr">
        <is>
          <t>SCA</t>
        </is>
      </c>
      <c r="G271" t="n">
        <v>4.8</v>
      </c>
      <c r="H271" t="n">
        <v>1</v>
      </c>
      <c r="I271" t="n">
        <v>0</v>
      </c>
      <c r="J271" t="n">
        <v>2</v>
      </c>
      <c r="K271" t="n">
        <v>0</v>
      </c>
      <c r="L271" t="n">
        <v>0</v>
      </c>
      <c r="M271" t="n">
        <v>0</v>
      </c>
      <c r="N271" t="n">
        <v>0</v>
      </c>
      <c r="O271" t="n">
        <v>2</v>
      </c>
      <c r="P271" t="n">
        <v>0</v>
      </c>
      <c r="Q271" t="n">
        <v>2</v>
      </c>
      <c r="R271" s="2" t="inlineStr">
        <is>
          <t>Garnlav
Talltita</t>
        </is>
      </c>
      <c r="S271">
        <f>HYPERLINK("https://klasma.github.io/Logging_2283/artfynd/A 20836-2021 artfynd.xlsx", "A 20836-2021")</f>
        <v/>
      </c>
      <c r="T271">
        <f>HYPERLINK("https://klasma.github.io/Logging_2283/kartor/A 20836-2021 karta.png", "A 20836-2021")</f>
        <v/>
      </c>
      <c r="V271">
        <f>HYPERLINK("https://klasma.github.io/Logging_2283/klagomål/A 20836-2021 FSC-klagomål.docx", "A 20836-2021")</f>
        <v/>
      </c>
      <c r="W271">
        <f>HYPERLINK("https://klasma.github.io/Logging_2283/klagomålsmail/A 20836-2021 FSC-klagomål mail.docx", "A 20836-2021")</f>
        <v/>
      </c>
      <c r="X271">
        <f>HYPERLINK("https://klasma.github.io/Logging_2283/tillsyn/A 20836-2021 tillsynsbegäran.docx", "A 20836-2021")</f>
        <v/>
      </c>
      <c r="Y271">
        <f>HYPERLINK("https://klasma.github.io/Logging_2283/tillsynsmail/A 20836-2021 tillsynsbegäran mail.docx", "A 20836-2021")</f>
        <v/>
      </c>
      <c r="Z271">
        <f>HYPERLINK("https://klasma.github.io/Logging_2283/fåglar/A 20836-2021 prioriterade fågelarter.docx", "A 20836-2021")</f>
        <v/>
      </c>
    </row>
    <row r="272" ht="15" customHeight="1">
      <c r="A272" t="inlineStr">
        <is>
          <t>A 38017-2024</t>
        </is>
      </c>
      <c r="B272" s="1" t="n">
        <v>45544</v>
      </c>
      <c r="C272" s="1" t="n">
        <v>45908</v>
      </c>
      <c r="D272" t="inlineStr">
        <is>
          <t>VÄSTERNORRLANDS LÄN</t>
        </is>
      </c>
      <c r="E272" t="inlineStr">
        <is>
          <t>SOLLEFTEÅ</t>
        </is>
      </c>
      <c r="F272" t="inlineStr">
        <is>
          <t>SCA</t>
        </is>
      </c>
      <c r="G272" t="n">
        <v>1.9</v>
      </c>
      <c r="H272" t="n">
        <v>0</v>
      </c>
      <c r="I272" t="n">
        <v>1</v>
      </c>
      <c r="J272" t="n">
        <v>1</v>
      </c>
      <c r="K272" t="n">
        <v>0</v>
      </c>
      <c r="L272" t="n">
        <v>0</v>
      </c>
      <c r="M272" t="n">
        <v>0</v>
      </c>
      <c r="N272" t="n">
        <v>0</v>
      </c>
      <c r="O272" t="n">
        <v>1</v>
      </c>
      <c r="P272" t="n">
        <v>0</v>
      </c>
      <c r="Q272" t="n">
        <v>2</v>
      </c>
      <c r="R272" s="2" t="inlineStr">
        <is>
          <t>Garnlav
Bårdlav</t>
        </is>
      </c>
      <c r="S272">
        <f>HYPERLINK("https://klasma.github.io/Logging_2283/artfynd/A 38017-2024 artfynd.xlsx", "A 38017-2024")</f>
        <v/>
      </c>
      <c r="T272">
        <f>HYPERLINK("https://klasma.github.io/Logging_2283/kartor/A 38017-2024 karta.png", "A 38017-2024")</f>
        <v/>
      </c>
      <c r="V272">
        <f>HYPERLINK("https://klasma.github.io/Logging_2283/klagomål/A 38017-2024 FSC-klagomål.docx", "A 38017-2024")</f>
        <v/>
      </c>
      <c r="W272">
        <f>HYPERLINK("https://klasma.github.io/Logging_2283/klagomålsmail/A 38017-2024 FSC-klagomål mail.docx", "A 38017-2024")</f>
        <v/>
      </c>
      <c r="X272">
        <f>HYPERLINK("https://klasma.github.io/Logging_2283/tillsyn/A 38017-2024 tillsynsbegäran.docx", "A 38017-2024")</f>
        <v/>
      </c>
      <c r="Y272">
        <f>HYPERLINK("https://klasma.github.io/Logging_2283/tillsynsmail/A 38017-2024 tillsynsbegäran mail.docx", "A 38017-2024")</f>
        <v/>
      </c>
    </row>
    <row r="273" ht="15" customHeight="1">
      <c r="A273" t="inlineStr">
        <is>
          <t>A 34814-2024</t>
        </is>
      </c>
      <c r="B273" s="1" t="n">
        <v>45526.70703703703</v>
      </c>
      <c r="C273" s="1" t="n">
        <v>45908</v>
      </c>
      <c r="D273" t="inlineStr">
        <is>
          <t>VÄSTERNORRLANDS LÄN</t>
        </is>
      </c>
      <c r="E273" t="inlineStr">
        <is>
          <t>SOLLEFTEÅ</t>
        </is>
      </c>
      <c r="F273" t="inlineStr">
        <is>
          <t>SCA</t>
        </is>
      </c>
      <c r="G273" t="n">
        <v>6.9</v>
      </c>
      <c r="H273" t="n">
        <v>0</v>
      </c>
      <c r="I273" t="n">
        <v>0</v>
      </c>
      <c r="J273" t="n">
        <v>2</v>
      </c>
      <c r="K273" t="n">
        <v>0</v>
      </c>
      <c r="L273" t="n">
        <v>0</v>
      </c>
      <c r="M273" t="n">
        <v>0</v>
      </c>
      <c r="N273" t="n">
        <v>0</v>
      </c>
      <c r="O273" t="n">
        <v>2</v>
      </c>
      <c r="P273" t="n">
        <v>0</v>
      </c>
      <c r="Q273" t="n">
        <v>2</v>
      </c>
      <c r="R273" s="2" t="inlineStr">
        <is>
          <t>Kolflarnlav
Lunglav</t>
        </is>
      </c>
      <c r="S273">
        <f>HYPERLINK("https://klasma.github.io/Logging_2283/artfynd/A 34814-2024 artfynd.xlsx", "A 34814-2024")</f>
        <v/>
      </c>
      <c r="T273">
        <f>HYPERLINK("https://klasma.github.io/Logging_2283/kartor/A 34814-2024 karta.png", "A 34814-2024")</f>
        <v/>
      </c>
      <c r="V273">
        <f>HYPERLINK("https://klasma.github.io/Logging_2283/klagomål/A 34814-2024 FSC-klagomål.docx", "A 34814-2024")</f>
        <v/>
      </c>
      <c r="W273">
        <f>HYPERLINK("https://klasma.github.io/Logging_2283/klagomålsmail/A 34814-2024 FSC-klagomål mail.docx", "A 34814-2024")</f>
        <v/>
      </c>
      <c r="X273">
        <f>HYPERLINK("https://klasma.github.io/Logging_2283/tillsyn/A 34814-2024 tillsynsbegäran.docx", "A 34814-2024")</f>
        <v/>
      </c>
      <c r="Y273">
        <f>HYPERLINK("https://klasma.github.io/Logging_2283/tillsynsmail/A 34814-2024 tillsynsbegäran mail.docx", "A 34814-2024")</f>
        <v/>
      </c>
    </row>
    <row r="274" ht="15" customHeight="1">
      <c r="A274" t="inlineStr">
        <is>
          <t>A 58572-2021</t>
        </is>
      </c>
      <c r="B274" s="1" t="n">
        <v>44488</v>
      </c>
      <c r="C274" s="1" t="n">
        <v>45908</v>
      </c>
      <c r="D274" t="inlineStr">
        <is>
          <t>VÄSTERNORRLANDS LÄN</t>
        </is>
      </c>
      <c r="E274" t="inlineStr">
        <is>
          <t>SOLLEFTEÅ</t>
        </is>
      </c>
      <c r="G274" t="n">
        <v>0.1</v>
      </c>
      <c r="H274" t="n">
        <v>0</v>
      </c>
      <c r="I274" t="n">
        <v>0</v>
      </c>
      <c r="J274" t="n">
        <v>1</v>
      </c>
      <c r="K274" t="n">
        <v>0</v>
      </c>
      <c r="L274" t="n">
        <v>0</v>
      </c>
      <c r="M274" t="n">
        <v>0</v>
      </c>
      <c r="N274" t="n">
        <v>0</v>
      </c>
      <c r="O274" t="n">
        <v>1</v>
      </c>
      <c r="P274" t="n">
        <v>0</v>
      </c>
      <c r="Q274" t="n">
        <v>1</v>
      </c>
      <c r="R274" s="2" t="inlineStr">
        <is>
          <t>Brunklöver</t>
        </is>
      </c>
      <c r="S274">
        <f>HYPERLINK("https://klasma.github.io/Logging_2283/artfynd/A 58572-2021 artfynd.xlsx", "A 58572-2021")</f>
        <v/>
      </c>
      <c r="T274">
        <f>HYPERLINK("https://klasma.github.io/Logging_2283/kartor/A 58572-2021 karta.png", "A 58572-2021")</f>
        <v/>
      </c>
      <c r="V274">
        <f>HYPERLINK("https://klasma.github.io/Logging_2283/klagomål/A 58572-2021 FSC-klagomål.docx", "A 58572-2021")</f>
        <v/>
      </c>
      <c r="W274">
        <f>HYPERLINK("https://klasma.github.io/Logging_2283/klagomålsmail/A 58572-2021 FSC-klagomål mail.docx", "A 58572-2021")</f>
        <v/>
      </c>
      <c r="X274">
        <f>HYPERLINK("https://klasma.github.io/Logging_2283/tillsyn/A 58572-2021 tillsynsbegäran.docx", "A 58572-2021")</f>
        <v/>
      </c>
      <c r="Y274">
        <f>HYPERLINK("https://klasma.github.io/Logging_2283/tillsynsmail/A 58572-2021 tillsynsbegäran mail.docx", "A 58572-2021")</f>
        <v/>
      </c>
    </row>
    <row r="275" ht="15" customHeight="1">
      <c r="A275" t="inlineStr">
        <is>
          <t>A 68789-2020</t>
        </is>
      </c>
      <c r="B275" s="1" t="n">
        <v>44186</v>
      </c>
      <c r="C275" s="1" t="n">
        <v>45908</v>
      </c>
      <c r="D275" t="inlineStr">
        <is>
          <t>VÄSTERNORRLANDS LÄN</t>
        </is>
      </c>
      <c r="E275" t="inlineStr">
        <is>
          <t>SOLLEFTEÅ</t>
        </is>
      </c>
      <c r="G275" t="n">
        <v>2.1</v>
      </c>
      <c r="H275" t="n">
        <v>0</v>
      </c>
      <c r="I275" t="n">
        <v>1</v>
      </c>
      <c r="J275" t="n">
        <v>0</v>
      </c>
      <c r="K275" t="n">
        <v>0</v>
      </c>
      <c r="L275" t="n">
        <v>0</v>
      </c>
      <c r="M275" t="n">
        <v>0</v>
      </c>
      <c r="N275" t="n">
        <v>0</v>
      </c>
      <c r="O275" t="n">
        <v>0</v>
      </c>
      <c r="P275" t="n">
        <v>0</v>
      </c>
      <c r="Q275" t="n">
        <v>1</v>
      </c>
      <c r="R275" s="2" t="inlineStr">
        <is>
          <t>Svart trolldruva</t>
        </is>
      </c>
      <c r="S275">
        <f>HYPERLINK("https://klasma.github.io/Logging_2283/artfynd/A 68789-2020 artfynd.xlsx", "A 68789-2020")</f>
        <v/>
      </c>
      <c r="T275">
        <f>HYPERLINK("https://klasma.github.io/Logging_2283/kartor/A 68789-2020 karta.png", "A 68789-2020")</f>
        <v/>
      </c>
      <c r="U275">
        <f>HYPERLINK("https://klasma.github.io/Logging_2283/knärot/A 68789-2020 karta knärot.png", "A 68789-2020")</f>
        <v/>
      </c>
      <c r="V275">
        <f>HYPERLINK("https://klasma.github.io/Logging_2283/klagomål/A 68789-2020 FSC-klagomål.docx", "A 68789-2020")</f>
        <v/>
      </c>
      <c r="W275">
        <f>HYPERLINK("https://klasma.github.io/Logging_2283/klagomålsmail/A 68789-2020 FSC-klagomål mail.docx", "A 68789-2020")</f>
        <v/>
      </c>
      <c r="X275">
        <f>HYPERLINK("https://klasma.github.io/Logging_2283/tillsyn/A 68789-2020 tillsynsbegäran.docx", "A 68789-2020")</f>
        <v/>
      </c>
      <c r="Y275">
        <f>HYPERLINK("https://klasma.github.io/Logging_2283/tillsynsmail/A 68789-2020 tillsynsbegäran mail.docx", "A 68789-2020")</f>
        <v/>
      </c>
    </row>
    <row r="276" ht="15" customHeight="1">
      <c r="A276" t="inlineStr">
        <is>
          <t>A 47840-2020</t>
        </is>
      </c>
      <c r="B276" s="1" t="n">
        <v>44098</v>
      </c>
      <c r="C276" s="1" t="n">
        <v>45908</v>
      </c>
      <c r="D276" t="inlineStr">
        <is>
          <t>VÄSTERNORRLANDS LÄN</t>
        </is>
      </c>
      <c r="E276" t="inlineStr">
        <is>
          <t>SOLLEFTEÅ</t>
        </is>
      </c>
      <c r="F276" t="inlineStr">
        <is>
          <t>SCA</t>
        </is>
      </c>
      <c r="G276" t="n">
        <v>9.699999999999999</v>
      </c>
      <c r="H276" t="n">
        <v>1</v>
      </c>
      <c r="I276" t="n">
        <v>0</v>
      </c>
      <c r="J276" t="n">
        <v>0</v>
      </c>
      <c r="K276" t="n">
        <v>1</v>
      </c>
      <c r="L276" t="n">
        <v>0</v>
      </c>
      <c r="M276" t="n">
        <v>0</v>
      </c>
      <c r="N276" t="n">
        <v>0</v>
      </c>
      <c r="O276" t="n">
        <v>1</v>
      </c>
      <c r="P276" t="n">
        <v>1</v>
      </c>
      <c r="Q276" t="n">
        <v>1</v>
      </c>
      <c r="R276" s="2" t="inlineStr">
        <is>
          <t>Knärot</t>
        </is>
      </c>
      <c r="S276">
        <f>HYPERLINK("https://klasma.github.io/Logging_2283/artfynd/A 47840-2020 artfynd.xlsx", "A 47840-2020")</f>
        <v/>
      </c>
      <c r="T276">
        <f>HYPERLINK("https://klasma.github.io/Logging_2283/kartor/A 47840-2020 karta.png", "A 47840-2020")</f>
        <v/>
      </c>
      <c r="U276">
        <f>HYPERLINK("https://klasma.github.io/Logging_2283/knärot/A 47840-2020 karta knärot.png", "A 47840-2020")</f>
        <v/>
      </c>
      <c r="V276">
        <f>HYPERLINK("https://klasma.github.io/Logging_2283/klagomål/A 47840-2020 FSC-klagomål.docx", "A 47840-2020")</f>
        <v/>
      </c>
      <c r="W276">
        <f>HYPERLINK("https://klasma.github.io/Logging_2283/klagomålsmail/A 47840-2020 FSC-klagomål mail.docx", "A 47840-2020")</f>
        <v/>
      </c>
      <c r="X276">
        <f>HYPERLINK("https://klasma.github.io/Logging_2283/tillsyn/A 47840-2020 tillsynsbegäran.docx", "A 47840-2020")</f>
        <v/>
      </c>
      <c r="Y276">
        <f>HYPERLINK("https://klasma.github.io/Logging_2283/tillsynsmail/A 47840-2020 tillsynsbegäran mail.docx", "A 47840-2020")</f>
        <v/>
      </c>
    </row>
    <row r="277" ht="15" customHeight="1">
      <c r="A277" t="inlineStr">
        <is>
          <t>A 29037-2022</t>
        </is>
      </c>
      <c r="B277" s="1" t="n">
        <v>44749</v>
      </c>
      <c r="C277" s="1" t="n">
        <v>45908</v>
      </c>
      <c r="D277" t="inlineStr">
        <is>
          <t>VÄSTERNORRLANDS LÄN</t>
        </is>
      </c>
      <c r="E277" t="inlineStr">
        <is>
          <t>SOLLEFTEÅ</t>
        </is>
      </c>
      <c r="F277" t="inlineStr">
        <is>
          <t>SCA</t>
        </is>
      </c>
      <c r="G277" t="n">
        <v>1</v>
      </c>
      <c r="H277" t="n">
        <v>0</v>
      </c>
      <c r="I277" t="n">
        <v>1</v>
      </c>
      <c r="J277" t="n">
        <v>0</v>
      </c>
      <c r="K277" t="n">
        <v>0</v>
      </c>
      <c r="L277" t="n">
        <v>0</v>
      </c>
      <c r="M277" t="n">
        <v>0</v>
      </c>
      <c r="N277" t="n">
        <v>0</v>
      </c>
      <c r="O277" t="n">
        <v>0</v>
      </c>
      <c r="P277" t="n">
        <v>0</v>
      </c>
      <c r="Q277" t="n">
        <v>1</v>
      </c>
      <c r="R277" s="2" t="inlineStr">
        <is>
          <t>Vanlig flatbagge</t>
        </is>
      </c>
      <c r="S277">
        <f>HYPERLINK("https://klasma.github.io/Logging_2283/artfynd/A 29037-2022 artfynd.xlsx", "A 29037-2022")</f>
        <v/>
      </c>
      <c r="T277">
        <f>HYPERLINK("https://klasma.github.io/Logging_2283/kartor/A 29037-2022 karta.png", "A 29037-2022")</f>
        <v/>
      </c>
      <c r="V277">
        <f>HYPERLINK("https://klasma.github.io/Logging_2283/klagomål/A 29037-2022 FSC-klagomål.docx", "A 29037-2022")</f>
        <v/>
      </c>
      <c r="W277">
        <f>HYPERLINK("https://klasma.github.io/Logging_2283/klagomålsmail/A 29037-2022 FSC-klagomål mail.docx", "A 29037-2022")</f>
        <v/>
      </c>
      <c r="X277">
        <f>HYPERLINK("https://klasma.github.io/Logging_2283/tillsyn/A 29037-2022 tillsynsbegäran.docx", "A 29037-2022")</f>
        <v/>
      </c>
      <c r="Y277">
        <f>HYPERLINK("https://klasma.github.io/Logging_2283/tillsynsmail/A 29037-2022 tillsynsbegäran mail.docx", "A 29037-2022")</f>
        <v/>
      </c>
    </row>
    <row r="278" ht="15" customHeight="1">
      <c r="A278" t="inlineStr">
        <is>
          <t>A 51019-2021</t>
        </is>
      </c>
      <c r="B278" s="1" t="n">
        <v>44460</v>
      </c>
      <c r="C278" s="1" t="n">
        <v>45908</v>
      </c>
      <c r="D278" t="inlineStr">
        <is>
          <t>VÄSTERNORRLANDS LÄN</t>
        </is>
      </c>
      <c r="E278" t="inlineStr">
        <is>
          <t>SOLLEFTEÅ</t>
        </is>
      </c>
      <c r="F278" t="inlineStr">
        <is>
          <t>SCA</t>
        </is>
      </c>
      <c r="G278" t="n">
        <v>2.1</v>
      </c>
      <c r="H278" t="n">
        <v>1</v>
      </c>
      <c r="I278" t="n">
        <v>0</v>
      </c>
      <c r="J278" t="n">
        <v>0</v>
      </c>
      <c r="K278" t="n">
        <v>0</v>
      </c>
      <c r="L278" t="n">
        <v>0</v>
      </c>
      <c r="M278" t="n">
        <v>0</v>
      </c>
      <c r="N278" t="n">
        <v>0</v>
      </c>
      <c r="O278" t="n">
        <v>0</v>
      </c>
      <c r="P278" t="n">
        <v>0</v>
      </c>
      <c r="Q278" t="n">
        <v>1</v>
      </c>
      <c r="R278" s="2" t="inlineStr">
        <is>
          <t>Fläcknycklar</t>
        </is>
      </c>
      <c r="S278">
        <f>HYPERLINK("https://klasma.github.io/Logging_2283/artfynd/A 51019-2021 artfynd.xlsx", "A 51019-2021")</f>
        <v/>
      </c>
      <c r="T278">
        <f>HYPERLINK("https://klasma.github.io/Logging_2283/kartor/A 51019-2021 karta.png", "A 51019-2021")</f>
        <v/>
      </c>
      <c r="V278">
        <f>HYPERLINK("https://klasma.github.io/Logging_2283/klagomål/A 51019-2021 FSC-klagomål.docx", "A 51019-2021")</f>
        <v/>
      </c>
      <c r="W278">
        <f>HYPERLINK("https://klasma.github.io/Logging_2283/klagomålsmail/A 51019-2021 FSC-klagomål mail.docx", "A 51019-2021")</f>
        <v/>
      </c>
      <c r="X278">
        <f>HYPERLINK("https://klasma.github.io/Logging_2283/tillsyn/A 51019-2021 tillsynsbegäran.docx", "A 51019-2021")</f>
        <v/>
      </c>
      <c r="Y278">
        <f>HYPERLINK("https://klasma.github.io/Logging_2283/tillsynsmail/A 51019-2021 tillsynsbegäran mail.docx", "A 51019-2021")</f>
        <v/>
      </c>
    </row>
    <row r="279" ht="15" customHeight="1">
      <c r="A279" t="inlineStr">
        <is>
          <t>A 67402-2021</t>
        </is>
      </c>
      <c r="B279" s="1" t="n">
        <v>44523</v>
      </c>
      <c r="C279" s="1" t="n">
        <v>45908</v>
      </c>
      <c r="D279" t="inlineStr">
        <is>
          <t>VÄSTERNORRLANDS LÄN</t>
        </is>
      </c>
      <c r="E279" t="inlineStr">
        <is>
          <t>SOLLEFTEÅ</t>
        </is>
      </c>
      <c r="F279" t="inlineStr">
        <is>
          <t>SCA</t>
        </is>
      </c>
      <c r="G279" t="n">
        <v>11</v>
      </c>
      <c r="H279" t="n">
        <v>1</v>
      </c>
      <c r="I279" t="n">
        <v>0</v>
      </c>
      <c r="J279" t="n">
        <v>0</v>
      </c>
      <c r="K279" t="n">
        <v>1</v>
      </c>
      <c r="L279" t="n">
        <v>0</v>
      </c>
      <c r="M279" t="n">
        <v>0</v>
      </c>
      <c r="N279" t="n">
        <v>0</v>
      </c>
      <c r="O279" t="n">
        <v>1</v>
      </c>
      <c r="P279" t="n">
        <v>1</v>
      </c>
      <c r="Q279" t="n">
        <v>1</v>
      </c>
      <c r="R279" s="2" t="inlineStr">
        <is>
          <t>Knärot</t>
        </is>
      </c>
      <c r="S279">
        <f>HYPERLINK("https://klasma.github.io/Logging_2283/artfynd/A 67402-2021 artfynd.xlsx", "A 67402-2021")</f>
        <v/>
      </c>
      <c r="T279">
        <f>HYPERLINK("https://klasma.github.io/Logging_2283/kartor/A 67402-2021 karta.png", "A 67402-2021")</f>
        <v/>
      </c>
      <c r="U279">
        <f>HYPERLINK("https://klasma.github.io/Logging_2283/knärot/A 67402-2021 karta knärot.png", "A 67402-2021")</f>
        <v/>
      </c>
      <c r="V279">
        <f>HYPERLINK("https://klasma.github.io/Logging_2283/klagomål/A 67402-2021 FSC-klagomål.docx", "A 67402-2021")</f>
        <v/>
      </c>
      <c r="W279">
        <f>HYPERLINK("https://klasma.github.io/Logging_2283/klagomålsmail/A 67402-2021 FSC-klagomål mail.docx", "A 67402-2021")</f>
        <v/>
      </c>
      <c r="X279">
        <f>HYPERLINK("https://klasma.github.io/Logging_2283/tillsyn/A 67402-2021 tillsynsbegäran.docx", "A 67402-2021")</f>
        <v/>
      </c>
      <c r="Y279">
        <f>HYPERLINK("https://klasma.github.io/Logging_2283/tillsynsmail/A 67402-2021 tillsynsbegäran mail.docx", "A 67402-2021")</f>
        <v/>
      </c>
    </row>
    <row r="280" ht="15" customHeight="1">
      <c r="A280" t="inlineStr">
        <is>
          <t>A 15101-2021</t>
        </is>
      </c>
      <c r="B280" s="1" t="n">
        <v>44281.93871527778</v>
      </c>
      <c r="C280" s="1" t="n">
        <v>45908</v>
      </c>
      <c r="D280" t="inlineStr">
        <is>
          <t>VÄSTERNORRLANDS LÄN</t>
        </is>
      </c>
      <c r="E280" t="inlineStr">
        <is>
          <t>SOLLEFTEÅ</t>
        </is>
      </c>
      <c r="F280" t="inlineStr">
        <is>
          <t>SCA</t>
        </is>
      </c>
      <c r="G280" t="n">
        <v>1.1</v>
      </c>
      <c r="H280" t="n">
        <v>0</v>
      </c>
      <c r="I280" t="n">
        <v>0</v>
      </c>
      <c r="J280" t="n">
        <v>1</v>
      </c>
      <c r="K280" t="n">
        <v>0</v>
      </c>
      <c r="L280" t="n">
        <v>0</v>
      </c>
      <c r="M280" t="n">
        <v>0</v>
      </c>
      <c r="N280" t="n">
        <v>0</v>
      </c>
      <c r="O280" t="n">
        <v>1</v>
      </c>
      <c r="P280" t="n">
        <v>0</v>
      </c>
      <c r="Q280" t="n">
        <v>1</v>
      </c>
      <c r="R280" s="2" t="inlineStr">
        <is>
          <t>Garnlav</t>
        </is>
      </c>
      <c r="S280">
        <f>HYPERLINK("https://klasma.github.io/Logging_2283/artfynd/A 15101-2021 artfynd.xlsx", "A 15101-2021")</f>
        <v/>
      </c>
      <c r="T280">
        <f>HYPERLINK("https://klasma.github.io/Logging_2283/kartor/A 15101-2021 karta.png", "A 15101-2021")</f>
        <v/>
      </c>
      <c r="V280">
        <f>HYPERLINK("https://klasma.github.io/Logging_2283/klagomål/A 15101-2021 FSC-klagomål.docx", "A 15101-2021")</f>
        <v/>
      </c>
      <c r="W280">
        <f>HYPERLINK("https://klasma.github.io/Logging_2283/klagomålsmail/A 15101-2021 FSC-klagomål mail.docx", "A 15101-2021")</f>
        <v/>
      </c>
      <c r="X280">
        <f>HYPERLINK("https://klasma.github.io/Logging_2283/tillsyn/A 15101-2021 tillsynsbegäran.docx", "A 15101-2021")</f>
        <v/>
      </c>
      <c r="Y280">
        <f>HYPERLINK("https://klasma.github.io/Logging_2283/tillsynsmail/A 15101-2021 tillsynsbegäran mail.docx", "A 15101-2021")</f>
        <v/>
      </c>
    </row>
    <row r="281" ht="15" customHeight="1">
      <c r="A281" t="inlineStr">
        <is>
          <t>A 30047-2022</t>
        </is>
      </c>
      <c r="B281" s="1" t="n">
        <v>44756.94622685185</v>
      </c>
      <c r="C281" s="1" t="n">
        <v>45908</v>
      </c>
      <c r="D281" t="inlineStr">
        <is>
          <t>VÄSTERNORRLANDS LÄN</t>
        </is>
      </c>
      <c r="E281" t="inlineStr">
        <is>
          <t>SOLLEFTEÅ</t>
        </is>
      </c>
      <c r="F281" t="inlineStr">
        <is>
          <t>SCA</t>
        </is>
      </c>
      <c r="G281" t="n">
        <v>2.5</v>
      </c>
      <c r="H281" t="n">
        <v>0</v>
      </c>
      <c r="I281" t="n">
        <v>0</v>
      </c>
      <c r="J281" t="n">
        <v>1</v>
      </c>
      <c r="K281" t="n">
        <v>0</v>
      </c>
      <c r="L281" t="n">
        <v>0</v>
      </c>
      <c r="M281" t="n">
        <v>0</v>
      </c>
      <c r="N281" t="n">
        <v>0</v>
      </c>
      <c r="O281" t="n">
        <v>1</v>
      </c>
      <c r="P281" t="n">
        <v>0</v>
      </c>
      <c r="Q281" t="n">
        <v>1</v>
      </c>
      <c r="R281" s="2" t="inlineStr">
        <is>
          <t>Garnlav</t>
        </is>
      </c>
      <c r="S281">
        <f>HYPERLINK("https://klasma.github.io/Logging_2283/artfynd/A 30047-2022 artfynd.xlsx", "A 30047-2022")</f>
        <v/>
      </c>
      <c r="T281">
        <f>HYPERLINK("https://klasma.github.io/Logging_2283/kartor/A 30047-2022 karta.png", "A 30047-2022")</f>
        <v/>
      </c>
      <c r="V281">
        <f>HYPERLINK("https://klasma.github.io/Logging_2283/klagomål/A 30047-2022 FSC-klagomål.docx", "A 30047-2022")</f>
        <v/>
      </c>
      <c r="W281">
        <f>HYPERLINK("https://klasma.github.io/Logging_2283/klagomålsmail/A 30047-2022 FSC-klagomål mail.docx", "A 30047-2022")</f>
        <v/>
      </c>
      <c r="X281">
        <f>HYPERLINK("https://klasma.github.io/Logging_2283/tillsyn/A 30047-2022 tillsynsbegäran.docx", "A 30047-2022")</f>
        <v/>
      </c>
      <c r="Y281">
        <f>HYPERLINK("https://klasma.github.io/Logging_2283/tillsynsmail/A 30047-2022 tillsynsbegäran mail.docx", "A 30047-2022")</f>
        <v/>
      </c>
    </row>
    <row r="282" ht="15" customHeight="1">
      <c r="A282" t="inlineStr">
        <is>
          <t>A 71349-2021</t>
        </is>
      </c>
      <c r="B282" s="1" t="n">
        <v>44539</v>
      </c>
      <c r="C282" s="1" t="n">
        <v>45908</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22323-2022</t>
        </is>
      </c>
      <c r="B283" s="1" t="n">
        <v>44712.94081018519</v>
      </c>
      <c r="C283" s="1" t="n">
        <v>45908</v>
      </c>
      <c r="D283" t="inlineStr">
        <is>
          <t>VÄSTERNORRLANDS LÄN</t>
        </is>
      </c>
      <c r="E283" t="inlineStr">
        <is>
          <t>SOLLEFTEÅ</t>
        </is>
      </c>
      <c r="F283" t="inlineStr">
        <is>
          <t>SCA</t>
        </is>
      </c>
      <c r="G283" t="n">
        <v>1.8</v>
      </c>
      <c r="H283" t="n">
        <v>0</v>
      </c>
      <c r="I283" t="n">
        <v>0</v>
      </c>
      <c r="J283" t="n">
        <v>1</v>
      </c>
      <c r="K283" t="n">
        <v>0</v>
      </c>
      <c r="L283" t="n">
        <v>0</v>
      </c>
      <c r="M283" t="n">
        <v>0</v>
      </c>
      <c r="N283" t="n">
        <v>0</v>
      </c>
      <c r="O283" t="n">
        <v>1</v>
      </c>
      <c r="P283" t="n">
        <v>0</v>
      </c>
      <c r="Q283" t="n">
        <v>1</v>
      </c>
      <c r="R283" s="2" t="inlineStr">
        <is>
          <t>Granticka</t>
        </is>
      </c>
      <c r="S283">
        <f>HYPERLINK("https://klasma.github.io/Logging_2283/artfynd/A 22323-2022 artfynd.xlsx", "A 22323-2022")</f>
        <v/>
      </c>
      <c r="T283">
        <f>HYPERLINK("https://klasma.github.io/Logging_2283/kartor/A 22323-2022 karta.png", "A 22323-2022")</f>
        <v/>
      </c>
      <c r="V283">
        <f>HYPERLINK("https://klasma.github.io/Logging_2283/klagomål/A 22323-2022 FSC-klagomål.docx", "A 22323-2022")</f>
        <v/>
      </c>
      <c r="W283">
        <f>HYPERLINK("https://klasma.github.io/Logging_2283/klagomålsmail/A 22323-2022 FSC-klagomål mail.docx", "A 22323-2022")</f>
        <v/>
      </c>
      <c r="X283">
        <f>HYPERLINK("https://klasma.github.io/Logging_2283/tillsyn/A 22323-2022 tillsynsbegäran.docx", "A 22323-2022")</f>
        <v/>
      </c>
      <c r="Y283">
        <f>HYPERLINK("https://klasma.github.io/Logging_2283/tillsynsmail/A 22323-2022 tillsynsbegäran mail.docx", "A 22323-2022")</f>
        <v/>
      </c>
    </row>
    <row r="284" ht="15" customHeight="1">
      <c r="A284" t="inlineStr">
        <is>
          <t>A 40626-2022</t>
        </is>
      </c>
      <c r="B284" s="1" t="n">
        <v>44823.95071759259</v>
      </c>
      <c r="C284" s="1" t="n">
        <v>45908</v>
      </c>
      <c r="D284" t="inlineStr">
        <is>
          <t>VÄSTERNORRLANDS LÄN</t>
        </is>
      </c>
      <c r="E284" t="inlineStr">
        <is>
          <t>SOLLEFTEÅ</t>
        </is>
      </c>
      <c r="F284" t="inlineStr">
        <is>
          <t>SCA</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HYPERLINK("https://klasma.github.io/Logging_2283/artfynd/A 40626-2022 artfynd.xlsx", "A 40626-2022")</f>
        <v/>
      </c>
      <c r="T284">
        <f>HYPERLINK("https://klasma.github.io/Logging_2283/kartor/A 40626-2022 karta.png", "A 40626-2022")</f>
        <v/>
      </c>
      <c r="V284">
        <f>HYPERLINK("https://klasma.github.io/Logging_2283/klagomål/A 40626-2022 FSC-klagomål.docx", "A 40626-2022")</f>
        <v/>
      </c>
      <c r="W284">
        <f>HYPERLINK("https://klasma.github.io/Logging_2283/klagomålsmail/A 40626-2022 FSC-klagomål mail.docx", "A 40626-2022")</f>
        <v/>
      </c>
      <c r="X284">
        <f>HYPERLINK("https://klasma.github.io/Logging_2283/tillsyn/A 40626-2022 tillsynsbegäran.docx", "A 40626-2022")</f>
        <v/>
      </c>
      <c r="Y284">
        <f>HYPERLINK("https://klasma.github.io/Logging_2283/tillsynsmail/A 40626-2022 tillsynsbegäran mail.docx", "A 40626-2022")</f>
        <v/>
      </c>
      <c r="Z284">
        <f>HYPERLINK("https://klasma.github.io/Logging_2283/fåglar/A 40626-2022 prioriterade fågelarter.docx", "A 40626-2022")</f>
        <v/>
      </c>
    </row>
    <row r="285" ht="15" customHeight="1">
      <c r="A285" t="inlineStr">
        <is>
          <t>A 37589-2022</t>
        </is>
      </c>
      <c r="B285" s="1" t="n">
        <v>44809.94556712963</v>
      </c>
      <c r="C285" s="1" t="n">
        <v>45908</v>
      </c>
      <c r="D285" t="inlineStr">
        <is>
          <t>VÄSTERNORRLANDS LÄN</t>
        </is>
      </c>
      <c r="E285" t="inlineStr">
        <is>
          <t>SOLLEFTEÅ</t>
        </is>
      </c>
      <c r="F285" t="inlineStr">
        <is>
          <t>SCA</t>
        </is>
      </c>
      <c r="G285" t="n">
        <v>2.6</v>
      </c>
      <c r="H285" t="n">
        <v>1</v>
      </c>
      <c r="I285" t="n">
        <v>0</v>
      </c>
      <c r="J285" t="n">
        <v>0</v>
      </c>
      <c r="K285" t="n">
        <v>0</v>
      </c>
      <c r="L285" t="n">
        <v>0</v>
      </c>
      <c r="M285" t="n">
        <v>0</v>
      </c>
      <c r="N285" t="n">
        <v>0</v>
      </c>
      <c r="O285" t="n">
        <v>0</v>
      </c>
      <c r="P285" t="n">
        <v>0</v>
      </c>
      <c r="Q285" t="n">
        <v>1</v>
      </c>
      <c r="R285" s="2" t="inlineStr">
        <is>
          <t>Tjäder</t>
        </is>
      </c>
      <c r="S285">
        <f>HYPERLINK("https://klasma.github.io/Logging_2283/artfynd/A 37589-2022 artfynd.xlsx", "A 37589-2022")</f>
        <v/>
      </c>
      <c r="T285">
        <f>HYPERLINK("https://klasma.github.io/Logging_2283/kartor/A 37589-2022 karta.png", "A 37589-2022")</f>
        <v/>
      </c>
      <c r="V285">
        <f>HYPERLINK("https://klasma.github.io/Logging_2283/klagomål/A 37589-2022 FSC-klagomål.docx", "A 37589-2022")</f>
        <v/>
      </c>
      <c r="W285">
        <f>HYPERLINK("https://klasma.github.io/Logging_2283/klagomålsmail/A 37589-2022 FSC-klagomål mail.docx", "A 37589-2022")</f>
        <v/>
      </c>
      <c r="X285">
        <f>HYPERLINK("https://klasma.github.io/Logging_2283/tillsyn/A 37589-2022 tillsynsbegäran.docx", "A 37589-2022")</f>
        <v/>
      </c>
      <c r="Y285">
        <f>HYPERLINK("https://klasma.github.io/Logging_2283/tillsynsmail/A 37589-2022 tillsynsbegäran mail.docx", "A 37589-2022")</f>
        <v/>
      </c>
      <c r="Z285">
        <f>HYPERLINK("https://klasma.github.io/Logging_2283/fåglar/A 37589-2022 prioriterade fågelarter.docx", "A 37589-2022")</f>
        <v/>
      </c>
    </row>
    <row r="286" ht="15" customHeight="1">
      <c r="A286" t="inlineStr">
        <is>
          <t>A 44763-2022</t>
        </is>
      </c>
      <c r="B286" s="1" t="n">
        <v>44840</v>
      </c>
      <c r="C286" s="1" t="n">
        <v>45908</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18697-2025</t>
        </is>
      </c>
      <c r="B287" s="1" t="n">
        <v>45763.61592592593</v>
      </c>
      <c r="C287" s="1" t="n">
        <v>45908</v>
      </c>
      <c r="D287" t="inlineStr">
        <is>
          <t>VÄSTERNORRLANDS LÄN</t>
        </is>
      </c>
      <c r="E287" t="inlineStr">
        <is>
          <t>SOLLEFTEÅ</t>
        </is>
      </c>
      <c r="F287" t="inlineStr">
        <is>
          <t>SCA</t>
        </is>
      </c>
      <c r="G287" t="n">
        <v>6.4</v>
      </c>
      <c r="H287" t="n">
        <v>0</v>
      </c>
      <c r="I287" t="n">
        <v>0</v>
      </c>
      <c r="J287" t="n">
        <v>1</v>
      </c>
      <c r="K287" t="n">
        <v>0</v>
      </c>
      <c r="L287" t="n">
        <v>0</v>
      </c>
      <c r="M287" t="n">
        <v>0</v>
      </c>
      <c r="N287" t="n">
        <v>0</v>
      </c>
      <c r="O287" t="n">
        <v>1</v>
      </c>
      <c r="P287" t="n">
        <v>0</v>
      </c>
      <c r="Q287" t="n">
        <v>1</v>
      </c>
      <c r="R287" s="2" t="inlineStr">
        <is>
          <t>Kolflarnlav</t>
        </is>
      </c>
      <c r="S287">
        <f>HYPERLINK("https://klasma.github.io/Logging_2283/artfynd/A 18697-2025 artfynd.xlsx", "A 18697-2025")</f>
        <v/>
      </c>
      <c r="T287">
        <f>HYPERLINK("https://klasma.github.io/Logging_2283/kartor/A 18697-2025 karta.png", "A 18697-2025")</f>
        <v/>
      </c>
      <c r="V287">
        <f>HYPERLINK("https://klasma.github.io/Logging_2283/klagomål/A 18697-2025 FSC-klagomål.docx", "A 18697-2025")</f>
        <v/>
      </c>
      <c r="W287">
        <f>HYPERLINK("https://klasma.github.io/Logging_2283/klagomålsmail/A 18697-2025 FSC-klagomål mail.docx", "A 18697-2025")</f>
        <v/>
      </c>
      <c r="X287">
        <f>HYPERLINK("https://klasma.github.io/Logging_2283/tillsyn/A 18697-2025 tillsynsbegäran.docx", "A 18697-2025")</f>
        <v/>
      </c>
      <c r="Y287">
        <f>HYPERLINK("https://klasma.github.io/Logging_2283/tillsynsmail/A 18697-2025 tillsynsbegäran mail.docx", "A 18697-2025")</f>
        <v/>
      </c>
    </row>
    <row r="288" ht="15" customHeight="1">
      <c r="A288" t="inlineStr">
        <is>
          <t>A 21962-2025</t>
        </is>
      </c>
      <c r="B288" s="1" t="n">
        <v>45784</v>
      </c>
      <c r="C288" s="1" t="n">
        <v>45908</v>
      </c>
      <c r="D288" t="inlineStr">
        <is>
          <t>VÄSTERNORRLANDS LÄN</t>
        </is>
      </c>
      <c r="E288" t="inlineStr">
        <is>
          <t>SOLLEFTEÅ</t>
        </is>
      </c>
      <c r="F288" t="inlineStr">
        <is>
          <t>SCA</t>
        </is>
      </c>
      <c r="G288" t="n">
        <v>22.5</v>
      </c>
      <c r="H288" t="n">
        <v>1</v>
      </c>
      <c r="I288" t="n">
        <v>0</v>
      </c>
      <c r="J288" t="n">
        <v>1</v>
      </c>
      <c r="K288" t="n">
        <v>0</v>
      </c>
      <c r="L288" t="n">
        <v>0</v>
      </c>
      <c r="M288" t="n">
        <v>0</v>
      </c>
      <c r="N288" t="n">
        <v>0</v>
      </c>
      <c r="O288" t="n">
        <v>1</v>
      </c>
      <c r="P288" t="n">
        <v>0</v>
      </c>
      <c r="Q288" t="n">
        <v>1</v>
      </c>
      <c r="R288" s="2" t="inlineStr">
        <is>
          <t>Järpe</t>
        </is>
      </c>
      <c r="S288">
        <f>HYPERLINK("https://klasma.github.io/Logging_2283/artfynd/A 21962-2025 artfynd.xlsx", "A 21962-2025")</f>
        <v/>
      </c>
      <c r="T288">
        <f>HYPERLINK("https://klasma.github.io/Logging_2283/kartor/A 21962-2025 karta.png", "A 21962-2025")</f>
        <v/>
      </c>
      <c r="V288">
        <f>HYPERLINK("https://klasma.github.io/Logging_2283/klagomål/A 21962-2025 FSC-klagomål.docx", "A 21962-2025")</f>
        <v/>
      </c>
      <c r="W288">
        <f>HYPERLINK("https://klasma.github.io/Logging_2283/klagomålsmail/A 21962-2025 FSC-klagomål mail.docx", "A 21962-2025")</f>
        <v/>
      </c>
      <c r="X288">
        <f>HYPERLINK("https://klasma.github.io/Logging_2283/tillsyn/A 21962-2025 tillsynsbegäran.docx", "A 21962-2025")</f>
        <v/>
      </c>
      <c r="Y288">
        <f>HYPERLINK("https://klasma.github.io/Logging_2283/tillsynsmail/A 21962-2025 tillsynsbegäran mail.docx", "A 21962-2025")</f>
        <v/>
      </c>
      <c r="Z288">
        <f>HYPERLINK("https://klasma.github.io/Logging_2283/fåglar/A 21962-2025 prioriterade fågelarter.docx", "A 21962-2025")</f>
        <v/>
      </c>
    </row>
    <row r="289" ht="15" customHeight="1">
      <c r="A289" t="inlineStr">
        <is>
          <t>A 17215-2025</t>
        </is>
      </c>
      <c r="B289" s="1" t="n">
        <v>45756.44856481482</v>
      </c>
      <c r="C289" s="1" t="n">
        <v>45908</v>
      </c>
      <c r="D289" t="inlineStr">
        <is>
          <t>VÄSTERNORRLANDS LÄN</t>
        </is>
      </c>
      <c r="E289" t="inlineStr">
        <is>
          <t>SOLLEFTEÅ</t>
        </is>
      </c>
      <c r="F289" t="inlineStr">
        <is>
          <t>SCA</t>
        </is>
      </c>
      <c r="G289" t="n">
        <v>5</v>
      </c>
      <c r="H289" t="n">
        <v>0</v>
      </c>
      <c r="I289" t="n">
        <v>0</v>
      </c>
      <c r="J289" t="n">
        <v>1</v>
      </c>
      <c r="K289" t="n">
        <v>0</v>
      </c>
      <c r="L289" t="n">
        <v>0</v>
      </c>
      <c r="M289" t="n">
        <v>0</v>
      </c>
      <c r="N289" t="n">
        <v>0</v>
      </c>
      <c r="O289" t="n">
        <v>1</v>
      </c>
      <c r="P289" t="n">
        <v>0</v>
      </c>
      <c r="Q289" t="n">
        <v>1</v>
      </c>
      <c r="R289" s="2" t="inlineStr">
        <is>
          <t>Vitgrynig nållav</t>
        </is>
      </c>
      <c r="S289">
        <f>HYPERLINK("https://klasma.github.io/Logging_2283/artfynd/A 17215-2025 artfynd.xlsx", "A 17215-2025")</f>
        <v/>
      </c>
      <c r="T289">
        <f>HYPERLINK("https://klasma.github.io/Logging_2283/kartor/A 17215-2025 karta.png", "A 17215-2025")</f>
        <v/>
      </c>
      <c r="V289">
        <f>HYPERLINK("https://klasma.github.io/Logging_2283/klagomål/A 17215-2025 FSC-klagomål.docx", "A 17215-2025")</f>
        <v/>
      </c>
      <c r="W289">
        <f>HYPERLINK("https://klasma.github.io/Logging_2283/klagomålsmail/A 17215-2025 FSC-klagomål mail.docx", "A 17215-2025")</f>
        <v/>
      </c>
      <c r="X289">
        <f>HYPERLINK("https://klasma.github.io/Logging_2283/tillsyn/A 17215-2025 tillsynsbegäran.docx", "A 17215-2025")</f>
        <v/>
      </c>
      <c r="Y289">
        <f>HYPERLINK("https://klasma.github.io/Logging_2283/tillsynsmail/A 17215-2025 tillsynsbegäran mail.docx", "A 17215-2025")</f>
        <v/>
      </c>
    </row>
    <row r="290" ht="15" customHeight="1">
      <c r="A290" t="inlineStr">
        <is>
          <t>A 49367-2024</t>
        </is>
      </c>
      <c r="B290" s="1" t="n">
        <v>45595.63591435185</v>
      </c>
      <c r="C290" s="1" t="n">
        <v>45908</v>
      </c>
      <c r="D290" t="inlineStr">
        <is>
          <t>VÄSTERNORRLANDS LÄN</t>
        </is>
      </c>
      <c r="E290" t="inlineStr">
        <is>
          <t>SOLLEFTEÅ</t>
        </is>
      </c>
      <c r="F290" t="inlineStr">
        <is>
          <t>SCA</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HYPERLINK("https://klasma.github.io/Logging_2283/artfynd/A 49367-2024 artfynd.xlsx", "A 49367-2024")</f>
        <v/>
      </c>
      <c r="T290">
        <f>HYPERLINK("https://klasma.github.io/Logging_2283/kartor/A 49367-2024 karta.png", "A 49367-2024")</f>
        <v/>
      </c>
      <c r="U290">
        <f>HYPERLINK("https://klasma.github.io/Logging_2283/knärot/A 49367-2024 karta knärot.png", "A 49367-2024")</f>
        <v/>
      </c>
      <c r="V290">
        <f>HYPERLINK("https://klasma.github.io/Logging_2283/klagomål/A 49367-2024 FSC-klagomål.docx", "A 49367-2024")</f>
        <v/>
      </c>
      <c r="W290">
        <f>HYPERLINK("https://klasma.github.io/Logging_2283/klagomålsmail/A 49367-2024 FSC-klagomål mail.docx", "A 49367-2024")</f>
        <v/>
      </c>
      <c r="X290">
        <f>HYPERLINK("https://klasma.github.io/Logging_2283/tillsyn/A 49367-2024 tillsynsbegäran.docx", "A 49367-2024")</f>
        <v/>
      </c>
      <c r="Y290">
        <f>HYPERLINK("https://klasma.github.io/Logging_2283/tillsynsmail/A 49367-2024 tillsynsbegäran mail.docx", "A 49367-2024")</f>
        <v/>
      </c>
    </row>
    <row r="291" ht="15" customHeight="1">
      <c r="A291" t="inlineStr">
        <is>
          <t>A 33504-2022</t>
        </is>
      </c>
      <c r="B291" s="1" t="n">
        <v>44788</v>
      </c>
      <c r="C291" s="1" t="n">
        <v>45908</v>
      </c>
      <c r="D291" t="inlineStr">
        <is>
          <t>VÄSTERNORRLANDS LÄN</t>
        </is>
      </c>
      <c r="E291" t="inlineStr">
        <is>
          <t>SOLLEFTEÅ</t>
        </is>
      </c>
      <c r="F291" t="inlineStr">
        <is>
          <t>SCA</t>
        </is>
      </c>
      <c r="G291" t="n">
        <v>5.2</v>
      </c>
      <c r="H291" t="n">
        <v>1</v>
      </c>
      <c r="I291" t="n">
        <v>0</v>
      </c>
      <c r="J291" t="n">
        <v>0</v>
      </c>
      <c r="K291" t="n">
        <v>1</v>
      </c>
      <c r="L291" t="n">
        <v>0</v>
      </c>
      <c r="M291" t="n">
        <v>0</v>
      </c>
      <c r="N291" t="n">
        <v>0</v>
      </c>
      <c r="O291" t="n">
        <v>1</v>
      </c>
      <c r="P291" t="n">
        <v>1</v>
      </c>
      <c r="Q291" t="n">
        <v>1</v>
      </c>
      <c r="R291" s="2" t="inlineStr">
        <is>
          <t>Knärot</t>
        </is>
      </c>
      <c r="S291">
        <f>HYPERLINK("https://klasma.github.io/Logging_2283/artfynd/A 33504-2022 artfynd.xlsx", "A 33504-2022")</f>
        <v/>
      </c>
      <c r="T291">
        <f>HYPERLINK("https://klasma.github.io/Logging_2283/kartor/A 33504-2022 karta.png", "A 33504-2022")</f>
        <v/>
      </c>
      <c r="U291">
        <f>HYPERLINK("https://klasma.github.io/Logging_2283/knärot/A 33504-2022 karta knärot.png", "A 33504-2022")</f>
        <v/>
      </c>
      <c r="V291">
        <f>HYPERLINK("https://klasma.github.io/Logging_2283/klagomål/A 33504-2022 FSC-klagomål.docx", "A 33504-2022")</f>
        <v/>
      </c>
      <c r="W291">
        <f>HYPERLINK("https://klasma.github.io/Logging_2283/klagomålsmail/A 33504-2022 FSC-klagomål mail.docx", "A 33504-2022")</f>
        <v/>
      </c>
      <c r="X291">
        <f>HYPERLINK("https://klasma.github.io/Logging_2283/tillsyn/A 33504-2022 tillsynsbegäran.docx", "A 33504-2022")</f>
        <v/>
      </c>
      <c r="Y291">
        <f>HYPERLINK("https://klasma.github.io/Logging_2283/tillsynsmail/A 33504-2022 tillsynsbegäran mail.docx", "A 33504-2022")</f>
        <v/>
      </c>
    </row>
    <row r="292" ht="15" customHeight="1">
      <c r="A292" t="inlineStr">
        <is>
          <t>A 22428-2025</t>
        </is>
      </c>
      <c r="B292" s="1" t="n">
        <v>45786.57351851852</v>
      </c>
      <c r="C292" s="1" t="n">
        <v>45908</v>
      </c>
      <c r="D292" t="inlineStr">
        <is>
          <t>VÄSTERNORRLANDS LÄN</t>
        </is>
      </c>
      <c r="E292" t="inlineStr">
        <is>
          <t>SOLLEFTEÅ</t>
        </is>
      </c>
      <c r="G292" t="n">
        <v>11.6</v>
      </c>
      <c r="H292" t="n">
        <v>1</v>
      </c>
      <c r="I292" t="n">
        <v>0</v>
      </c>
      <c r="J292" t="n">
        <v>1</v>
      </c>
      <c r="K292" t="n">
        <v>0</v>
      </c>
      <c r="L292" t="n">
        <v>0</v>
      </c>
      <c r="M292" t="n">
        <v>0</v>
      </c>
      <c r="N292" t="n">
        <v>0</v>
      </c>
      <c r="O292" t="n">
        <v>1</v>
      </c>
      <c r="P292" t="n">
        <v>0</v>
      </c>
      <c r="Q292" t="n">
        <v>1</v>
      </c>
      <c r="R292" s="2" t="inlineStr">
        <is>
          <t>Tretåig hackspett</t>
        </is>
      </c>
      <c r="S292">
        <f>HYPERLINK("https://klasma.github.io/Logging_2283/artfynd/A 22428-2025 artfynd.xlsx", "A 22428-2025")</f>
        <v/>
      </c>
      <c r="T292">
        <f>HYPERLINK("https://klasma.github.io/Logging_2283/kartor/A 22428-2025 karta.png", "A 22428-2025")</f>
        <v/>
      </c>
      <c r="V292">
        <f>HYPERLINK("https://klasma.github.io/Logging_2283/klagomål/A 22428-2025 FSC-klagomål.docx", "A 22428-2025")</f>
        <v/>
      </c>
      <c r="W292">
        <f>HYPERLINK("https://klasma.github.io/Logging_2283/klagomålsmail/A 22428-2025 FSC-klagomål mail.docx", "A 22428-2025")</f>
        <v/>
      </c>
      <c r="X292">
        <f>HYPERLINK("https://klasma.github.io/Logging_2283/tillsyn/A 22428-2025 tillsynsbegäran.docx", "A 22428-2025")</f>
        <v/>
      </c>
      <c r="Y292">
        <f>HYPERLINK("https://klasma.github.io/Logging_2283/tillsynsmail/A 22428-2025 tillsynsbegäran mail.docx", "A 22428-2025")</f>
        <v/>
      </c>
      <c r="Z292">
        <f>HYPERLINK("https://klasma.github.io/Logging_2283/fåglar/A 22428-2025 prioriterade fågelarter.docx", "A 22428-2025")</f>
        <v/>
      </c>
    </row>
    <row r="293" ht="15" customHeight="1">
      <c r="A293" t="inlineStr">
        <is>
          <t>A 22776-2025</t>
        </is>
      </c>
      <c r="B293" s="1" t="n">
        <v>45789</v>
      </c>
      <c r="C293" s="1" t="n">
        <v>45908</v>
      </c>
      <c r="D293" t="inlineStr">
        <is>
          <t>VÄSTERNORRLANDS LÄN</t>
        </is>
      </c>
      <c r="E293" t="inlineStr">
        <is>
          <t>SOLLEFTEÅ</t>
        </is>
      </c>
      <c r="F293" t="inlineStr">
        <is>
          <t>SCA</t>
        </is>
      </c>
      <c r="G293" t="n">
        <v>5.2</v>
      </c>
      <c r="H293" t="n">
        <v>1</v>
      </c>
      <c r="I293" t="n">
        <v>0</v>
      </c>
      <c r="J293" t="n">
        <v>0</v>
      </c>
      <c r="K293" t="n">
        <v>1</v>
      </c>
      <c r="L293" t="n">
        <v>0</v>
      </c>
      <c r="M293" t="n">
        <v>0</v>
      </c>
      <c r="N293" t="n">
        <v>0</v>
      </c>
      <c r="O293" t="n">
        <v>1</v>
      </c>
      <c r="P293" t="n">
        <v>1</v>
      </c>
      <c r="Q293" t="n">
        <v>1</v>
      </c>
      <c r="R293" s="2" t="inlineStr">
        <is>
          <t>Doftticka</t>
        </is>
      </c>
      <c r="S293">
        <f>HYPERLINK("https://klasma.github.io/Logging_2283/artfynd/A 22776-2025 artfynd.xlsx", "A 22776-2025")</f>
        <v/>
      </c>
      <c r="T293">
        <f>HYPERLINK("https://klasma.github.io/Logging_2283/kartor/A 22776-2025 karta.png", "A 22776-2025")</f>
        <v/>
      </c>
      <c r="V293">
        <f>HYPERLINK("https://klasma.github.io/Logging_2283/klagomål/A 22776-2025 FSC-klagomål.docx", "A 22776-2025")</f>
        <v/>
      </c>
      <c r="W293">
        <f>HYPERLINK("https://klasma.github.io/Logging_2283/klagomålsmail/A 22776-2025 FSC-klagomål mail.docx", "A 22776-2025")</f>
        <v/>
      </c>
      <c r="X293">
        <f>HYPERLINK("https://klasma.github.io/Logging_2283/tillsyn/A 22776-2025 tillsynsbegäran.docx", "A 22776-2025")</f>
        <v/>
      </c>
      <c r="Y293">
        <f>HYPERLINK("https://klasma.github.io/Logging_2283/tillsynsmail/A 22776-2025 tillsynsbegäran mail.docx", "A 22776-2025")</f>
        <v/>
      </c>
    </row>
    <row r="294" ht="15" customHeight="1">
      <c r="A294" t="inlineStr">
        <is>
          <t>A 22345-2025</t>
        </is>
      </c>
      <c r="B294" s="1" t="n">
        <v>45786.44869212963</v>
      </c>
      <c r="C294" s="1" t="n">
        <v>45908</v>
      </c>
      <c r="D294" t="inlineStr">
        <is>
          <t>VÄSTERNORRLANDS LÄN</t>
        </is>
      </c>
      <c r="E294" t="inlineStr">
        <is>
          <t>SOLLEFTEÅ</t>
        </is>
      </c>
      <c r="F294" t="inlineStr">
        <is>
          <t>SCA</t>
        </is>
      </c>
      <c r="G294" t="n">
        <v>7.2</v>
      </c>
      <c r="H294" t="n">
        <v>0</v>
      </c>
      <c r="I294" t="n">
        <v>0</v>
      </c>
      <c r="J294" t="n">
        <v>1</v>
      </c>
      <c r="K294" t="n">
        <v>0</v>
      </c>
      <c r="L294" t="n">
        <v>0</v>
      </c>
      <c r="M294" t="n">
        <v>0</v>
      </c>
      <c r="N294" t="n">
        <v>0</v>
      </c>
      <c r="O294" t="n">
        <v>1</v>
      </c>
      <c r="P294" t="n">
        <v>0</v>
      </c>
      <c r="Q294" t="n">
        <v>1</v>
      </c>
      <c r="R294" s="2" t="inlineStr">
        <is>
          <t>Gammelgransskål</t>
        </is>
      </c>
      <c r="S294">
        <f>HYPERLINK("https://klasma.github.io/Logging_2283/artfynd/A 22345-2025 artfynd.xlsx", "A 22345-2025")</f>
        <v/>
      </c>
      <c r="T294">
        <f>HYPERLINK("https://klasma.github.io/Logging_2283/kartor/A 22345-2025 karta.png", "A 22345-2025")</f>
        <v/>
      </c>
      <c r="V294">
        <f>HYPERLINK("https://klasma.github.io/Logging_2283/klagomål/A 22345-2025 FSC-klagomål.docx", "A 22345-2025")</f>
        <v/>
      </c>
      <c r="W294">
        <f>HYPERLINK("https://klasma.github.io/Logging_2283/klagomålsmail/A 22345-2025 FSC-klagomål mail.docx", "A 22345-2025")</f>
        <v/>
      </c>
      <c r="X294">
        <f>HYPERLINK("https://klasma.github.io/Logging_2283/tillsyn/A 22345-2025 tillsynsbegäran.docx", "A 22345-2025")</f>
        <v/>
      </c>
      <c r="Y294">
        <f>HYPERLINK("https://klasma.github.io/Logging_2283/tillsynsmail/A 22345-2025 tillsynsbegäran mail.docx", "A 22345-2025")</f>
        <v/>
      </c>
    </row>
    <row r="295" ht="15" customHeight="1">
      <c r="A295" t="inlineStr">
        <is>
          <t>A 22768-2025</t>
        </is>
      </c>
      <c r="B295" s="1" t="n">
        <v>45789.63329861111</v>
      </c>
      <c r="C295" s="1" t="n">
        <v>45908</v>
      </c>
      <c r="D295" t="inlineStr">
        <is>
          <t>VÄSTERNORRLANDS LÄN</t>
        </is>
      </c>
      <c r="E295" t="inlineStr">
        <is>
          <t>SOLLEFTEÅ</t>
        </is>
      </c>
      <c r="G295" t="n">
        <v>1.9</v>
      </c>
      <c r="H295" t="n">
        <v>0</v>
      </c>
      <c r="I295" t="n">
        <v>0</v>
      </c>
      <c r="J295" t="n">
        <v>1</v>
      </c>
      <c r="K295" t="n">
        <v>0</v>
      </c>
      <c r="L295" t="n">
        <v>0</v>
      </c>
      <c r="M295" t="n">
        <v>0</v>
      </c>
      <c r="N295" t="n">
        <v>0</v>
      </c>
      <c r="O295" t="n">
        <v>1</v>
      </c>
      <c r="P295" t="n">
        <v>0</v>
      </c>
      <c r="Q295" t="n">
        <v>1</v>
      </c>
      <c r="R295" s="2" t="inlineStr">
        <is>
          <t>Granticka</t>
        </is>
      </c>
      <c r="S295">
        <f>HYPERLINK("https://klasma.github.io/Logging_2283/artfynd/A 22768-2025 artfynd.xlsx", "A 22768-2025")</f>
        <v/>
      </c>
      <c r="T295">
        <f>HYPERLINK("https://klasma.github.io/Logging_2283/kartor/A 22768-2025 karta.png", "A 22768-2025")</f>
        <v/>
      </c>
      <c r="V295">
        <f>HYPERLINK("https://klasma.github.io/Logging_2283/klagomål/A 22768-2025 FSC-klagomål.docx", "A 22768-2025")</f>
        <v/>
      </c>
      <c r="W295">
        <f>HYPERLINK("https://klasma.github.io/Logging_2283/klagomålsmail/A 22768-2025 FSC-klagomål mail.docx", "A 22768-2025")</f>
        <v/>
      </c>
      <c r="X295">
        <f>HYPERLINK("https://klasma.github.io/Logging_2283/tillsyn/A 22768-2025 tillsynsbegäran.docx", "A 22768-2025")</f>
        <v/>
      </c>
      <c r="Y295">
        <f>HYPERLINK("https://klasma.github.io/Logging_2283/tillsynsmail/A 22768-2025 tillsynsbegäran mail.docx", "A 22768-2025")</f>
        <v/>
      </c>
    </row>
    <row r="296" ht="15" customHeight="1">
      <c r="A296" t="inlineStr">
        <is>
          <t>A 27901-2024</t>
        </is>
      </c>
      <c r="B296" s="1" t="n">
        <v>45475.92859953704</v>
      </c>
      <c r="C296" s="1" t="n">
        <v>45908</v>
      </c>
      <c r="D296" t="inlineStr">
        <is>
          <t>VÄSTERNORRLANDS LÄN</t>
        </is>
      </c>
      <c r="E296" t="inlineStr">
        <is>
          <t>SOLLEFTEÅ</t>
        </is>
      </c>
      <c r="G296" t="n">
        <v>12.7</v>
      </c>
      <c r="H296" t="n">
        <v>0</v>
      </c>
      <c r="I296" t="n">
        <v>0</v>
      </c>
      <c r="J296" t="n">
        <v>1</v>
      </c>
      <c r="K296" t="n">
        <v>0</v>
      </c>
      <c r="L296" t="n">
        <v>0</v>
      </c>
      <c r="M296" t="n">
        <v>0</v>
      </c>
      <c r="N296" t="n">
        <v>0</v>
      </c>
      <c r="O296" t="n">
        <v>1</v>
      </c>
      <c r="P296" t="n">
        <v>0</v>
      </c>
      <c r="Q296" t="n">
        <v>1</v>
      </c>
      <c r="R296" s="2" t="inlineStr">
        <is>
          <t>Garnlav</t>
        </is>
      </c>
      <c r="S296">
        <f>HYPERLINK("https://klasma.github.io/Logging_2283/artfynd/A 27901-2024 artfynd.xlsx", "A 27901-2024")</f>
        <v/>
      </c>
      <c r="T296">
        <f>HYPERLINK("https://klasma.github.io/Logging_2283/kartor/A 27901-2024 karta.png", "A 27901-2024")</f>
        <v/>
      </c>
      <c r="V296">
        <f>HYPERLINK("https://klasma.github.io/Logging_2283/klagomål/A 27901-2024 FSC-klagomål.docx", "A 27901-2024")</f>
        <v/>
      </c>
      <c r="W296">
        <f>HYPERLINK("https://klasma.github.io/Logging_2283/klagomålsmail/A 27901-2024 FSC-klagomål mail.docx", "A 27901-2024")</f>
        <v/>
      </c>
      <c r="X296">
        <f>HYPERLINK("https://klasma.github.io/Logging_2283/tillsyn/A 27901-2024 tillsynsbegäran.docx", "A 27901-2024")</f>
        <v/>
      </c>
      <c r="Y296">
        <f>HYPERLINK("https://klasma.github.io/Logging_2283/tillsynsmail/A 27901-2024 tillsynsbegäran mail.docx", "A 27901-2024")</f>
        <v/>
      </c>
    </row>
    <row r="297" ht="15" customHeight="1">
      <c r="A297" t="inlineStr">
        <is>
          <t>A 1343-2025</t>
        </is>
      </c>
      <c r="B297" s="1" t="n">
        <v>45667.6043287037</v>
      </c>
      <c r="C297" s="1" t="n">
        <v>45908</v>
      </c>
      <c r="D297" t="inlineStr">
        <is>
          <t>VÄSTERNORRLANDS LÄN</t>
        </is>
      </c>
      <c r="E297" t="inlineStr">
        <is>
          <t>SOLLEFTEÅ</t>
        </is>
      </c>
      <c r="G297" t="n">
        <v>5.2</v>
      </c>
      <c r="H297" t="n">
        <v>0</v>
      </c>
      <c r="I297" t="n">
        <v>0</v>
      </c>
      <c r="J297" t="n">
        <v>1</v>
      </c>
      <c r="K297" t="n">
        <v>0</v>
      </c>
      <c r="L297" t="n">
        <v>0</v>
      </c>
      <c r="M297" t="n">
        <v>0</v>
      </c>
      <c r="N297" t="n">
        <v>0</v>
      </c>
      <c r="O297" t="n">
        <v>1</v>
      </c>
      <c r="P297" t="n">
        <v>0</v>
      </c>
      <c r="Q297" t="n">
        <v>1</v>
      </c>
      <c r="R297" s="2" t="inlineStr">
        <is>
          <t>Granticka</t>
        </is>
      </c>
      <c r="S297">
        <f>HYPERLINK("https://klasma.github.io/Logging_2283/artfynd/A 1343-2025 artfynd.xlsx", "A 1343-2025")</f>
        <v/>
      </c>
      <c r="T297">
        <f>HYPERLINK("https://klasma.github.io/Logging_2283/kartor/A 1343-2025 karta.png", "A 1343-2025")</f>
        <v/>
      </c>
      <c r="V297">
        <f>HYPERLINK("https://klasma.github.io/Logging_2283/klagomål/A 1343-2025 FSC-klagomål.docx", "A 1343-2025")</f>
        <v/>
      </c>
      <c r="W297">
        <f>HYPERLINK("https://klasma.github.io/Logging_2283/klagomålsmail/A 1343-2025 FSC-klagomål mail.docx", "A 1343-2025")</f>
        <v/>
      </c>
      <c r="X297">
        <f>HYPERLINK("https://klasma.github.io/Logging_2283/tillsyn/A 1343-2025 tillsynsbegäran.docx", "A 1343-2025")</f>
        <v/>
      </c>
      <c r="Y297">
        <f>HYPERLINK("https://klasma.github.io/Logging_2283/tillsynsmail/A 1343-2025 tillsynsbegäran mail.docx", "A 1343-2025")</f>
        <v/>
      </c>
    </row>
    <row r="298" ht="15" customHeight="1">
      <c r="A298" t="inlineStr">
        <is>
          <t>A 37206-2024</t>
        </is>
      </c>
      <c r="B298" s="1" t="n">
        <v>45539</v>
      </c>
      <c r="C298" s="1" t="n">
        <v>45908</v>
      </c>
      <c r="D298" t="inlineStr">
        <is>
          <t>VÄSTERNORRLANDS LÄN</t>
        </is>
      </c>
      <c r="E298" t="inlineStr">
        <is>
          <t>SOLLEFTEÅ</t>
        </is>
      </c>
      <c r="F298" t="inlineStr">
        <is>
          <t>SCA</t>
        </is>
      </c>
      <c r="G298" t="n">
        <v>3.6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37206-2024 artfynd.xlsx", "A 37206-2024")</f>
        <v/>
      </c>
      <c r="T298">
        <f>HYPERLINK("https://klasma.github.io/Logging_2283/kartor/A 37206-2024 karta.png", "A 37206-2024")</f>
        <v/>
      </c>
      <c r="V298">
        <f>HYPERLINK("https://klasma.github.io/Logging_2283/klagomål/A 37206-2024 FSC-klagomål.docx", "A 37206-2024")</f>
        <v/>
      </c>
      <c r="W298">
        <f>HYPERLINK("https://klasma.github.io/Logging_2283/klagomålsmail/A 37206-2024 FSC-klagomål mail.docx", "A 37206-2024")</f>
        <v/>
      </c>
      <c r="X298">
        <f>HYPERLINK("https://klasma.github.io/Logging_2283/tillsyn/A 37206-2024 tillsynsbegäran.docx", "A 37206-2024")</f>
        <v/>
      </c>
      <c r="Y298">
        <f>HYPERLINK("https://klasma.github.io/Logging_2283/tillsynsmail/A 37206-2024 tillsynsbegäran mail.docx", "A 37206-2024")</f>
        <v/>
      </c>
      <c r="Z298">
        <f>HYPERLINK("https://klasma.github.io/Logging_2283/fåglar/A 37206-2024 prioriterade fågelarter.docx", "A 37206-2024")</f>
        <v/>
      </c>
    </row>
    <row r="299" ht="15" customHeight="1">
      <c r="A299" t="inlineStr">
        <is>
          <t>A 53039-2023</t>
        </is>
      </c>
      <c r="B299" s="1" t="n">
        <v>45226</v>
      </c>
      <c r="C299" s="1" t="n">
        <v>45908</v>
      </c>
      <c r="D299" t="inlineStr">
        <is>
          <t>VÄSTERNORRLANDS LÄN</t>
        </is>
      </c>
      <c r="E299" t="inlineStr">
        <is>
          <t>SOLLEFTEÅ</t>
        </is>
      </c>
      <c r="F299" t="inlineStr">
        <is>
          <t>SCA</t>
        </is>
      </c>
      <c r="G299" t="n">
        <v>1.8</v>
      </c>
      <c r="H299" t="n">
        <v>1</v>
      </c>
      <c r="I299" t="n">
        <v>0</v>
      </c>
      <c r="J299" t="n">
        <v>1</v>
      </c>
      <c r="K299" t="n">
        <v>0</v>
      </c>
      <c r="L299" t="n">
        <v>0</v>
      </c>
      <c r="M299" t="n">
        <v>0</v>
      </c>
      <c r="N299" t="n">
        <v>0</v>
      </c>
      <c r="O299" t="n">
        <v>1</v>
      </c>
      <c r="P299" t="n">
        <v>0</v>
      </c>
      <c r="Q299" t="n">
        <v>1</v>
      </c>
      <c r="R299" s="2" t="inlineStr">
        <is>
          <t>Nordfladdermus</t>
        </is>
      </c>
      <c r="S299">
        <f>HYPERLINK("https://klasma.github.io/Logging_2283/artfynd/A 53039-2023 artfynd.xlsx", "A 53039-2023")</f>
        <v/>
      </c>
      <c r="T299">
        <f>HYPERLINK("https://klasma.github.io/Logging_2283/kartor/A 53039-2023 karta.png", "A 53039-2023")</f>
        <v/>
      </c>
      <c r="V299">
        <f>HYPERLINK("https://klasma.github.io/Logging_2283/klagomål/A 53039-2023 FSC-klagomål.docx", "A 53039-2023")</f>
        <v/>
      </c>
      <c r="W299">
        <f>HYPERLINK("https://klasma.github.io/Logging_2283/klagomålsmail/A 53039-2023 FSC-klagomål mail.docx", "A 53039-2023")</f>
        <v/>
      </c>
      <c r="X299">
        <f>HYPERLINK("https://klasma.github.io/Logging_2283/tillsyn/A 53039-2023 tillsynsbegäran.docx", "A 53039-2023")</f>
        <v/>
      </c>
      <c r="Y299">
        <f>HYPERLINK("https://klasma.github.io/Logging_2283/tillsynsmail/A 53039-2023 tillsynsbegäran mail.docx", "A 53039-2023")</f>
        <v/>
      </c>
    </row>
    <row r="300" ht="15" customHeight="1">
      <c r="A300" t="inlineStr">
        <is>
          <t>A 23169-2025</t>
        </is>
      </c>
      <c r="B300" s="1" t="n">
        <v>45791.42752314815</v>
      </c>
      <c r="C300" s="1" t="n">
        <v>45908</v>
      </c>
      <c r="D300" t="inlineStr">
        <is>
          <t>VÄSTERNORRLANDS LÄN</t>
        </is>
      </c>
      <c r="E300" t="inlineStr">
        <is>
          <t>SOLLEFTEÅ</t>
        </is>
      </c>
      <c r="F300" t="inlineStr">
        <is>
          <t>SCA</t>
        </is>
      </c>
      <c r="G300" t="n">
        <v>1.8</v>
      </c>
      <c r="H300" t="n">
        <v>1</v>
      </c>
      <c r="I300" t="n">
        <v>0</v>
      </c>
      <c r="J300" t="n">
        <v>1</v>
      </c>
      <c r="K300" t="n">
        <v>0</v>
      </c>
      <c r="L300" t="n">
        <v>0</v>
      </c>
      <c r="M300" t="n">
        <v>0</v>
      </c>
      <c r="N300" t="n">
        <v>0</v>
      </c>
      <c r="O300" t="n">
        <v>1</v>
      </c>
      <c r="P300" t="n">
        <v>0</v>
      </c>
      <c r="Q300" t="n">
        <v>1</v>
      </c>
      <c r="R300" s="2" t="inlineStr">
        <is>
          <t>Järpe</t>
        </is>
      </c>
      <c r="S300">
        <f>HYPERLINK("https://klasma.github.io/Logging_2283/artfynd/A 23169-2025 artfynd.xlsx", "A 23169-2025")</f>
        <v/>
      </c>
      <c r="T300">
        <f>HYPERLINK("https://klasma.github.io/Logging_2283/kartor/A 23169-2025 karta.png", "A 23169-2025")</f>
        <v/>
      </c>
      <c r="V300">
        <f>HYPERLINK("https://klasma.github.io/Logging_2283/klagomål/A 23169-2025 FSC-klagomål.docx", "A 23169-2025")</f>
        <v/>
      </c>
      <c r="W300">
        <f>HYPERLINK("https://klasma.github.io/Logging_2283/klagomålsmail/A 23169-2025 FSC-klagomål mail.docx", "A 23169-2025")</f>
        <v/>
      </c>
      <c r="X300">
        <f>HYPERLINK("https://klasma.github.io/Logging_2283/tillsyn/A 23169-2025 tillsynsbegäran.docx", "A 23169-2025")</f>
        <v/>
      </c>
      <c r="Y300">
        <f>HYPERLINK("https://klasma.github.io/Logging_2283/tillsynsmail/A 23169-2025 tillsynsbegäran mail.docx", "A 23169-2025")</f>
        <v/>
      </c>
      <c r="Z300">
        <f>HYPERLINK("https://klasma.github.io/Logging_2283/fåglar/A 23169-2025 prioriterade fågelarter.docx", "A 23169-2025")</f>
        <v/>
      </c>
    </row>
    <row r="301" ht="15" customHeight="1">
      <c r="A301" t="inlineStr">
        <is>
          <t>A 22214-2025</t>
        </is>
      </c>
      <c r="B301" s="1" t="n">
        <v>45785.65792824074</v>
      </c>
      <c r="C301" s="1" t="n">
        <v>45908</v>
      </c>
      <c r="D301" t="inlineStr">
        <is>
          <t>VÄSTERNORRLANDS LÄN</t>
        </is>
      </c>
      <c r="E301" t="inlineStr">
        <is>
          <t>SOLLEFTEÅ</t>
        </is>
      </c>
      <c r="F301" t="inlineStr">
        <is>
          <t>SCA</t>
        </is>
      </c>
      <c r="G301" t="n">
        <v>4.6</v>
      </c>
      <c r="H301" t="n">
        <v>0</v>
      </c>
      <c r="I301" t="n">
        <v>0</v>
      </c>
      <c r="J301" t="n">
        <v>1</v>
      </c>
      <c r="K301" t="n">
        <v>0</v>
      </c>
      <c r="L301" t="n">
        <v>0</v>
      </c>
      <c r="M301" t="n">
        <v>0</v>
      </c>
      <c r="N301" t="n">
        <v>0</v>
      </c>
      <c r="O301" t="n">
        <v>1</v>
      </c>
      <c r="P301" t="n">
        <v>0</v>
      </c>
      <c r="Q301" t="n">
        <v>1</v>
      </c>
      <c r="R301" s="2" t="inlineStr">
        <is>
          <t>Reliktbock</t>
        </is>
      </c>
      <c r="S301">
        <f>HYPERLINK("https://klasma.github.io/Logging_2283/artfynd/A 22214-2025 artfynd.xlsx", "A 22214-2025")</f>
        <v/>
      </c>
      <c r="T301">
        <f>HYPERLINK("https://klasma.github.io/Logging_2283/kartor/A 22214-2025 karta.png", "A 22214-2025")</f>
        <v/>
      </c>
      <c r="V301">
        <f>HYPERLINK("https://klasma.github.io/Logging_2283/klagomål/A 22214-2025 FSC-klagomål.docx", "A 22214-2025")</f>
        <v/>
      </c>
      <c r="W301">
        <f>HYPERLINK("https://klasma.github.io/Logging_2283/klagomålsmail/A 22214-2025 FSC-klagomål mail.docx", "A 22214-2025")</f>
        <v/>
      </c>
      <c r="X301">
        <f>HYPERLINK("https://klasma.github.io/Logging_2283/tillsyn/A 22214-2025 tillsynsbegäran.docx", "A 22214-2025")</f>
        <v/>
      </c>
      <c r="Y301">
        <f>HYPERLINK("https://klasma.github.io/Logging_2283/tillsynsmail/A 22214-2025 tillsynsbegäran mail.docx", "A 22214-2025")</f>
        <v/>
      </c>
    </row>
    <row r="302" ht="15" customHeight="1">
      <c r="A302" t="inlineStr">
        <is>
          <t>A 68651-2020</t>
        </is>
      </c>
      <c r="B302" s="1" t="n">
        <v>44186</v>
      </c>
      <c r="C302" s="1" t="n">
        <v>45908</v>
      </c>
      <c r="D302" t="inlineStr">
        <is>
          <t>VÄSTERNORRLANDS LÄN</t>
        </is>
      </c>
      <c r="E302" t="inlineStr">
        <is>
          <t>SOLLEFTEÅ</t>
        </is>
      </c>
      <c r="F302" t="inlineStr">
        <is>
          <t>SCA</t>
        </is>
      </c>
      <c r="G302" t="n">
        <v>1.5</v>
      </c>
      <c r="H302" t="n">
        <v>0</v>
      </c>
      <c r="I302" t="n">
        <v>0</v>
      </c>
      <c r="J302" t="n">
        <v>1</v>
      </c>
      <c r="K302" t="n">
        <v>0</v>
      </c>
      <c r="L302" t="n">
        <v>0</v>
      </c>
      <c r="M302" t="n">
        <v>0</v>
      </c>
      <c r="N302" t="n">
        <v>0</v>
      </c>
      <c r="O302" t="n">
        <v>1</v>
      </c>
      <c r="P302" t="n">
        <v>0</v>
      </c>
      <c r="Q302" t="n">
        <v>1</v>
      </c>
      <c r="R302" s="2" t="inlineStr">
        <is>
          <t>Harticka</t>
        </is>
      </c>
      <c r="S302">
        <f>HYPERLINK("https://klasma.github.io/Logging_2283/artfynd/A 68651-2020 artfynd.xlsx", "A 68651-2020")</f>
        <v/>
      </c>
      <c r="T302">
        <f>HYPERLINK("https://klasma.github.io/Logging_2283/kartor/A 68651-2020 karta.png", "A 68651-2020")</f>
        <v/>
      </c>
      <c r="V302">
        <f>HYPERLINK("https://klasma.github.io/Logging_2283/klagomål/A 68651-2020 FSC-klagomål.docx", "A 68651-2020")</f>
        <v/>
      </c>
      <c r="W302">
        <f>HYPERLINK("https://klasma.github.io/Logging_2283/klagomålsmail/A 68651-2020 FSC-klagomål mail.docx", "A 68651-2020")</f>
        <v/>
      </c>
      <c r="X302">
        <f>HYPERLINK("https://klasma.github.io/Logging_2283/tillsyn/A 68651-2020 tillsynsbegäran.docx", "A 68651-2020")</f>
        <v/>
      </c>
      <c r="Y302">
        <f>HYPERLINK("https://klasma.github.io/Logging_2283/tillsynsmail/A 68651-2020 tillsynsbegäran mail.docx", "A 68651-2020")</f>
        <v/>
      </c>
    </row>
    <row r="303" ht="15" customHeight="1">
      <c r="A303" t="inlineStr">
        <is>
          <t>A 31920-2023</t>
        </is>
      </c>
      <c r="B303" s="1" t="n">
        <v>45118</v>
      </c>
      <c r="C303" s="1" t="n">
        <v>45908</v>
      </c>
      <c r="D303" t="inlineStr">
        <is>
          <t>VÄSTERNORRLANDS LÄN</t>
        </is>
      </c>
      <c r="E303" t="inlineStr">
        <is>
          <t>SOLLEFTEÅ</t>
        </is>
      </c>
      <c r="F303" t="inlineStr">
        <is>
          <t>SCA</t>
        </is>
      </c>
      <c r="G303" t="n">
        <v>2</v>
      </c>
      <c r="H303" t="n">
        <v>0</v>
      </c>
      <c r="I303" t="n">
        <v>0</v>
      </c>
      <c r="J303" t="n">
        <v>1</v>
      </c>
      <c r="K303" t="n">
        <v>0</v>
      </c>
      <c r="L303" t="n">
        <v>0</v>
      </c>
      <c r="M303" t="n">
        <v>0</v>
      </c>
      <c r="N303" t="n">
        <v>0</v>
      </c>
      <c r="O303" t="n">
        <v>1</v>
      </c>
      <c r="P303" t="n">
        <v>0</v>
      </c>
      <c r="Q303" t="n">
        <v>1</v>
      </c>
      <c r="R303" s="2" t="inlineStr">
        <is>
          <t>Ullticka</t>
        </is>
      </c>
      <c r="S303">
        <f>HYPERLINK("https://klasma.github.io/Logging_2283/artfynd/A 31920-2023 artfynd.xlsx", "A 31920-2023")</f>
        <v/>
      </c>
      <c r="T303">
        <f>HYPERLINK("https://klasma.github.io/Logging_2283/kartor/A 31920-2023 karta.png", "A 31920-2023")</f>
        <v/>
      </c>
      <c r="V303">
        <f>HYPERLINK("https://klasma.github.io/Logging_2283/klagomål/A 31920-2023 FSC-klagomål.docx", "A 31920-2023")</f>
        <v/>
      </c>
      <c r="W303">
        <f>HYPERLINK("https://klasma.github.io/Logging_2283/klagomålsmail/A 31920-2023 FSC-klagomål mail.docx", "A 31920-2023")</f>
        <v/>
      </c>
      <c r="X303">
        <f>HYPERLINK("https://klasma.github.io/Logging_2283/tillsyn/A 31920-2023 tillsynsbegäran.docx", "A 31920-2023")</f>
        <v/>
      </c>
      <c r="Y303">
        <f>HYPERLINK("https://klasma.github.io/Logging_2283/tillsynsmail/A 31920-2023 tillsynsbegäran mail.docx", "A 31920-2023")</f>
        <v/>
      </c>
    </row>
    <row r="304" ht="15" customHeight="1">
      <c r="A304" t="inlineStr">
        <is>
          <t>A 26019-2025</t>
        </is>
      </c>
      <c r="B304" s="1" t="n">
        <v>45804.67811342593</v>
      </c>
      <c r="C304" s="1" t="n">
        <v>45908</v>
      </c>
      <c r="D304" t="inlineStr">
        <is>
          <t>VÄSTERNORRLANDS LÄN</t>
        </is>
      </c>
      <c r="E304" t="inlineStr">
        <is>
          <t>SOLLEFTEÅ</t>
        </is>
      </c>
      <c r="F304" t="inlineStr">
        <is>
          <t>SCA</t>
        </is>
      </c>
      <c r="G304" t="n">
        <v>3.7</v>
      </c>
      <c r="H304" t="n">
        <v>0</v>
      </c>
      <c r="I304" t="n">
        <v>0</v>
      </c>
      <c r="J304" t="n">
        <v>1</v>
      </c>
      <c r="K304" t="n">
        <v>0</v>
      </c>
      <c r="L304" t="n">
        <v>0</v>
      </c>
      <c r="M304" t="n">
        <v>0</v>
      </c>
      <c r="N304" t="n">
        <v>0</v>
      </c>
      <c r="O304" t="n">
        <v>1</v>
      </c>
      <c r="P304" t="n">
        <v>0</v>
      </c>
      <c r="Q304" t="n">
        <v>1</v>
      </c>
      <c r="R304" s="2" t="inlineStr">
        <is>
          <t>Rosenticka</t>
        </is>
      </c>
      <c r="S304">
        <f>HYPERLINK("https://klasma.github.io/Logging_2283/artfynd/A 26019-2025 artfynd.xlsx", "A 26019-2025")</f>
        <v/>
      </c>
      <c r="T304">
        <f>HYPERLINK("https://klasma.github.io/Logging_2283/kartor/A 26019-2025 karta.png", "A 26019-2025")</f>
        <v/>
      </c>
      <c r="V304">
        <f>HYPERLINK("https://klasma.github.io/Logging_2283/klagomål/A 26019-2025 FSC-klagomål.docx", "A 26019-2025")</f>
        <v/>
      </c>
      <c r="W304">
        <f>HYPERLINK("https://klasma.github.io/Logging_2283/klagomålsmail/A 26019-2025 FSC-klagomål mail.docx", "A 26019-2025")</f>
        <v/>
      </c>
      <c r="X304">
        <f>HYPERLINK("https://klasma.github.io/Logging_2283/tillsyn/A 26019-2025 tillsynsbegäran.docx", "A 26019-2025")</f>
        <v/>
      </c>
      <c r="Y304">
        <f>HYPERLINK("https://klasma.github.io/Logging_2283/tillsynsmail/A 26019-2025 tillsynsbegäran mail.docx", "A 26019-2025")</f>
        <v/>
      </c>
    </row>
    <row r="305" ht="15" customHeight="1">
      <c r="A305" t="inlineStr">
        <is>
          <t>A 26501-2025</t>
        </is>
      </c>
      <c r="B305" s="1" t="n">
        <v>45807</v>
      </c>
      <c r="C305" s="1" t="n">
        <v>45908</v>
      </c>
      <c r="D305" t="inlineStr">
        <is>
          <t>VÄSTERNORRLANDS LÄN</t>
        </is>
      </c>
      <c r="E305" t="inlineStr">
        <is>
          <t>SOLLEFTEÅ</t>
        </is>
      </c>
      <c r="F305" t="inlineStr">
        <is>
          <t>SCA</t>
        </is>
      </c>
      <c r="G305" t="n">
        <v>3.9</v>
      </c>
      <c r="H305" t="n">
        <v>0</v>
      </c>
      <c r="I305" t="n">
        <v>0</v>
      </c>
      <c r="J305" t="n">
        <v>1</v>
      </c>
      <c r="K305" t="n">
        <v>0</v>
      </c>
      <c r="L305" t="n">
        <v>0</v>
      </c>
      <c r="M305" t="n">
        <v>0</v>
      </c>
      <c r="N305" t="n">
        <v>0</v>
      </c>
      <c r="O305" t="n">
        <v>1</v>
      </c>
      <c r="P305" t="n">
        <v>0</v>
      </c>
      <c r="Q305" t="n">
        <v>1</v>
      </c>
      <c r="R305" s="2" t="inlineStr">
        <is>
          <t>Vedflikmossa</t>
        </is>
      </c>
      <c r="S305">
        <f>HYPERLINK("https://klasma.github.io/Logging_2283/artfynd/A 26501-2025 artfynd.xlsx", "A 26501-2025")</f>
        <v/>
      </c>
      <c r="T305">
        <f>HYPERLINK("https://klasma.github.io/Logging_2283/kartor/A 26501-2025 karta.png", "A 26501-2025")</f>
        <v/>
      </c>
      <c r="V305">
        <f>HYPERLINK("https://klasma.github.io/Logging_2283/klagomål/A 26501-2025 FSC-klagomål.docx", "A 26501-2025")</f>
        <v/>
      </c>
      <c r="W305">
        <f>HYPERLINK("https://klasma.github.io/Logging_2283/klagomålsmail/A 26501-2025 FSC-klagomål mail.docx", "A 26501-2025")</f>
        <v/>
      </c>
      <c r="X305">
        <f>HYPERLINK("https://klasma.github.io/Logging_2283/tillsyn/A 26501-2025 tillsynsbegäran.docx", "A 26501-2025")</f>
        <v/>
      </c>
      <c r="Y305">
        <f>HYPERLINK("https://klasma.github.io/Logging_2283/tillsynsmail/A 26501-2025 tillsynsbegäran mail.docx", "A 26501-2025")</f>
        <v/>
      </c>
    </row>
    <row r="306" ht="15" customHeight="1">
      <c r="A306" t="inlineStr">
        <is>
          <t>A 44632-2024</t>
        </is>
      </c>
      <c r="B306" s="1" t="n">
        <v>45574.51446759259</v>
      </c>
      <c r="C306" s="1" t="n">
        <v>45908</v>
      </c>
      <c r="D306" t="inlineStr">
        <is>
          <t>VÄSTERNORRLANDS LÄN</t>
        </is>
      </c>
      <c r="E306" t="inlineStr">
        <is>
          <t>SOLLEFTEÅ</t>
        </is>
      </c>
      <c r="F306" t="inlineStr">
        <is>
          <t>SCA</t>
        </is>
      </c>
      <c r="G306" t="n">
        <v>3.1</v>
      </c>
      <c r="H306" t="n">
        <v>0</v>
      </c>
      <c r="I306" t="n">
        <v>1</v>
      </c>
      <c r="J306" t="n">
        <v>0</v>
      </c>
      <c r="K306" t="n">
        <v>0</v>
      </c>
      <c r="L306" t="n">
        <v>0</v>
      </c>
      <c r="M306" t="n">
        <v>0</v>
      </c>
      <c r="N306" t="n">
        <v>0</v>
      </c>
      <c r="O306" t="n">
        <v>0</v>
      </c>
      <c r="P306" t="n">
        <v>0</v>
      </c>
      <c r="Q306" t="n">
        <v>1</v>
      </c>
      <c r="R306" s="2" t="inlineStr">
        <is>
          <t>Vedticka</t>
        </is>
      </c>
      <c r="S306">
        <f>HYPERLINK("https://klasma.github.io/Logging_2283/artfynd/A 44632-2024 artfynd.xlsx", "A 44632-2024")</f>
        <v/>
      </c>
      <c r="T306">
        <f>HYPERLINK("https://klasma.github.io/Logging_2283/kartor/A 44632-2024 karta.png", "A 44632-2024")</f>
        <v/>
      </c>
      <c r="V306">
        <f>HYPERLINK("https://klasma.github.io/Logging_2283/klagomål/A 44632-2024 FSC-klagomål.docx", "A 44632-2024")</f>
        <v/>
      </c>
      <c r="W306">
        <f>HYPERLINK("https://klasma.github.io/Logging_2283/klagomålsmail/A 44632-2024 FSC-klagomål mail.docx", "A 44632-2024")</f>
        <v/>
      </c>
      <c r="X306">
        <f>HYPERLINK("https://klasma.github.io/Logging_2283/tillsyn/A 44632-2024 tillsynsbegäran.docx", "A 44632-2024")</f>
        <v/>
      </c>
      <c r="Y306">
        <f>HYPERLINK("https://klasma.github.io/Logging_2283/tillsynsmail/A 44632-2024 tillsynsbegäran mail.docx", "A 44632-2024")</f>
        <v/>
      </c>
    </row>
    <row r="307" ht="15" customHeight="1">
      <c r="A307" t="inlineStr">
        <is>
          <t>A 48087-2023</t>
        </is>
      </c>
      <c r="B307" s="1" t="n">
        <v>45204</v>
      </c>
      <c r="C307" s="1" t="n">
        <v>45908</v>
      </c>
      <c r="D307" t="inlineStr">
        <is>
          <t>VÄSTERNORRLANDS LÄN</t>
        </is>
      </c>
      <c r="E307" t="inlineStr">
        <is>
          <t>SOLLEFTEÅ</t>
        </is>
      </c>
      <c r="F307" t="inlineStr">
        <is>
          <t>SCA</t>
        </is>
      </c>
      <c r="G307" t="n">
        <v>0.6</v>
      </c>
      <c r="H307" t="n">
        <v>0</v>
      </c>
      <c r="I307" t="n">
        <v>0</v>
      </c>
      <c r="J307" t="n">
        <v>1</v>
      </c>
      <c r="K307" t="n">
        <v>0</v>
      </c>
      <c r="L307" t="n">
        <v>0</v>
      </c>
      <c r="M307" t="n">
        <v>0</v>
      </c>
      <c r="N307" t="n">
        <v>0</v>
      </c>
      <c r="O307" t="n">
        <v>1</v>
      </c>
      <c r="P307" t="n">
        <v>0</v>
      </c>
      <c r="Q307" t="n">
        <v>1</v>
      </c>
      <c r="R307" s="2" t="inlineStr">
        <is>
          <t>Doftskinn</t>
        </is>
      </c>
      <c r="S307">
        <f>HYPERLINK("https://klasma.github.io/Logging_2283/artfynd/A 48087-2023 artfynd.xlsx", "A 48087-2023")</f>
        <v/>
      </c>
      <c r="T307">
        <f>HYPERLINK("https://klasma.github.io/Logging_2283/kartor/A 48087-2023 karta.png", "A 48087-2023")</f>
        <v/>
      </c>
      <c r="V307">
        <f>HYPERLINK("https://klasma.github.io/Logging_2283/klagomål/A 48087-2023 FSC-klagomål.docx", "A 48087-2023")</f>
        <v/>
      </c>
      <c r="W307">
        <f>HYPERLINK("https://klasma.github.io/Logging_2283/klagomålsmail/A 48087-2023 FSC-klagomål mail.docx", "A 48087-2023")</f>
        <v/>
      </c>
      <c r="X307">
        <f>HYPERLINK("https://klasma.github.io/Logging_2283/tillsyn/A 48087-2023 tillsynsbegäran.docx", "A 48087-2023")</f>
        <v/>
      </c>
      <c r="Y307">
        <f>HYPERLINK("https://klasma.github.io/Logging_2283/tillsynsmail/A 48087-2023 tillsynsbegäran mail.docx", "A 48087-2023")</f>
        <v/>
      </c>
    </row>
    <row r="308" ht="15" customHeight="1">
      <c r="A308" t="inlineStr">
        <is>
          <t>A 27460-2025</t>
        </is>
      </c>
      <c r="B308" s="1" t="n">
        <v>45813.34574074074</v>
      </c>
      <c r="C308" s="1" t="n">
        <v>45908</v>
      </c>
      <c r="D308" t="inlineStr">
        <is>
          <t>VÄSTERNORRLANDS LÄN</t>
        </is>
      </c>
      <c r="E308" t="inlineStr">
        <is>
          <t>SOLLEFTEÅ</t>
        </is>
      </c>
      <c r="F308" t="inlineStr">
        <is>
          <t>SCA</t>
        </is>
      </c>
      <c r="G308" t="n">
        <v>15.7</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27460-2025 artfynd.xlsx", "A 27460-2025")</f>
        <v/>
      </c>
      <c r="T308">
        <f>HYPERLINK("https://klasma.github.io/Logging_2283/kartor/A 27460-2025 karta.png", "A 27460-2025")</f>
        <v/>
      </c>
      <c r="V308">
        <f>HYPERLINK("https://klasma.github.io/Logging_2283/klagomål/A 27460-2025 FSC-klagomål.docx", "A 27460-2025")</f>
        <v/>
      </c>
      <c r="W308">
        <f>HYPERLINK("https://klasma.github.io/Logging_2283/klagomålsmail/A 27460-2025 FSC-klagomål mail.docx", "A 27460-2025")</f>
        <v/>
      </c>
      <c r="X308">
        <f>HYPERLINK("https://klasma.github.io/Logging_2283/tillsyn/A 27460-2025 tillsynsbegäran.docx", "A 27460-2025")</f>
        <v/>
      </c>
      <c r="Y308">
        <f>HYPERLINK("https://klasma.github.io/Logging_2283/tillsynsmail/A 27460-2025 tillsynsbegäran mail.docx", "A 27460-2025")</f>
        <v/>
      </c>
      <c r="Z308">
        <f>HYPERLINK("https://klasma.github.io/Logging_2283/fåglar/A 27460-2025 prioriterade fågelarter.docx", "A 27460-2025")</f>
        <v/>
      </c>
    </row>
    <row r="309" ht="15" customHeight="1">
      <c r="A309" t="inlineStr">
        <is>
          <t>A 54558-2022</t>
        </is>
      </c>
      <c r="B309" s="1" t="n">
        <v>44882</v>
      </c>
      <c r="C309" s="1" t="n">
        <v>45908</v>
      </c>
      <c r="D309" t="inlineStr">
        <is>
          <t>VÄSTERNORRLANDS LÄN</t>
        </is>
      </c>
      <c r="E309" t="inlineStr">
        <is>
          <t>SOLLEFTEÅ</t>
        </is>
      </c>
      <c r="G309" t="n">
        <v>5.8</v>
      </c>
      <c r="H309" t="n">
        <v>0</v>
      </c>
      <c r="I309" t="n">
        <v>1</v>
      </c>
      <c r="J309" t="n">
        <v>0</v>
      </c>
      <c r="K309" t="n">
        <v>0</v>
      </c>
      <c r="L309" t="n">
        <v>0</v>
      </c>
      <c r="M309" t="n">
        <v>0</v>
      </c>
      <c r="N309" t="n">
        <v>0</v>
      </c>
      <c r="O309" t="n">
        <v>0</v>
      </c>
      <c r="P309" t="n">
        <v>0</v>
      </c>
      <c r="Q309" t="n">
        <v>1</v>
      </c>
      <c r="R309" s="2" t="inlineStr">
        <is>
          <t>Strutbräken</t>
        </is>
      </c>
      <c r="S309">
        <f>HYPERLINK("https://klasma.github.io/Logging_2283/artfynd/A 54558-2022 artfynd.xlsx", "A 54558-2022")</f>
        <v/>
      </c>
      <c r="T309">
        <f>HYPERLINK("https://klasma.github.io/Logging_2283/kartor/A 54558-2022 karta.png", "A 54558-2022")</f>
        <v/>
      </c>
      <c r="V309">
        <f>HYPERLINK("https://klasma.github.io/Logging_2283/klagomål/A 54558-2022 FSC-klagomål.docx", "A 54558-2022")</f>
        <v/>
      </c>
      <c r="W309">
        <f>HYPERLINK("https://klasma.github.io/Logging_2283/klagomålsmail/A 54558-2022 FSC-klagomål mail.docx", "A 54558-2022")</f>
        <v/>
      </c>
      <c r="X309">
        <f>HYPERLINK("https://klasma.github.io/Logging_2283/tillsyn/A 54558-2022 tillsynsbegäran.docx", "A 54558-2022")</f>
        <v/>
      </c>
      <c r="Y309">
        <f>HYPERLINK("https://klasma.github.io/Logging_2283/tillsynsmail/A 54558-2022 tillsynsbegäran mail.docx", "A 54558-2022")</f>
        <v/>
      </c>
    </row>
    <row r="310" ht="15" customHeight="1">
      <c r="A310" t="inlineStr">
        <is>
          <t>A 8903-2024</t>
        </is>
      </c>
      <c r="B310" s="1" t="n">
        <v>45355</v>
      </c>
      <c r="C310" s="1" t="n">
        <v>45908</v>
      </c>
      <c r="D310" t="inlineStr">
        <is>
          <t>VÄSTERNORRLANDS LÄN</t>
        </is>
      </c>
      <c r="E310" t="inlineStr">
        <is>
          <t>SOLLEFTEÅ</t>
        </is>
      </c>
      <c r="G310" t="n">
        <v>1.7</v>
      </c>
      <c r="H310" t="n">
        <v>0</v>
      </c>
      <c r="I310" t="n">
        <v>1</v>
      </c>
      <c r="J310" t="n">
        <v>0</v>
      </c>
      <c r="K310" t="n">
        <v>0</v>
      </c>
      <c r="L310" t="n">
        <v>0</v>
      </c>
      <c r="M310" t="n">
        <v>0</v>
      </c>
      <c r="N310" t="n">
        <v>0</v>
      </c>
      <c r="O310" t="n">
        <v>0</v>
      </c>
      <c r="P310" t="n">
        <v>0</v>
      </c>
      <c r="Q310" t="n">
        <v>1</v>
      </c>
      <c r="R310" s="2" t="inlineStr">
        <is>
          <t>Strutbräken</t>
        </is>
      </c>
      <c r="S310">
        <f>HYPERLINK("https://klasma.github.io/Logging_2283/artfynd/A 8903-2024 artfynd.xlsx", "A 8903-2024")</f>
        <v/>
      </c>
      <c r="T310">
        <f>HYPERLINK("https://klasma.github.io/Logging_2283/kartor/A 8903-2024 karta.png", "A 8903-2024")</f>
        <v/>
      </c>
      <c r="V310">
        <f>HYPERLINK("https://klasma.github.io/Logging_2283/klagomål/A 8903-2024 FSC-klagomål.docx", "A 8903-2024")</f>
        <v/>
      </c>
      <c r="W310">
        <f>HYPERLINK("https://klasma.github.io/Logging_2283/klagomålsmail/A 8903-2024 FSC-klagomål mail.docx", "A 8903-2024")</f>
        <v/>
      </c>
      <c r="X310">
        <f>HYPERLINK("https://klasma.github.io/Logging_2283/tillsyn/A 8903-2024 tillsynsbegäran.docx", "A 8903-2024")</f>
        <v/>
      </c>
      <c r="Y310">
        <f>HYPERLINK("https://klasma.github.io/Logging_2283/tillsynsmail/A 8903-2024 tillsynsbegäran mail.docx", "A 8903-2024")</f>
        <v/>
      </c>
    </row>
    <row r="311" ht="15" customHeight="1">
      <c r="A311" t="inlineStr">
        <is>
          <t>A 3959-2024</t>
        </is>
      </c>
      <c r="B311" s="1" t="n">
        <v>45322</v>
      </c>
      <c r="C311" s="1" t="n">
        <v>45908</v>
      </c>
      <c r="D311" t="inlineStr">
        <is>
          <t>VÄSTERNORRLANDS LÄN</t>
        </is>
      </c>
      <c r="E311" t="inlineStr">
        <is>
          <t>SOLLEFTEÅ</t>
        </is>
      </c>
      <c r="F311" t="inlineStr">
        <is>
          <t>Kommuner</t>
        </is>
      </c>
      <c r="G311" t="n">
        <v>1</v>
      </c>
      <c r="H311" t="n">
        <v>0</v>
      </c>
      <c r="I311" t="n">
        <v>0</v>
      </c>
      <c r="J311" t="n">
        <v>1</v>
      </c>
      <c r="K311" t="n">
        <v>0</v>
      </c>
      <c r="L311" t="n">
        <v>0</v>
      </c>
      <c r="M311" t="n">
        <v>0</v>
      </c>
      <c r="N311" t="n">
        <v>0</v>
      </c>
      <c r="O311" t="n">
        <v>1</v>
      </c>
      <c r="P311" t="n">
        <v>0</v>
      </c>
      <c r="Q311" t="n">
        <v>1</v>
      </c>
      <c r="R311" s="2" t="inlineStr">
        <is>
          <t>Garnlav</t>
        </is>
      </c>
      <c r="S311">
        <f>HYPERLINK("https://klasma.github.io/Logging_2283/artfynd/A 3959-2024 artfynd.xlsx", "A 3959-2024")</f>
        <v/>
      </c>
      <c r="T311">
        <f>HYPERLINK("https://klasma.github.io/Logging_2283/kartor/A 3959-2024 karta.png", "A 3959-2024")</f>
        <v/>
      </c>
      <c r="V311">
        <f>HYPERLINK("https://klasma.github.io/Logging_2283/klagomål/A 3959-2024 FSC-klagomål.docx", "A 3959-2024")</f>
        <v/>
      </c>
      <c r="W311">
        <f>HYPERLINK("https://klasma.github.io/Logging_2283/klagomålsmail/A 3959-2024 FSC-klagomål mail.docx", "A 3959-2024")</f>
        <v/>
      </c>
      <c r="X311">
        <f>HYPERLINK("https://klasma.github.io/Logging_2283/tillsyn/A 3959-2024 tillsynsbegäran.docx", "A 3959-2024")</f>
        <v/>
      </c>
      <c r="Y311">
        <f>HYPERLINK("https://klasma.github.io/Logging_2283/tillsynsmail/A 3959-2024 tillsynsbegäran mail.docx", "A 3959-2024")</f>
        <v/>
      </c>
    </row>
    <row r="312" ht="15" customHeight="1">
      <c r="A312" t="inlineStr">
        <is>
          <t>A 59997-2024</t>
        </is>
      </c>
      <c r="B312" s="1" t="n">
        <v>45642.40715277778</v>
      </c>
      <c r="C312" s="1" t="n">
        <v>45908</v>
      </c>
      <c r="D312" t="inlineStr">
        <is>
          <t>VÄSTERNORRLANDS LÄN</t>
        </is>
      </c>
      <c r="E312" t="inlineStr">
        <is>
          <t>SOLLEFTEÅ</t>
        </is>
      </c>
      <c r="F312" t="inlineStr">
        <is>
          <t>SCA</t>
        </is>
      </c>
      <c r="G312" t="n">
        <v>2.8</v>
      </c>
      <c r="H312" t="n">
        <v>0</v>
      </c>
      <c r="I312" t="n">
        <v>0</v>
      </c>
      <c r="J312" t="n">
        <v>1</v>
      </c>
      <c r="K312" t="n">
        <v>0</v>
      </c>
      <c r="L312" t="n">
        <v>0</v>
      </c>
      <c r="M312" t="n">
        <v>0</v>
      </c>
      <c r="N312" t="n">
        <v>0</v>
      </c>
      <c r="O312" t="n">
        <v>1</v>
      </c>
      <c r="P312" t="n">
        <v>0</v>
      </c>
      <c r="Q312" t="n">
        <v>1</v>
      </c>
      <c r="R312" s="2" t="inlineStr">
        <is>
          <t>Garnlav</t>
        </is>
      </c>
      <c r="S312">
        <f>HYPERLINK("https://klasma.github.io/Logging_2283/artfynd/A 59997-2024 artfynd.xlsx", "A 59997-2024")</f>
        <v/>
      </c>
      <c r="T312">
        <f>HYPERLINK("https://klasma.github.io/Logging_2283/kartor/A 59997-2024 karta.png", "A 59997-2024")</f>
        <v/>
      </c>
      <c r="V312">
        <f>HYPERLINK("https://klasma.github.io/Logging_2283/klagomål/A 59997-2024 FSC-klagomål.docx", "A 59997-2024")</f>
        <v/>
      </c>
      <c r="W312">
        <f>HYPERLINK("https://klasma.github.io/Logging_2283/klagomålsmail/A 59997-2024 FSC-klagomål mail.docx", "A 59997-2024")</f>
        <v/>
      </c>
      <c r="X312">
        <f>HYPERLINK("https://klasma.github.io/Logging_2283/tillsyn/A 59997-2024 tillsynsbegäran.docx", "A 59997-2024")</f>
        <v/>
      </c>
      <c r="Y312">
        <f>HYPERLINK("https://klasma.github.io/Logging_2283/tillsynsmail/A 59997-2024 tillsynsbegäran mail.docx", "A 59997-2024")</f>
        <v/>
      </c>
    </row>
    <row r="313" ht="15" customHeight="1">
      <c r="A313" t="inlineStr">
        <is>
          <t>A 15669-2022</t>
        </is>
      </c>
      <c r="B313" s="1" t="n">
        <v>44662</v>
      </c>
      <c r="C313" s="1" t="n">
        <v>45908</v>
      </c>
      <c r="D313" t="inlineStr">
        <is>
          <t>VÄSTERNORRLANDS LÄN</t>
        </is>
      </c>
      <c r="E313" t="inlineStr">
        <is>
          <t>SOLLEFTEÅ</t>
        </is>
      </c>
      <c r="G313" t="n">
        <v>12.1</v>
      </c>
      <c r="H313" t="n">
        <v>0</v>
      </c>
      <c r="I313" t="n">
        <v>1</v>
      </c>
      <c r="J313" t="n">
        <v>0</v>
      </c>
      <c r="K313" t="n">
        <v>0</v>
      </c>
      <c r="L313" t="n">
        <v>0</v>
      </c>
      <c r="M313" t="n">
        <v>0</v>
      </c>
      <c r="N313" t="n">
        <v>0</v>
      </c>
      <c r="O313" t="n">
        <v>0</v>
      </c>
      <c r="P313" t="n">
        <v>0</v>
      </c>
      <c r="Q313" t="n">
        <v>1</v>
      </c>
      <c r="R313" s="2" t="inlineStr">
        <is>
          <t>Skinnlav</t>
        </is>
      </c>
      <c r="S313">
        <f>HYPERLINK("https://klasma.github.io/Logging_2283/artfynd/A 15669-2022 artfynd.xlsx", "A 15669-2022")</f>
        <v/>
      </c>
      <c r="T313">
        <f>HYPERLINK("https://klasma.github.io/Logging_2283/kartor/A 15669-2022 karta.png", "A 15669-2022")</f>
        <v/>
      </c>
      <c r="V313">
        <f>HYPERLINK("https://klasma.github.io/Logging_2283/klagomål/A 15669-2022 FSC-klagomål.docx", "A 15669-2022")</f>
        <v/>
      </c>
      <c r="W313">
        <f>HYPERLINK("https://klasma.github.io/Logging_2283/klagomålsmail/A 15669-2022 FSC-klagomål mail.docx", "A 15669-2022")</f>
        <v/>
      </c>
      <c r="X313">
        <f>HYPERLINK("https://klasma.github.io/Logging_2283/tillsyn/A 15669-2022 tillsynsbegäran.docx", "A 15669-2022")</f>
        <v/>
      </c>
      <c r="Y313">
        <f>HYPERLINK("https://klasma.github.io/Logging_2283/tillsynsmail/A 15669-2022 tillsynsbegäran mail.docx", "A 15669-2022")</f>
        <v/>
      </c>
    </row>
    <row r="314" ht="15" customHeight="1">
      <c r="A314" t="inlineStr">
        <is>
          <t>A 30948-2025</t>
        </is>
      </c>
      <c r="B314" s="1" t="n">
        <v>45832.42745370371</v>
      </c>
      <c r="C314" s="1" t="n">
        <v>45908</v>
      </c>
      <c r="D314" t="inlineStr">
        <is>
          <t>VÄSTERNORRLANDS LÄN</t>
        </is>
      </c>
      <c r="E314" t="inlineStr">
        <is>
          <t>SOLLEFTEÅ</t>
        </is>
      </c>
      <c r="F314" t="inlineStr">
        <is>
          <t>SCA</t>
        </is>
      </c>
      <c r="G314" t="n">
        <v>1.7</v>
      </c>
      <c r="H314" t="n">
        <v>1</v>
      </c>
      <c r="I314" t="n">
        <v>0</v>
      </c>
      <c r="J314" t="n">
        <v>0</v>
      </c>
      <c r="K314" t="n">
        <v>1</v>
      </c>
      <c r="L314" t="n">
        <v>0</v>
      </c>
      <c r="M314" t="n">
        <v>0</v>
      </c>
      <c r="N314" t="n">
        <v>0</v>
      </c>
      <c r="O314" t="n">
        <v>1</v>
      </c>
      <c r="P314" t="n">
        <v>1</v>
      </c>
      <c r="Q314" t="n">
        <v>1</v>
      </c>
      <c r="R314" s="2" t="inlineStr">
        <is>
          <t>Knärot</t>
        </is>
      </c>
      <c r="S314">
        <f>HYPERLINK("https://klasma.github.io/Logging_2283/artfynd/A 30948-2025 artfynd.xlsx", "A 30948-2025")</f>
        <v/>
      </c>
      <c r="T314">
        <f>HYPERLINK("https://klasma.github.io/Logging_2283/kartor/A 30948-2025 karta.png", "A 30948-2025")</f>
        <v/>
      </c>
      <c r="U314">
        <f>HYPERLINK("https://klasma.github.io/Logging_2283/knärot/A 30948-2025 karta knärot.png", "A 30948-2025")</f>
        <v/>
      </c>
      <c r="V314">
        <f>HYPERLINK("https://klasma.github.io/Logging_2283/klagomål/A 30948-2025 FSC-klagomål.docx", "A 30948-2025")</f>
        <v/>
      </c>
      <c r="W314">
        <f>HYPERLINK("https://klasma.github.io/Logging_2283/klagomålsmail/A 30948-2025 FSC-klagomål mail.docx", "A 30948-2025")</f>
        <v/>
      </c>
      <c r="X314">
        <f>HYPERLINK("https://klasma.github.io/Logging_2283/tillsyn/A 30948-2025 tillsynsbegäran.docx", "A 30948-2025")</f>
        <v/>
      </c>
      <c r="Y314">
        <f>HYPERLINK("https://klasma.github.io/Logging_2283/tillsynsmail/A 30948-2025 tillsynsbegäran mail.docx", "A 30948-2025")</f>
        <v/>
      </c>
    </row>
    <row r="315" ht="15" customHeight="1">
      <c r="A315" t="inlineStr">
        <is>
          <t>A 11667-2025</t>
        </is>
      </c>
      <c r="B315" s="1" t="n">
        <v>45727.51074074074</v>
      </c>
      <c r="C315" s="1" t="n">
        <v>45908</v>
      </c>
      <c r="D315" t="inlineStr">
        <is>
          <t>VÄSTERNORRLANDS LÄN</t>
        </is>
      </c>
      <c r="E315" t="inlineStr">
        <is>
          <t>SOLLEFTEÅ</t>
        </is>
      </c>
      <c r="F315" t="inlineStr">
        <is>
          <t>SCA</t>
        </is>
      </c>
      <c r="G315" t="n">
        <v>4.5</v>
      </c>
      <c r="H315" t="n">
        <v>1</v>
      </c>
      <c r="I315" t="n">
        <v>0</v>
      </c>
      <c r="J315" t="n">
        <v>1</v>
      </c>
      <c r="K315" t="n">
        <v>0</v>
      </c>
      <c r="L315" t="n">
        <v>0</v>
      </c>
      <c r="M315" t="n">
        <v>0</v>
      </c>
      <c r="N315" t="n">
        <v>0</v>
      </c>
      <c r="O315" t="n">
        <v>1</v>
      </c>
      <c r="P315" t="n">
        <v>0</v>
      </c>
      <c r="Q315" t="n">
        <v>1</v>
      </c>
      <c r="R315" s="2" t="inlineStr">
        <is>
          <t>Järpe</t>
        </is>
      </c>
      <c r="S315">
        <f>HYPERLINK("https://klasma.github.io/Logging_2283/artfynd/A 11667-2025 artfynd.xlsx", "A 11667-2025")</f>
        <v/>
      </c>
      <c r="T315">
        <f>HYPERLINK("https://klasma.github.io/Logging_2283/kartor/A 11667-2025 karta.png", "A 11667-2025")</f>
        <v/>
      </c>
      <c r="V315">
        <f>HYPERLINK("https://klasma.github.io/Logging_2283/klagomål/A 11667-2025 FSC-klagomål.docx", "A 11667-2025")</f>
        <v/>
      </c>
      <c r="W315">
        <f>HYPERLINK("https://klasma.github.io/Logging_2283/klagomålsmail/A 11667-2025 FSC-klagomål mail.docx", "A 11667-2025")</f>
        <v/>
      </c>
      <c r="X315">
        <f>HYPERLINK("https://klasma.github.io/Logging_2283/tillsyn/A 11667-2025 tillsynsbegäran.docx", "A 11667-2025")</f>
        <v/>
      </c>
      <c r="Y315">
        <f>HYPERLINK("https://klasma.github.io/Logging_2283/tillsynsmail/A 11667-2025 tillsynsbegäran mail.docx", "A 11667-2025")</f>
        <v/>
      </c>
      <c r="Z315">
        <f>HYPERLINK("https://klasma.github.io/Logging_2283/fåglar/A 11667-2025 prioriterade fågelarter.docx", "A 11667-2025")</f>
        <v/>
      </c>
    </row>
    <row r="316" ht="15" customHeight="1">
      <c r="A316" t="inlineStr">
        <is>
          <t>A 386-2024</t>
        </is>
      </c>
      <c r="B316" s="1" t="n">
        <v>45296</v>
      </c>
      <c r="C316" s="1" t="n">
        <v>45908</v>
      </c>
      <c r="D316" t="inlineStr">
        <is>
          <t>VÄSTERNORRLANDS LÄN</t>
        </is>
      </c>
      <c r="E316" t="inlineStr">
        <is>
          <t>SOLLEFTEÅ</t>
        </is>
      </c>
      <c r="G316" t="n">
        <v>3.7</v>
      </c>
      <c r="H316" t="n">
        <v>0</v>
      </c>
      <c r="I316" t="n">
        <v>0</v>
      </c>
      <c r="J316" t="n">
        <v>1</v>
      </c>
      <c r="K316" t="n">
        <v>0</v>
      </c>
      <c r="L316" t="n">
        <v>0</v>
      </c>
      <c r="M316" t="n">
        <v>0</v>
      </c>
      <c r="N316" t="n">
        <v>0</v>
      </c>
      <c r="O316" t="n">
        <v>1</v>
      </c>
      <c r="P316" t="n">
        <v>0</v>
      </c>
      <c r="Q316" t="n">
        <v>1</v>
      </c>
      <c r="R316" s="2" t="inlineStr">
        <is>
          <t>Kolflarnlav</t>
        </is>
      </c>
      <c r="S316">
        <f>HYPERLINK("https://klasma.github.io/Logging_2283/artfynd/A 386-2024 artfynd.xlsx", "A 386-2024")</f>
        <v/>
      </c>
      <c r="T316">
        <f>HYPERLINK("https://klasma.github.io/Logging_2283/kartor/A 386-2024 karta.png", "A 386-2024")</f>
        <v/>
      </c>
      <c r="V316">
        <f>HYPERLINK("https://klasma.github.io/Logging_2283/klagomål/A 386-2024 FSC-klagomål.docx", "A 386-2024")</f>
        <v/>
      </c>
      <c r="W316">
        <f>HYPERLINK("https://klasma.github.io/Logging_2283/klagomålsmail/A 386-2024 FSC-klagomål mail.docx", "A 386-2024")</f>
        <v/>
      </c>
      <c r="X316">
        <f>HYPERLINK("https://klasma.github.io/Logging_2283/tillsyn/A 386-2024 tillsynsbegäran.docx", "A 386-2024")</f>
        <v/>
      </c>
      <c r="Y316">
        <f>HYPERLINK("https://klasma.github.io/Logging_2283/tillsynsmail/A 386-2024 tillsynsbegäran mail.docx", "A 386-2024")</f>
        <v/>
      </c>
    </row>
    <row r="317" ht="15" customHeight="1">
      <c r="A317" t="inlineStr">
        <is>
          <t>A 32101-2025</t>
        </is>
      </c>
      <c r="B317" s="1" t="n">
        <v>45835.46914351852</v>
      </c>
      <c r="C317" s="1" t="n">
        <v>45908</v>
      </c>
      <c r="D317" t="inlineStr">
        <is>
          <t>VÄSTERNORRLANDS LÄN</t>
        </is>
      </c>
      <c r="E317" t="inlineStr">
        <is>
          <t>SOLLEFTEÅ</t>
        </is>
      </c>
      <c r="F317" t="inlineStr">
        <is>
          <t>SCA</t>
        </is>
      </c>
      <c r="G317" t="n">
        <v>2.2</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32101-2025 artfynd.xlsx", "A 32101-2025")</f>
        <v/>
      </c>
      <c r="T317">
        <f>HYPERLINK("https://klasma.github.io/Logging_2283/kartor/A 32101-2025 karta.png", "A 32101-2025")</f>
        <v/>
      </c>
      <c r="V317">
        <f>HYPERLINK("https://klasma.github.io/Logging_2283/klagomål/A 32101-2025 FSC-klagomål.docx", "A 32101-2025")</f>
        <v/>
      </c>
      <c r="W317">
        <f>HYPERLINK("https://klasma.github.io/Logging_2283/klagomålsmail/A 32101-2025 FSC-klagomål mail.docx", "A 32101-2025")</f>
        <v/>
      </c>
      <c r="X317">
        <f>HYPERLINK("https://klasma.github.io/Logging_2283/tillsyn/A 32101-2025 tillsynsbegäran.docx", "A 32101-2025")</f>
        <v/>
      </c>
      <c r="Y317">
        <f>HYPERLINK("https://klasma.github.io/Logging_2283/tillsynsmail/A 32101-2025 tillsynsbegäran mail.docx", "A 32101-2025")</f>
        <v/>
      </c>
      <c r="Z317">
        <f>HYPERLINK("https://klasma.github.io/Logging_2283/fåglar/A 32101-2025 prioriterade fågelarter.docx", "A 32101-2025")</f>
        <v/>
      </c>
    </row>
    <row r="318" ht="15" customHeight="1">
      <c r="A318" t="inlineStr">
        <is>
          <t>A 38268-2025</t>
        </is>
      </c>
      <c r="B318" s="1" t="n">
        <v>45883.40679398148</v>
      </c>
      <c r="C318" s="1" t="n">
        <v>45908</v>
      </c>
      <c r="D318" t="inlineStr">
        <is>
          <t>VÄSTERNORRLANDS LÄN</t>
        </is>
      </c>
      <c r="E318" t="inlineStr">
        <is>
          <t>SOLLEFTEÅ</t>
        </is>
      </c>
      <c r="F318" t="inlineStr">
        <is>
          <t>SCA</t>
        </is>
      </c>
      <c r="G318" t="n">
        <v>5.1</v>
      </c>
      <c r="H318" t="n">
        <v>0</v>
      </c>
      <c r="I318" t="n">
        <v>0</v>
      </c>
      <c r="J318" t="n">
        <v>0</v>
      </c>
      <c r="K318" t="n">
        <v>1</v>
      </c>
      <c r="L318" t="n">
        <v>0</v>
      </c>
      <c r="M318" t="n">
        <v>0</v>
      </c>
      <c r="N318" t="n">
        <v>0</v>
      </c>
      <c r="O318" t="n">
        <v>1</v>
      </c>
      <c r="P318" t="n">
        <v>1</v>
      </c>
      <c r="Q318" t="n">
        <v>1</v>
      </c>
      <c r="R318" s="2" t="inlineStr">
        <is>
          <t>Gräddporing</t>
        </is>
      </c>
      <c r="S318">
        <f>HYPERLINK("https://klasma.github.io/Logging_2283/artfynd/A 38268-2025 artfynd.xlsx", "A 38268-2025")</f>
        <v/>
      </c>
      <c r="T318">
        <f>HYPERLINK("https://klasma.github.io/Logging_2283/kartor/A 38268-2025 karta.png", "A 38268-2025")</f>
        <v/>
      </c>
      <c r="V318">
        <f>HYPERLINK("https://klasma.github.io/Logging_2283/klagomål/A 38268-2025 FSC-klagomål.docx", "A 38268-2025")</f>
        <v/>
      </c>
      <c r="W318">
        <f>HYPERLINK("https://klasma.github.io/Logging_2283/klagomålsmail/A 38268-2025 FSC-klagomål mail.docx", "A 38268-2025")</f>
        <v/>
      </c>
      <c r="X318">
        <f>HYPERLINK("https://klasma.github.io/Logging_2283/tillsyn/A 38268-2025 tillsynsbegäran.docx", "A 38268-2025")</f>
        <v/>
      </c>
      <c r="Y318">
        <f>HYPERLINK("https://klasma.github.io/Logging_2283/tillsynsmail/A 38268-2025 tillsynsbegäran mail.docx", "A 38268-2025")</f>
        <v/>
      </c>
    </row>
    <row r="319" ht="15" customHeight="1">
      <c r="A319" t="inlineStr">
        <is>
          <t>A 25310-2023</t>
        </is>
      </c>
      <c r="B319" s="1" t="n">
        <v>45086</v>
      </c>
      <c r="C319" s="1" t="n">
        <v>45908</v>
      </c>
      <c r="D319" t="inlineStr">
        <is>
          <t>VÄSTERNORRLANDS LÄN</t>
        </is>
      </c>
      <c r="E319" t="inlineStr">
        <is>
          <t>SOLLEFTEÅ</t>
        </is>
      </c>
      <c r="F319" t="inlineStr">
        <is>
          <t>SCA</t>
        </is>
      </c>
      <c r="G319" t="n">
        <v>1.1</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25310-2023 artfynd.xlsx", "A 25310-2023")</f>
        <v/>
      </c>
      <c r="T319">
        <f>HYPERLINK("https://klasma.github.io/Logging_2283/kartor/A 25310-2023 karta.png", "A 25310-2023")</f>
        <v/>
      </c>
      <c r="V319">
        <f>HYPERLINK("https://klasma.github.io/Logging_2283/klagomål/A 25310-2023 FSC-klagomål.docx", "A 25310-2023")</f>
        <v/>
      </c>
      <c r="W319">
        <f>HYPERLINK("https://klasma.github.io/Logging_2283/klagomålsmail/A 25310-2023 FSC-klagomål mail.docx", "A 25310-2023")</f>
        <v/>
      </c>
      <c r="X319">
        <f>HYPERLINK("https://klasma.github.io/Logging_2283/tillsyn/A 25310-2023 tillsynsbegäran.docx", "A 25310-2023")</f>
        <v/>
      </c>
      <c r="Y319">
        <f>HYPERLINK("https://klasma.github.io/Logging_2283/tillsynsmail/A 25310-2023 tillsynsbegäran mail.docx", "A 25310-2023")</f>
        <v/>
      </c>
      <c r="Z319">
        <f>HYPERLINK("https://klasma.github.io/Logging_2283/fåglar/A 25310-2023 prioriterade fågelarter.docx", "A 25310-2023")</f>
        <v/>
      </c>
    </row>
    <row r="320" ht="15" customHeight="1">
      <c r="A320" t="inlineStr">
        <is>
          <t>A 33853-2025</t>
        </is>
      </c>
      <c r="B320" s="1" t="n">
        <v>45842.51097222222</v>
      </c>
      <c r="C320" s="1" t="n">
        <v>45908</v>
      </c>
      <c r="D320" t="inlineStr">
        <is>
          <t>VÄSTERNORRLANDS LÄN</t>
        </is>
      </c>
      <c r="E320" t="inlineStr">
        <is>
          <t>SOLLEFTEÅ</t>
        </is>
      </c>
      <c r="F320" t="inlineStr">
        <is>
          <t>SCA</t>
        </is>
      </c>
      <c r="G320" t="n">
        <v>6.5</v>
      </c>
      <c r="H320" t="n">
        <v>1</v>
      </c>
      <c r="I320" t="n">
        <v>0</v>
      </c>
      <c r="J320" t="n">
        <v>0</v>
      </c>
      <c r="K320" t="n">
        <v>0</v>
      </c>
      <c r="L320" t="n">
        <v>0</v>
      </c>
      <c r="M320" t="n">
        <v>0</v>
      </c>
      <c r="N320" t="n">
        <v>0</v>
      </c>
      <c r="O320" t="n">
        <v>0</v>
      </c>
      <c r="P320" t="n">
        <v>0</v>
      </c>
      <c r="Q320" t="n">
        <v>1</v>
      </c>
      <c r="R320" s="2" t="inlineStr">
        <is>
          <t>Tjäder</t>
        </is>
      </c>
      <c r="S320">
        <f>HYPERLINK("https://klasma.github.io/Logging_2283/artfynd/A 33853-2025 artfynd.xlsx", "A 33853-2025")</f>
        <v/>
      </c>
      <c r="T320">
        <f>HYPERLINK("https://klasma.github.io/Logging_2283/kartor/A 33853-2025 karta.png", "A 33853-2025")</f>
        <v/>
      </c>
      <c r="V320">
        <f>HYPERLINK("https://klasma.github.io/Logging_2283/klagomål/A 33853-2025 FSC-klagomål.docx", "A 33853-2025")</f>
        <v/>
      </c>
      <c r="W320">
        <f>HYPERLINK("https://klasma.github.io/Logging_2283/klagomålsmail/A 33853-2025 FSC-klagomål mail.docx", "A 33853-2025")</f>
        <v/>
      </c>
      <c r="X320">
        <f>HYPERLINK("https://klasma.github.io/Logging_2283/tillsyn/A 33853-2025 tillsynsbegäran.docx", "A 33853-2025")</f>
        <v/>
      </c>
      <c r="Y320">
        <f>HYPERLINK("https://klasma.github.io/Logging_2283/tillsynsmail/A 33853-2025 tillsynsbegäran mail.docx", "A 33853-2025")</f>
        <v/>
      </c>
      <c r="Z320">
        <f>HYPERLINK("https://klasma.github.io/Logging_2283/fåglar/A 33853-2025 prioriterade fågelarter.docx", "A 33853-2025")</f>
        <v/>
      </c>
    </row>
    <row r="321" ht="15" customHeight="1">
      <c r="A321" t="inlineStr">
        <is>
          <t>A 34865-2025</t>
        </is>
      </c>
      <c r="B321" s="1" t="n">
        <v>45849.4421412037</v>
      </c>
      <c r="C321" s="1" t="n">
        <v>45908</v>
      </c>
      <c r="D321" t="inlineStr">
        <is>
          <t>VÄSTERNORRLANDS LÄN</t>
        </is>
      </c>
      <c r="E321" t="inlineStr">
        <is>
          <t>SOLLEFTEÅ</t>
        </is>
      </c>
      <c r="G321" t="n">
        <v>3.3</v>
      </c>
      <c r="H321" t="n">
        <v>1</v>
      </c>
      <c r="I321" t="n">
        <v>0</v>
      </c>
      <c r="J321" t="n">
        <v>1</v>
      </c>
      <c r="K321" t="n">
        <v>0</v>
      </c>
      <c r="L321" t="n">
        <v>0</v>
      </c>
      <c r="M321" t="n">
        <v>0</v>
      </c>
      <c r="N321" t="n">
        <v>0</v>
      </c>
      <c r="O321" t="n">
        <v>1</v>
      </c>
      <c r="P321" t="n">
        <v>0</v>
      </c>
      <c r="Q321" t="n">
        <v>1</v>
      </c>
      <c r="R321" s="2" t="inlineStr">
        <is>
          <t>Spillkråka</t>
        </is>
      </c>
      <c r="S321">
        <f>HYPERLINK("https://klasma.github.io/Logging_2283/artfynd/A 34865-2025 artfynd.xlsx", "A 34865-2025")</f>
        <v/>
      </c>
      <c r="T321">
        <f>HYPERLINK("https://klasma.github.io/Logging_2283/kartor/A 34865-2025 karta.png", "A 34865-2025")</f>
        <v/>
      </c>
      <c r="V321">
        <f>HYPERLINK("https://klasma.github.io/Logging_2283/klagomål/A 34865-2025 FSC-klagomål.docx", "A 34865-2025")</f>
        <v/>
      </c>
      <c r="W321">
        <f>HYPERLINK("https://klasma.github.io/Logging_2283/klagomålsmail/A 34865-2025 FSC-klagomål mail.docx", "A 34865-2025")</f>
        <v/>
      </c>
      <c r="X321">
        <f>HYPERLINK("https://klasma.github.io/Logging_2283/tillsyn/A 34865-2025 tillsynsbegäran.docx", "A 34865-2025")</f>
        <v/>
      </c>
      <c r="Y321">
        <f>HYPERLINK("https://klasma.github.io/Logging_2283/tillsynsmail/A 34865-2025 tillsynsbegäran mail.docx", "A 34865-2025")</f>
        <v/>
      </c>
      <c r="Z321">
        <f>HYPERLINK("https://klasma.github.io/Logging_2283/fåglar/A 34865-2025 prioriterade fågelarter.docx", "A 34865-2025")</f>
        <v/>
      </c>
    </row>
    <row r="322" ht="15" customHeight="1">
      <c r="A322" t="inlineStr">
        <is>
          <t>A 35217-2025</t>
        </is>
      </c>
      <c r="B322" s="1" t="n">
        <v>45853.49020833334</v>
      </c>
      <c r="C322" s="1" t="n">
        <v>45908</v>
      </c>
      <c r="D322" t="inlineStr">
        <is>
          <t>VÄSTERNORRLANDS LÄN</t>
        </is>
      </c>
      <c r="E322" t="inlineStr">
        <is>
          <t>SOLLEFTEÅ</t>
        </is>
      </c>
      <c r="F322" t="inlineStr">
        <is>
          <t>SCA</t>
        </is>
      </c>
      <c r="G322" t="n">
        <v>2.1</v>
      </c>
      <c r="H322" t="n">
        <v>1</v>
      </c>
      <c r="I322" t="n">
        <v>0</v>
      </c>
      <c r="J322" t="n">
        <v>0</v>
      </c>
      <c r="K322" t="n">
        <v>0</v>
      </c>
      <c r="L322" t="n">
        <v>0</v>
      </c>
      <c r="M322" t="n">
        <v>0</v>
      </c>
      <c r="N322" t="n">
        <v>0</v>
      </c>
      <c r="O322" t="n">
        <v>0</v>
      </c>
      <c r="P322" t="n">
        <v>0</v>
      </c>
      <c r="Q322" t="n">
        <v>1</v>
      </c>
      <c r="R322" s="2" t="inlineStr">
        <is>
          <t>Mattlummer</t>
        </is>
      </c>
      <c r="S322">
        <f>HYPERLINK("https://klasma.github.io/Logging_2283/artfynd/A 35217-2025 artfynd.xlsx", "A 35217-2025")</f>
        <v/>
      </c>
      <c r="T322">
        <f>HYPERLINK("https://klasma.github.io/Logging_2283/kartor/A 35217-2025 karta.png", "A 35217-2025")</f>
        <v/>
      </c>
      <c r="V322">
        <f>HYPERLINK("https://klasma.github.io/Logging_2283/klagomål/A 35217-2025 FSC-klagomål.docx", "A 35217-2025")</f>
        <v/>
      </c>
      <c r="W322">
        <f>HYPERLINK("https://klasma.github.io/Logging_2283/klagomålsmail/A 35217-2025 FSC-klagomål mail.docx", "A 35217-2025")</f>
        <v/>
      </c>
      <c r="X322">
        <f>HYPERLINK("https://klasma.github.io/Logging_2283/tillsyn/A 35217-2025 tillsynsbegäran.docx", "A 35217-2025")</f>
        <v/>
      </c>
      <c r="Y322">
        <f>HYPERLINK("https://klasma.github.io/Logging_2283/tillsynsmail/A 35217-2025 tillsynsbegäran mail.docx", "A 35217-2025")</f>
        <v/>
      </c>
    </row>
    <row r="323" ht="15" customHeight="1">
      <c r="A323" t="inlineStr">
        <is>
          <t>A 19199-2025</t>
        </is>
      </c>
      <c r="B323" s="1" t="n">
        <v>45769.42774305555</v>
      </c>
      <c r="C323" s="1" t="n">
        <v>45908</v>
      </c>
      <c r="D323" t="inlineStr">
        <is>
          <t>VÄSTERNORRLANDS LÄN</t>
        </is>
      </c>
      <c r="E323" t="inlineStr">
        <is>
          <t>SOLLEFTEÅ</t>
        </is>
      </c>
      <c r="F323" t="inlineStr">
        <is>
          <t>SCA</t>
        </is>
      </c>
      <c r="G323" t="n">
        <v>1.5</v>
      </c>
      <c r="H323" t="n">
        <v>1</v>
      </c>
      <c r="I323" t="n">
        <v>0</v>
      </c>
      <c r="J323" t="n">
        <v>1</v>
      </c>
      <c r="K323" t="n">
        <v>0</v>
      </c>
      <c r="L323" t="n">
        <v>0</v>
      </c>
      <c r="M323" t="n">
        <v>0</v>
      </c>
      <c r="N323" t="n">
        <v>0</v>
      </c>
      <c r="O323" t="n">
        <v>1</v>
      </c>
      <c r="P323" t="n">
        <v>0</v>
      </c>
      <c r="Q323" t="n">
        <v>1</v>
      </c>
      <c r="R323" s="2" t="inlineStr">
        <is>
          <t>Spillkråka</t>
        </is>
      </c>
      <c r="S323">
        <f>HYPERLINK("https://klasma.github.io/Logging_2283/artfynd/A 19199-2025 artfynd.xlsx", "A 19199-2025")</f>
        <v/>
      </c>
      <c r="T323">
        <f>HYPERLINK("https://klasma.github.io/Logging_2283/kartor/A 19199-2025 karta.png", "A 19199-2025")</f>
        <v/>
      </c>
      <c r="V323">
        <f>HYPERLINK("https://klasma.github.io/Logging_2283/klagomål/A 19199-2025 FSC-klagomål.docx", "A 19199-2025")</f>
        <v/>
      </c>
      <c r="W323">
        <f>HYPERLINK("https://klasma.github.io/Logging_2283/klagomålsmail/A 19199-2025 FSC-klagomål mail.docx", "A 19199-2025")</f>
        <v/>
      </c>
      <c r="X323">
        <f>HYPERLINK("https://klasma.github.io/Logging_2283/tillsyn/A 19199-2025 tillsynsbegäran.docx", "A 19199-2025")</f>
        <v/>
      </c>
      <c r="Y323">
        <f>HYPERLINK("https://klasma.github.io/Logging_2283/tillsynsmail/A 19199-2025 tillsynsbegäran mail.docx", "A 19199-2025")</f>
        <v/>
      </c>
      <c r="Z323">
        <f>HYPERLINK("https://klasma.github.io/Logging_2283/fåglar/A 19199-2025 prioriterade fågelarter.docx", "A 19199-2025")</f>
        <v/>
      </c>
    </row>
    <row r="324" ht="15" customHeight="1">
      <c r="A324" t="inlineStr">
        <is>
          <t>A 39995-2024</t>
        </is>
      </c>
      <c r="B324" s="1" t="n">
        <v>45553.63572916666</v>
      </c>
      <c r="C324" s="1" t="n">
        <v>45908</v>
      </c>
      <c r="D324" t="inlineStr">
        <is>
          <t>VÄSTERNORRLANDS LÄN</t>
        </is>
      </c>
      <c r="E324" t="inlineStr">
        <is>
          <t>SOLLEFTEÅ</t>
        </is>
      </c>
      <c r="F324" t="inlineStr">
        <is>
          <t>SCA</t>
        </is>
      </c>
      <c r="G324" t="n">
        <v>3.5</v>
      </c>
      <c r="H324" t="n">
        <v>0</v>
      </c>
      <c r="I324" t="n">
        <v>0</v>
      </c>
      <c r="J324" t="n">
        <v>1</v>
      </c>
      <c r="K324" t="n">
        <v>0</v>
      </c>
      <c r="L324" t="n">
        <v>0</v>
      </c>
      <c r="M324" t="n">
        <v>0</v>
      </c>
      <c r="N324" t="n">
        <v>0</v>
      </c>
      <c r="O324" t="n">
        <v>1</v>
      </c>
      <c r="P324" t="n">
        <v>0</v>
      </c>
      <c r="Q324" t="n">
        <v>1</v>
      </c>
      <c r="R324" s="2" t="inlineStr">
        <is>
          <t>Garnlav</t>
        </is>
      </c>
      <c r="S324">
        <f>HYPERLINK("https://klasma.github.io/Logging_2283/artfynd/A 39995-2024 artfynd.xlsx", "A 39995-2024")</f>
        <v/>
      </c>
      <c r="T324">
        <f>HYPERLINK("https://klasma.github.io/Logging_2283/kartor/A 39995-2024 karta.png", "A 39995-2024")</f>
        <v/>
      </c>
      <c r="V324">
        <f>HYPERLINK("https://klasma.github.io/Logging_2283/klagomål/A 39995-2024 FSC-klagomål.docx", "A 39995-2024")</f>
        <v/>
      </c>
      <c r="W324">
        <f>HYPERLINK("https://klasma.github.io/Logging_2283/klagomålsmail/A 39995-2024 FSC-klagomål mail.docx", "A 39995-2024")</f>
        <v/>
      </c>
      <c r="X324">
        <f>HYPERLINK("https://klasma.github.io/Logging_2283/tillsyn/A 39995-2024 tillsynsbegäran.docx", "A 39995-2024")</f>
        <v/>
      </c>
      <c r="Y324">
        <f>HYPERLINK("https://klasma.github.io/Logging_2283/tillsynsmail/A 39995-2024 tillsynsbegäran mail.docx", "A 39995-2024")</f>
        <v/>
      </c>
    </row>
    <row r="325" ht="15" customHeight="1">
      <c r="A325" t="inlineStr">
        <is>
          <t>A 38363-2022</t>
        </is>
      </c>
      <c r="B325" s="1" t="n">
        <v>44812</v>
      </c>
      <c r="C325" s="1" t="n">
        <v>45908</v>
      </c>
      <c r="D325" t="inlineStr">
        <is>
          <t>VÄSTERNORRLANDS LÄN</t>
        </is>
      </c>
      <c r="E325" t="inlineStr">
        <is>
          <t>SOLLEFTEÅ</t>
        </is>
      </c>
      <c r="F325" t="inlineStr">
        <is>
          <t>Kommuner</t>
        </is>
      </c>
      <c r="G325" t="n">
        <v>16</v>
      </c>
      <c r="H325" t="n">
        <v>0</v>
      </c>
      <c r="I325" t="n">
        <v>0</v>
      </c>
      <c r="J325" t="n">
        <v>1</v>
      </c>
      <c r="K325" t="n">
        <v>0</v>
      </c>
      <c r="L325" t="n">
        <v>0</v>
      </c>
      <c r="M325" t="n">
        <v>0</v>
      </c>
      <c r="N325" t="n">
        <v>0</v>
      </c>
      <c r="O325" t="n">
        <v>1</v>
      </c>
      <c r="P325" t="n">
        <v>0</v>
      </c>
      <c r="Q325" t="n">
        <v>1</v>
      </c>
      <c r="R325" s="2" t="inlineStr">
        <is>
          <t>Garnlav</t>
        </is>
      </c>
      <c r="S325">
        <f>HYPERLINK("https://klasma.github.io/Logging_2283/artfynd/A 38363-2022 artfynd.xlsx", "A 38363-2022")</f>
        <v/>
      </c>
      <c r="T325">
        <f>HYPERLINK("https://klasma.github.io/Logging_2283/kartor/A 38363-2022 karta.png", "A 38363-2022")</f>
        <v/>
      </c>
      <c r="V325">
        <f>HYPERLINK("https://klasma.github.io/Logging_2283/klagomål/A 38363-2022 FSC-klagomål.docx", "A 38363-2022")</f>
        <v/>
      </c>
      <c r="W325">
        <f>HYPERLINK("https://klasma.github.io/Logging_2283/klagomålsmail/A 38363-2022 FSC-klagomål mail.docx", "A 38363-2022")</f>
        <v/>
      </c>
      <c r="X325">
        <f>HYPERLINK("https://klasma.github.io/Logging_2283/tillsyn/A 38363-2022 tillsynsbegäran.docx", "A 38363-2022")</f>
        <v/>
      </c>
      <c r="Y325">
        <f>HYPERLINK("https://klasma.github.io/Logging_2283/tillsynsmail/A 38363-2022 tillsynsbegäran mail.docx", "A 38363-2022")</f>
        <v/>
      </c>
    </row>
    <row r="326" ht="15" customHeight="1">
      <c r="A326" t="inlineStr">
        <is>
          <t>A 19204-2025</t>
        </is>
      </c>
      <c r="B326" s="1" t="n">
        <v>45769</v>
      </c>
      <c r="C326" s="1" t="n">
        <v>45908</v>
      </c>
      <c r="D326" t="inlineStr">
        <is>
          <t>VÄSTERNORRLANDS LÄN</t>
        </is>
      </c>
      <c r="E326" t="inlineStr">
        <is>
          <t>SOLLEFTEÅ</t>
        </is>
      </c>
      <c r="F326" t="inlineStr">
        <is>
          <t>SCA</t>
        </is>
      </c>
      <c r="G326" t="n">
        <v>5.7</v>
      </c>
      <c r="H326" t="n">
        <v>1</v>
      </c>
      <c r="I326" t="n">
        <v>0</v>
      </c>
      <c r="J326" t="n">
        <v>0</v>
      </c>
      <c r="K326" t="n">
        <v>0</v>
      </c>
      <c r="L326" t="n">
        <v>0</v>
      </c>
      <c r="M326" t="n">
        <v>0</v>
      </c>
      <c r="N326" t="n">
        <v>0</v>
      </c>
      <c r="O326" t="n">
        <v>0</v>
      </c>
      <c r="P326" t="n">
        <v>0</v>
      </c>
      <c r="Q326" t="n">
        <v>1</v>
      </c>
      <c r="R326" s="2" t="inlineStr">
        <is>
          <t>Tjäder</t>
        </is>
      </c>
      <c r="S326">
        <f>HYPERLINK("https://klasma.github.io/Logging_2283/artfynd/A 19204-2025 artfynd.xlsx", "A 19204-2025")</f>
        <v/>
      </c>
      <c r="T326">
        <f>HYPERLINK("https://klasma.github.io/Logging_2283/kartor/A 19204-2025 karta.png", "A 19204-2025")</f>
        <v/>
      </c>
      <c r="V326">
        <f>HYPERLINK("https://klasma.github.io/Logging_2283/klagomål/A 19204-2025 FSC-klagomål.docx", "A 19204-2025")</f>
        <v/>
      </c>
      <c r="W326">
        <f>HYPERLINK("https://klasma.github.io/Logging_2283/klagomålsmail/A 19204-2025 FSC-klagomål mail.docx", "A 19204-2025")</f>
        <v/>
      </c>
      <c r="X326">
        <f>HYPERLINK("https://klasma.github.io/Logging_2283/tillsyn/A 19204-2025 tillsynsbegäran.docx", "A 19204-2025")</f>
        <v/>
      </c>
      <c r="Y326">
        <f>HYPERLINK("https://klasma.github.io/Logging_2283/tillsynsmail/A 19204-2025 tillsynsbegäran mail.docx", "A 19204-2025")</f>
        <v/>
      </c>
      <c r="Z326">
        <f>HYPERLINK("https://klasma.github.io/Logging_2283/fåglar/A 19204-2025 prioriterade fågelarter.docx", "A 19204-2025")</f>
        <v/>
      </c>
    </row>
    <row r="327" ht="15" customHeight="1">
      <c r="A327" t="inlineStr">
        <is>
          <t>A 49366-2024</t>
        </is>
      </c>
      <c r="B327" s="1" t="n">
        <v>45595.63572916666</v>
      </c>
      <c r="C327" s="1" t="n">
        <v>45908</v>
      </c>
      <c r="D327" t="inlineStr">
        <is>
          <t>VÄSTERNORRLANDS LÄN</t>
        </is>
      </c>
      <c r="E327" t="inlineStr">
        <is>
          <t>SOLLEFTEÅ</t>
        </is>
      </c>
      <c r="F327" t="inlineStr">
        <is>
          <t>SCA</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HYPERLINK("https://klasma.github.io/Logging_2283/artfynd/A 49366-2024 artfynd.xlsx", "A 49366-2024")</f>
        <v/>
      </c>
      <c r="T327">
        <f>HYPERLINK("https://klasma.github.io/Logging_2283/kartor/A 49366-2024 karta.png", "A 49366-2024")</f>
        <v/>
      </c>
      <c r="U327">
        <f>HYPERLINK("https://klasma.github.io/Logging_2283/knärot/A 49366-2024 karta knärot.png", "A 49366-2024")</f>
        <v/>
      </c>
      <c r="V327">
        <f>HYPERLINK("https://klasma.github.io/Logging_2283/klagomål/A 49366-2024 FSC-klagomål.docx", "A 49366-2024")</f>
        <v/>
      </c>
      <c r="W327">
        <f>HYPERLINK("https://klasma.github.io/Logging_2283/klagomålsmail/A 49366-2024 FSC-klagomål mail.docx", "A 49366-2024")</f>
        <v/>
      </c>
      <c r="X327">
        <f>HYPERLINK("https://klasma.github.io/Logging_2283/tillsyn/A 49366-2024 tillsynsbegäran.docx", "A 49366-2024")</f>
        <v/>
      </c>
      <c r="Y327">
        <f>HYPERLINK("https://klasma.github.io/Logging_2283/tillsynsmail/A 49366-2024 tillsynsbegäran mail.docx", "A 49366-2024")</f>
        <v/>
      </c>
    </row>
    <row r="328" ht="15" customHeight="1">
      <c r="A328" t="inlineStr">
        <is>
          <t>A 17251-2025</t>
        </is>
      </c>
      <c r="B328" s="1" t="n">
        <v>45756.51085648148</v>
      </c>
      <c r="C328" s="1" t="n">
        <v>45908</v>
      </c>
      <c r="D328" t="inlineStr">
        <is>
          <t>VÄSTERNORRLANDS LÄN</t>
        </is>
      </c>
      <c r="E328" t="inlineStr">
        <is>
          <t>SOLLEFTEÅ</t>
        </is>
      </c>
      <c r="F328" t="inlineStr">
        <is>
          <t>SCA</t>
        </is>
      </c>
      <c r="G328" t="n">
        <v>3.1</v>
      </c>
      <c r="H328" t="n">
        <v>0</v>
      </c>
      <c r="I328" t="n">
        <v>0</v>
      </c>
      <c r="J328" t="n">
        <v>0</v>
      </c>
      <c r="K328" t="n">
        <v>1</v>
      </c>
      <c r="L328" t="n">
        <v>0</v>
      </c>
      <c r="M328" t="n">
        <v>0</v>
      </c>
      <c r="N328" t="n">
        <v>0</v>
      </c>
      <c r="O328" t="n">
        <v>1</v>
      </c>
      <c r="P328" t="n">
        <v>1</v>
      </c>
      <c r="Q328" t="n">
        <v>1</v>
      </c>
      <c r="R328" s="2" t="inlineStr">
        <is>
          <t>Rynkskinn</t>
        </is>
      </c>
      <c r="S328">
        <f>HYPERLINK("https://klasma.github.io/Logging_2283/artfynd/A 17251-2025 artfynd.xlsx", "A 17251-2025")</f>
        <v/>
      </c>
      <c r="T328">
        <f>HYPERLINK("https://klasma.github.io/Logging_2283/kartor/A 17251-2025 karta.png", "A 17251-2025")</f>
        <v/>
      </c>
      <c r="V328">
        <f>HYPERLINK("https://klasma.github.io/Logging_2283/klagomål/A 17251-2025 FSC-klagomål.docx", "A 17251-2025")</f>
        <v/>
      </c>
      <c r="W328">
        <f>HYPERLINK("https://klasma.github.io/Logging_2283/klagomålsmail/A 17251-2025 FSC-klagomål mail.docx", "A 17251-2025")</f>
        <v/>
      </c>
      <c r="X328">
        <f>HYPERLINK("https://klasma.github.io/Logging_2283/tillsyn/A 17251-2025 tillsynsbegäran.docx", "A 17251-2025")</f>
        <v/>
      </c>
      <c r="Y328">
        <f>HYPERLINK("https://klasma.github.io/Logging_2283/tillsynsmail/A 17251-2025 tillsynsbegäran mail.docx", "A 17251-2025")</f>
        <v/>
      </c>
    </row>
    <row r="329" ht="15" customHeight="1">
      <c r="A329" t="inlineStr">
        <is>
          <t>A 5033-2024</t>
        </is>
      </c>
      <c r="B329" s="1" t="n">
        <v>45329</v>
      </c>
      <c r="C329" s="1" t="n">
        <v>45908</v>
      </c>
      <c r="D329" t="inlineStr">
        <is>
          <t>VÄSTERNORRLANDS LÄN</t>
        </is>
      </c>
      <c r="E329" t="inlineStr">
        <is>
          <t>SOLLEFTEÅ</t>
        </is>
      </c>
      <c r="F329" t="inlineStr">
        <is>
          <t>Övriga Aktiebolag</t>
        </is>
      </c>
      <c r="G329" t="n">
        <v>3.2</v>
      </c>
      <c r="H329" t="n">
        <v>0</v>
      </c>
      <c r="I329" t="n">
        <v>1</v>
      </c>
      <c r="J329" t="n">
        <v>0</v>
      </c>
      <c r="K329" t="n">
        <v>0</v>
      </c>
      <c r="L329" t="n">
        <v>0</v>
      </c>
      <c r="M329" t="n">
        <v>0</v>
      </c>
      <c r="N329" t="n">
        <v>0</v>
      </c>
      <c r="O329" t="n">
        <v>0</v>
      </c>
      <c r="P329" t="n">
        <v>0</v>
      </c>
      <c r="Q329" t="n">
        <v>1</v>
      </c>
      <c r="R329" s="2" t="inlineStr">
        <is>
          <t>Kransrams</t>
        </is>
      </c>
      <c r="S329">
        <f>HYPERLINK("https://klasma.github.io/Logging_2283/artfynd/A 5033-2024 artfynd.xlsx", "A 5033-2024")</f>
        <v/>
      </c>
      <c r="T329">
        <f>HYPERLINK("https://klasma.github.io/Logging_2283/kartor/A 5033-2024 karta.png", "A 5033-2024")</f>
        <v/>
      </c>
      <c r="V329">
        <f>HYPERLINK("https://klasma.github.io/Logging_2283/klagomål/A 5033-2024 FSC-klagomål.docx", "A 5033-2024")</f>
        <v/>
      </c>
      <c r="W329">
        <f>HYPERLINK("https://klasma.github.io/Logging_2283/klagomålsmail/A 5033-2024 FSC-klagomål mail.docx", "A 5033-2024")</f>
        <v/>
      </c>
      <c r="X329">
        <f>HYPERLINK("https://klasma.github.io/Logging_2283/tillsyn/A 5033-2024 tillsynsbegäran.docx", "A 5033-2024")</f>
        <v/>
      </c>
      <c r="Y329">
        <f>HYPERLINK("https://klasma.github.io/Logging_2283/tillsynsmail/A 5033-2024 tillsynsbegäran mail.docx", "A 5033-2024")</f>
        <v/>
      </c>
    </row>
    <row r="330" ht="15" customHeight="1">
      <c r="A330" t="inlineStr">
        <is>
          <t>A 39897-2024</t>
        </is>
      </c>
      <c r="B330" s="1" t="n">
        <v>45553.48841435185</v>
      </c>
      <c r="C330" s="1" t="n">
        <v>45908</v>
      </c>
      <c r="D330" t="inlineStr">
        <is>
          <t>VÄSTERNORRLANDS LÄN</t>
        </is>
      </c>
      <c r="E330" t="inlineStr">
        <is>
          <t>SOLLEFTEÅ</t>
        </is>
      </c>
      <c r="G330" t="n">
        <v>1.1</v>
      </c>
      <c r="H330" t="n">
        <v>1</v>
      </c>
      <c r="I330" t="n">
        <v>0</v>
      </c>
      <c r="J330" t="n">
        <v>0</v>
      </c>
      <c r="K330" t="n">
        <v>0</v>
      </c>
      <c r="L330" t="n">
        <v>0</v>
      </c>
      <c r="M330" t="n">
        <v>0</v>
      </c>
      <c r="N330" t="n">
        <v>0</v>
      </c>
      <c r="O330" t="n">
        <v>0</v>
      </c>
      <c r="P330" t="n">
        <v>0</v>
      </c>
      <c r="Q330" t="n">
        <v>1</v>
      </c>
      <c r="R330" s="2" t="inlineStr">
        <is>
          <t>Revlummer</t>
        </is>
      </c>
      <c r="S330">
        <f>HYPERLINK("https://klasma.github.io/Logging_2283/artfynd/A 39897-2024 artfynd.xlsx", "A 39897-2024")</f>
        <v/>
      </c>
      <c r="T330">
        <f>HYPERLINK("https://klasma.github.io/Logging_2283/kartor/A 39897-2024 karta.png", "A 39897-2024")</f>
        <v/>
      </c>
      <c r="V330">
        <f>HYPERLINK("https://klasma.github.io/Logging_2283/klagomål/A 39897-2024 FSC-klagomål.docx", "A 39897-2024")</f>
        <v/>
      </c>
      <c r="W330">
        <f>HYPERLINK("https://klasma.github.io/Logging_2283/klagomålsmail/A 39897-2024 FSC-klagomål mail.docx", "A 39897-2024")</f>
        <v/>
      </c>
      <c r="X330">
        <f>HYPERLINK("https://klasma.github.io/Logging_2283/tillsyn/A 39897-2024 tillsynsbegäran.docx", "A 39897-2024")</f>
        <v/>
      </c>
      <c r="Y330">
        <f>HYPERLINK("https://klasma.github.io/Logging_2283/tillsynsmail/A 39897-2024 tillsynsbegäran mail.docx", "A 39897-2024")</f>
        <v/>
      </c>
    </row>
    <row r="331" ht="15" customHeight="1">
      <c r="A331" t="inlineStr">
        <is>
          <t>A 39565-2023</t>
        </is>
      </c>
      <c r="B331" s="1" t="n">
        <v>45167</v>
      </c>
      <c r="C331" s="1" t="n">
        <v>45908</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27106-2022</t>
        </is>
      </c>
      <c r="B332" s="1" t="n">
        <v>44741</v>
      </c>
      <c r="C332" s="1" t="n">
        <v>45908</v>
      </c>
      <c r="D332" t="inlineStr">
        <is>
          <t>VÄSTERNORRLANDS LÄN</t>
        </is>
      </c>
      <c r="E332" t="inlineStr">
        <is>
          <t>SOLLEFTEÅ</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HYPERLINK("https://klasma.github.io/Logging_2283/artfynd/A 27106-2022 artfynd.xlsx", "A 27106-2022")</f>
        <v/>
      </c>
      <c r="T332">
        <f>HYPERLINK("https://klasma.github.io/Logging_2283/kartor/A 27106-2022 karta.png", "A 27106-2022")</f>
        <v/>
      </c>
      <c r="V332">
        <f>HYPERLINK("https://klasma.github.io/Logging_2283/klagomål/A 27106-2022 FSC-klagomål.docx", "A 27106-2022")</f>
        <v/>
      </c>
      <c r="W332">
        <f>HYPERLINK("https://klasma.github.io/Logging_2283/klagomålsmail/A 27106-2022 FSC-klagomål mail.docx", "A 27106-2022")</f>
        <v/>
      </c>
      <c r="X332">
        <f>HYPERLINK("https://klasma.github.io/Logging_2283/tillsyn/A 27106-2022 tillsynsbegäran.docx", "A 27106-2022")</f>
        <v/>
      </c>
      <c r="Y332">
        <f>HYPERLINK("https://klasma.github.io/Logging_2283/tillsynsmail/A 27106-2022 tillsynsbegäran mail.docx", "A 27106-2022")</f>
        <v/>
      </c>
    </row>
    <row r="333" ht="15" customHeight="1">
      <c r="A333" t="inlineStr">
        <is>
          <t>A 8541-2024</t>
        </is>
      </c>
      <c r="B333" s="1" t="n">
        <v>45351</v>
      </c>
      <c r="C333" s="1" t="n">
        <v>45908</v>
      </c>
      <c r="D333" t="inlineStr">
        <is>
          <t>VÄSTERNORRLANDS LÄN</t>
        </is>
      </c>
      <c r="E333" t="inlineStr">
        <is>
          <t>SOLLEFTEÅ</t>
        </is>
      </c>
      <c r="F333" t="inlineStr">
        <is>
          <t>Kommuner</t>
        </is>
      </c>
      <c r="G333" t="n">
        <v>0.6</v>
      </c>
      <c r="H333" t="n">
        <v>0</v>
      </c>
      <c r="I333" t="n">
        <v>0</v>
      </c>
      <c r="J333" t="n">
        <v>1</v>
      </c>
      <c r="K333" t="n">
        <v>0</v>
      </c>
      <c r="L333" t="n">
        <v>0</v>
      </c>
      <c r="M333" t="n">
        <v>0</v>
      </c>
      <c r="N333" t="n">
        <v>0</v>
      </c>
      <c r="O333" t="n">
        <v>1</v>
      </c>
      <c r="P333" t="n">
        <v>0</v>
      </c>
      <c r="Q333" t="n">
        <v>1</v>
      </c>
      <c r="R333" s="2" t="inlineStr">
        <is>
          <t>Granticka</t>
        </is>
      </c>
      <c r="S333">
        <f>HYPERLINK("https://klasma.github.io/Logging_2283/artfynd/A 8541-2024 artfynd.xlsx", "A 8541-2024")</f>
        <v/>
      </c>
      <c r="T333">
        <f>HYPERLINK("https://klasma.github.io/Logging_2283/kartor/A 8541-2024 karta.png", "A 8541-2024")</f>
        <v/>
      </c>
      <c r="V333">
        <f>HYPERLINK("https://klasma.github.io/Logging_2283/klagomål/A 8541-2024 FSC-klagomål.docx", "A 8541-2024")</f>
        <v/>
      </c>
      <c r="W333">
        <f>HYPERLINK("https://klasma.github.io/Logging_2283/klagomålsmail/A 8541-2024 FSC-klagomål mail.docx", "A 8541-2024")</f>
        <v/>
      </c>
      <c r="X333">
        <f>HYPERLINK("https://klasma.github.io/Logging_2283/tillsyn/A 8541-2024 tillsynsbegäran.docx", "A 8541-2024")</f>
        <v/>
      </c>
      <c r="Y333">
        <f>HYPERLINK("https://klasma.github.io/Logging_2283/tillsynsmail/A 8541-2024 tillsynsbegäran mail.docx", "A 8541-2024")</f>
        <v/>
      </c>
    </row>
    <row r="334" ht="15" customHeight="1">
      <c r="A334" t="inlineStr">
        <is>
          <t>A 5790-2025</t>
        </is>
      </c>
      <c r="B334" s="1" t="n">
        <v>45694.65657407408</v>
      </c>
      <c r="C334" s="1" t="n">
        <v>45908</v>
      </c>
      <c r="D334" t="inlineStr">
        <is>
          <t>VÄSTERNORRLANDS LÄN</t>
        </is>
      </c>
      <c r="E334" t="inlineStr">
        <is>
          <t>SOLLEFTEÅ</t>
        </is>
      </c>
      <c r="F334" t="inlineStr">
        <is>
          <t>SCA</t>
        </is>
      </c>
      <c r="G334" t="n">
        <v>32.7</v>
      </c>
      <c r="H334" t="n">
        <v>0</v>
      </c>
      <c r="I334" t="n">
        <v>0</v>
      </c>
      <c r="J334" t="n">
        <v>1</v>
      </c>
      <c r="K334" t="n">
        <v>0</v>
      </c>
      <c r="L334" t="n">
        <v>0</v>
      </c>
      <c r="M334" t="n">
        <v>0</v>
      </c>
      <c r="N334" t="n">
        <v>0</v>
      </c>
      <c r="O334" t="n">
        <v>1</v>
      </c>
      <c r="P334" t="n">
        <v>0</v>
      </c>
      <c r="Q334" t="n">
        <v>1</v>
      </c>
      <c r="R334" s="2" t="inlineStr">
        <is>
          <t>Lunglav</t>
        </is>
      </c>
      <c r="S334">
        <f>HYPERLINK("https://klasma.github.io/Logging_2283/artfynd/A 5790-2025 artfynd.xlsx", "A 5790-2025")</f>
        <v/>
      </c>
      <c r="T334">
        <f>HYPERLINK("https://klasma.github.io/Logging_2283/kartor/A 5790-2025 karta.png", "A 5790-2025")</f>
        <v/>
      </c>
      <c r="V334">
        <f>HYPERLINK("https://klasma.github.io/Logging_2283/klagomål/A 5790-2025 FSC-klagomål.docx", "A 5790-2025")</f>
        <v/>
      </c>
      <c r="W334">
        <f>HYPERLINK("https://klasma.github.io/Logging_2283/klagomålsmail/A 5790-2025 FSC-klagomål mail.docx", "A 5790-2025")</f>
        <v/>
      </c>
      <c r="X334">
        <f>HYPERLINK("https://klasma.github.io/Logging_2283/tillsyn/A 5790-2025 tillsynsbegäran.docx", "A 5790-2025")</f>
        <v/>
      </c>
      <c r="Y334">
        <f>HYPERLINK("https://klasma.github.io/Logging_2283/tillsynsmail/A 5790-2025 tillsynsbegäran mail.docx", "A 5790-2025")</f>
        <v/>
      </c>
    </row>
    <row r="335" ht="15" customHeight="1">
      <c r="A335" t="inlineStr">
        <is>
          <t>A 22862-2021</t>
        </is>
      </c>
      <c r="B335" s="1" t="n">
        <v>44326</v>
      </c>
      <c r="C335" s="1" t="n">
        <v>45908</v>
      </c>
      <c r="D335" t="inlineStr">
        <is>
          <t>VÄSTERNORRLANDS LÄN</t>
        </is>
      </c>
      <c r="E335" t="inlineStr">
        <is>
          <t>SOLLEFTEÅ</t>
        </is>
      </c>
      <c r="F335" t="inlineStr">
        <is>
          <t>Kommuner</t>
        </is>
      </c>
      <c r="G335" t="n">
        <v>2</v>
      </c>
      <c r="H335" t="n">
        <v>1</v>
      </c>
      <c r="I335" t="n">
        <v>0</v>
      </c>
      <c r="J335" t="n">
        <v>0</v>
      </c>
      <c r="K335" t="n">
        <v>1</v>
      </c>
      <c r="L335" t="n">
        <v>0</v>
      </c>
      <c r="M335" t="n">
        <v>0</v>
      </c>
      <c r="N335" t="n">
        <v>0</v>
      </c>
      <c r="O335" t="n">
        <v>1</v>
      </c>
      <c r="P335" t="n">
        <v>1</v>
      </c>
      <c r="Q335" t="n">
        <v>1</v>
      </c>
      <c r="R335" s="2" t="inlineStr">
        <is>
          <t>Lappuggla</t>
        </is>
      </c>
      <c r="S335">
        <f>HYPERLINK("https://klasma.github.io/Logging_2283/artfynd/A 22862-2021 artfynd.xlsx", "A 22862-2021")</f>
        <v/>
      </c>
      <c r="T335">
        <f>HYPERLINK("https://klasma.github.io/Logging_2283/kartor/A 22862-2021 karta.png", "A 22862-2021")</f>
        <v/>
      </c>
      <c r="V335">
        <f>HYPERLINK("https://klasma.github.io/Logging_2283/klagomål/A 22862-2021 FSC-klagomål.docx", "A 22862-2021")</f>
        <v/>
      </c>
      <c r="W335">
        <f>HYPERLINK("https://klasma.github.io/Logging_2283/klagomålsmail/A 22862-2021 FSC-klagomål mail.docx", "A 22862-2021")</f>
        <v/>
      </c>
      <c r="X335">
        <f>HYPERLINK("https://klasma.github.io/Logging_2283/tillsyn/A 22862-2021 tillsynsbegäran.docx", "A 22862-2021")</f>
        <v/>
      </c>
      <c r="Y335">
        <f>HYPERLINK("https://klasma.github.io/Logging_2283/tillsynsmail/A 22862-2021 tillsynsbegäran mail.docx", "A 22862-2021")</f>
        <v/>
      </c>
      <c r="Z335">
        <f>HYPERLINK("https://klasma.github.io/Logging_2283/fåglar/A 22862-2021 prioriterade fågelarter.docx", "A 22862-2021")</f>
        <v/>
      </c>
    </row>
    <row r="336" ht="15" customHeight="1">
      <c r="A336" t="inlineStr">
        <is>
          <t>A 35295-2023</t>
        </is>
      </c>
      <c r="B336" s="1" t="n">
        <v>45145</v>
      </c>
      <c r="C336" s="1" t="n">
        <v>45908</v>
      </c>
      <c r="D336" t="inlineStr">
        <is>
          <t>VÄSTERNORRLANDS LÄN</t>
        </is>
      </c>
      <c r="E336" t="inlineStr">
        <is>
          <t>SOLLEFTEÅ</t>
        </is>
      </c>
      <c r="F336" t="inlineStr">
        <is>
          <t>SCA</t>
        </is>
      </c>
      <c r="G336" t="n">
        <v>8.9</v>
      </c>
      <c r="H336" t="n">
        <v>1</v>
      </c>
      <c r="I336" t="n">
        <v>0</v>
      </c>
      <c r="J336" t="n">
        <v>1</v>
      </c>
      <c r="K336" t="n">
        <v>0</v>
      </c>
      <c r="L336" t="n">
        <v>0</v>
      </c>
      <c r="M336" t="n">
        <v>0</v>
      </c>
      <c r="N336" t="n">
        <v>0</v>
      </c>
      <c r="O336" t="n">
        <v>1</v>
      </c>
      <c r="P336" t="n">
        <v>0</v>
      </c>
      <c r="Q336" t="n">
        <v>1</v>
      </c>
      <c r="R336" s="2" t="inlineStr">
        <is>
          <t>Talltita</t>
        </is>
      </c>
      <c r="S336">
        <f>HYPERLINK("https://klasma.github.io/Logging_2283/artfynd/A 35295-2023 artfynd.xlsx", "A 35295-2023")</f>
        <v/>
      </c>
      <c r="T336">
        <f>HYPERLINK("https://klasma.github.io/Logging_2283/kartor/A 35295-2023 karta.png", "A 35295-2023")</f>
        <v/>
      </c>
      <c r="V336">
        <f>HYPERLINK("https://klasma.github.io/Logging_2283/klagomål/A 35295-2023 FSC-klagomål.docx", "A 35295-2023")</f>
        <v/>
      </c>
      <c r="W336">
        <f>HYPERLINK("https://klasma.github.io/Logging_2283/klagomålsmail/A 35295-2023 FSC-klagomål mail.docx", "A 35295-2023")</f>
        <v/>
      </c>
      <c r="X336">
        <f>HYPERLINK("https://klasma.github.io/Logging_2283/tillsyn/A 35295-2023 tillsynsbegäran.docx", "A 35295-2023")</f>
        <v/>
      </c>
      <c r="Y336">
        <f>HYPERLINK("https://klasma.github.io/Logging_2283/tillsynsmail/A 35295-2023 tillsynsbegäran mail.docx", "A 35295-2023")</f>
        <v/>
      </c>
      <c r="Z336">
        <f>HYPERLINK("https://klasma.github.io/Logging_2283/fåglar/A 35295-2023 prioriterade fågelarter.docx", "A 35295-2023")</f>
        <v/>
      </c>
    </row>
    <row r="337" ht="15" customHeight="1">
      <c r="A337" t="inlineStr">
        <is>
          <t>A 21708-2022</t>
        </is>
      </c>
      <c r="B337" s="1" t="n">
        <v>44707</v>
      </c>
      <c r="C337" s="1" t="n">
        <v>45908</v>
      </c>
      <c r="D337" t="inlineStr">
        <is>
          <t>VÄSTERNORRLANDS LÄN</t>
        </is>
      </c>
      <c r="E337" t="inlineStr">
        <is>
          <t>SOLLEFTEÅ</t>
        </is>
      </c>
      <c r="F337" t="inlineStr">
        <is>
          <t>SCA</t>
        </is>
      </c>
      <c r="G337" t="n">
        <v>2.6</v>
      </c>
      <c r="H337" t="n">
        <v>0</v>
      </c>
      <c r="I337" t="n">
        <v>0</v>
      </c>
      <c r="J337" t="n">
        <v>1</v>
      </c>
      <c r="K337" t="n">
        <v>0</v>
      </c>
      <c r="L337" t="n">
        <v>0</v>
      </c>
      <c r="M337" t="n">
        <v>0</v>
      </c>
      <c r="N337" t="n">
        <v>0</v>
      </c>
      <c r="O337" t="n">
        <v>1</v>
      </c>
      <c r="P337" t="n">
        <v>0</v>
      </c>
      <c r="Q337" t="n">
        <v>1</v>
      </c>
      <c r="R337" s="2" t="inlineStr">
        <is>
          <t>Lunglav</t>
        </is>
      </c>
      <c r="S337">
        <f>HYPERLINK("https://klasma.github.io/Logging_2283/artfynd/A 21708-2022 artfynd.xlsx", "A 21708-2022")</f>
        <v/>
      </c>
      <c r="T337">
        <f>HYPERLINK("https://klasma.github.io/Logging_2283/kartor/A 21708-2022 karta.png", "A 21708-2022")</f>
        <v/>
      </c>
      <c r="V337">
        <f>HYPERLINK("https://klasma.github.io/Logging_2283/klagomål/A 21708-2022 FSC-klagomål.docx", "A 21708-2022")</f>
        <v/>
      </c>
      <c r="W337">
        <f>HYPERLINK("https://klasma.github.io/Logging_2283/klagomålsmail/A 21708-2022 FSC-klagomål mail.docx", "A 21708-2022")</f>
        <v/>
      </c>
      <c r="X337">
        <f>HYPERLINK("https://klasma.github.io/Logging_2283/tillsyn/A 21708-2022 tillsynsbegäran.docx", "A 21708-2022")</f>
        <v/>
      </c>
      <c r="Y337">
        <f>HYPERLINK("https://klasma.github.io/Logging_2283/tillsynsmail/A 21708-2022 tillsynsbegäran mail.docx", "A 21708-2022")</f>
        <v/>
      </c>
    </row>
    <row r="338" ht="15" customHeight="1">
      <c r="A338" t="inlineStr">
        <is>
          <t>A 53059-2023</t>
        </is>
      </c>
      <c r="B338" s="1" t="n">
        <v>45226</v>
      </c>
      <c r="C338" s="1" t="n">
        <v>45908</v>
      </c>
      <c r="D338" t="inlineStr">
        <is>
          <t>VÄSTERNORRLANDS LÄN</t>
        </is>
      </c>
      <c r="E338" t="inlineStr">
        <is>
          <t>SOLLEFTEÅ</t>
        </is>
      </c>
      <c r="F338" t="inlineStr">
        <is>
          <t>SCA</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HYPERLINK("https://klasma.github.io/Logging_2283/artfynd/A 53059-2023 artfynd.xlsx", "A 53059-2023")</f>
        <v/>
      </c>
      <c r="T338">
        <f>HYPERLINK("https://klasma.github.io/Logging_2283/kartor/A 53059-2023 karta.png", "A 53059-2023")</f>
        <v/>
      </c>
      <c r="U338">
        <f>HYPERLINK("https://klasma.github.io/Logging_2283/knärot/A 53059-2023 karta knärot.png", "A 53059-2023")</f>
        <v/>
      </c>
      <c r="V338">
        <f>HYPERLINK("https://klasma.github.io/Logging_2283/klagomål/A 53059-2023 FSC-klagomål.docx", "A 53059-2023")</f>
        <v/>
      </c>
      <c r="W338">
        <f>HYPERLINK("https://klasma.github.io/Logging_2283/klagomålsmail/A 53059-2023 FSC-klagomål mail.docx", "A 53059-2023")</f>
        <v/>
      </c>
      <c r="X338">
        <f>HYPERLINK("https://klasma.github.io/Logging_2283/tillsyn/A 53059-2023 tillsynsbegäran.docx", "A 53059-2023")</f>
        <v/>
      </c>
      <c r="Y338">
        <f>HYPERLINK("https://klasma.github.io/Logging_2283/tillsynsmail/A 53059-2023 tillsynsbegäran mail.docx", "A 53059-2023")</f>
        <v/>
      </c>
    </row>
    <row r="339" ht="15" customHeight="1">
      <c r="A339" t="inlineStr">
        <is>
          <t>A 16269-2022</t>
        </is>
      </c>
      <c r="B339" s="1" t="n">
        <v>44670</v>
      </c>
      <c r="C339" s="1" t="n">
        <v>45908</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48948-2024</t>
        </is>
      </c>
      <c r="B340" s="1" t="n">
        <v>45594.42767361111</v>
      </c>
      <c r="C340" s="1" t="n">
        <v>45908</v>
      </c>
      <c r="D340" t="inlineStr">
        <is>
          <t>VÄSTERNORRLANDS LÄN</t>
        </is>
      </c>
      <c r="E340" t="inlineStr">
        <is>
          <t>SOLLEFTEÅ</t>
        </is>
      </c>
      <c r="F340" t="inlineStr">
        <is>
          <t>SCA</t>
        </is>
      </c>
      <c r="G340" t="n">
        <v>15</v>
      </c>
      <c r="H340" t="n">
        <v>1</v>
      </c>
      <c r="I340" t="n">
        <v>0</v>
      </c>
      <c r="J340" t="n">
        <v>0</v>
      </c>
      <c r="K340" t="n">
        <v>0</v>
      </c>
      <c r="L340" t="n">
        <v>0</v>
      </c>
      <c r="M340" t="n">
        <v>0</v>
      </c>
      <c r="N340" t="n">
        <v>0</v>
      </c>
      <c r="O340" t="n">
        <v>0</v>
      </c>
      <c r="P340" t="n">
        <v>0</v>
      </c>
      <c r="Q340" t="n">
        <v>1</v>
      </c>
      <c r="R340" s="2" t="inlineStr">
        <is>
          <t>Mattlummer</t>
        </is>
      </c>
      <c r="S340">
        <f>HYPERLINK("https://klasma.github.io/Logging_2283/artfynd/A 48948-2024 artfynd.xlsx", "A 48948-2024")</f>
        <v/>
      </c>
      <c r="T340">
        <f>HYPERLINK("https://klasma.github.io/Logging_2283/kartor/A 48948-2024 karta.png", "A 48948-2024")</f>
        <v/>
      </c>
      <c r="V340">
        <f>HYPERLINK("https://klasma.github.io/Logging_2283/klagomål/A 48948-2024 FSC-klagomål.docx", "A 48948-2024")</f>
        <v/>
      </c>
      <c r="W340">
        <f>HYPERLINK("https://klasma.github.io/Logging_2283/klagomålsmail/A 48948-2024 FSC-klagomål mail.docx", "A 48948-2024")</f>
        <v/>
      </c>
      <c r="X340">
        <f>HYPERLINK("https://klasma.github.io/Logging_2283/tillsyn/A 48948-2024 tillsynsbegäran.docx", "A 48948-2024")</f>
        <v/>
      </c>
      <c r="Y340">
        <f>HYPERLINK("https://klasma.github.io/Logging_2283/tillsynsmail/A 48948-2024 tillsynsbegäran mail.docx", "A 48948-2024")</f>
        <v/>
      </c>
    </row>
    <row r="341" ht="15" customHeight="1">
      <c r="A341" t="inlineStr">
        <is>
          <t>A 14805-2024</t>
        </is>
      </c>
      <c r="B341" s="1" t="n">
        <v>45397</v>
      </c>
      <c r="C341" s="1" t="n">
        <v>45908</v>
      </c>
      <c r="D341" t="inlineStr">
        <is>
          <t>VÄSTERNORRLANDS LÄN</t>
        </is>
      </c>
      <c r="E341" t="inlineStr">
        <is>
          <t>SOLLEFTEÅ</t>
        </is>
      </c>
      <c r="F341" t="inlineStr">
        <is>
          <t>SCA</t>
        </is>
      </c>
      <c r="G341" t="n">
        <v>3.5</v>
      </c>
      <c r="H341" t="n">
        <v>0</v>
      </c>
      <c r="I341" t="n">
        <v>0</v>
      </c>
      <c r="J341" t="n">
        <v>1</v>
      </c>
      <c r="K341" t="n">
        <v>0</v>
      </c>
      <c r="L341" t="n">
        <v>0</v>
      </c>
      <c r="M341" t="n">
        <v>0</v>
      </c>
      <c r="N341" t="n">
        <v>0</v>
      </c>
      <c r="O341" t="n">
        <v>1</v>
      </c>
      <c r="P341" t="n">
        <v>0</v>
      </c>
      <c r="Q341" t="n">
        <v>1</v>
      </c>
      <c r="R341" s="2" t="inlineStr">
        <is>
          <t>Dvärgbägarlav</t>
        </is>
      </c>
      <c r="S341">
        <f>HYPERLINK("https://klasma.github.io/Logging_2283/artfynd/A 14805-2024 artfynd.xlsx", "A 14805-2024")</f>
        <v/>
      </c>
      <c r="T341">
        <f>HYPERLINK("https://klasma.github.io/Logging_2283/kartor/A 14805-2024 karta.png", "A 14805-2024")</f>
        <v/>
      </c>
      <c r="V341">
        <f>HYPERLINK("https://klasma.github.io/Logging_2283/klagomål/A 14805-2024 FSC-klagomål.docx", "A 14805-2024")</f>
        <v/>
      </c>
      <c r="W341">
        <f>HYPERLINK("https://klasma.github.io/Logging_2283/klagomålsmail/A 14805-2024 FSC-klagomål mail.docx", "A 14805-2024")</f>
        <v/>
      </c>
      <c r="X341">
        <f>HYPERLINK("https://klasma.github.io/Logging_2283/tillsyn/A 14805-2024 tillsynsbegäran.docx", "A 14805-2024")</f>
        <v/>
      </c>
      <c r="Y341">
        <f>HYPERLINK("https://klasma.github.io/Logging_2283/tillsynsmail/A 14805-2024 tillsynsbegäran mail.docx", "A 14805-2024")</f>
        <v/>
      </c>
    </row>
    <row r="342" ht="15" customHeight="1">
      <c r="A342" t="inlineStr">
        <is>
          <t>A 21360-2021</t>
        </is>
      </c>
      <c r="B342" s="1" t="n">
        <v>44320</v>
      </c>
      <c r="C342" s="1" t="n">
        <v>45908</v>
      </c>
      <c r="D342" t="inlineStr">
        <is>
          <t>VÄSTERNORRLANDS LÄN</t>
        </is>
      </c>
      <c r="E342" t="inlineStr">
        <is>
          <t>SOLLEFTEÅ</t>
        </is>
      </c>
      <c r="G342" t="n">
        <v>6.8</v>
      </c>
      <c r="H342" t="n">
        <v>1</v>
      </c>
      <c r="I342" t="n">
        <v>0</v>
      </c>
      <c r="J342" t="n">
        <v>0</v>
      </c>
      <c r="K342" t="n">
        <v>1</v>
      </c>
      <c r="L342" t="n">
        <v>0</v>
      </c>
      <c r="M342" t="n">
        <v>0</v>
      </c>
      <c r="N342" t="n">
        <v>0</v>
      </c>
      <c r="O342" t="n">
        <v>1</v>
      </c>
      <c r="P342" t="n">
        <v>1</v>
      </c>
      <c r="Q342" t="n">
        <v>1</v>
      </c>
      <c r="R342" s="2" t="inlineStr">
        <is>
          <t>Knärot</t>
        </is>
      </c>
      <c r="S342">
        <f>HYPERLINK("https://klasma.github.io/Logging_2283/artfynd/A 21360-2021 artfynd.xlsx", "A 21360-2021")</f>
        <v/>
      </c>
      <c r="T342">
        <f>HYPERLINK("https://klasma.github.io/Logging_2283/kartor/A 21360-2021 karta.png", "A 21360-2021")</f>
        <v/>
      </c>
      <c r="U342">
        <f>HYPERLINK("https://klasma.github.io/Logging_2283/knärot/A 21360-2021 karta knärot.png", "A 21360-2021")</f>
        <v/>
      </c>
      <c r="V342">
        <f>HYPERLINK("https://klasma.github.io/Logging_2283/klagomål/A 21360-2021 FSC-klagomål.docx", "A 21360-2021")</f>
        <v/>
      </c>
      <c r="W342">
        <f>HYPERLINK("https://klasma.github.io/Logging_2283/klagomålsmail/A 21360-2021 FSC-klagomål mail.docx", "A 21360-2021")</f>
        <v/>
      </c>
      <c r="X342">
        <f>HYPERLINK("https://klasma.github.io/Logging_2283/tillsyn/A 21360-2021 tillsynsbegäran.docx", "A 21360-2021")</f>
        <v/>
      </c>
      <c r="Y342">
        <f>HYPERLINK("https://klasma.github.io/Logging_2283/tillsynsmail/A 21360-2021 tillsynsbegäran mail.docx", "A 21360-2021")</f>
        <v/>
      </c>
    </row>
    <row r="343" ht="15" customHeight="1">
      <c r="A343" t="inlineStr">
        <is>
          <t>A 54734-2024</t>
        </is>
      </c>
      <c r="B343" s="1" t="n">
        <v>45618.43879629629</v>
      </c>
      <c r="C343" s="1" t="n">
        <v>45908</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7658-2021</t>
        </is>
      </c>
      <c r="B344" s="1" t="n">
        <v>44242.42165509259</v>
      </c>
      <c r="C344" s="1" t="n">
        <v>45908</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45908</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45908</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51104-2021</t>
        </is>
      </c>
      <c r="B347" s="1" t="n">
        <v>44459</v>
      </c>
      <c r="C347" s="1" t="n">
        <v>45908</v>
      </c>
      <c r="D347" t="inlineStr">
        <is>
          <t>VÄSTERNORRLANDS LÄN</t>
        </is>
      </c>
      <c r="E347" t="inlineStr">
        <is>
          <t>SOLLEFTEÅ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21350-2021</t>
        </is>
      </c>
      <c r="B348" s="1" t="n">
        <v>44320.95533564815</v>
      </c>
      <c r="C348" s="1" t="n">
        <v>45908</v>
      </c>
      <c r="D348" t="inlineStr">
        <is>
          <t>VÄSTERNORRLANDS LÄN</t>
        </is>
      </c>
      <c r="E348" t="inlineStr">
        <is>
          <t>SOLLEFTEÅ</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45908</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45908</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12564-2022</t>
        </is>
      </c>
      <c r="B351" s="1" t="n">
        <v>44638.94256944444</v>
      </c>
      <c r="C351" s="1" t="n">
        <v>45908</v>
      </c>
      <c r="D351" t="inlineStr">
        <is>
          <t>VÄSTERNORRLANDS LÄN</t>
        </is>
      </c>
      <c r="E351" t="inlineStr">
        <is>
          <t>SOLLEFTEÅ</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45908</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30937-2022</t>
        </is>
      </c>
      <c r="B353" s="1" t="n">
        <v>44767.94092592593</v>
      </c>
      <c r="C353" s="1" t="n">
        <v>45908</v>
      </c>
      <c r="D353" t="inlineStr">
        <is>
          <t>VÄSTERNORRLANDS LÄN</t>
        </is>
      </c>
      <c r="E353" t="inlineStr">
        <is>
          <t>SOLLEFTEÅ</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41455-2022</t>
        </is>
      </c>
      <c r="B354" s="1" t="n">
        <v>44826</v>
      </c>
      <c r="C354" s="1" t="n">
        <v>45908</v>
      </c>
      <c r="D354" t="inlineStr">
        <is>
          <t>VÄSTERNORRLANDS LÄN</t>
        </is>
      </c>
      <c r="E354" t="inlineStr">
        <is>
          <t>SOLLEFTEÅ</t>
        </is>
      </c>
      <c r="G354" t="n">
        <v>0.8</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45908</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15461-2021</t>
        </is>
      </c>
      <c r="B356" s="1" t="n">
        <v>44285</v>
      </c>
      <c r="C356" s="1" t="n">
        <v>45908</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45147-2020</t>
        </is>
      </c>
      <c r="B357" s="1" t="n">
        <v>44084</v>
      </c>
      <c r="C357" s="1" t="n">
        <v>45908</v>
      </c>
      <c r="D357" t="inlineStr">
        <is>
          <t>VÄSTERNORRLANDS LÄN</t>
        </is>
      </c>
      <c r="E357" t="inlineStr">
        <is>
          <t>SOLLEFTEÅ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28288-2021</t>
        </is>
      </c>
      <c r="B358" s="1" t="n">
        <v>44355</v>
      </c>
      <c r="C358" s="1" t="n">
        <v>45908</v>
      </c>
      <c r="D358" t="inlineStr">
        <is>
          <t>VÄSTERNORRLANDS LÄN</t>
        </is>
      </c>
      <c r="E358" t="inlineStr">
        <is>
          <t>SOLLEFTEÅ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67063-2020</t>
        </is>
      </c>
      <c r="B359" s="1" t="n">
        <v>44176</v>
      </c>
      <c r="C359" s="1" t="n">
        <v>45908</v>
      </c>
      <c r="D359" t="inlineStr">
        <is>
          <t>VÄSTERNORRLANDS LÄN</t>
        </is>
      </c>
      <c r="E359" t="inlineStr">
        <is>
          <t>SOLLEFTEÅ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4127-2021</t>
        </is>
      </c>
      <c r="B360" s="1" t="n">
        <v>44222</v>
      </c>
      <c r="C360" s="1" t="n">
        <v>45908</v>
      </c>
      <c r="D360" t="inlineStr">
        <is>
          <t>VÄSTERNORRLANDS LÄN</t>
        </is>
      </c>
      <c r="E360" t="inlineStr">
        <is>
          <t>SOLLEFTEÅ</t>
        </is>
      </c>
      <c r="G360" t="n">
        <v>1.3</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45908</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12277-2021</t>
        </is>
      </c>
      <c r="B362" s="1" t="n">
        <v>44266</v>
      </c>
      <c r="C362" s="1" t="n">
        <v>45908</v>
      </c>
      <c r="D362" t="inlineStr">
        <is>
          <t>VÄSTERNORRLANDS LÄN</t>
        </is>
      </c>
      <c r="E362" t="inlineStr">
        <is>
          <t>SOLLEFTEÅ</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29623-2021</t>
        </is>
      </c>
      <c r="B363" s="1" t="n">
        <v>44361</v>
      </c>
      <c r="C363" s="1" t="n">
        <v>45908</v>
      </c>
      <c r="D363" t="inlineStr">
        <is>
          <t>VÄSTERNORRLANDS LÄN</t>
        </is>
      </c>
      <c r="E363" t="inlineStr">
        <is>
          <t>SOLLEFTEÅ</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34542-2022</t>
        </is>
      </c>
      <c r="B364" s="1" t="n">
        <v>44793</v>
      </c>
      <c r="C364" s="1" t="n">
        <v>45908</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58486-2021</t>
        </is>
      </c>
      <c r="B365" s="1" t="n">
        <v>44488</v>
      </c>
      <c r="C365" s="1" t="n">
        <v>45908</v>
      </c>
      <c r="D365" t="inlineStr">
        <is>
          <t>VÄSTERNORRLANDS LÄN</t>
        </is>
      </c>
      <c r="E365" t="inlineStr">
        <is>
          <t>SOLLEFTEÅ</t>
        </is>
      </c>
      <c r="G365" t="n">
        <v>2.4</v>
      </c>
      <c r="H365" t="n">
        <v>0</v>
      </c>
      <c r="I365" t="n">
        <v>0</v>
      </c>
      <c r="J365" t="n">
        <v>0</v>
      </c>
      <c r="K365" t="n">
        <v>0</v>
      </c>
      <c r="L365" t="n">
        <v>0</v>
      </c>
      <c r="M365" t="n">
        <v>0</v>
      </c>
      <c r="N365" t="n">
        <v>0</v>
      </c>
      <c r="O365" t="n">
        <v>0</v>
      </c>
      <c r="P365" t="n">
        <v>0</v>
      </c>
      <c r="Q365" t="n">
        <v>0</v>
      </c>
      <c r="R365" s="2" t="inlineStr"/>
    </row>
    <row r="366" ht="15" customHeight="1">
      <c r="A366" t="inlineStr">
        <is>
          <t>A 32779-2022</t>
        </is>
      </c>
      <c r="B366" s="1" t="n">
        <v>44783.94623842592</v>
      </c>
      <c r="C366" s="1" t="n">
        <v>45908</v>
      </c>
      <c r="D366" t="inlineStr">
        <is>
          <t>VÄSTERNORRLANDS LÄN</t>
        </is>
      </c>
      <c r="E366" t="inlineStr">
        <is>
          <t>SOLLEFTEÅ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71350-2021</t>
        </is>
      </c>
      <c r="B367" s="1" t="n">
        <v>44539</v>
      </c>
      <c r="C367" s="1" t="n">
        <v>45908</v>
      </c>
      <c r="D367" t="inlineStr">
        <is>
          <t>VÄSTERNORRLANDS LÄN</t>
        </is>
      </c>
      <c r="E367" t="inlineStr">
        <is>
          <t>SOLLEFTEÅ</t>
        </is>
      </c>
      <c r="G367" t="n">
        <v>0</v>
      </c>
      <c r="H367" t="n">
        <v>0</v>
      </c>
      <c r="I367" t="n">
        <v>0</v>
      </c>
      <c r="J367" t="n">
        <v>0</v>
      </c>
      <c r="K367" t="n">
        <v>0</v>
      </c>
      <c r="L367" t="n">
        <v>0</v>
      </c>
      <c r="M367" t="n">
        <v>0</v>
      </c>
      <c r="N367" t="n">
        <v>0</v>
      </c>
      <c r="O367" t="n">
        <v>0</v>
      </c>
      <c r="P367" t="n">
        <v>0</v>
      </c>
      <c r="Q367" t="n">
        <v>0</v>
      </c>
      <c r="R367" s="2" t="inlineStr"/>
    </row>
    <row r="368" ht="15" customHeight="1">
      <c r="A368" t="inlineStr">
        <is>
          <t>A 2487-2021</t>
        </is>
      </c>
      <c r="B368" s="1" t="n">
        <v>44211</v>
      </c>
      <c r="C368" s="1" t="n">
        <v>45908</v>
      </c>
      <c r="D368" t="inlineStr">
        <is>
          <t>VÄSTERNORRLANDS LÄN</t>
        </is>
      </c>
      <c r="E368" t="inlineStr">
        <is>
          <t>SOLLEFTEÅ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39372-2022</t>
        </is>
      </c>
      <c r="B369" s="1" t="n">
        <v>44817.94298611111</v>
      </c>
      <c r="C369" s="1" t="n">
        <v>45908</v>
      </c>
      <c r="D369" t="inlineStr">
        <is>
          <t>VÄSTERNORRLANDS LÄN</t>
        </is>
      </c>
      <c r="E369" t="inlineStr">
        <is>
          <t>SOLLEFTEÅ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45908</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17045-2022</t>
        </is>
      </c>
      <c r="B371" s="1" t="n">
        <v>44676</v>
      </c>
      <c r="C371" s="1" t="n">
        <v>45908</v>
      </c>
      <c r="D371" t="inlineStr">
        <is>
          <t>VÄSTERNORRLANDS LÄN</t>
        </is>
      </c>
      <c r="E371" t="inlineStr">
        <is>
          <t>SOLLEFTEÅ</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11710-2021</t>
        </is>
      </c>
      <c r="B372" s="1" t="n">
        <v>44264</v>
      </c>
      <c r="C372" s="1" t="n">
        <v>45908</v>
      </c>
      <c r="D372" t="inlineStr">
        <is>
          <t>VÄSTERNORRLANDS LÄN</t>
        </is>
      </c>
      <c r="E372" t="inlineStr">
        <is>
          <t>SOLLEFTEÅ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18015-2022</t>
        </is>
      </c>
      <c r="B373" s="1" t="n">
        <v>44683.94319444444</v>
      </c>
      <c r="C373" s="1" t="n">
        <v>45908</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45908</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48468-2020</t>
        </is>
      </c>
      <c r="B375" s="1" t="n">
        <v>44102</v>
      </c>
      <c r="C375" s="1" t="n">
        <v>45908</v>
      </c>
      <c r="D375" t="inlineStr">
        <is>
          <t>VÄSTERNORRLANDS LÄN</t>
        </is>
      </c>
      <c r="E375" t="inlineStr">
        <is>
          <t>SOLLEFTEÅ</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3557-2022</t>
        </is>
      </c>
      <c r="B376" s="1" t="n">
        <v>44585.93833333333</v>
      </c>
      <c r="C376" s="1" t="n">
        <v>45908</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19220-2021</t>
        </is>
      </c>
      <c r="B377" s="1" t="n">
        <v>44309</v>
      </c>
      <c r="C377" s="1" t="n">
        <v>45908</v>
      </c>
      <c r="D377" t="inlineStr">
        <is>
          <t>VÄSTERNORRLANDS LÄN</t>
        </is>
      </c>
      <c r="E377" t="inlineStr">
        <is>
          <t>SOLLEFTEÅ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4555-2022</t>
        </is>
      </c>
      <c r="B378" s="1" t="n">
        <v>44590.93231481482</v>
      </c>
      <c r="C378" s="1" t="n">
        <v>45908</v>
      </c>
      <c r="D378" t="inlineStr">
        <is>
          <t>VÄSTERNORRLANDS LÄN</t>
        </is>
      </c>
      <c r="E378" t="inlineStr">
        <is>
          <t>SOLLEFTEÅ</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27282-2022</t>
        </is>
      </c>
      <c r="B379" s="1" t="n">
        <v>44741</v>
      </c>
      <c r="C379" s="1" t="n">
        <v>45908</v>
      </c>
      <c r="D379" t="inlineStr">
        <is>
          <t>VÄSTERNORRLANDS LÄN</t>
        </is>
      </c>
      <c r="E379" t="inlineStr">
        <is>
          <t>SOLLEFTEÅ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24322-2022</t>
        </is>
      </c>
      <c r="B380" s="1" t="n">
        <v>44725.94471064815</v>
      </c>
      <c r="C380" s="1" t="n">
        <v>45908</v>
      </c>
      <c r="D380" t="inlineStr">
        <is>
          <t>VÄSTERNORRLANDS LÄN</t>
        </is>
      </c>
      <c r="E380" t="inlineStr">
        <is>
          <t>SOLLEFTEÅ</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45908</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39006-2022</t>
        </is>
      </c>
      <c r="B382" s="1" t="n">
        <v>44816.94675925926</v>
      </c>
      <c r="C382" s="1" t="n">
        <v>45908</v>
      </c>
      <c r="D382" t="inlineStr">
        <is>
          <t>VÄSTERNORRLANDS LÄN</t>
        </is>
      </c>
      <c r="E382" t="inlineStr">
        <is>
          <t>SOLLEFTEÅ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19516-2021</t>
        </is>
      </c>
      <c r="B383" s="1" t="n">
        <v>44309</v>
      </c>
      <c r="C383" s="1" t="n">
        <v>45908</v>
      </c>
      <c r="D383" t="inlineStr">
        <is>
          <t>VÄSTERNORRLANDS LÄN</t>
        </is>
      </c>
      <c r="E383" t="inlineStr">
        <is>
          <t>SOLLEFTEÅ</t>
        </is>
      </c>
      <c r="G383" t="n">
        <v>15.6</v>
      </c>
      <c r="H383" t="n">
        <v>0</v>
      </c>
      <c r="I383" t="n">
        <v>0</v>
      </c>
      <c r="J383" t="n">
        <v>0</v>
      </c>
      <c r="K383" t="n">
        <v>0</v>
      </c>
      <c r="L383" t="n">
        <v>0</v>
      </c>
      <c r="M383" t="n">
        <v>0</v>
      </c>
      <c r="N383" t="n">
        <v>0</v>
      </c>
      <c r="O383" t="n">
        <v>0</v>
      </c>
      <c r="P383" t="n">
        <v>0</v>
      </c>
      <c r="Q383" t="n">
        <v>0</v>
      </c>
      <c r="R383" s="2" t="inlineStr"/>
    </row>
    <row r="384" ht="15" customHeight="1">
      <c r="A384" t="inlineStr">
        <is>
          <t>A 29842-2022</t>
        </is>
      </c>
      <c r="B384" s="1" t="n">
        <v>44756.32835648148</v>
      </c>
      <c r="C384" s="1" t="n">
        <v>45908</v>
      </c>
      <c r="D384" t="inlineStr">
        <is>
          <t>VÄSTERNORRLANDS LÄN</t>
        </is>
      </c>
      <c r="E384" t="inlineStr">
        <is>
          <t>SOLLEFTEÅ</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19830-2021</t>
        </is>
      </c>
      <c r="B385" s="1" t="n">
        <v>44312</v>
      </c>
      <c r="C385" s="1" t="n">
        <v>45908</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21711-2021</t>
        </is>
      </c>
      <c r="B386" s="1" t="n">
        <v>44322</v>
      </c>
      <c r="C386" s="1" t="n">
        <v>45908</v>
      </c>
      <c r="D386" t="inlineStr">
        <is>
          <t>VÄSTERNORRLANDS LÄN</t>
        </is>
      </c>
      <c r="E386" t="inlineStr">
        <is>
          <t>SOLLEFTEÅ</t>
        </is>
      </c>
      <c r="F386" t="inlineStr">
        <is>
          <t>Kyrkan</t>
        </is>
      </c>
      <c r="G386" t="n">
        <v>22.2</v>
      </c>
      <c r="H386" t="n">
        <v>0</v>
      </c>
      <c r="I386" t="n">
        <v>0</v>
      </c>
      <c r="J386" t="n">
        <v>0</v>
      </c>
      <c r="K386" t="n">
        <v>0</v>
      </c>
      <c r="L386" t="n">
        <v>0</v>
      </c>
      <c r="M386" t="n">
        <v>0</v>
      </c>
      <c r="N386" t="n">
        <v>0</v>
      </c>
      <c r="O386" t="n">
        <v>0</v>
      </c>
      <c r="P386" t="n">
        <v>0</v>
      </c>
      <c r="Q386" t="n">
        <v>0</v>
      </c>
      <c r="R386" s="2" t="inlineStr"/>
    </row>
    <row r="387" ht="15" customHeight="1">
      <c r="A387" t="inlineStr">
        <is>
          <t>A 30043-2022</t>
        </is>
      </c>
      <c r="B387" s="1" t="n">
        <v>44756</v>
      </c>
      <c r="C387" s="1" t="n">
        <v>45908</v>
      </c>
      <c r="D387" t="inlineStr">
        <is>
          <t>VÄSTERNORRLANDS LÄN</t>
        </is>
      </c>
      <c r="E387" t="inlineStr">
        <is>
          <t>SOLLEFTEÅ</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22441-2021</t>
        </is>
      </c>
      <c r="B388" s="1" t="n">
        <v>44323</v>
      </c>
      <c r="C388" s="1" t="n">
        <v>45908</v>
      </c>
      <c r="D388" t="inlineStr">
        <is>
          <t>VÄSTERNORRLANDS LÄN</t>
        </is>
      </c>
      <c r="E388" t="inlineStr">
        <is>
          <t>SOLLEFTEÅ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45908</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67085-2021</t>
        </is>
      </c>
      <c r="B390" s="1" t="n">
        <v>44522.94458333333</v>
      </c>
      <c r="C390" s="1" t="n">
        <v>45908</v>
      </c>
      <c r="D390" t="inlineStr">
        <is>
          <t>VÄSTERNORRLANDS LÄN</t>
        </is>
      </c>
      <c r="E390" t="inlineStr">
        <is>
          <t>SOLLEFTEÅ</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49175-2022</t>
        </is>
      </c>
      <c r="B391" s="1" t="n">
        <v>44860.92922453704</v>
      </c>
      <c r="C391" s="1" t="n">
        <v>45908</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45908</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45908</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45908</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41172-2022</t>
        </is>
      </c>
      <c r="B395" s="1" t="n">
        <v>44825.94738425926</v>
      </c>
      <c r="C395" s="1" t="n">
        <v>45908</v>
      </c>
      <c r="D395" t="inlineStr">
        <is>
          <t>VÄSTERNORRLANDS LÄN</t>
        </is>
      </c>
      <c r="E395" t="inlineStr">
        <is>
          <t>SOLLEFTEÅ</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1987-2022</t>
        </is>
      </c>
      <c r="B396" s="1" t="n">
        <v>44575</v>
      </c>
      <c r="C396" s="1" t="n">
        <v>45908</v>
      </c>
      <c r="D396" t="inlineStr">
        <is>
          <t>VÄSTERNORRLANDS LÄN</t>
        </is>
      </c>
      <c r="E396" t="inlineStr">
        <is>
          <t>SOLLEFTEÅ</t>
        </is>
      </c>
      <c r="G396" t="n">
        <v>2</v>
      </c>
      <c r="H396" t="n">
        <v>0</v>
      </c>
      <c r="I396" t="n">
        <v>0</v>
      </c>
      <c r="J396" t="n">
        <v>0</v>
      </c>
      <c r="K396" t="n">
        <v>0</v>
      </c>
      <c r="L396" t="n">
        <v>0</v>
      </c>
      <c r="M396" t="n">
        <v>0</v>
      </c>
      <c r="N396" t="n">
        <v>0</v>
      </c>
      <c r="O396" t="n">
        <v>0</v>
      </c>
      <c r="P396" t="n">
        <v>0</v>
      </c>
      <c r="Q396" t="n">
        <v>0</v>
      </c>
      <c r="R396" s="2" t="inlineStr"/>
    </row>
    <row r="397" ht="15" customHeight="1">
      <c r="A397" t="inlineStr">
        <is>
          <t>A 12278-2021</t>
        </is>
      </c>
      <c r="B397" s="1" t="n">
        <v>44266</v>
      </c>
      <c r="C397" s="1" t="n">
        <v>45908</v>
      </c>
      <c r="D397" t="inlineStr">
        <is>
          <t>VÄSTERNORRLANDS LÄN</t>
        </is>
      </c>
      <c r="E397" t="inlineStr">
        <is>
          <t>SOLLEFTEÅ</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49200-2022</t>
        </is>
      </c>
      <c r="B398" s="1" t="n">
        <v>44860.95540509259</v>
      </c>
      <c r="C398" s="1" t="n">
        <v>45908</v>
      </c>
      <c r="D398" t="inlineStr">
        <is>
          <t>VÄSTERNORRLANDS LÄN</t>
        </is>
      </c>
      <c r="E398" t="inlineStr">
        <is>
          <t>SOLLEFTEÅ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29602-2021</t>
        </is>
      </c>
      <c r="B399" s="1" t="n">
        <v>44361.93674768518</v>
      </c>
      <c r="C399" s="1" t="n">
        <v>45908</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38663-2022</t>
        </is>
      </c>
      <c r="B400" s="1" t="n">
        <v>44813.94670138889</v>
      </c>
      <c r="C400" s="1" t="n">
        <v>45908</v>
      </c>
      <c r="D400" t="inlineStr">
        <is>
          <t>VÄSTERNORRLANDS LÄN</t>
        </is>
      </c>
      <c r="E400" t="inlineStr">
        <is>
          <t>SOLLEFTEÅ</t>
        </is>
      </c>
      <c r="G400" t="n">
        <v>3.4</v>
      </c>
      <c r="H400" t="n">
        <v>0</v>
      </c>
      <c r="I400" t="n">
        <v>0</v>
      </c>
      <c r="J400" t="n">
        <v>0</v>
      </c>
      <c r="K400" t="n">
        <v>0</v>
      </c>
      <c r="L400" t="n">
        <v>0</v>
      </c>
      <c r="M400" t="n">
        <v>0</v>
      </c>
      <c r="N400" t="n">
        <v>0</v>
      </c>
      <c r="O400" t="n">
        <v>0</v>
      </c>
      <c r="P400" t="n">
        <v>0</v>
      </c>
      <c r="Q400" t="n">
        <v>0</v>
      </c>
      <c r="R400" s="2" t="inlineStr"/>
    </row>
    <row r="401" ht="15" customHeight="1">
      <c r="A401" t="inlineStr">
        <is>
          <t>A 60091-2020</t>
        </is>
      </c>
      <c r="B401" s="1" t="n">
        <v>44151</v>
      </c>
      <c r="C401" s="1" t="n">
        <v>45908</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31490-2022</t>
        </is>
      </c>
      <c r="B402" s="1" t="n">
        <v>44774.94451388889</v>
      </c>
      <c r="C402" s="1" t="n">
        <v>45908</v>
      </c>
      <c r="D402" t="inlineStr">
        <is>
          <t>VÄSTERNORRLANDS LÄN</t>
        </is>
      </c>
      <c r="E402" t="inlineStr">
        <is>
          <t>SOLLEFTEÅ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39594-2021</t>
        </is>
      </c>
      <c r="B403" s="1" t="n">
        <v>44413</v>
      </c>
      <c r="C403" s="1" t="n">
        <v>45908</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62881-2020</t>
        </is>
      </c>
      <c r="B404" s="1" t="n">
        <v>44161</v>
      </c>
      <c r="C404" s="1" t="n">
        <v>45908</v>
      </c>
      <c r="D404" t="inlineStr">
        <is>
          <t>VÄSTERNORRLANDS LÄN</t>
        </is>
      </c>
      <c r="E404" t="inlineStr">
        <is>
          <t>SOLLEFTEÅ</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64947-2021</t>
        </is>
      </c>
      <c r="B405" s="1" t="n">
        <v>44512.94497685185</v>
      </c>
      <c r="C405" s="1" t="n">
        <v>45908</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48923-2022</t>
        </is>
      </c>
      <c r="B406" s="1" t="n">
        <v>44859.95590277778</v>
      </c>
      <c r="C406" s="1" t="n">
        <v>45908</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1094-2022</t>
        </is>
      </c>
      <c r="B407" s="1" t="n">
        <v>44571</v>
      </c>
      <c r="C407" s="1" t="n">
        <v>45908</v>
      </c>
      <c r="D407" t="inlineStr">
        <is>
          <t>VÄSTERNORRLANDS LÄN</t>
        </is>
      </c>
      <c r="E407" t="inlineStr">
        <is>
          <t>SOLLEFTEÅ</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18196-2022</t>
        </is>
      </c>
      <c r="B408" s="1" t="n">
        <v>44684.94048611111</v>
      </c>
      <c r="C408" s="1" t="n">
        <v>45908</v>
      </c>
      <c r="D408" t="inlineStr">
        <is>
          <t>VÄSTERNORRLANDS LÄN</t>
        </is>
      </c>
      <c r="E408" t="inlineStr">
        <is>
          <t>SOLLEFTEÅ</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25329-2021</t>
        </is>
      </c>
      <c r="B409" s="1" t="n">
        <v>44342</v>
      </c>
      <c r="C409" s="1" t="n">
        <v>45908</v>
      </c>
      <c r="D409" t="inlineStr">
        <is>
          <t>VÄSTERNORRLANDS LÄN</t>
        </is>
      </c>
      <c r="E409" t="inlineStr">
        <is>
          <t>SOLLEFTEÅ</t>
        </is>
      </c>
      <c r="G409" t="n">
        <v>2</v>
      </c>
      <c r="H409" t="n">
        <v>0</v>
      </c>
      <c r="I409" t="n">
        <v>0</v>
      </c>
      <c r="J409" t="n">
        <v>0</v>
      </c>
      <c r="K409" t="n">
        <v>0</v>
      </c>
      <c r="L409" t="n">
        <v>0</v>
      </c>
      <c r="M409" t="n">
        <v>0</v>
      </c>
      <c r="N409" t="n">
        <v>0</v>
      </c>
      <c r="O409" t="n">
        <v>0</v>
      </c>
      <c r="P409" t="n">
        <v>0</v>
      </c>
      <c r="Q409" t="n">
        <v>0</v>
      </c>
      <c r="R409" s="2" t="inlineStr"/>
    </row>
    <row r="410" ht="15" customHeight="1">
      <c r="A410" t="inlineStr">
        <is>
          <t>A 68843-2021</t>
        </is>
      </c>
      <c r="B410" s="1" t="n">
        <v>44530</v>
      </c>
      <c r="C410" s="1" t="n">
        <v>45908</v>
      </c>
      <c r="D410" t="inlineStr">
        <is>
          <t>VÄSTERNORRLANDS LÄN</t>
        </is>
      </c>
      <c r="E410" t="inlineStr">
        <is>
          <t>SOLLEFTEÅ</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5110-2022</t>
        </is>
      </c>
      <c r="B411" s="1" t="n">
        <v>44593.92141203704</v>
      </c>
      <c r="C411" s="1" t="n">
        <v>45908</v>
      </c>
      <c r="D411" t="inlineStr">
        <is>
          <t>VÄSTERNORRLANDS LÄN</t>
        </is>
      </c>
      <c r="E411" t="inlineStr">
        <is>
          <t>SOLLEFTEÅ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35862-2021</t>
        </is>
      </c>
      <c r="B412" s="1" t="n">
        <v>44386</v>
      </c>
      <c r="C412" s="1" t="n">
        <v>45908</v>
      </c>
      <c r="D412" t="inlineStr">
        <is>
          <t>VÄSTERNORRLANDS LÄN</t>
        </is>
      </c>
      <c r="E412" t="inlineStr">
        <is>
          <t>SOLLEFTEÅ</t>
        </is>
      </c>
      <c r="G412" t="n">
        <v>5.5</v>
      </c>
      <c r="H412" t="n">
        <v>0</v>
      </c>
      <c r="I412" t="n">
        <v>0</v>
      </c>
      <c r="J412" t="n">
        <v>0</v>
      </c>
      <c r="K412" t="n">
        <v>0</v>
      </c>
      <c r="L412" t="n">
        <v>0</v>
      </c>
      <c r="M412" t="n">
        <v>0</v>
      </c>
      <c r="N412" t="n">
        <v>0</v>
      </c>
      <c r="O412" t="n">
        <v>0</v>
      </c>
      <c r="P412" t="n">
        <v>0</v>
      </c>
      <c r="Q412" t="n">
        <v>0</v>
      </c>
      <c r="R412" s="2" t="inlineStr"/>
    </row>
    <row r="413" ht="15" customHeight="1">
      <c r="A413" t="inlineStr">
        <is>
          <t>A 44454-2022</t>
        </is>
      </c>
      <c r="B413" s="1" t="n">
        <v>44839.95543981482</v>
      </c>
      <c r="C413" s="1" t="n">
        <v>45908</v>
      </c>
      <c r="D413" t="inlineStr">
        <is>
          <t>VÄSTERNORRLANDS LÄN</t>
        </is>
      </c>
      <c r="E413" t="inlineStr">
        <is>
          <t>SOLLEFTEÅ</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46664-2022</t>
        </is>
      </c>
      <c r="B414" s="1" t="n">
        <v>44850.94962962963</v>
      </c>
      <c r="C414" s="1" t="n">
        <v>45908</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14299-2022</t>
        </is>
      </c>
      <c r="B415" s="1" t="n">
        <v>44651.93903935186</v>
      </c>
      <c r="C415" s="1" t="n">
        <v>45908</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41475-2022</t>
        </is>
      </c>
      <c r="B416" s="1" t="n">
        <v>44826</v>
      </c>
      <c r="C416" s="1" t="n">
        <v>45908</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3699-2022</t>
        </is>
      </c>
      <c r="B417" s="1" t="n">
        <v>44586.58597222222</v>
      </c>
      <c r="C417" s="1" t="n">
        <v>45908</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18197-2022</t>
        </is>
      </c>
      <c r="B418" s="1" t="n">
        <v>44684</v>
      </c>
      <c r="C418" s="1" t="n">
        <v>45908</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12562-2022</t>
        </is>
      </c>
      <c r="B419" s="1" t="n">
        <v>44638.94247685185</v>
      </c>
      <c r="C419" s="1" t="n">
        <v>45908</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55209-2022</t>
        </is>
      </c>
      <c r="B420" s="1" t="n">
        <v>44886.96086805555</v>
      </c>
      <c r="C420" s="1" t="n">
        <v>45908</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20994-2022</t>
        </is>
      </c>
      <c r="B421" s="1" t="n">
        <v>44703</v>
      </c>
      <c r="C421" s="1" t="n">
        <v>45908</v>
      </c>
      <c r="D421" t="inlineStr">
        <is>
          <t>VÄSTERNORRLANDS LÄN</t>
        </is>
      </c>
      <c r="E421" t="inlineStr">
        <is>
          <t>SOLLEFTEÅ</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20996-2022</t>
        </is>
      </c>
      <c r="B422" s="1" t="n">
        <v>44703</v>
      </c>
      <c r="C422" s="1" t="n">
        <v>45908</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49694-2022</t>
        </is>
      </c>
      <c r="B423" s="1" t="n">
        <v>44859</v>
      </c>
      <c r="C423" s="1" t="n">
        <v>45908</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45908</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48470-2020</t>
        </is>
      </c>
      <c r="B425" s="1" t="n">
        <v>44102</v>
      </c>
      <c r="C425" s="1" t="n">
        <v>45908</v>
      </c>
      <c r="D425" t="inlineStr">
        <is>
          <t>VÄSTERNORRLANDS LÄN</t>
        </is>
      </c>
      <c r="E425" t="inlineStr">
        <is>
          <t>SOLLEFTEÅ</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48052-2020</t>
        </is>
      </c>
      <c r="B426" s="1" t="n">
        <v>44099.93707175926</v>
      </c>
      <c r="C426" s="1" t="n">
        <v>45908</v>
      </c>
      <c r="D426" t="inlineStr">
        <is>
          <t>VÄSTERNORRLANDS LÄN</t>
        </is>
      </c>
      <c r="E426" t="inlineStr">
        <is>
          <t>SOLLEFTEÅ</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45908</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50647-2020</t>
        </is>
      </c>
      <c r="B428" s="1" t="n">
        <v>44110.94133101852</v>
      </c>
      <c r="C428" s="1" t="n">
        <v>45908</v>
      </c>
      <c r="D428" t="inlineStr">
        <is>
          <t>VÄSTERNORRLANDS LÄN</t>
        </is>
      </c>
      <c r="E428" t="inlineStr">
        <is>
          <t>SOLLEFTEÅ</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52406-2020</t>
        </is>
      </c>
      <c r="B429" s="1" t="n">
        <v>44118</v>
      </c>
      <c r="C429" s="1" t="n">
        <v>45908</v>
      </c>
      <c r="D429" t="inlineStr">
        <is>
          <t>VÄSTERNORRLANDS LÄN</t>
        </is>
      </c>
      <c r="E429" t="inlineStr">
        <is>
          <t>SOLLEFTEÅ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45908</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63190-2020</t>
        </is>
      </c>
      <c r="B431" s="1" t="n">
        <v>44162</v>
      </c>
      <c r="C431" s="1" t="n">
        <v>45908</v>
      </c>
      <c r="D431" t="inlineStr">
        <is>
          <t>VÄSTERNORRLANDS LÄN</t>
        </is>
      </c>
      <c r="E431" t="inlineStr">
        <is>
          <t>SOLLEFTEÅ</t>
        </is>
      </c>
      <c r="G431" t="n">
        <v>0.2</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45908</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45908</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45908</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47580-2022</t>
        </is>
      </c>
      <c r="B435" s="1" t="n">
        <v>44853.95252314815</v>
      </c>
      <c r="C435" s="1" t="n">
        <v>45908</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45908</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45908</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34534-2022</t>
        </is>
      </c>
      <c r="B438" s="1" t="n">
        <v>44792.94587962963</v>
      </c>
      <c r="C438" s="1" t="n">
        <v>45908</v>
      </c>
      <c r="D438" t="inlineStr">
        <is>
          <t>VÄSTERNORRLANDS LÄN</t>
        </is>
      </c>
      <c r="E438" t="inlineStr">
        <is>
          <t>SOLLEFTEÅ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43124-2022</t>
        </is>
      </c>
      <c r="B439" s="1" t="n">
        <v>44833.92898148148</v>
      </c>
      <c r="C439" s="1" t="n">
        <v>45908</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27809-2021</t>
        </is>
      </c>
      <c r="B440" s="1" t="n">
        <v>44354</v>
      </c>
      <c r="C440" s="1" t="n">
        <v>45908</v>
      </c>
      <c r="D440" t="inlineStr">
        <is>
          <t>VÄSTERNORRLANDS LÄN</t>
        </is>
      </c>
      <c r="E440" t="inlineStr">
        <is>
          <t>SOLLEFTEÅ</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29829-2021</t>
        </is>
      </c>
      <c r="B441" s="1" t="n">
        <v>44362</v>
      </c>
      <c r="C441" s="1" t="n">
        <v>45908</v>
      </c>
      <c r="D441" t="inlineStr">
        <is>
          <t>VÄSTERNORRLANDS LÄN</t>
        </is>
      </c>
      <c r="E441" t="inlineStr">
        <is>
          <t>SOLLEFTEÅ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45908</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45908</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51442-2021</t>
        </is>
      </c>
      <c r="B444" s="1" t="n">
        <v>44461.94450231481</v>
      </c>
      <c r="C444" s="1" t="n">
        <v>45908</v>
      </c>
      <c r="D444" t="inlineStr">
        <is>
          <t>VÄSTERNORRLANDS LÄN</t>
        </is>
      </c>
      <c r="E444" t="inlineStr">
        <is>
          <t>SOLLEFTEÅ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51443-2021</t>
        </is>
      </c>
      <c r="B445" s="1" t="n">
        <v>44461</v>
      </c>
      <c r="C445" s="1" t="n">
        <v>45908</v>
      </c>
      <c r="D445" t="inlineStr">
        <is>
          <t>VÄSTERNORRLANDS LÄN</t>
        </is>
      </c>
      <c r="E445" t="inlineStr">
        <is>
          <t>SOLLEFTEÅ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51952-2021</t>
        </is>
      </c>
      <c r="B446" s="1" t="n">
        <v>44462.95631944444</v>
      </c>
      <c r="C446" s="1" t="n">
        <v>45908</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57856-2021</t>
        </is>
      </c>
      <c r="B447" s="1" t="n">
        <v>44484.98627314815</v>
      </c>
      <c r="C447" s="1" t="n">
        <v>45908</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18013-2022</t>
        </is>
      </c>
      <c r="B448" s="1" t="n">
        <v>44683.94355324074</v>
      </c>
      <c r="C448" s="1" t="n">
        <v>45908</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7889-2021</t>
        </is>
      </c>
      <c r="B449" s="1" t="n">
        <v>44242</v>
      </c>
      <c r="C449" s="1" t="n">
        <v>45908</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21404-2022</t>
        </is>
      </c>
      <c r="B450" s="1" t="n">
        <v>44705.94037037037</v>
      </c>
      <c r="C450" s="1" t="n">
        <v>45908</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45908</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45908</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45908</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45908</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45908</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45908</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45908</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54567-2020</t>
        </is>
      </c>
      <c r="B458" s="1" t="n">
        <v>44126</v>
      </c>
      <c r="C458" s="1" t="n">
        <v>45908</v>
      </c>
      <c r="D458" t="inlineStr">
        <is>
          <t>VÄSTERNORRLANDS LÄN</t>
        </is>
      </c>
      <c r="E458" t="inlineStr">
        <is>
          <t>SOLLEFTEÅ</t>
        </is>
      </c>
      <c r="G458" t="n">
        <v>0.4</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45908</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23639-2021</t>
        </is>
      </c>
      <c r="B460" s="1" t="n">
        <v>44334</v>
      </c>
      <c r="C460" s="1" t="n">
        <v>45908</v>
      </c>
      <c r="D460" t="inlineStr">
        <is>
          <t>VÄSTERNORRLANDS LÄN</t>
        </is>
      </c>
      <c r="E460" t="inlineStr">
        <is>
          <t>SOLLEFTEÅ</t>
        </is>
      </c>
      <c r="F460" t="inlineStr">
        <is>
          <t>Kyrkan</t>
        </is>
      </c>
      <c r="G460" t="n">
        <v>5.4</v>
      </c>
      <c r="H460" t="n">
        <v>0</v>
      </c>
      <c r="I460" t="n">
        <v>0</v>
      </c>
      <c r="J460" t="n">
        <v>0</v>
      </c>
      <c r="K460" t="n">
        <v>0</v>
      </c>
      <c r="L460" t="n">
        <v>0</v>
      </c>
      <c r="M460" t="n">
        <v>0</v>
      </c>
      <c r="N460" t="n">
        <v>0</v>
      </c>
      <c r="O460" t="n">
        <v>0</v>
      </c>
      <c r="P460" t="n">
        <v>0</v>
      </c>
      <c r="Q460" t="n">
        <v>0</v>
      </c>
      <c r="R460" s="2" t="inlineStr"/>
    </row>
    <row r="461" ht="15" customHeight="1">
      <c r="A461" t="inlineStr">
        <is>
          <t>A 72977-2021</t>
        </is>
      </c>
      <c r="B461" s="1" t="n">
        <v>44548</v>
      </c>
      <c r="C461" s="1" t="n">
        <v>45908</v>
      </c>
      <c r="D461" t="inlineStr">
        <is>
          <t>VÄSTERNORRLANDS LÄN</t>
        </is>
      </c>
      <c r="E461" t="inlineStr">
        <is>
          <t>SOLLEFTEÅ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6121-2022</t>
        </is>
      </c>
      <c r="B462" s="1" t="n">
        <v>44599</v>
      </c>
      <c r="C462" s="1" t="n">
        <v>45908</v>
      </c>
      <c r="D462" t="inlineStr">
        <is>
          <t>VÄSTERNORRLANDS LÄN</t>
        </is>
      </c>
      <c r="E462" t="inlineStr">
        <is>
          <t>SOLLEFTEÅ</t>
        </is>
      </c>
      <c r="G462" t="n">
        <v>2</v>
      </c>
      <c r="H462" t="n">
        <v>0</v>
      </c>
      <c r="I462" t="n">
        <v>0</v>
      </c>
      <c r="J462" t="n">
        <v>0</v>
      </c>
      <c r="K462" t="n">
        <v>0</v>
      </c>
      <c r="L462" t="n">
        <v>0</v>
      </c>
      <c r="M462" t="n">
        <v>0</v>
      </c>
      <c r="N462" t="n">
        <v>0</v>
      </c>
      <c r="O462" t="n">
        <v>0</v>
      </c>
      <c r="P462" t="n">
        <v>0</v>
      </c>
      <c r="Q462" t="n">
        <v>0</v>
      </c>
      <c r="R462" s="2" t="inlineStr"/>
    </row>
    <row r="463" ht="15" customHeight="1">
      <c r="A463" t="inlineStr">
        <is>
          <t>A 48511-2022</t>
        </is>
      </c>
      <c r="B463" s="1" t="n">
        <v>44858.94972222222</v>
      </c>
      <c r="C463" s="1" t="n">
        <v>45908</v>
      </c>
      <c r="D463" t="inlineStr">
        <is>
          <t>VÄSTERNORRLANDS LÄN</t>
        </is>
      </c>
      <c r="E463" t="inlineStr">
        <is>
          <t>SOLLEFTEÅ</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15090-2022</t>
        </is>
      </c>
      <c r="B464" s="1" t="n">
        <v>44657.95271990741</v>
      </c>
      <c r="C464" s="1" t="n">
        <v>45908</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45105-2021</t>
        </is>
      </c>
      <c r="B465" s="1" t="n">
        <v>44439</v>
      </c>
      <c r="C465" s="1" t="n">
        <v>45908</v>
      </c>
      <c r="D465" t="inlineStr">
        <is>
          <t>VÄSTERNORRLANDS LÄN</t>
        </is>
      </c>
      <c r="E465" t="inlineStr">
        <is>
          <t>SOLLEFTEÅ</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45551-2020</t>
        </is>
      </c>
      <c r="B466" s="1" t="n">
        <v>44089</v>
      </c>
      <c r="C466" s="1" t="n">
        <v>45908</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58268-2021</t>
        </is>
      </c>
      <c r="B467" s="1" t="n">
        <v>44487</v>
      </c>
      <c r="C467" s="1" t="n">
        <v>45908</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57911-2021</t>
        </is>
      </c>
      <c r="B468" s="1" t="n">
        <v>44486.90736111111</v>
      </c>
      <c r="C468" s="1" t="n">
        <v>45908</v>
      </c>
      <c r="D468" t="inlineStr">
        <is>
          <t>VÄSTERNORRLANDS LÄN</t>
        </is>
      </c>
      <c r="E468" t="inlineStr">
        <is>
          <t>SOLLEFTEÅ</t>
        </is>
      </c>
      <c r="G468" t="n">
        <v>3.1</v>
      </c>
      <c r="H468" t="n">
        <v>0</v>
      </c>
      <c r="I468" t="n">
        <v>0</v>
      </c>
      <c r="J468" t="n">
        <v>0</v>
      </c>
      <c r="K468" t="n">
        <v>0</v>
      </c>
      <c r="L468" t="n">
        <v>0</v>
      </c>
      <c r="M468" t="n">
        <v>0</v>
      </c>
      <c r="N468" t="n">
        <v>0</v>
      </c>
      <c r="O468" t="n">
        <v>0</v>
      </c>
      <c r="P468" t="n">
        <v>0</v>
      </c>
      <c r="Q468" t="n">
        <v>0</v>
      </c>
      <c r="R468" s="2" t="inlineStr"/>
    </row>
    <row r="469" ht="15" customHeight="1">
      <c r="A469" t="inlineStr">
        <is>
          <t>A 61426-2021</t>
        </is>
      </c>
      <c r="B469" s="1" t="n">
        <v>44500</v>
      </c>
      <c r="C469" s="1" t="n">
        <v>45908</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71348-2021</t>
        </is>
      </c>
      <c r="B470" s="1" t="n">
        <v>44539</v>
      </c>
      <c r="C470" s="1" t="n">
        <v>45908</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71351-2021</t>
        </is>
      </c>
      <c r="B471" s="1" t="n">
        <v>44539</v>
      </c>
      <c r="C471" s="1" t="n">
        <v>45908</v>
      </c>
      <c r="D471" t="inlineStr">
        <is>
          <t>VÄSTERNORRLANDS LÄN</t>
        </is>
      </c>
      <c r="E471" t="inlineStr">
        <is>
          <t>SOLLEFTEÅ</t>
        </is>
      </c>
      <c r="G471" t="n">
        <v>0.1</v>
      </c>
      <c r="H471" t="n">
        <v>0</v>
      </c>
      <c r="I471" t="n">
        <v>0</v>
      </c>
      <c r="J471" t="n">
        <v>0</v>
      </c>
      <c r="K471" t="n">
        <v>0</v>
      </c>
      <c r="L471" t="n">
        <v>0</v>
      </c>
      <c r="M471" t="n">
        <v>0</v>
      </c>
      <c r="N471" t="n">
        <v>0</v>
      </c>
      <c r="O471" t="n">
        <v>0</v>
      </c>
      <c r="P471" t="n">
        <v>0</v>
      </c>
      <c r="Q471" t="n">
        <v>0</v>
      </c>
      <c r="R471" s="2" t="inlineStr"/>
    </row>
    <row r="472" ht="15" customHeight="1">
      <c r="A472" t="inlineStr">
        <is>
          <t>A 66850-2020</t>
        </is>
      </c>
      <c r="B472" s="1" t="n">
        <v>44179</v>
      </c>
      <c r="C472" s="1" t="n">
        <v>45908</v>
      </c>
      <c r="D472" t="inlineStr">
        <is>
          <t>VÄSTERNORRLANDS LÄN</t>
        </is>
      </c>
      <c r="E472" t="inlineStr">
        <is>
          <t>SOLLEFTEÅ</t>
        </is>
      </c>
      <c r="G472" t="n">
        <v>3</v>
      </c>
      <c r="H472" t="n">
        <v>0</v>
      </c>
      <c r="I472" t="n">
        <v>0</v>
      </c>
      <c r="J472" t="n">
        <v>0</v>
      </c>
      <c r="K472" t="n">
        <v>0</v>
      </c>
      <c r="L472" t="n">
        <v>0</v>
      </c>
      <c r="M472" t="n">
        <v>0</v>
      </c>
      <c r="N472" t="n">
        <v>0</v>
      </c>
      <c r="O472" t="n">
        <v>0</v>
      </c>
      <c r="P472" t="n">
        <v>0</v>
      </c>
      <c r="Q472" t="n">
        <v>0</v>
      </c>
      <c r="R472" s="2" t="inlineStr"/>
    </row>
    <row r="473" ht="15" customHeight="1">
      <c r="A473" t="inlineStr">
        <is>
          <t>A 23034-2021</t>
        </is>
      </c>
      <c r="B473" s="1" t="n">
        <v>44328.94113425926</v>
      </c>
      <c r="C473" s="1" t="n">
        <v>45908</v>
      </c>
      <c r="D473" t="inlineStr">
        <is>
          <t>VÄSTERNORRLANDS LÄN</t>
        </is>
      </c>
      <c r="E473" t="inlineStr">
        <is>
          <t>SOLLEFTEÅ</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22101-2022</t>
        </is>
      </c>
      <c r="B474" s="1" t="n">
        <v>44711.94153935185</v>
      </c>
      <c r="C474" s="1" t="n">
        <v>45908</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65401-2020</t>
        </is>
      </c>
      <c r="B475" s="1" t="n">
        <v>44169</v>
      </c>
      <c r="C475" s="1" t="n">
        <v>45908</v>
      </c>
      <c r="D475" t="inlineStr">
        <is>
          <t>VÄSTERNORRLANDS LÄN</t>
        </is>
      </c>
      <c r="E475" t="inlineStr">
        <is>
          <t>SOLLEFTEÅ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45908</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30039-2022</t>
        </is>
      </c>
      <c r="B477" s="1" t="n">
        <v>44756.94572916667</v>
      </c>
      <c r="C477" s="1" t="n">
        <v>45908</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61424-2021</t>
        </is>
      </c>
      <c r="B478" s="1" t="n">
        <v>44500.93637731481</v>
      </c>
      <c r="C478" s="1" t="n">
        <v>45908</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69436-2020</t>
        </is>
      </c>
      <c r="B479" s="1" t="n">
        <v>44193</v>
      </c>
      <c r="C479" s="1" t="n">
        <v>45908</v>
      </c>
      <c r="D479" t="inlineStr">
        <is>
          <t>VÄSTERNORRLANDS LÄN</t>
        </is>
      </c>
      <c r="E479" t="inlineStr">
        <is>
          <t>SOLLEFTEÅ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58755-2021</t>
        </is>
      </c>
      <c r="B480" s="1" t="n">
        <v>44489</v>
      </c>
      <c r="C480" s="1" t="n">
        <v>45908</v>
      </c>
      <c r="D480" t="inlineStr">
        <is>
          <t>VÄSTERNORRLANDS LÄN</t>
        </is>
      </c>
      <c r="E480" t="inlineStr">
        <is>
          <t>SOLLEFTEÅ</t>
        </is>
      </c>
      <c r="G480" t="n">
        <v>12.2</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45908</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26416-2022</t>
        </is>
      </c>
      <c r="B482" s="1" t="n">
        <v>44735.94130787037</v>
      </c>
      <c r="C482" s="1" t="n">
        <v>45908</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40539-2021</t>
        </is>
      </c>
      <c r="B483" s="1" t="n">
        <v>44420</v>
      </c>
      <c r="C483" s="1" t="n">
        <v>45908</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68016-2020</t>
        </is>
      </c>
      <c r="B484" s="1" t="n">
        <v>44182</v>
      </c>
      <c r="C484" s="1" t="n">
        <v>45908</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67602-2020</t>
        </is>
      </c>
      <c r="B485" s="1" t="n">
        <v>44181</v>
      </c>
      <c r="C485" s="1" t="n">
        <v>45908</v>
      </c>
      <c r="D485" t="inlineStr">
        <is>
          <t>VÄSTERNORRLANDS LÄN</t>
        </is>
      </c>
      <c r="E485" t="inlineStr">
        <is>
          <t>SOLLEFTEÅ</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12758-2022</t>
        </is>
      </c>
      <c r="B486" s="1" t="n">
        <v>44641</v>
      </c>
      <c r="C486" s="1" t="n">
        <v>45908</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58381-2020</t>
        </is>
      </c>
      <c r="B487" s="1" t="n">
        <v>44145</v>
      </c>
      <c r="C487" s="1" t="n">
        <v>45908</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44730.94094907407</v>
      </c>
      <c r="C488" s="1" t="n">
        <v>45908</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11133-2022</t>
        </is>
      </c>
      <c r="B489" s="1" t="n">
        <v>44628</v>
      </c>
      <c r="C489" s="1" t="n">
        <v>45908</v>
      </c>
      <c r="D489" t="inlineStr">
        <is>
          <t>VÄSTERNORRLANDS LÄN</t>
        </is>
      </c>
      <c r="E489" t="inlineStr">
        <is>
          <t>SOLLEFTEÅ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18570-2022</t>
        </is>
      </c>
      <c r="B490" s="1" t="n">
        <v>44686.94278935185</v>
      </c>
      <c r="C490" s="1" t="n">
        <v>45908</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69916-2021</t>
        </is>
      </c>
      <c r="B491" s="1" t="n">
        <v>44532</v>
      </c>
      <c r="C491" s="1" t="n">
        <v>45908</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69919-2021</t>
        </is>
      </c>
      <c r="B492" s="1" t="n">
        <v>44532.94325231481</v>
      </c>
      <c r="C492" s="1" t="n">
        <v>45908</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37242-2022</t>
        </is>
      </c>
      <c r="B493" s="1" t="n">
        <v>44806.94675925926</v>
      </c>
      <c r="C493" s="1" t="n">
        <v>45908</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54146-2021</t>
        </is>
      </c>
      <c r="B494" s="1" t="n">
        <v>44469</v>
      </c>
      <c r="C494" s="1" t="n">
        <v>45908</v>
      </c>
      <c r="D494" t="inlineStr">
        <is>
          <t>VÄSTERNORRLANDS LÄN</t>
        </is>
      </c>
      <c r="E494" t="inlineStr">
        <is>
          <t>SOLLEFTEÅ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22447-2021</t>
        </is>
      </c>
      <c r="B495" s="1" t="n">
        <v>44323</v>
      </c>
      <c r="C495" s="1" t="n">
        <v>45908</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31452-2022</t>
        </is>
      </c>
      <c r="B496" s="1" t="n">
        <v>44774.9415162037</v>
      </c>
      <c r="C496" s="1" t="n">
        <v>45908</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51020-2021</t>
        </is>
      </c>
      <c r="B497" s="1" t="n">
        <v>44460</v>
      </c>
      <c r="C497" s="1" t="n">
        <v>45908</v>
      </c>
      <c r="D497" t="inlineStr">
        <is>
          <t>VÄSTERNORRLANDS LÄN</t>
        </is>
      </c>
      <c r="E497" t="inlineStr">
        <is>
          <t>SOLLEFTEÅ</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20296-2022</t>
        </is>
      </c>
      <c r="B498" s="1" t="n">
        <v>44698</v>
      </c>
      <c r="C498" s="1" t="n">
        <v>45908</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30237-2022</t>
        </is>
      </c>
      <c r="B499" s="1" t="n">
        <v>44757.94412037037</v>
      </c>
      <c r="C499" s="1" t="n">
        <v>45908</v>
      </c>
      <c r="D499" t="inlineStr">
        <is>
          <t>VÄSTERNORRLANDS LÄN</t>
        </is>
      </c>
      <c r="E499" t="inlineStr">
        <is>
          <t>SOLLEFTEÅ</t>
        </is>
      </c>
      <c r="F499" t="inlineStr">
        <is>
          <t>SCA</t>
        </is>
      </c>
      <c r="G499" t="n">
        <v>8.1</v>
      </c>
      <c r="H499" t="n">
        <v>0</v>
      </c>
      <c r="I499" t="n">
        <v>0</v>
      </c>
      <c r="J499" t="n">
        <v>0</v>
      </c>
      <c r="K499" t="n">
        <v>0</v>
      </c>
      <c r="L499" t="n">
        <v>0</v>
      </c>
      <c r="M499" t="n">
        <v>0</v>
      </c>
      <c r="N499" t="n">
        <v>0</v>
      </c>
      <c r="O499" t="n">
        <v>0</v>
      </c>
      <c r="P499" t="n">
        <v>0</v>
      </c>
      <c r="Q499" t="n">
        <v>0</v>
      </c>
      <c r="R499" s="2" t="inlineStr"/>
    </row>
    <row r="500" ht="15" customHeight="1">
      <c r="A500" t="inlineStr">
        <is>
          <t>A 33083-2022</t>
        </is>
      </c>
      <c r="B500" s="1" t="n">
        <v>44785</v>
      </c>
      <c r="C500" s="1" t="n">
        <v>45908</v>
      </c>
      <c r="D500" t="inlineStr">
        <is>
          <t>VÄSTERNORRLANDS LÄN</t>
        </is>
      </c>
      <c r="E500" t="inlineStr">
        <is>
          <t>SOLLEFTEÅ</t>
        </is>
      </c>
      <c r="G500" t="n">
        <v>0.3</v>
      </c>
      <c r="H500" t="n">
        <v>0</v>
      </c>
      <c r="I500" t="n">
        <v>0</v>
      </c>
      <c r="J500" t="n">
        <v>0</v>
      </c>
      <c r="K500" t="n">
        <v>0</v>
      </c>
      <c r="L500" t="n">
        <v>0</v>
      </c>
      <c r="M500" t="n">
        <v>0</v>
      </c>
      <c r="N500" t="n">
        <v>0</v>
      </c>
      <c r="O500" t="n">
        <v>0</v>
      </c>
      <c r="P500" t="n">
        <v>0</v>
      </c>
      <c r="Q500" t="n">
        <v>0</v>
      </c>
      <c r="R500" s="2" t="inlineStr"/>
    </row>
    <row r="501" ht="15" customHeight="1">
      <c r="A501" t="inlineStr">
        <is>
          <t>A 51317-2022</t>
        </is>
      </c>
      <c r="B501" s="1" t="n">
        <v>44868</v>
      </c>
      <c r="C501" s="1" t="n">
        <v>45908</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24008-2022</t>
        </is>
      </c>
      <c r="B502" s="1" t="n">
        <v>44722.94112268519</v>
      </c>
      <c r="C502" s="1" t="n">
        <v>45908</v>
      </c>
      <c r="D502" t="inlineStr">
        <is>
          <t>VÄSTERNORRLANDS LÄN</t>
        </is>
      </c>
      <c r="E502" t="inlineStr">
        <is>
          <t>SOLLEFTEÅ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28700-2022</t>
        </is>
      </c>
      <c r="B503" s="1" t="n">
        <v>44748</v>
      </c>
      <c r="C503" s="1" t="n">
        <v>45908</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22341-2022</t>
        </is>
      </c>
      <c r="B504" s="1" t="n">
        <v>44712.94197916667</v>
      </c>
      <c r="C504" s="1" t="n">
        <v>45908</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16088-2022</t>
        </is>
      </c>
      <c r="B505" s="1" t="n">
        <v>44665</v>
      </c>
      <c r="C505" s="1" t="n">
        <v>45908</v>
      </c>
      <c r="D505" t="inlineStr">
        <is>
          <t>VÄSTERNORRLANDS LÄN</t>
        </is>
      </c>
      <c r="E505" t="inlineStr">
        <is>
          <t>SOLLEFTEÅ</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14061-2022</t>
        </is>
      </c>
      <c r="B506" s="1" t="n">
        <v>44650.94005787037</v>
      </c>
      <c r="C506" s="1" t="n">
        <v>45908</v>
      </c>
      <c r="D506" t="inlineStr">
        <is>
          <t>VÄSTERNORRLANDS LÄN</t>
        </is>
      </c>
      <c r="E506" t="inlineStr">
        <is>
          <t>SOLLEFTEÅ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14302-2022</t>
        </is>
      </c>
      <c r="B507" s="1" t="n">
        <v>44651</v>
      </c>
      <c r="C507" s="1" t="n">
        <v>45908</v>
      </c>
      <c r="D507" t="inlineStr">
        <is>
          <t>VÄSTERNORRLANDS LÄN</t>
        </is>
      </c>
      <c r="E507" t="inlineStr">
        <is>
          <t>SOLLEFTEÅ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11653-2022</t>
        </is>
      </c>
      <c r="B508" s="1" t="n">
        <v>44631</v>
      </c>
      <c r="C508" s="1" t="n">
        <v>45908</v>
      </c>
      <c r="D508" t="inlineStr">
        <is>
          <t>VÄSTERNORRLANDS LÄN</t>
        </is>
      </c>
      <c r="E508" t="inlineStr">
        <is>
          <t>SOLLEFTEÅ</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39943-2022</t>
        </is>
      </c>
      <c r="B509" s="1" t="n">
        <v>44819.94916666667</v>
      </c>
      <c r="C509" s="1" t="n">
        <v>45908</v>
      </c>
      <c r="D509" t="inlineStr">
        <is>
          <t>VÄSTERNORRLANDS LÄN</t>
        </is>
      </c>
      <c r="E509" t="inlineStr">
        <is>
          <t>SOLLEFTEÅ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48240-2022</t>
        </is>
      </c>
      <c r="B510" s="1" t="n">
        <v>44858</v>
      </c>
      <c r="C510" s="1" t="n">
        <v>45908</v>
      </c>
      <c r="D510" t="inlineStr">
        <is>
          <t>VÄSTERNORRLANDS LÄN</t>
        </is>
      </c>
      <c r="E510" t="inlineStr">
        <is>
          <t>SOLLEFTEÅ</t>
        </is>
      </c>
      <c r="G510" t="n">
        <v>0.3</v>
      </c>
      <c r="H510" t="n">
        <v>0</v>
      </c>
      <c r="I510" t="n">
        <v>0</v>
      </c>
      <c r="J510" t="n">
        <v>0</v>
      </c>
      <c r="K510" t="n">
        <v>0</v>
      </c>
      <c r="L510" t="n">
        <v>0</v>
      </c>
      <c r="M510" t="n">
        <v>0</v>
      </c>
      <c r="N510" t="n">
        <v>0</v>
      </c>
      <c r="O510" t="n">
        <v>0</v>
      </c>
      <c r="P510" t="n">
        <v>0</v>
      </c>
      <c r="Q510" t="n">
        <v>0</v>
      </c>
      <c r="R510" s="2" t="inlineStr"/>
    </row>
    <row r="511" ht="15" customHeight="1">
      <c r="A511" t="inlineStr">
        <is>
          <t>A 27082-2022</t>
        </is>
      </c>
      <c r="B511" s="1" t="n">
        <v>44741</v>
      </c>
      <c r="C511" s="1" t="n">
        <v>45908</v>
      </c>
      <c r="D511" t="inlineStr">
        <is>
          <t>VÄSTERNORRLANDS LÄN</t>
        </is>
      </c>
      <c r="E511" t="inlineStr">
        <is>
          <t>SOLLEFTEÅ</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30013-2022</t>
        </is>
      </c>
      <c r="B512" s="1" t="n">
        <v>44756</v>
      </c>
      <c r="C512" s="1" t="n">
        <v>45908</v>
      </c>
      <c r="D512" t="inlineStr">
        <is>
          <t>VÄSTERNORRLANDS LÄN</t>
        </is>
      </c>
      <c r="E512" t="inlineStr">
        <is>
          <t>SOLLEFTEÅ</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30041-2022</t>
        </is>
      </c>
      <c r="B513" s="1" t="n">
        <v>44756</v>
      </c>
      <c r="C513" s="1" t="n">
        <v>45908</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72958-2021</t>
        </is>
      </c>
      <c r="B514" s="1" t="n">
        <v>44547</v>
      </c>
      <c r="C514" s="1" t="n">
        <v>45908</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15974-2022</t>
        </is>
      </c>
      <c r="B515" s="1" t="n">
        <v>44664.94778935185</v>
      </c>
      <c r="C515" s="1" t="n">
        <v>45908</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35747-2022</t>
        </is>
      </c>
      <c r="B516" s="1" t="n">
        <v>44799</v>
      </c>
      <c r="C516" s="1" t="n">
        <v>45908</v>
      </c>
      <c r="D516" t="inlineStr">
        <is>
          <t>VÄSTERNORRLANDS LÄN</t>
        </is>
      </c>
      <c r="E516" t="inlineStr">
        <is>
          <t>SOLLEFTEÅ</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30236-2022</t>
        </is>
      </c>
      <c r="B517" s="1" t="n">
        <v>44757</v>
      </c>
      <c r="C517" s="1" t="n">
        <v>45908</v>
      </c>
      <c r="D517" t="inlineStr">
        <is>
          <t>VÄSTERNORRLANDS LÄN</t>
        </is>
      </c>
      <c r="E517" t="inlineStr">
        <is>
          <t>SOLLEFTEÅ</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67822-2021</t>
        </is>
      </c>
      <c r="B518" s="1" t="n">
        <v>44525.45137731481</v>
      </c>
      <c r="C518" s="1" t="n">
        <v>45908</v>
      </c>
      <c r="D518" t="inlineStr">
        <is>
          <t>VÄSTERNORRLANDS LÄN</t>
        </is>
      </c>
      <c r="E518" t="inlineStr">
        <is>
          <t>SOLLEFTEÅ</t>
        </is>
      </c>
      <c r="G518" t="n">
        <v>0.9</v>
      </c>
      <c r="H518" t="n">
        <v>0</v>
      </c>
      <c r="I518" t="n">
        <v>0</v>
      </c>
      <c r="J518" t="n">
        <v>0</v>
      </c>
      <c r="K518" t="n">
        <v>0</v>
      </c>
      <c r="L518" t="n">
        <v>0</v>
      </c>
      <c r="M518" t="n">
        <v>0</v>
      </c>
      <c r="N518" t="n">
        <v>0</v>
      </c>
      <c r="O518" t="n">
        <v>0</v>
      </c>
      <c r="P518" t="n">
        <v>0</v>
      </c>
      <c r="Q518" t="n">
        <v>0</v>
      </c>
      <c r="R518" s="2" t="inlineStr"/>
    </row>
    <row r="519" ht="15" customHeight="1">
      <c r="A519" t="inlineStr">
        <is>
          <t>A 38430-2022</t>
        </is>
      </c>
      <c r="B519" s="1" t="n">
        <v>44812</v>
      </c>
      <c r="C519" s="1" t="n">
        <v>45908</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45251-2020</t>
        </is>
      </c>
      <c r="B520" s="1" t="n">
        <v>44088</v>
      </c>
      <c r="C520" s="1" t="n">
        <v>45908</v>
      </c>
      <c r="D520" t="inlineStr">
        <is>
          <t>VÄSTERNORRLANDS LÄN</t>
        </is>
      </c>
      <c r="E520" t="inlineStr">
        <is>
          <t>SOLLEFTEÅ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29294-2022</t>
        </is>
      </c>
      <c r="B521" s="1" t="n">
        <v>44750.9431712963</v>
      </c>
      <c r="C521" s="1" t="n">
        <v>45908</v>
      </c>
      <c r="D521" t="inlineStr">
        <is>
          <t>VÄSTERNORRLANDS LÄN</t>
        </is>
      </c>
      <c r="E521" t="inlineStr">
        <is>
          <t>SOLLEFTEÅ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53955-2021</t>
        </is>
      </c>
      <c r="B522" s="1" t="n">
        <v>44469</v>
      </c>
      <c r="C522" s="1" t="n">
        <v>45908</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45908</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28893-2022</t>
        </is>
      </c>
      <c r="B524" s="1" t="n">
        <v>44749.53978009259</v>
      </c>
      <c r="C524" s="1" t="n">
        <v>45908</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72315-2021</t>
        </is>
      </c>
      <c r="B525" s="1" t="n">
        <v>44545</v>
      </c>
      <c r="C525" s="1" t="n">
        <v>45908</v>
      </c>
      <c r="D525" t="inlineStr">
        <is>
          <t>VÄSTERNORRLANDS LÄN</t>
        </is>
      </c>
      <c r="E525" t="inlineStr">
        <is>
          <t>SOLLEFTEÅ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24734-2022</t>
        </is>
      </c>
      <c r="B526" s="1" t="n">
        <v>44727.94329861111</v>
      </c>
      <c r="C526" s="1" t="n">
        <v>45908</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45908</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45908</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54568-2020</t>
        </is>
      </c>
      <c r="B529" s="1" t="n">
        <v>44126</v>
      </c>
      <c r="C529" s="1" t="n">
        <v>45908</v>
      </c>
      <c r="D529" t="inlineStr">
        <is>
          <t>VÄSTERNORRLANDS LÄN</t>
        </is>
      </c>
      <c r="E529" t="inlineStr">
        <is>
          <t>SOLLEFTEÅ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54572-2020</t>
        </is>
      </c>
      <c r="B530" s="1" t="n">
        <v>44126</v>
      </c>
      <c r="C530" s="1" t="n">
        <v>45908</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73566-2021</t>
        </is>
      </c>
      <c r="B531" s="1" t="n">
        <v>44551.94106481481</v>
      </c>
      <c r="C531" s="1" t="n">
        <v>45908</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45908</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45908</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45908</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3551-2022</t>
        </is>
      </c>
      <c r="B535" s="1" t="n">
        <v>44585.93800925926</v>
      </c>
      <c r="C535" s="1" t="n">
        <v>45908</v>
      </c>
      <c r="D535" t="inlineStr">
        <is>
          <t>VÄSTERNORRLANDS LÄN</t>
        </is>
      </c>
      <c r="E535" t="inlineStr">
        <is>
          <t>SOLLEFTEÅ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39944-2022</t>
        </is>
      </c>
      <c r="B536" s="1" t="n">
        <v>44819</v>
      </c>
      <c r="C536" s="1" t="n">
        <v>45908</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35574-2021</t>
        </is>
      </c>
      <c r="B537" s="1" t="n">
        <v>44385.93663194445</v>
      </c>
      <c r="C537" s="1" t="n">
        <v>45908</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53828-2020</t>
        </is>
      </c>
      <c r="B538" s="1" t="n">
        <v>44124</v>
      </c>
      <c r="C538" s="1" t="n">
        <v>45908</v>
      </c>
      <c r="D538" t="inlineStr">
        <is>
          <t>VÄSTERNORRLANDS LÄN</t>
        </is>
      </c>
      <c r="E538" t="inlineStr">
        <is>
          <t>SOLLEFTEÅ</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44042-2022</t>
        </is>
      </c>
      <c r="B539" s="1" t="n">
        <v>44838.94877314815</v>
      </c>
      <c r="C539" s="1" t="n">
        <v>45908</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68317-2021</t>
        </is>
      </c>
      <c r="B540" s="1" t="n">
        <v>44526.94339120371</v>
      </c>
      <c r="C540" s="1" t="n">
        <v>45908</v>
      </c>
      <c r="D540" t="inlineStr">
        <is>
          <t>VÄSTERNORRLANDS LÄN</t>
        </is>
      </c>
      <c r="E540" t="inlineStr">
        <is>
          <t>SOLLEFTEÅ</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30936-2022</t>
        </is>
      </c>
      <c r="B541" s="1" t="n">
        <v>44767.94028935185</v>
      </c>
      <c r="C541" s="1" t="n">
        <v>45908</v>
      </c>
      <c r="D541" t="inlineStr">
        <is>
          <t>VÄSTERNORRLANDS LÄN</t>
        </is>
      </c>
      <c r="E541" t="inlineStr">
        <is>
          <t>SOLLEFTEÅ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53012-2022</t>
        </is>
      </c>
      <c r="B542" s="1" t="n">
        <v>44875.95450231482</v>
      </c>
      <c r="C542" s="1" t="n">
        <v>45908</v>
      </c>
      <c r="D542" t="inlineStr">
        <is>
          <t>VÄSTERNORRLANDS LÄN</t>
        </is>
      </c>
      <c r="E542" t="inlineStr">
        <is>
          <t>SOLLEFTEÅ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45908</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45908</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54249-2022</t>
        </is>
      </c>
      <c r="B545" s="1" t="n">
        <v>44881.95111111111</v>
      </c>
      <c r="C545" s="1" t="n">
        <v>45908</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46058-2021</t>
        </is>
      </c>
      <c r="B546" s="1" t="n">
        <v>44441.94364583334</v>
      </c>
      <c r="C546" s="1" t="n">
        <v>45908</v>
      </c>
      <c r="D546" t="inlineStr">
        <is>
          <t>VÄSTERNORRLANDS LÄN</t>
        </is>
      </c>
      <c r="E546" t="inlineStr">
        <is>
          <t>SOLLEFTEÅ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13309-2022</t>
        </is>
      </c>
      <c r="B547" s="1" t="n">
        <v>44644.93670138889</v>
      </c>
      <c r="C547" s="1" t="n">
        <v>45908</v>
      </c>
      <c r="D547" t="inlineStr">
        <is>
          <t>VÄSTERNORRLANDS LÄN</t>
        </is>
      </c>
      <c r="E547" t="inlineStr">
        <is>
          <t>SOLLEFTEÅ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10141-2022</t>
        </is>
      </c>
      <c r="B548" s="1" t="n">
        <v>44621</v>
      </c>
      <c r="C548" s="1" t="n">
        <v>45908</v>
      </c>
      <c r="D548" t="inlineStr">
        <is>
          <t>VÄSTERNORRLANDS LÄN</t>
        </is>
      </c>
      <c r="E548" t="inlineStr">
        <is>
          <t>SOLLEFTEÅ</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10198-2022</t>
        </is>
      </c>
      <c r="B549" s="1" t="n">
        <v>44622.44116898148</v>
      </c>
      <c r="C549" s="1" t="n">
        <v>45908</v>
      </c>
      <c r="D549" t="inlineStr">
        <is>
          <t>VÄSTERNORRLANDS LÄN</t>
        </is>
      </c>
      <c r="E549" t="inlineStr">
        <is>
          <t>SOLLEFTEÅ</t>
        </is>
      </c>
      <c r="G549" t="n">
        <v>5.9</v>
      </c>
      <c r="H549" t="n">
        <v>0</v>
      </c>
      <c r="I549" t="n">
        <v>0</v>
      </c>
      <c r="J549" t="n">
        <v>0</v>
      </c>
      <c r="K549" t="n">
        <v>0</v>
      </c>
      <c r="L549" t="n">
        <v>0</v>
      </c>
      <c r="M549" t="n">
        <v>0</v>
      </c>
      <c r="N549" t="n">
        <v>0</v>
      </c>
      <c r="O549" t="n">
        <v>0</v>
      </c>
      <c r="P549" t="n">
        <v>0</v>
      </c>
      <c r="Q549" t="n">
        <v>0</v>
      </c>
      <c r="R549" s="2" t="inlineStr"/>
    </row>
    <row r="550" ht="15" customHeight="1">
      <c r="A550" t="inlineStr">
        <is>
          <t>A 48240-2020</t>
        </is>
      </c>
      <c r="B550" s="1" t="n">
        <v>44102</v>
      </c>
      <c r="C550" s="1" t="n">
        <v>45908</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10309-2022</t>
        </is>
      </c>
      <c r="B551" s="1" t="n">
        <v>44622</v>
      </c>
      <c r="C551" s="1" t="n">
        <v>45908</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10310-2022</t>
        </is>
      </c>
      <c r="B552" s="1" t="n">
        <v>44622.94043981482</v>
      </c>
      <c r="C552" s="1" t="n">
        <v>45908</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576-2022</t>
        </is>
      </c>
      <c r="B553" s="1" t="n">
        <v>44566.92086805555</v>
      </c>
      <c r="C553" s="1" t="n">
        <v>45908</v>
      </c>
      <c r="D553" t="inlineStr">
        <is>
          <t>VÄSTERNORRLANDS LÄN</t>
        </is>
      </c>
      <c r="E553" t="inlineStr">
        <is>
          <t>SOLLEFTEÅ</t>
        </is>
      </c>
      <c r="G553" t="n">
        <v>1.9</v>
      </c>
      <c r="H553" t="n">
        <v>0</v>
      </c>
      <c r="I553" t="n">
        <v>0</v>
      </c>
      <c r="J553" t="n">
        <v>0</v>
      </c>
      <c r="K553" t="n">
        <v>0</v>
      </c>
      <c r="L553" t="n">
        <v>0</v>
      </c>
      <c r="M553" t="n">
        <v>0</v>
      </c>
      <c r="N553" t="n">
        <v>0</v>
      </c>
      <c r="O553" t="n">
        <v>0</v>
      </c>
      <c r="P553" t="n">
        <v>0</v>
      </c>
      <c r="Q553" t="n">
        <v>0</v>
      </c>
      <c r="R553" s="2" t="inlineStr"/>
    </row>
    <row r="554" ht="15" customHeight="1">
      <c r="A554" t="inlineStr">
        <is>
          <t>A 72949-2021</t>
        </is>
      </c>
      <c r="B554" s="1" t="n">
        <v>44547.92181712963</v>
      </c>
      <c r="C554" s="1" t="n">
        <v>45908</v>
      </c>
      <c r="D554" t="inlineStr">
        <is>
          <t>VÄSTERNORRLANDS LÄN</t>
        </is>
      </c>
      <c r="E554" t="inlineStr">
        <is>
          <t>SOLLEFTEÅ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66856-2021</t>
        </is>
      </c>
      <c r="B555" s="1" t="n">
        <v>44522</v>
      </c>
      <c r="C555" s="1" t="n">
        <v>45908</v>
      </c>
      <c r="D555" t="inlineStr">
        <is>
          <t>VÄSTERNORRLANDS LÄN</t>
        </is>
      </c>
      <c r="E555" t="inlineStr">
        <is>
          <t>SOLLEFTEÅ</t>
        </is>
      </c>
      <c r="G555" t="n">
        <v>1.2</v>
      </c>
      <c r="H555" t="n">
        <v>0</v>
      </c>
      <c r="I555" t="n">
        <v>0</v>
      </c>
      <c r="J555" t="n">
        <v>0</v>
      </c>
      <c r="K555" t="n">
        <v>0</v>
      </c>
      <c r="L555" t="n">
        <v>0</v>
      </c>
      <c r="M555" t="n">
        <v>0</v>
      </c>
      <c r="N555" t="n">
        <v>0</v>
      </c>
      <c r="O555" t="n">
        <v>0</v>
      </c>
      <c r="P555" t="n">
        <v>0</v>
      </c>
      <c r="Q555" t="n">
        <v>0</v>
      </c>
      <c r="R555" s="2" t="inlineStr"/>
    </row>
    <row r="556" ht="15" customHeight="1">
      <c r="A556" t="inlineStr">
        <is>
          <t>A 12191-2022</t>
        </is>
      </c>
      <c r="B556" s="1" t="n">
        <v>44636.9250925926</v>
      </c>
      <c r="C556" s="1" t="n">
        <v>45908</v>
      </c>
      <c r="D556" t="inlineStr">
        <is>
          <t>VÄSTERNORRLANDS LÄN</t>
        </is>
      </c>
      <c r="E556" t="inlineStr">
        <is>
          <t>SOLLEFTEÅ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10139-2022</t>
        </is>
      </c>
      <c r="B557" s="1" t="n">
        <v>44621</v>
      </c>
      <c r="C557" s="1" t="n">
        <v>45908</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59343-2021</t>
        </is>
      </c>
      <c r="B558" s="1" t="n">
        <v>44490</v>
      </c>
      <c r="C558" s="1" t="n">
        <v>45908</v>
      </c>
      <c r="D558" t="inlineStr">
        <is>
          <t>VÄSTERNORRLANDS LÄN</t>
        </is>
      </c>
      <c r="E558" t="inlineStr">
        <is>
          <t>SOLLEFTEÅ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43220-2021</t>
        </is>
      </c>
      <c r="B559" s="1" t="n">
        <v>44431.9378125</v>
      </c>
      <c r="C559" s="1" t="n">
        <v>45908</v>
      </c>
      <c r="D559" t="inlineStr">
        <is>
          <t>VÄSTERNORRLANDS LÄN</t>
        </is>
      </c>
      <c r="E559" t="inlineStr">
        <is>
          <t>SOLLEFTEÅ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24735-2022</t>
        </is>
      </c>
      <c r="B560" s="1" t="n">
        <v>44727.94346064814</v>
      </c>
      <c r="C560" s="1" t="n">
        <v>45908</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14477-2022</t>
        </is>
      </c>
      <c r="B561" s="1" t="n">
        <v>44654.93954861111</v>
      </c>
      <c r="C561" s="1" t="n">
        <v>45908</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61943-2020</t>
        </is>
      </c>
      <c r="B562" s="1" t="n">
        <v>44155</v>
      </c>
      <c r="C562" s="1" t="n">
        <v>45908</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33990-2022</t>
        </is>
      </c>
      <c r="B563" s="1" t="n">
        <v>44790</v>
      </c>
      <c r="C563" s="1" t="n">
        <v>45908</v>
      </c>
      <c r="D563" t="inlineStr">
        <is>
          <t>VÄSTERNORRLANDS LÄN</t>
        </is>
      </c>
      <c r="E563" t="inlineStr">
        <is>
          <t>SOLLEFTEÅ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15241-2022</t>
        </is>
      </c>
      <c r="B564" s="1" t="n">
        <v>44658.9375</v>
      </c>
      <c r="C564" s="1" t="n">
        <v>45908</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16419-2022</t>
        </is>
      </c>
      <c r="B565" s="1" t="n">
        <v>44671</v>
      </c>
      <c r="C565" s="1" t="n">
        <v>45908</v>
      </c>
      <c r="D565" t="inlineStr">
        <is>
          <t>VÄSTERNORRLANDS LÄN</t>
        </is>
      </c>
      <c r="E565" t="inlineStr">
        <is>
          <t>SOLLEFTEÅ</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48555-2021</t>
        </is>
      </c>
      <c r="B566" s="1" t="n">
        <v>44452</v>
      </c>
      <c r="C566" s="1" t="n">
        <v>45908</v>
      </c>
      <c r="D566" t="inlineStr">
        <is>
          <t>VÄSTERNORRLANDS LÄN</t>
        </is>
      </c>
      <c r="E566" t="inlineStr">
        <is>
          <t>SOLLEFTEÅ</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39947-2022</t>
        </is>
      </c>
      <c r="B567" s="1" t="n">
        <v>44819</v>
      </c>
      <c r="C567" s="1" t="n">
        <v>45908</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40610-2022</t>
        </is>
      </c>
      <c r="B568" s="1" t="n">
        <v>44823.94981481481</v>
      </c>
      <c r="C568" s="1" t="n">
        <v>45908</v>
      </c>
      <c r="D568" t="inlineStr">
        <is>
          <t>VÄSTERNORRLANDS LÄN</t>
        </is>
      </c>
      <c r="E568" t="inlineStr">
        <is>
          <t>SOLLEFTEÅ</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22224-2021</t>
        </is>
      </c>
      <c r="B569" s="1" t="n">
        <v>44326</v>
      </c>
      <c r="C569" s="1" t="n">
        <v>45908</v>
      </c>
      <c r="D569" t="inlineStr">
        <is>
          <t>VÄSTERNORRLANDS LÄN</t>
        </is>
      </c>
      <c r="E569" t="inlineStr">
        <is>
          <t>SOLLEFTEÅ</t>
        </is>
      </c>
      <c r="F569" t="inlineStr">
        <is>
          <t>Kommuner</t>
        </is>
      </c>
      <c r="G569" t="n">
        <v>2.3</v>
      </c>
      <c r="H569" t="n">
        <v>0</v>
      </c>
      <c r="I569" t="n">
        <v>0</v>
      </c>
      <c r="J569" t="n">
        <v>0</v>
      </c>
      <c r="K569" t="n">
        <v>0</v>
      </c>
      <c r="L569" t="n">
        <v>0</v>
      </c>
      <c r="M569" t="n">
        <v>0</v>
      </c>
      <c r="N569" t="n">
        <v>0</v>
      </c>
      <c r="O569" t="n">
        <v>0</v>
      </c>
      <c r="P569" t="n">
        <v>0</v>
      </c>
      <c r="Q569" t="n">
        <v>0</v>
      </c>
      <c r="R569" s="2" t="inlineStr"/>
    </row>
    <row r="570" ht="15" customHeight="1">
      <c r="A570" t="inlineStr">
        <is>
          <t>A 63210-2020</t>
        </is>
      </c>
      <c r="B570" s="1" t="n">
        <v>44163</v>
      </c>
      <c r="C570" s="1" t="n">
        <v>45908</v>
      </c>
      <c r="D570" t="inlineStr">
        <is>
          <t>VÄSTERNORRLANDS LÄN</t>
        </is>
      </c>
      <c r="E570" t="inlineStr">
        <is>
          <t>SOLLEFTEÅ</t>
        </is>
      </c>
      <c r="G570" t="n">
        <v>1.8</v>
      </c>
      <c r="H570" t="n">
        <v>0</v>
      </c>
      <c r="I570" t="n">
        <v>0</v>
      </c>
      <c r="J570" t="n">
        <v>0</v>
      </c>
      <c r="K570" t="n">
        <v>0</v>
      </c>
      <c r="L570" t="n">
        <v>0</v>
      </c>
      <c r="M570" t="n">
        <v>0</v>
      </c>
      <c r="N570" t="n">
        <v>0</v>
      </c>
      <c r="O570" t="n">
        <v>0</v>
      </c>
      <c r="P570" t="n">
        <v>0</v>
      </c>
      <c r="Q570" t="n">
        <v>0</v>
      </c>
      <c r="R570" s="2" t="inlineStr"/>
    </row>
    <row r="571" ht="15" customHeight="1">
      <c r="A571" t="inlineStr">
        <is>
          <t>A 45117-2022</t>
        </is>
      </c>
      <c r="B571" s="1" t="n">
        <v>44843.94648148148</v>
      </c>
      <c r="C571" s="1" t="n">
        <v>45908</v>
      </c>
      <c r="D571" t="inlineStr">
        <is>
          <t>VÄSTERNORRLANDS LÄN</t>
        </is>
      </c>
      <c r="E571" t="inlineStr">
        <is>
          <t>SOLLEFTEÅ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45908</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20702-2022</t>
        </is>
      </c>
      <c r="B573" s="1" t="n">
        <v>44700.92697916667</v>
      </c>
      <c r="C573" s="1" t="n">
        <v>45908</v>
      </c>
      <c r="D573" t="inlineStr">
        <is>
          <t>VÄSTERNORRLANDS LÄN</t>
        </is>
      </c>
      <c r="E573" t="inlineStr">
        <is>
          <t>SOLLEFTEÅ</t>
        </is>
      </c>
      <c r="G573" t="n">
        <v>5.1</v>
      </c>
      <c r="H573" t="n">
        <v>0</v>
      </c>
      <c r="I573" t="n">
        <v>0</v>
      </c>
      <c r="J573" t="n">
        <v>0</v>
      </c>
      <c r="K573" t="n">
        <v>0</v>
      </c>
      <c r="L573" t="n">
        <v>0</v>
      </c>
      <c r="M573" t="n">
        <v>0</v>
      </c>
      <c r="N573" t="n">
        <v>0</v>
      </c>
      <c r="O573" t="n">
        <v>0</v>
      </c>
      <c r="P573" t="n">
        <v>0</v>
      </c>
      <c r="Q573" t="n">
        <v>0</v>
      </c>
      <c r="R573" s="2" t="inlineStr"/>
    </row>
    <row r="574" ht="15" customHeight="1">
      <c r="A574" t="inlineStr">
        <is>
          <t>A 11677-2022</t>
        </is>
      </c>
      <c r="B574" s="1" t="n">
        <v>44633</v>
      </c>
      <c r="C574" s="1" t="n">
        <v>45908</v>
      </c>
      <c r="D574" t="inlineStr">
        <is>
          <t>VÄSTERNORRLANDS LÄN</t>
        </is>
      </c>
      <c r="E574" t="inlineStr">
        <is>
          <t>SOLLEFTEÅ</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31444-2022</t>
        </is>
      </c>
      <c r="B575" s="1" t="n">
        <v>44774</v>
      </c>
      <c r="C575" s="1" t="n">
        <v>45908</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54463-2020</t>
        </is>
      </c>
      <c r="B576" s="1" t="n">
        <v>44125</v>
      </c>
      <c r="C576" s="1" t="n">
        <v>45908</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68656-2020</t>
        </is>
      </c>
      <c r="B577" s="1" t="n">
        <v>44186</v>
      </c>
      <c r="C577" s="1" t="n">
        <v>45908</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19510-2021</t>
        </is>
      </c>
      <c r="B578" s="1" t="n">
        <v>44308</v>
      </c>
      <c r="C578" s="1" t="n">
        <v>45908</v>
      </c>
      <c r="D578" t="inlineStr">
        <is>
          <t>VÄSTERNORRLANDS LÄN</t>
        </is>
      </c>
      <c r="E578" t="inlineStr">
        <is>
          <t>SOLLEFTEÅ</t>
        </is>
      </c>
      <c r="F578" t="inlineStr">
        <is>
          <t>Kyrkan</t>
        </is>
      </c>
      <c r="G578" t="n">
        <v>19.6</v>
      </c>
      <c r="H578" t="n">
        <v>0</v>
      </c>
      <c r="I578" t="n">
        <v>0</v>
      </c>
      <c r="J578" t="n">
        <v>0</v>
      </c>
      <c r="K578" t="n">
        <v>0</v>
      </c>
      <c r="L578" t="n">
        <v>0</v>
      </c>
      <c r="M578" t="n">
        <v>0</v>
      </c>
      <c r="N578" t="n">
        <v>0</v>
      </c>
      <c r="O578" t="n">
        <v>0</v>
      </c>
      <c r="P578" t="n">
        <v>0</v>
      </c>
      <c r="Q578" t="n">
        <v>0</v>
      </c>
      <c r="R578" s="2" t="inlineStr"/>
    </row>
    <row r="579" ht="15" customHeight="1">
      <c r="A579" t="inlineStr">
        <is>
          <t>A 41334-2021</t>
        </is>
      </c>
      <c r="B579" s="1" t="n">
        <v>44424</v>
      </c>
      <c r="C579" s="1" t="n">
        <v>45908</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9586-2022</t>
        </is>
      </c>
      <c r="B580" s="1" t="n">
        <v>44617</v>
      </c>
      <c r="C580" s="1" t="n">
        <v>45908</v>
      </c>
      <c r="D580" t="inlineStr">
        <is>
          <t>VÄSTERNORRLANDS LÄN</t>
        </is>
      </c>
      <c r="E580" t="inlineStr">
        <is>
          <t>SOLLEFTEÅ</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42634-2022</t>
        </is>
      </c>
      <c r="B581" s="1" t="n">
        <v>44831.94565972222</v>
      </c>
      <c r="C581" s="1" t="n">
        <v>45908</v>
      </c>
      <c r="D581" t="inlineStr">
        <is>
          <t>VÄSTERNORRLANDS LÄN</t>
        </is>
      </c>
      <c r="E581" t="inlineStr">
        <is>
          <t>SOLLEFTEÅ</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46715-2020</t>
        </is>
      </c>
      <c r="B582" s="1" t="n">
        <v>44095</v>
      </c>
      <c r="C582" s="1" t="n">
        <v>45908</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52189-2020</t>
        </is>
      </c>
      <c r="B583" s="1" t="n">
        <v>44117.54841435186</v>
      </c>
      <c r="C583" s="1" t="n">
        <v>45908</v>
      </c>
      <c r="D583" t="inlineStr">
        <is>
          <t>VÄSTERNORRLANDS LÄN</t>
        </is>
      </c>
      <c r="E583" t="inlineStr">
        <is>
          <t>SOLLEFTEÅ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14447-2022</t>
        </is>
      </c>
      <c r="B584" s="1" t="n">
        <v>44652.94510416667</v>
      </c>
      <c r="C584" s="1" t="n">
        <v>45908</v>
      </c>
      <c r="D584" t="inlineStr">
        <is>
          <t>VÄSTERNORRLANDS LÄN</t>
        </is>
      </c>
      <c r="E584" t="inlineStr">
        <is>
          <t>SOLLEFTEÅ</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27283-2022</t>
        </is>
      </c>
      <c r="B585" s="1" t="n">
        <v>44741.94023148148</v>
      </c>
      <c r="C585" s="1" t="n">
        <v>45908</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272-2021</t>
        </is>
      </c>
      <c r="B586" s="1" t="n">
        <v>44200</v>
      </c>
      <c r="C586" s="1" t="n">
        <v>45908</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53289-2021</t>
        </is>
      </c>
      <c r="B587" s="1" t="n">
        <v>44467</v>
      </c>
      <c r="C587" s="1" t="n">
        <v>45908</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21635-2022</t>
        </is>
      </c>
      <c r="B588" s="1" t="n">
        <v>44706.92628472222</v>
      </c>
      <c r="C588" s="1" t="n">
        <v>45908</v>
      </c>
      <c r="D588" t="inlineStr">
        <is>
          <t>VÄSTERNORRLANDS LÄN</t>
        </is>
      </c>
      <c r="E588" t="inlineStr">
        <is>
          <t>SOLLEFTEÅ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24720-2021</t>
        </is>
      </c>
      <c r="B589" s="1" t="n">
        <v>44340</v>
      </c>
      <c r="C589" s="1" t="n">
        <v>45908</v>
      </c>
      <c r="D589" t="inlineStr">
        <is>
          <t>VÄSTERNORRLANDS LÄN</t>
        </is>
      </c>
      <c r="E589" t="inlineStr">
        <is>
          <t>SOLLEFTEÅ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45908</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45908</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58726-2021</t>
        </is>
      </c>
      <c r="B592" s="1" t="n">
        <v>44489</v>
      </c>
      <c r="C592" s="1" t="n">
        <v>45908</v>
      </c>
      <c r="D592" t="inlineStr">
        <is>
          <t>VÄSTERNORRLANDS LÄN</t>
        </is>
      </c>
      <c r="E592" t="inlineStr">
        <is>
          <t>SOLLEFTEÅ</t>
        </is>
      </c>
      <c r="G592" t="n">
        <v>1.5</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45908</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37826-2022</t>
        </is>
      </c>
      <c r="B594" s="1" t="n">
        <v>44810.94175925926</v>
      </c>
      <c r="C594" s="1" t="n">
        <v>45908</v>
      </c>
      <c r="D594" t="inlineStr">
        <is>
          <t>VÄSTERNORRLANDS LÄN</t>
        </is>
      </c>
      <c r="E594" t="inlineStr">
        <is>
          <t>SOLLEFTEÅ</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16083-2022</t>
        </is>
      </c>
      <c r="B595" s="1" t="n">
        <v>44665</v>
      </c>
      <c r="C595" s="1" t="n">
        <v>45908</v>
      </c>
      <c r="D595" t="inlineStr">
        <is>
          <t>VÄSTERNORRLANDS LÄN</t>
        </is>
      </c>
      <c r="E595" t="inlineStr">
        <is>
          <t>SOLLEFTEÅ</t>
        </is>
      </c>
      <c r="F595" t="inlineStr">
        <is>
          <t>Holmen skog AB</t>
        </is>
      </c>
      <c r="G595" t="n">
        <v>6.8</v>
      </c>
      <c r="H595" t="n">
        <v>0</v>
      </c>
      <c r="I595" t="n">
        <v>0</v>
      </c>
      <c r="J595" t="n">
        <v>0</v>
      </c>
      <c r="K595" t="n">
        <v>0</v>
      </c>
      <c r="L595" t="n">
        <v>0</v>
      </c>
      <c r="M595" t="n">
        <v>0</v>
      </c>
      <c r="N595" t="n">
        <v>0</v>
      </c>
      <c r="O595" t="n">
        <v>0</v>
      </c>
      <c r="P595" t="n">
        <v>0</v>
      </c>
      <c r="Q595" t="n">
        <v>0</v>
      </c>
      <c r="R595" s="2" t="inlineStr"/>
    </row>
    <row r="596" ht="15" customHeight="1">
      <c r="A596" t="inlineStr">
        <is>
          <t>A 12568-2022</t>
        </is>
      </c>
      <c r="B596" s="1" t="n">
        <v>44638.94277777777</v>
      </c>
      <c r="C596" s="1" t="n">
        <v>45908</v>
      </c>
      <c r="D596" t="inlineStr">
        <is>
          <t>VÄSTERNORRLANDS LÄN</t>
        </is>
      </c>
      <c r="E596" t="inlineStr">
        <is>
          <t>SOLLEFTEÅ</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68647-2020</t>
        </is>
      </c>
      <c r="B597" s="1" t="n">
        <v>44186</v>
      </c>
      <c r="C597" s="1" t="n">
        <v>45908</v>
      </c>
      <c r="D597" t="inlineStr">
        <is>
          <t>VÄSTERNORRLANDS LÄN</t>
        </is>
      </c>
      <c r="E597" t="inlineStr">
        <is>
          <t>SOLLEFTEÅ</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33077-2022</t>
        </is>
      </c>
      <c r="B598" s="1" t="n">
        <v>44785</v>
      </c>
      <c r="C598" s="1" t="n">
        <v>45908</v>
      </c>
      <c r="D598" t="inlineStr">
        <is>
          <t>VÄSTERNORRLANDS LÄN</t>
        </is>
      </c>
      <c r="E598" t="inlineStr">
        <is>
          <t>SOLLEFTEÅ</t>
        </is>
      </c>
      <c r="G598" t="n">
        <v>0.2</v>
      </c>
      <c r="H598" t="n">
        <v>0</v>
      </c>
      <c r="I598" t="n">
        <v>0</v>
      </c>
      <c r="J598" t="n">
        <v>0</v>
      </c>
      <c r="K598" t="n">
        <v>0</v>
      </c>
      <c r="L598" t="n">
        <v>0</v>
      </c>
      <c r="M598" t="n">
        <v>0</v>
      </c>
      <c r="N598" t="n">
        <v>0</v>
      </c>
      <c r="O598" t="n">
        <v>0</v>
      </c>
      <c r="P598" t="n">
        <v>0</v>
      </c>
      <c r="Q598" t="n">
        <v>0</v>
      </c>
      <c r="R598" s="2" t="inlineStr"/>
    </row>
    <row r="599" ht="15" customHeight="1">
      <c r="A599" t="inlineStr">
        <is>
          <t>A 18097-2021</t>
        </is>
      </c>
      <c r="B599" s="1" t="n">
        <v>44302.48136574074</v>
      </c>
      <c r="C599" s="1" t="n">
        <v>45908</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68863-2021</t>
        </is>
      </c>
      <c r="B600" s="1" t="n">
        <v>44530</v>
      </c>
      <c r="C600" s="1" t="n">
        <v>45908</v>
      </c>
      <c r="D600" t="inlineStr">
        <is>
          <t>VÄSTERNORRLANDS LÄN</t>
        </is>
      </c>
      <c r="E600" t="inlineStr">
        <is>
          <t>SOLLEFTEÅ</t>
        </is>
      </c>
      <c r="F600" t="inlineStr">
        <is>
          <t>Holmen skog AB</t>
        </is>
      </c>
      <c r="G600" t="n">
        <v>16.8</v>
      </c>
      <c r="H600" t="n">
        <v>0</v>
      </c>
      <c r="I600" t="n">
        <v>0</v>
      </c>
      <c r="J600" t="n">
        <v>0</v>
      </c>
      <c r="K600" t="n">
        <v>0</v>
      </c>
      <c r="L600" t="n">
        <v>0</v>
      </c>
      <c r="M600" t="n">
        <v>0</v>
      </c>
      <c r="N600" t="n">
        <v>0</v>
      </c>
      <c r="O600" t="n">
        <v>0</v>
      </c>
      <c r="P600" t="n">
        <v>0</v>
      </c>
      <c r="Q600" t="n">
        <v>0</v>
      </c>
      <c r="R600" s="2" t="inlineStr"/>
    </row>
    <row r="601" ht="15" customHeight="1">
      <c r="A601" t="inlineStr">
        <is>
          <t>A 18662-2021</t>
        </is>
      </c>
      <c r="B601" s="1" t="n">
        <v>44306</v>
      </c>
      <c r="C601" s="1" t="n">
        <v>45908</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40608-2022</t>
        </is>
      </c>
      <c r="B602" s="1" t="n">
        <v>44823.94972222222</v>
      </c>
      <c r="C602" s="1" t="n">
        <v>45908</v>
      </c>
      <c r="D602" t="inlineStr">
        <is>
          <t>VÄSTERNORRLANDS LÄN</t>
        </is>
      </c>
      <c r="E602" t="inlineStr">
        <is>
          <t>SOLLEFTEÅ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61496-2021</t>
        </is>
      </c>
      <c r="B603" s="1" t="n">
        <v>44501</v>
      </c>
      <c r="C603" s="1" t="n">
        <v>45908</v>
      </c>
      <c r="D603" t="inlineStr">
        <is>
          <t>VÄSTERNORRLANDS LÄN</t>
        </is>
      </c>
      <c r="E603" t="inlineStr">
        <is>
          <t>SOLLEFTEÅ</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73285-2021</t>
        </is>
      </c>
      <c r="B604" s="1" t="n">
        <v>44550.94386574074</v>
      </c>
      <c r="C604" s="1" t="n">
        <v>45908</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54573-2022</t>
        </is>
      </c>
      <c r="B605" s="1" t="n">
        <v>44882.95532407407</v>
      </c>
      <c r="C605" s="1" t="n">
        <v>45908</v>
      </c>
      <c r="D605" t="inlineStr">
        <is>
          <t>VÄSTERNORRLANDS LÄN</t>
        </is>
      </c>
      <c r="E605" t="inlineStr">
        <is>
          <t>SOLLEFTEÅ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45908</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45908</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45908</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50656-2022</t>
        </is>
      </c>
      <c r="B609" s="1" t="n">
        <v>44866</v>
      </c>
      <c r="C609" s="1" t="n">
        <v>45908</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45119-2022</t>
        </is>
      </c>
      <c r="B610" s="1" t="n">
        <v>44843</v>
      </c>
      <c r="C610" s="1" t="n">
        <v>45908</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11241-2022</t>
        </is>
      </c>
      <c r="B611" s="1" t="n">
        <v>44629</v>
      </c>
      <c r="C611" s="1" t="n">
        <v>45908</v>
      </c>
      <c r="D611" t="inlineStr">
        <is>
          <t>VÄSTERNORRLANDS LÄN</t>
        </is>
      </c>
      <c r="E611" t="inlineStr">
        <is>
          <t>SOLLEFTEÅ</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41474-2022</t>
        </is>
      </c>
      <c r="B612" s="1" t="n">
        <v>44826.94859953703</v>
      </c>
      <c r="C612" s="1" t="n">
        <v>45908</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26435-2022</t>
        </is>
      </c>
      <c r="B613" s="1" t="n">
        <v>44736.93902777778</v>
      </c>
      <c r="C613" s="1" t="n">
        <v>45908</v>
      </c>
      <c r="D613" t="inlineStr">
        <is>
          <t>VÄSTERNORRLANDS LÄN</t>
        </is>
      </c>
      <c r="E613" t="inlineStr">
        <is>
          <t>SOLLEFTEÅ</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62357-2023</t>
        </is>
      </c>
      <c r="B614" s="1" t="n">
        <v>45267.95109953704</v>
      </c>
      <c r="C614" s="1" t="n">
        <v>45908</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31914-2023</t>
        </is>
      </c>
      <c r="B615" s="1" t="n">
        <v>45118</v>
      </c>
      <c r="C615" s="1" t="n">
        <v>45908</v>
      </c>
      <c r="D615" t="inlineStr">
        <is>
          <t>VÄSTERNORRLANDS LÄN</t>
        </is>
      </c>
      <c r="E615" t="inlineStr">
        <is>
          <t>SOLLEFTEÅ</t>
        </is>
      </c>
      <c r="G615" t="n">
        <v>1.4</v>
      </c>
      <c r="H615" t="n">
        <v>0</v>
      </c>
      <c r="I615" t="n">
        <v>0</v>
      </c>
      <c r="J615" t="n">
        <v>0</v>
      </c>
      <c r="K615" t="n">
        <v>0</v>
      </c>
      <c r="L615" t="n">
        <v>0</v>
      </c>
      <c r="M615" t="n">
        <v>0</v>
      </c>
      <c r="N615" t="n">
        <v>0</v>
      </c>
      <c r="O615" t="n">
        <v>0</v>
      </c>
      <c r="P615" t="n">
        <v>0</v>
      </c>
      <c r="Q615" t="n">
        <v>0</v>
      </c>
      <c r="R615" s="2" t="inlineStr"/>
    </row>
    <row r="616" ht="15" customHeight="1">
      <c r="A616" t="inlineStr">
        <is>
          <t>A 61894-2020</t>
        </is>
      </c>
      <c r="B616" s="1" t="n">
        <v>44155</v>
      </c>
      <c r="C616" s="1" t="n">
        <v>45908</v>
      </c>
      <c r="D616" t="inlineStr">
        <is>
          <t>VÄSTERNORRLANDS LÄN</t>
        </is>
      </c>
      <c r="E616" t="inlineStr">
        <is>
          <t>SOLLEFTEÅ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45118-2022</t>
        </is>
      </c>
      <c r="B617" s="1" t="n">
        <v>44843</v>
      </c>
      <c r="C617" s="1" t="n">
        <v>45908</v>
      </c>
      <c r="D617" t="inlineStr">
        <is>
          <t>VÄSTERNORRLANDS LÄN</t>
        </is>
      </c>
      <c r="E617" t="inlineStr">
        <is>
          <t>SOLLEFTEÅ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49507-2020</t>
        </is>
      </c>
      <c r="B618" s="1" t="n">
        <v>44105</v>
      </c>
      <c r="C618" s="1" t="n">
        <v>45908</v>
      </c>
      <c r="D618" t="inlineStr">
        <is>
          <t>VÄSTERNORRLANDS LÄN</t>
        </is>
      </c>
      <c r="E618" t="inlineStr">
        <is>
          <t>SOLLEFTEÅ</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29292-2022</t>
        </is>
      </c>
      <c r="B619" s="1" t="n">
        <v>44750</v>
      </c>
      <c r="C619" s="1" t="n">
        <v>45908</v>
      </c>
      <c r="D619" t="inlineStr">
        <is>
          <t>VÄSTERNORRLANDS LÄN</t>
        </is>
      </c>
      <c r="E619" t="inlineStr">
        <is>
          <t>SOLLEFTEÅ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49629-2020</t>
        </is>
      </c>
      <c r="B620" s="1" t="n">
        <v>44103</v>
      </c>
      <c r="C620" s="1" t="n">
        <v>45908</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18878-2021</t>
        </is>
      </c>
      <c r="B621" s="1" t="n">
        <v>44307</v>
      </c>
      <c r="C621" s="1" t="n">
        <v>45908</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27018-2022</t>
        </is>
      </c>
      <c r="B622" s="1" t="n">
        <v>44740</v>
      </c>
      <c r="C622" s="1" t="n">
        <v>45908</v>
      </c>
      <c r="D622" t="inlineStr">
        <is>
          <t>VÄSTERNORRLANDS LÄN</t>
        </is>
      </c>
      <c r="E622" t="inlineStr">
        <is>
          <t>SOLLEFTEÅ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68292-2020</t>
        </is>
      </c>
      <c r="B623" s="1" t="n">
        <v>44183</v>
      </c>
      <c r="C623" s="1" t="n">
        <v>45908</v>
      </c>
      <c r="D623" t="inlineStr">
        <is>
          <t>VÄSTERNORRLANDS LÄN</t>
        </is>
      </c>
      <c r="E623" t="inlineStr">
        <is>
          <t>SOLLEFTEÅ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6170-2022</t>
        </is>
      </c>
      <c r="B624" s="1" t="n">
        <v>44599</v>
      </c>
      <c r="C624" s="1" t="n">
        <v>45908</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14065-2022</t>
        </is>
      </c>
      <c r="B625" s="1" t="n">
        <v>44650</v>
      </c>
      <c r="C625" s="1" t="n">
        <v>45908</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19949-2025</t>
        </is>
      </c>
      <c r="B626" s="1" t="n">
        <v>45771.65688657408</v>
      </c>
      <c r="C626" s="1" t="n">
        <v>45908</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48021-2024</t>
        </is>
      </c>
      <c r="B627" s="1" t="n">
        <v>45589.47032407407</v>
      </c>
      <c r="C627" s="1" t="n">
        <v>45908</v>
      </c>
      <c r="D627" t="inlineStr">
        <is>
          <t>VÄSTERNORRLANDS LÄN</t>
        </is>
      </c>
      <c r="E627" t="inlineStr">
        <is>
          <t>SOLLEFTEÅ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3873-2025</t>
        </is>
      </c>
      <c r="B628" s="1" t="n">
        <v>45684</v>
      </c>
      <c r="C628" s="1" t="n">
        <v>45908</v>
      </c>
      <c r="D628" t="inlineStr">
        <is>
          <t>VÄSTERNORRLANDS LÄN</t>
        </is>
      </c>
      <c r="E628" t="inlineStr">
        <is>
          <t>SOLLEFTEÅ</t>
        </is>
      </c>
      <c r="G628" t="n">
        <v>0.7</v>
      </c>
      <c r="H628" t="n">
        <v>0</v>
      </c>
      <c r="I628" t="n">
        <v>0</v>
      </c>
      <c r="J628" t="n">
        <v>0</v>
      </c>
      <c r="K628" t="n">
        <v>0</v>
      </c>
      <c r="L628" t="n">
        <v>0</v>
      </c>
      <c r="M628" t="n">
        <v>0</v>
      </c>
      <c r="N628" t="n">
        <v>0</v>
      </c>
      <c r="O628" t="n">
        <v>0</v>
      </c>
      <c r="P628" t="n">
        <v>0</v>
      </c>
      <c r="Q628" t="n">
        <v>0</v>
      </c>
      <c r="R628" s="2" t="inlineStr"/>
    </row>
    <row r="629" ht="15" customHeight="1">
      <c r="A629" t="inlineStr">
        <is>
          <t>A 27293-2024</t>
        </is>
      </c>
      <c r="B629" s="1" t="n">
        <v>45471.94259259259</v>
      </c>
      <c r="C629" s="1" t="n">
        <v>45908</v>
      </c>
      <c r="D629" t="inlineStr">
        <is>
          <t>VÄSTERNORRLANDS LÄN</t>
        </is>
      </c>
      <c r="E629" t="inlineStr">
        <is>
          <t>SOLLEFTEÅ</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45908</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45908</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54571-2020</t>
        </is>
      </c>
      <c r="B632" s="1" t="n">
        <v>44126</v>
      </c>
      <c r="C632" s="1" t="n">
        <v>45908</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36579-2021</t>
        </is>
      </c>
      <c r="B633" s="1" t="n">
        <v>44391.59509259259</v>
      </c>
      <c r="C633" s="1" t="n">
        <v>45908</v>
      </c>
      <c r="D633" t="inlineStr">
        <is>
          <t>VÄSTERNORRLANDS LÄN</t>
        </is>
      </c>
      <c r="E633" t="inlineStr">
        <is>
          <t>SOLLEFTEÅ</t>
        </is>
      </c>
      <c r="G633" t="n">
        <v>6.9</v>
      </c>
      <c r="H633" t="n">
        <v>0</v>
      </c>
      <c r="I633" t="n">
        <v>0</v>
      </c>
      <c r="J633" t="n">
        <v>0</v>
      </c>
      <c r="K633" t="n">
        <v>0</v>
      </c>
      <c r="L633" t="n">
        <v>0</v>
      </c>
      <c r="M633" t="n">
        <v>0</v>
      </c>
      <c r="N633" t="n">
        <v>0</v>
      </c>
      <c r="O633" t="n">
        <v>0</v>
      </c>
      <c r="P633" t="n">
        <v>0</v>
      </c>
      <c r="Q633" t="n">
        <v>0</v>
      </c>
      <c r="R633" s="2" t="inlineStr"/>
    </row>
    <row r="634" ht="15" customHeight="1">
      <c r="A634" t="inlineStr">
        <is>
          <t>A 8893-2025</t>
        </is>
      </c>
      <c r="B634" s="1" t="n">
        <v>45713.4065162037</v>
      </c>
      <c r="C634" s="1" t="n">
        <v>45908</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8894-2025</t>
        </is>
      </c>
      <c r="B635" s="1" t="n">
        <v>45713.40665509259</v>
      </c>
      <c r="C635" s="1" t="n">
        <v>45908</v>
      </c>
      <c r="D635" t="inlineStr">
        <is>
          <t>VÄSTERNORRLANDS LÄN</t>
        </is>
      </c>
      <c r="E635" t="inlineStr">
        <is>
          <t>SOLLEFTEÅ</t>
        </is>
      </c>
      <c r="G635" t="n">
        <v>8.4</v>
      </c>
      <c r="H635" t="n">
        <v>0</v>
      </c>
      <c r="I635" t="n">
        <v>0</v>
      </c>
      <c r="J635" t="n">
        <v>0</v>
      </c>
      <c r="K635" t="n">
        <v>0</v>
      </c>
      <c r="L635" t="n">
        <v>0</v>
      </c>
      <c r="M635" t="n">
        <v>0</v>
      </c>
      <c r="N635" t="n">
        <v>0</v>
      </c>
      <c r="O635" t="n">
        <v>0</v>
      </c>
      <c r="P635" t="n">
        <v>0</v>
      </c>
      <c r="Q635" t="n">
        <v>0</v>
      </c>
      <c r="R635" s="2" t="inlineStr"/>
    </row>
    <row r="636" ht="15" customHeight="1">
      <c r="A636" t="inlineStr">
        <is>
          <t>A 3276-2025</t>
        </is>
      </c>
      <c r="B636" s="1" t="n">
        <v>45679.59986111111</v>
      </c>
      <c r="C636" s="1" t="n">
        <v>45908</v>
      </c>
      <c r="D636" t="inlineStr">
        <is>
          <t>VÄSTERNORRLANDS LÄN</t>
        </is>
      </c>
      <c r="E636" t="inlineStr">
        <is>
          <t>SOLLEFTEÅ</t>
        </is>
      </c>
      <c r="G636" t="n">
        <v>4.2</v>
      </c>
      <c r="H636" t="n">
        <v>0</v>
      </c>
      <c r="I636" t="n">
        <v>0</v>
      </c>
      <c r="J636" t="n">
        <v>0</v>
      </c>
      <c r="K636" t="n">
        <v>0</v>
      </c>
      <c r="L636" t="n">
        <v>0</v>
      </c>
      <c r="M636" t="n">
        <v>0</v>
      </c>
      <c r="N636" t="n">
        <v>0</v>
      </c>
      <c r="O636" t="n">
        <v>0</v>
      </c>
      <c r="P636" t="n">
        <v>0</v>
      </c>
      <c r="Q636" t="n">
        <v>0</v>
      </c>
      <c r="R636" s="2" t="inlineStr"/>
    </row>
    <row r="637" ht="15" customHeight="1">
      <c r="A637" t="inlineStr">
        <is>
          <t>A 20950-2022</t>
        </is>
      </c>
      <c r="B637" s="1" t="n">
        <v>44701</v>
      </c>
      <c r="C637" s="1" t="n">
        <v>45908</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5038-2024</t>
        </is>
      </c>
      <c r="B638" s="1" t="n">
        <v>45329.88456018519</v>
      </c>
      <c r="C638" s="1" t="n">
        <v>45908</v>
      </c>
      <c r="D638" t="inlineStr">
        <is>
          <t>VÄSTERNORRLANDS LÄN</t>
        </is>
      </c>
      <c r="E638" t="inlineStr">
        <is>
          <t>SOLLEFTEÅ</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12135-2023</t>
        </is>
      </c>
      <c r="B639" s="1" t="n">
        <v>44995</v>
      </c>
      <c r="C639" s="1" t="n">
        <v>45908</v>
      </c>
      <c r="D639" t="inlineStr">
        <is>
          <t>VÄSTERNORRLANDS LÄN</t>
        </is>
      </c>
      <c r="E639" t="inlineStr">
        <is>
          <t>SOLLEFTEÅ</t>
        </is>
      </c>
      <c r="G639" t="n">
        <v>5.7</v>
      </c>
      <c r="H639" t="n">
        <v>0</v>
      </c>
      <c r="I639" t="n">
        <v>0</v>
      </c>
      <c r="J639" t="n">
        <v>0</v>
      </c>
      <c r="K639" t="n">
        <v>0</v>
      </c>
      <c r="L639" t="n">
        <v>0</v>
      </c>
      <c r="M639" t="n">
        <v>0</v>
      </c>
      <c r="N639" t="n">
        <v>0</v>
      </c>
      <c r="O639" t="n">
        <v>0</v>
      </c>
      <c r="P639" t="n">
        <v>0</v>
      </c>
      <c r="Q639" t="n">
        <v>0</v>
      </c>
      <c r="R639" s="2" t="inlineStr"/>
    </row>
    <row r="640" ht="15" customHeight="1">
      <c r="A640" t="inlineStr">
        <is>
          <t>A 60495-2024</t>
        </is>
      </c>
      <c r="B640" s="1" t="n">
        <v>45643.65700231482</v>
      </c>
      <c r="C640" s="1" t="n">
        <v>45908</v>
      </c>
      <c r="D640" t="inlineStr">
        <is>
          <t>VÄSTERNORRLANDS LÄN</t>
        </is>
      </c>
      <c r="E640" t="inlineStr">
        <is>
          <t>SOLLEFTEÅ</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23445-2022</t>
        </is>
      </c>
      <c r="B641" s="1" t="n">
        <v>44720.94123842593</v>
      </c>
      <c r="C641" s="1" t="n">
        <v>45908</v>
      </c>
      <c r="D641" t="inlineStr">
        <is>
          <t>VÄSTERNORRLANDS LÄN</t>
        </is>
      </c>
      <c r="E641" t="inlineStr">
        <is>
          <t>SOLLEFTEÅ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59334-2020</t>
        </is>
      </c>
      <c r="B642" s="1" t="n">
        <v>44147</v>
      </c>
      <c r="C642" s="1" t="n">
        <v>45908</v>
      </c>
      <c r="D642" t="inlineStr">
        <is>
          <t>VÄSTERNORRLANDS LÄN</t>
        </is>
      </c>
      <c r="E642" t="inlineStr">
        <is>
          <t>SOLLEFTEÅ</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16093-2022</t>
        </is>
      </c>
      <c r="B643" s="1" t="n">
        <v>44665</v>
      </c>
      <c r="C643" s="1" t="n">
        <v>45908</v>
      </c>
      <c r="D643" t="inlineStr">
        <is>
          <t>VÄSTERNORRLANDS LÄN</t>
        </is>
      </c>
      <c r="E643" t="inlineStr">
        <is>
          <t>SOLLEFTEÅ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32969-2022</t>
        </is>
      </c>
      <c r="B644" s="1" t="n">
        <v>44784.9402662037</v>
      </c>
      <c r="C644" s="1" t="n">
        <v>45908</v>
      </c>
      <c r="D644" t="inlineStr">
        <is>
          <t>VÄSTERNORRLANDS LÄN</t>
        </is>
      </c>
      <c r="E644" t="inlineStr">
        <is>
          <t>SOLLEFTEÅ</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58357-2024</t>
        </is>
      </c>
      <c r="B645" s="1" t="n">
        <v>45632</v>
      </c>
      <c r="C645" s="1" t="n">
        <v>45908</v>
      </c>
      <c r="D645" t="inlineStr">
        <is>
          <t>VÄSTERNORRLANDS LÄN</t>
        </is>
      </c>
      <c r="E645" t="inlineStr">
        <is>
          <t>SOLLEFTEÅ</t>
        </is>
      </c>
      <c r="G645" t="n">
        <v>3.3</v>
      </c>
      <c r="H645" t="n">
        <v>0</v>
      </c>
      <c r="I645" t="n">
        <v>0</v>
      </c>
      <c r="J645" t="n">
        <v>0</v>
      </c>
      <c r="K645" t="n">
        <v>0</v>
      </c>
      <c r="L645" t="n">
        <v>0</v>
      </c>
      <c r="M645" t="n">
        <v>0</v>
      </c>
      <c r="N645" t="n">
        <v>0</v>
      </c>
      <c r="O645" t="n">
        <v>0</v>
      </c>
      <c r="P645" t="n">
        <v>0</v>
      </c>
      <c r="Q645" t="n">
        <v>0</v>
      </c>
      <c r="R645" s="2" t="inlineStr"/>
    </row>
    <row r="646" ht="15" customHeight="1">
      <c r="A646" t="inlineStr">
        <is>
          <t>A 58360-2024</t>
        </is>
      </c>
      <c r="B646" s="1" t="n">
        <v>45632</v>
      </c>
      <c r="C646" s="1" t="n">
        <v>45908</v>
      </c>
      <c r="D646" t="inlineStr">
        <is>
          <t>VÄSTERNORRLANDS LÄN</t>
        </is>
      </c>
      <c r="E646" t="inlineStr">
        <is>
          <t>SOLLEFTEÅ</t>
        </is>
      </c>
      <c r="G646" t="n">
        <v>3.7</v>
      </c>
      <c r="H646" t="n">
        <v>0</v>
      </c>
      <c r="I646" t="n">
        <v>0</v>
      </c>
      <c r="J646" t="n">
        <v>0</v>
      </c>
      <c r="K646" t="n">
        <v>0</v>
      </c>
      <c r="L646" t="n">
        <v>0</v>
      </c>
      <c r="M646" t="n">
        <v>0</v>
      </c>
      <c r="N646" t="n">
        <v>0</v>
      </c>
      <c r="O646" t="n">
        <v>0</v>
      </c>
      <c r="P646" t="n">
        <v>0</v>
      </c>
      <c r="Q646" t="n">
        <v>0</v>
      </c>
      <c r="R646" s="2" t="inlineStr"/>
    </row>
    <row r="647" ht="15" customHeight="1">
      <c r="A647" t="inlineStr">
        <is>
          <t>A 46130-2022</t>
        </is>
      </c>
      <c r="B647" s="1" t="n">
        <v>44844</v>
      </c>
      <c r="C647" s="1" t="n">
        <v>45908</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33241-2024</t>
        </is>
      </c>
      <c r="B648" s="1" t="n">
        <v>45518.60484953703</v>
      </c>
      <c r="C648" s="1" t="n">
        <v>45908</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64013-2023</t>
        </is>
      </c>
      <c r="B649" s="1" t="n">
        <v>45278</v>
      </c>
      <c r="C649" s="1" t="n">
        <v>45908</v>
      </c>
      <c r="D649" t="inlineStr">
        <is>
          <t>VÄSTERNORRLANDS LÄN</t>
        </is>
      </c>
      <c r="E649" t="inlineStr">
        <is>
          <t>SOLLEFTEÅ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10077-2023</t>
        </is>
      </c>
      <c r="B650" s="1" t="n">
        <v>44985.94408564815</v>
      </c>
      <c r="C650" s="1" t="n">
        <v>45908</v>
      </c>
      <c r="D650" t="inlineStr">
        <is>
          <t>VÄSTERNORRLANDS LÄN</t>
        </is>
      </c>
      <c r="E650" t="inlineStr">
        <is>
          <t>SOLLEFTEÅ</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47268-2022</t>
        </is>
      </c>
      <c r="B651" s="1" t="n">
        <v>44852.94989583334</v>
      </c>
      <c r="C651" s="1" t="n">
        <v>45908</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282-2023</t>
        </is>
      </c>
      <c r="B652" s="1" t="n">
        <v>44928</v>
      </c>
      <c r="C652" s="1" t="n">
        <v>45908</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5001-2023</t>
        </is>
      </c>
      <c r="B653" s="1" t="n">
        <v>44956</v>
      </c>
      <c r="C653" s="1" t="n">
        <v>45908</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10968-2025</t>
        </is>
      </c>
      <c r="B654" s="1" t="n">
        <v>45723.38619212963</v>
      </c>
      <c r="C654" s="1" t="n">
        <v>45908</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10971-2025</t>
        </is>
      </c>
      <c r="B655" s="1" t="n">
        <v>45723.38659722222</v>
      </c>
      <c r="C655" s="1" t="n">
        <v>45908</v>
      </c>
      <c r="D655" t="inlineStr">
        <is>
          <t>VÄSTERNORRLANDS LÄN</t>
        </is>
      </c>
      <c r="E655" t="inlineStr">
        <is>
          <t>SOLLEFTEÅ</t>
        </is>
      </c>
      <c r="F655" t="inlineStr">
        <is>
          <t>SCA</t>
        </is>
      </c>
      <c r="G655" t="n">
        <v>0.2</v>
      </c>
      <c r="H655" t="n">
        <v>0</v>
      </c>
      <c r="I655" t="n">
        <v>0</v>
      </c>
      <c r="J655" t="n">
        <v>0</v>
      </c>
      <c r="K655" t="n">
        <v>0</v>
      </c>
      <c r="L655" t="n">
        <v>0</v>
      </c>
      <c r="M655" t="n">
        <v>0</v>
      </c>
      <c r="N655" t="n">
        <v>0</v>
      </c>
      <c r="O655" t="n">
        <v>0</v>
      </c>
      <c r="P655" t="n">
        <v>0</v>
      </c>
      <c r="Q655" t="n">
        <v>0</v>
      </c>
      <c r="R655" s="2" t="inlineStr"/>
    </row>
    <row r="656" ht="15" customHeight="1">
      <c r="A656" t="inlineStr">
        <is>
          <t>A 49253-2024</t>
        </is>
      </c>
      <c r="B656" s="1" t="n">
        <v>45595</v>
      </c>
      <c r="C656" s="1" t="n">
        <v>45908</v>
      </c>
      <c r="D656" t="inlineStr">
        <is>
          <t>VÄSTERNORRLANDS LÄN</t>
        </is>
      </c>
      <c r="E656" t="inlineStr">
        <is>
          <t>SOLLEFTEÅ</t>
        </is>
      </c>
      <c r="G656" t="n">
        <v>5.2</v>
      </c>
      <c r="H656" t="n">
        <v>0</v>
      </c>
      <c r="I656" t="n">
        <v>0</v>
      </c>
      <c r="J656" t="n">
        <v>0</v>
      </c>
      <c r="K656" t="n">
        <v>0</v>
      </c>
      <c r="L656" t="n">
        <v>0</v>
      </c>
      <c r="M656" t="n">
        <v>0</v>
      </c>
      <c r="N656" t="n">
        <v>0</v>
      </c>
      <c r="O656" t="n">
        <v>0</v>
      </c>
      <c r="P656" t="n">
        <v>0</v>
      </c>
      <c r="Q656" t="n">
        <v>0</v>
      </c>
      <c r="R656" s="2" t="inlineStr"/>
    </row>
    <row r="657" ht="15" customHeight="1">
      <c r="A657" t="inlineStr">
        <is>
          <t>A 58688-2021</t>
        </is>
      </c>
      <c r="B657" s="1" t="n">
        <v>44489</v>
      </c>
      <c r="C657" s="1" t="n">
        <v>45908</v>
      </c>
      <c r="D657" t="inlineStr">
        <is>
          <t>VÄSTERNORRLANDS LÄN</t>
        </is>
      </c>
      <c r="E657" t="inlineStr">
        <is>
          <t>SOLLEFTEÅ</t>
        </is>
      </c>
      <c r="G657" t="n">
        <v>2.3</v>
      </c>
      <c r="H657" t="n">
        <v>0</v>
      </c>
      <c r="I657" t="n">
        <v>0</v>
      </c>
      <c r="J657" t="n">
        <v>0</v>
      </c>
      <c r="K657" t="n">
        <v>0</v>
      </c>
      <c r="L657" t="n">
        <v>0</v>
      </c>
      <c r="M657" t="n">
        <v>0</v>
      </c>
      <c r="N657" t="n">
        <v>0</v>
      </c>
      <c r="O657" t="n">
        <v>0</v>
      </c>
      <c r="P657" t="n">
        <v>0</v>
      </c>
      <c r="Q657" t="n">
        <v>0</v>
      </c>
      <c r="R657" s="2" t="inlineStr"/>
    </row>
    <row r="658" ht="15" customHeight="1">
      <c r="A658" t="inlineStr">
        <is>
          <t>A 34311-2023</t>
        </is>
      </c>
      <c r="B658" s="1" t="n">
        <v>45138.92317129629</v>
      </c>
      <c r="C658" s="1" t="n">
        <v>45908</v>
      </c>
      <c r="D658" t="inlineStr">
        <is>
          <t>VÄSTERNORRLANDS LÄN</t>
        </is>
      </c>
      <c r="E658" t="inlineStr">
        <is>
          <t>SOLLEFTEÅ</t>
        </is>
      </c>
      <c r="G658" t="n">
        <v>0.5</v>
      </c>
      <c r="H658" t="n">
        <v>0</v>
      </c>
      <c r="I658" t="n">
        <v>0</v>
      </c>
      <c r="J658" t="n">
        <v>0</v>
      </c>
      <c r="K658" t="n">
        <v>0</v>
      </c>
      <c r="L658" t="n">
        <v>0</v>
      </c>
      <c r="M658" t="n">
        <v>0</v>
      </c>
      <c r="N658" t="n">
        <v>0</v>
      </c>
      <c r="O658" t="n">
        <v>0</v>
      </c>
      <c r="P658" t="n">
        <v>0</v>
      </c>
      <c r="Q658" t="n">
        <v>0</v>
      </c>
      <c r="R658" s="2" t="inlineStr"/>
    </row>
    <row r="659" ht="15" customHeight="1">
      <c r="A659" t="inlineStr">
        <is>
          <t>A 19414-2022</t>
        </is>
      </c>
      <c r="B659" s="1" t="n">
        <v>44693</v>
      </c>
      <c r="C659" s="1" t="n">
        <v>45908</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26498-2021</t>
        </is>
      </c>
      <c r="B660" s="1" t="n">
        <v>44348</v>
      </c>
      <c r="C660" s="1" t="n">
        <v>45908</v>
      </c>
      <c r="D660" t="inlineStr">
        <is>
          <t>VÄSTERNORRLANDS LÄN</t>
        </is>
      </c>
      <c r="E660" t="inlineStr">
        <is>
          <t>SOLLEFTEÅ</t>
        </is>
      </c>
      <c r="G660" t="n">
        <v>7.8</v>
      </c>
      <c r="H660" t="n">
        <v>0</v>
      </c>
      <c r="I660" t="n">
        <v>0</v>
      </c>
      <c r="J660" t="n">
        <v>0</v>
      </c>
      <c r="K660" t="n">
        <v>0</v>
      </c>
      <c r="L660" t="n">
        <v>0</v>
      </c>
      <c r="M660" t="n">
        <v>0</v>
      </c>
      <c r="N660" t="n">
        <v>0</v>
      </c>
      <c r="O660" t="n">
        <v>0</v>
      </c>
      <c r="P660" t="n">
        <v>0</v>
      </c>
      <c r="Q660" t="n">
        <v>0</v>
      </c>
      <c r="R660" s="2" t="inlineStr"/>
    </row>
    <row r="661" ht="15" customHeight="1">
      <c r="A661" t="inlineStr">
        <is>
          <t>A 58573-2021</t>
        </is>
      </c>
      <c r="B661" s="1" t="n">
        <v>44488</v>
      </c>
      <c r="C661" s="1" t="n">
        <v>45908</v>
      </c>
      <c r="D661" t="inlineStr">
        <is>
          <t>VÄSTERNORRLANDS LÄN</t>
        </is>
      </c>
      <c r="E661" t="inlineStr">
        <is>
          <t>SOLLEFTEÅ</t>
        </is>
      </c>
      <c r="G661" t="n">
        <v>0.3</v>
      </c>
      <c r="H661" t="n">
        <v>0</v>
      </c>
      <c r="I661" t="n">
        <v>0</v>
      </c>
      <c r="J661" t="n">
        <v>0</v>
      </c>
      <c r="K661" t="n">
        <v>0</v>
      </c>
      <c r="L661" t="n">
        <v>0</v>
      </c>
      <c r="M661" t="n">
        <v>0</v>
      </c>
      <c r="N661" t="n">
        <v>0</v>
      </c>
      <c r="O661" t="n">
        <v>0</v>
      </c>
      <c r="P661" t="n">
        <v>0</v>
      </c>
      <c r="Q661" t="n">
        <v>0</v>
      </c>
      <c r="R661" s="2" t="inlineStr"/>
    </row>
    <row r="662" ht="15" customHeight="1">
      <c r="A662" t="inlineStr">
        <is>
          <t>A 21715-2022</t>
        </is>
      </c>
      <c r="B662" s="1" t="n">
        <v>44707.94020833333</v>
      </c>
      <c r="C662" s="1" t="n">
        <v>45908</v>
      </c>
      <c r="D662" t="inlineStr">
        <is>
          <t>VÄSTERNORRLANDS LÄN</t>
        </is>
      </c>
      <c r="E662" t="inlineStr">
        <is>
          <t>SOLLEFTEÅ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43766-2022</t>
        </is>
      </c>
      <c r="B663" s="1" t="n">
        <v>44837.92642361111</v>
      </c>
      <c r="C663" s="1" t="n">
        <v>45908</v>
      </c>
      <c r="D663" t="inlineStr">
        <is>
          <t>VÄSTERNORRLANDS LÄN</t>
        </is>
      </c>
      <c r="E663" t="inlineStr">
        <is>
          <t>SOLLEFTEÅ</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43512-2023</t>
        </is>
      </c>
      <c r="B664" s="1" t="n">
        <v>45181</v>
      </c>
      <c r="C664" s="1" t="n">
        <v>45908</v>
      </c>
      <c r="D664" t="inlineStr">
        <is>
          <t>VÄSTERNORRLANDS LÄN</t>
        </is>
      </c>
      <c r="E664" t="inlineStr">
        <is>
          <t>SOLLEFTEÅ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13697-2023</t>
        </is>
      </c>
      <c r="B665" s="1" t="n">
        <v>45006.94445601852</v>
      </c>
      <c r="C665" s="1" t="n">
        <v>45908</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11455-2025</t>
        </is>
      </c>
      <c r="B666" s="1" t="n">
        <v>45726.64886574074</v>
      </c>
      <c r="C666" s="1" t="n">
        <v>45908</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10138-2022</t>
        </is>
      </c>
      <c r="B667" s="1" t="n">
        <v>44621.94612268519</v>
      </c>
      <c r="C667" s="1" t="n">
        <v>45908</v>
      </c>
      <c r="D667" t="inlineStr">
        <is>
          <t>VÄSTERNORRLANDS LÄN</t>
        </is>
      </c>
      <c r="E667" t="inlineStr">
        <is>
          <t>SOLLEFTEÅ</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57922-2024</t>
        </is>
      </c>
      <c r="B668" s="1" t="n">
        <v>45631.5107175926</v>
      </c>
      <c r="C668" s="1" t="n">
        <v>45908</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11746-2025</t>
        </is>
      </c>
      <c r="B669" s="1" t="n">
        <v>45727.63577546296</v>
      </c>
      <c r="C669" s="1" t="n">
        <v>45908</v>
      </c>
      <c r="D669" t="inlineStr">
        <is>
          <t>VÄSTERNORRLANDS LÄN</t>
        </is>
      </c>
      <c r="E669" t="inlineStr">
        <is>
          <t>SOLLEFTEÅ</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51847-2021</t>
        </is>
      </c>
      <c r="B670" s="1" t="n">
        <v>44462.69077546296</v>
      </c>
      <c r="C670" s="1" t="n">
        <v>45908</v>
      </c>
      <c r="D670" t="inlineStr">
        <is>
          <t>VÄSTERNORRLANDS LÄN</t>
        </is>
      </c>
      <c r="E670" t="inlineStr">
        <is>
          <t>SOLLEFTEÅ</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55859-2023</t>
        </is>
      </c>
      <c r="B671" s="1" t="n">
        <v>45239</v>
      </c>
      <c r="C671" s="1" t="n">
        <v>45908</v>
      </c>
      <c r="D671" t="inlineStr">
        <is>
          <t>VÄSTERNORRLANDS LÄN</t>
        </is>
      </c>
      <c r="E671" t="inlineStr">
        <is>
          <t>SOLLEFTEÅ</t>
        </is>
      </c>
      <c r="F671" t="inlineStr">
        <is>
          <t>Kommuner</t>
        </is>
      </c>
      <c r="G671" t="n">
        <v>0.1</v>
      </c>
      <c r="H671" t="n">
        <v>0</v>
      </c>
      <c r="I671" t="n">
        <v>0</v>
      </c>
      <c r="J671" t="n">
        <v>0</v>
      </c>
      <c r="K671" t="n">
        <v>0</v>
      </c>
      <c r="L671" t="n">
        <v>0</v>
      </c>
      <c r="M671" t="n">
        <v>0</v>
      </c>
      <c r="N671" t="n">
        <v>0</v>
      </c>
      <c r="O671" t="n">
        <v>0</v>
      </c>
      <c r="P671" t="n">
        <v>0</v>
      </c>
      <c r="Q671" t="n">
        <v>0</v>
      </c>
      <c r="R671" s="2" t="inlineStr"/>
    </row>
    <row r="672" ht="15" customHeight="1">
      <c r="A672" t="inlineStr">
        <is>
          <t>A 4131-2025</t>
        </is>
      </c>
      <c r="B672" s="1" t="n">
        <v>45685.34508101852</v>
      </c>
      <c r="C672" s="1" t="n">
        <v>45908</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3368-2025</t>
        </is>
      </c>
      <c r="B673" s="1" t="n">
        <v>45679</v>
      </c>
      <c r="C673" s="1" t="n">
        <v>45908</v>
      </c>
      <c r="D673" t="inlineStr">
        <is>
          <t>VÄSTERNORRLANDS LÄN</t>
        </is>
      </c>
      <c r="E673" t="inlineStr">
        <is>
          <t>SOLLEFTEÅ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30063-2024</t>
        </is>
      </c>
      <c r="B674" s="1" t="n">
        <v>45488.94841435185</v>
      </c>
      <c r="C674" s="1" t="n">
        <v>45908</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59317-2024</t>
        </is>
      </c>
      <c r="B675" s="1" t="n">
        <v>45637.69873842593</v>
      </c>
      <c r="C675" s="1" t="n">
        <v>45908</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17032-2025</t>
        </is>
      </c>
      <c r="B676" s="1" t="n">
        <v>45755</v>
      </c>
      <c r="C676" s="1" t="n">
        <v>45908</v>
      </c>
      <c r="D676" t="inlineStr">
        <is>
          <t>VÄSTERNORRLANDS LÄN</t>
        </is>
      </c>
      <c r="E676" t="inlineStr">
        <is>
          <t>SOLLEFTEÅ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20223-2024</t>
        </is>
      </c>
      <c r="B677" s="1" t="n">
        <v>45434</v>
      </c>
      <c r="C677" s="1" t="n">
        <v>45908</v>
      </c>
      <c r="D677" t="inlineStr">
        <is>
          <t>VÄSTERNORRLANDS LÄN</t>
        </is>
      </c>
      <c r="E677" t="inlineStr">
        <is>
          <t>SOLLEFTEÅ</t>
        </is>
      </c>
      <c r="G677" t="n">
        <v>5.5</v>
      </c>
      <c r="H677" t="n">
        <v>0</v>
      </c>
      <c r="I677" t="n">
        <v>0</v>
      </c>
      <c r="J677" t="n">
        <v>0</v>
      </c>
      <c r="K677" t="n">
        <v>0</v>
      </c>
      <c r="L677" t="n">
        <v>0</v>
      </c>
      <c r="M677" t="n">
        <v>0</v>
      </c>
      <c r="N677" t="n">
        <v>0</v>
      </c>
      <c r="O677" t="n">
        <v>0</v>
      </c>
      <c r="P677" t="n">
        <v>0</v>
      </c>
      <c r="Q677" t="n">
        <v>0</v>
      </c>
      <c r="R677" s="2" t="inlineStr"/>
    </row>
    <row r="678" ht="15" customHeight="1">
      <c r="A678" t="inlineStr">
        <is>
          <t>A 15273-2025</t>
        </is>
      </c>
      <c r="B678" s="1" t="n">
        <v>45744.67740740741</v>
      </c>
      <c r="C678" s="1" t="n">
        <v>45908</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20550-2025</t>
        </is>
      </c>
      <c r="B679" s="1" t="n">
        <v>45775.6360300926</v>
      </c>
      <c r="C679" s="1" t="n">
        <v>45908</v>
      </c>
      <c r="D679" t="inlineStr">
        <is>
          <t>VÄSTERNORRLANDS LÄN</t>
        </is>
      </c>
      <c r="E679" t="inlineStr">
        <is>
          <t>SOLLEFTEÅ</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20516-2024</t>
        </is>
      </c>
      <c r="B680" s="1" t="n">
        <v>45435</v>
      </c>
      <c r="C680" s="1" t="n">
        <v>45908</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57492-2024</t>
        </is>
      </c>
      <c r="B681" s="1" t="n">
        <v>45630.36827546296</v>
      </c>
      <c r="C681" s="1" t="n">
        <v>45908</v>
      </c>
      <c r="D681" t="inlineStr">
        <is>
          <t>VÄSTERNORRLANDS LÄN</t>
        </is>
      </c>
      <c r="E681" t="inlineStr">
        <is>
          <t>SOLLEFTEÅ</t>
        </is>
      </c>
      <c r="F681" t="inlineStr">
        <is>
          <t>Holmen skog AB</t>
        </is>
      </c>
      <c r="G681" t="n">
        <v>0.2</v>
      </c>
      <c r="H681" t="n">
        <v>0</v>
      </c>
      <c r="I681" t="n">
        <v>0</v>
      </c>
      <c r="J681" t="n">
        <v>0</v>
      </c>
      <c r="K681" t="n">
        <v>0</v>
      </c>
      <c r="L681" t="n">
        <v>0</v>
      </c>
      <c r="M681" t="n">
        <v>0</v>
      </c>
      <c r="N681" t="n">
        <v>0</v>
      </c>
      <c r="O681" t="n">
        <v>0</v>
      </c>
      <c r="P681" t="n">
        <v>0</v>
      </c>
      <c r="Q681" t="n">
        <v>0</v>
      </c>
      <c r="R681" s="2" t="inlineStr"/>
    </row>
    <row r="682" ht="15" customHeight="1">
      <c r="A682" t="inlineStr">
        <is>
          <t>A 945-2025</t>
        </is>
      </c>
      <c r="B682" s="1" t="n">
        <v>45666.34412037037</v>
      </c>
      <c r="C682" s="1" t="n">
        <v>45908</v>
      </c>
      <c r="D682" t="inlineStr">
        <is>
          <t>VÄSTERNORRLANDS LÄN</t>
        </is>
      </c>
      <c r="E682" t="inlineStr">
        <is>
          <t>SOLLEFTEÅ</t>
        </is>
      </c>
      <c r="F682" t="inlineStr">
        <is>
          <t>SCA</t>
        </is>
      </c>
      <c r="G682" t="n">
        <v>36.6</v>
      </c>
      <c r="H682" t="n">
        <v>0</v>
      </c>
      <c r="I682" t="n">
        <v>0</v>
      </c>
      <c r="J682" t="n">
        <v>0</v>
      </c>
      <c r="K682" t="n">
        <v>0</v>
      </c>
      <c r="L682" t="n">
        <v>0</v>
      </c>
      <c r="M682" t="n">
        <v>0</v>
      </c>
      <c r="N682" t="n">
        <v>0</v>
      </c>
      <c r="O682" t="n">
        <v>0</v>
      </c>
      <c r="P682" t="n">
        <v>0</v>
      </c>
      <c r="Q682" t="n">
        <v>0</v>
      </c>
      <c r="R682" s="2" t="inlineStr"/>
    </row>
    <row r="683" ht="15" customHeight="1">
      <c r="A683" t="inlineStr">
        <is>
          <t>A 59388-2024</t>
        </is>
      </c>
      <c r="B683" s="1" t="n">
        <v>45638.365</v>
      </c>
      <c r="C683" s="1" t="n">
        <v>45908</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23527-2023</t>
        </is>
      </c>
      <c r="B684" s="1" t="n">
        <v>45076</v>
      </c>
      <c r="C684" s="1" t="n">
        <v>45908</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18696-2025</t>
        </is>
      </c>
      <c r="B685" s="1" t="n">
        <v>45763.61578703704</v>
      </c>
      <c r="C685" s="1" t="n">
        <v>45908</v>
      </c>
      <c r="D685" t="inlineStr">
        <is>
          <t>VÄSTERNORRLANDS LÄN</t>
        </is>
      </c>
      <c r="E685" t="inlineStr">
        <is>
          <t>SOLLEFTEÅ</t>
        </is>
      </c>
      <c r="F685" t="inlineStr">
        <is>
          <t>SCA</t>
        </is>
      </c>
      <c r="G685" t="n">
        <v>11.4</v>
      </c>
      <c r="H685" t="n">
        <v>0</v>
      </c>
      <c r="I685" t="n">
        <v>0</v>
      </c>
      <c r="J685" t="n">
        <v>0</v>
      </c>
      <c r="K685" t="n">
        <v>0</v>
      </c>
      <c r="L685" t="n">
        <v>0</v>
      </c>
      <c r="M685" t="n">
        <v>0</v>
      </c>
      <c r="N685" t="n">
        <v>0</v>
      </c>
      <c r="O685" t="n">
        <v>0</v>
      </c>
      <c r="P685" t="n">
        <v>0</v>
      </c>
      <c r="Q685" t="n">
        <v>0</v>
      </c>
      <c r="R685" s="2" t="inlineStr"/>
    </row>
    <row r="686" ht="15" customHeight="1">
      <c r="A686" t="inlineStr">
        <is>
          <t>A 51341-2024</t>
        </is>
      </c>
      <c r="B686" s="1" t="n">
        <v>45604.34481481482</v>
      </c>
      <c r="C686" s="1" t="n">
        <v>45908</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8670-2023</t>
        </is>
      </c>
      <c r="B687" s="1" t="n">
        <v>44977</v>
      </c>
      <c r="C687" s="1" t="n">
        <v>45908</v>
      </c>
      <c r="D687" t="inlineStr">
        <is>
          <t>VÄSTERNORRLANDS LÄN</t>
        </is>
      </c>
      <c r="E687" t="inlineStr">
        <is>
          <t>SOLLEFTEÅ</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19407-2025</t>
        </is>
      </c>
      <c r="B688" s="1" t="n">
        <v>45769.67832175926</v>
      </c>
      <c r="C688" s="1" t="n">
        <v>45908</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20551-2022</t>
        </is>
      </c>
      <c r="B689" s="1" t="n">
        <v>44699</v>
      </c>
      <c r="C689" s="1" t="n">
        <v>45908</v>
      </c>
      <c r="D689" t="inlineStr">
        <is>
          <t>VÄSTERNORRLANDS LÄN</t>
        </is>
      </c>
      <c r="E689" t="inlineStr">
        <is>
          <t>SOLLEFTEÅ</t>
        </is>
      </c>
      <c r="G689" t="n">
        <v>3</v>
      </c>
      <c r="H689" t="n">
        <v>0</v>
      </c>
      <c r="I689" t="n">
        <v>0</v>
      </c>
      <c r="J689" t="n">
        <v>0</v>
      </c>
      <c r="K689" t="n">
        <v>0</v>
      </c>
      <c r="L689" t="n">
        <v>0</v>
      </c>
      <c r="M689" t="n">
        <v>0</v>
      </c>
      <c r="N689" t="n">
        <v>0</v>
      </c>
      <c r="O689" t="n">
        <v>0</v>
      </c>
      <c r="P689" t="n">
        <v>0</v>
      </c>
      <c r="Q689" t="n">
        <v>0</v>
      </c>
      <c r="R689" s="2" t="inlineStr"/>
    </row>
    <row r="690" ht="15" customHeight="1">
      <c r="A690" t="inlineStr">
        <is>
          <t>A 21109-2025</t>
        </is>
      </c>
      <c r="B690" s="1" t="n">
        <v>45777.67744212963</v>
      </c>
      <c r="C690" s="1" t="n">
        <v>45908</v>
      </c>
      <c r="D690" t="inlineStr">
        <is>
          <t>VÄSTERNORRLANDS LÄN</t>
        </is>
      </c>
      <c r="E690" t="inlineStr">
        <is>
          <t>SOLLEFTEÅ</t>
        </is>
      </c>
      <c r="F690" t="inlineStr">
        <is>
          <t>SCA</t>
        </is>
      </c>
      <c r="G690" t="n">
        <v>38.2</v>
      </c>
      <c r="H690" t="n">
        <v>0</v>
      </c>
      <c r="I690" t="n">
        <v>0</v>
      </c>
      <c r="J690" t="n">
        <v>0</v>
      </c>
      <c r="K690" t="n">
        <v>0</v>
      </c>
      <c r="L690" t="n">
        <v>0</v>
      </c>
      <c r="M690" t="n">
        <v>0</v>
      </c>
      <c r="N690" t="n">
        <v>0</v>
      </c>
      <c r="O690" t="n">
        <v>0</v>
      </c>
      <c r="P690" t="n">
        <v>0</v>
      </c>
      <c r="Q690" t="n">
        <v>0</v>
      </c>
      <c r="R690" s="2" t="inlineStr"/>
    </row>
    <row r="691" ht="15" customHeight="1">
      <c r="A691" t="inlineStr">
        <is>
          <t>A 20867-2025</t>
        </is>
      </c>
      <c r="B691" s="1" t="n">
        <v>45777.34471064815</v>
      </c>
      <c r="C691" s="1" t="n">
        <v>45908</v>
      </c>
      <c r="D691" t="inlineStr">
        <is>
          <t>VÄSTERNORRLANDS LÄN</t>
        </is>
      </c>
      <c r="E691" t="inlineStr">
        <is>
          <t>SOLLEFTEÅ</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17422-2025</t>
        </is>
      </c>
      <c r="B692" s="1" t="n">
        <v>45757.38570601852</v>
      </c>
      <c r="C692" s="1" t="n">
        <v>45908</v>
      </c>
      <c r="D692" t="inlineStr">
        <is>
          <t>VÄSTERNORRLANDS LÄN</t>
        </is>
      </c>
      <c r="E692" t="inlineStr">
        <is>
          <t>SOLLEFTEÅ</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18149-2023</t>
        </is>
      </c>
      <c r="B693" s="1" t="n">
        <v>45040</v>
      </c>
      <c r="C693" s="1" t="n">
        <v>45908</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21088-2025</t>
        </is>
      </c>
      <c r="B694" s="1" t="n">
        <v>45777.61498842593</v>
      </c>
      <c r="C694" s="1" t="n">
        <v>45908</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9089-2025</t>
        </is>
      </c>
      <c r="B695" s="1" t="n">
        <v>45713.67737268518</v>
      </c>
      <c r="C695" s="1" t="n">
        <v>45908</v>
      </c>
      <c r="D695" t="inlineStr">
        <is>
          <t>VÄSTERNORRLANDS LÄN</t>
        </is>
      </c>
      <c r="E695" t="inlineStr">
        <is>
          <t>SOLLEFTEÅ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20638-2025</t>
        </is>
      </c>
      <c r="B696" s="1" t="n">
        <v>45776.36480324074</v>
      </c>
      <c r="C696" s="1" t="n">
        <v>45908</v>
      </c>
      <c r="D696" t="inlineStr">
        <is>
          <t>VÄSTERNORRLANDS LÄN</t>
        </is>
      </c>
      <c r="E696" t="inlineStr">
        <is>
          <t>SOLLEFTEÅ</t>
        </is>
      </c>
      <c r="G696" t="n">
        <v>2.5</v>
      </c>
      <c r="H696" t="n">
        <v>0</v>
      </c>
      <c r="I696" t="n">
        <v>0</v>
      </c>
      <c r="J696" t="n">
        <v>0</v>
      </c>
      <c r="K696" t="n">
        <v>0</v>
      </c>
      <c r="L696" t="n">
        <v>0</v>
      </c>
      <c r="M696" t="n">
        <v>0</v>
      </c>
      <c r="N696" t="n">
        <v>0</v>
      </c>
      <c r="O696" t="n">
        <v>0</v>
      </c>
      <c r="P696" t="n">
        <v>0</v>
      </c>
      <c r="Q696" t="n">
        <v>0</v>
      </c>
      <c r="R696" s="2" t="inlineStr"/>
    </row>
    <row r="697" ht="15" customHeight="1">
      <c r="A697" t="inlineStr">
        <is>
          <t>A 20793-2025</t>
        </is>
      </c>
      <c r="B697" s="1" t="n">
        <v>45776</v>
      </c>
      <c r="C697" s="1" t="n">
        <v>45908</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10437-2025</t>
        </is>
      </c>
      <c r="B698" s="1" t="n">
        <v>45720.67740740741</v>
      </c>
      <c r="C698" s="1" t="n">
        <v>45908</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4897-2025</t>
        </is>
      </c>
      <c r="B699" s="1" t="n">
        <v>45688.67913194445</v>
      </c>
      <c r="C699" s="1" t="n">
        <v>45908</v>
      </c>
      <c r="D699" t="inlineStr">
        <is>
          <t>VÄSTERNORRLANDS LÄN</t>
        </is>
      </c>
      <c r="E699" t="inlineStr">
        <is>
          <t>SOLLEFTEÅ</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20725-2025</t>
        </is>
      </c>
      <c r="B700" s="1" t="n">
        <v>45776.51074074074</v>
      </c>
      <c r="C700" s="1" t="n">
        <v>45908</v>
      </c>
      <c r="D700" t="inlineStr">
        <is>
          <t>VÄSTERNORRLANDS LÄN</t>
        </is>
      </c>
      <c r="E700" t="inlineStr">
        <is>
          <t>SOLLEFTEÅ</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21166-2025</t>
        </is>
      </c>
      <c r="B701" s="1" t="n">
        <v>45779.40658564815</v>
      </c>
      <c r="C701" s="1" t="n">
        <v>45908</v>
      </c>
      <c r="D701" t="inlineStr">
        <is>
          <t>VÄSTERNORRLANDS LÄN</t>
        </is>
      </c>
      <c r="E701" t="inlineStr">
        <is>
          <t>SOLLEFTEÅ</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10094-2023</t>
        </is>
      </c>
      <c r="B702" s="1" t="n">
        <v>44985</v>
      </c>
      <c r="C702" s="1" t="n">
        <v>45908</v>
      </c>
      <c r="D702" t="inlineStr">
        <is>
          <t>VÄSTERNORRLANDS LÄN</t>
        </is>
      </c>
      <c r="E702" t="inlineStr">
        <is>
          <t>SOLLEFTEÅ</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52087-2023</t>
        </is>
      </c>
      <c r="B703" s="1" t="n">
        <v>45223</v>
      </c>
      <c r="C703" s="1" t="n">
        <v>45908</v>
      </c>
      <c r="D703" t="inlineStr">
        <is>
          <t>VÄSTERNORRLANDS LÄN</t>
        </is>
      </c>
      <c r="E703" t="inlineStr">
        <is>
          <t>SOLLEFTEÅ</t>
        </is>
      </c>
      <c r="G703" t="n">
        <v>10.7</v>
      </c>
      <c r="H703" t="n">
        <v>0</v>
      </c>
      <c r="I703" t="n">
        <v>0</v>
      </c>
      <c r="J703" t="n">
        <v>0</v>
      </c>
      <c r="K703" t="n">
        <v>0</v>
      </c>
      <c r="L703" t="n">
        <v>0</v>
      </c>
      <c r="M703" t="n">
        <v>0</v>
      </c>
      <c r="N703" t="n">
        <v>0</v>
      </c>
      <c r="O703" t="n">
        <v>0</v>
      </c>
      <c r="P703" t="n">
        <v>0</v>
      </c>
      <c r="Q703" t="n">
        <v>0</v>
      </c>
      <c r="R703" s="2" t="inlineStr"/>
    </row>
    <row r="704" ht="15" customHeight="1">
      <c r="A704" t="inlineStr">
        <is>
          <t>A 10438-2025</t>
        </is>
      </c>
      <c r="B704" s="1" t="n">
        <v>45720.67761574074</v>
      </c>
      <c r="C704" s="1" t="n">
        <v>45908</v>
      </c>
      <c r="D704" t="inlineStr">
        <is>
          <t>VÄSTERNORRLANDS LÄN</t>
        </is>
      </c>
      <c r="E704" t="inlineStr">
        <is>
          <t>SOLLEFTEÅ</t>
        </is>
      </c>
      <c r="F704" t="inlineStr">
        <is>
          <t>SCA</t>
        </is>
      </c>
      <c r="G704" t="n">
        <v>14.6</v>
      </c>
      <c r="H704" t="n">
        <v>0</v>
      </c>
      <c r="I704" t="n">
        <v>0</v>
      </c>
      <c r="J704" t="n">
        <v>0</v>
      </c>
      <c r="K704" t="n">
        <v>0</v>
      </c>
      <c r="L704" t="n">
        <v>0</v>
      </c>
      <c r="M704" t="n">
        <v>0</v>
      </c>
      <c r="N704" t="n">
        <v>0</v>
      </c>
      <c r="O704" t="n">
        <v>0</v>
      </c>
      <c r="P704" t="n">
        <v>0</v>
      </c>
      <c r="Q704" t="n">
        <v>0</v>
      </c>
      <c r="R704" s="2" t="inlineStr"/>
    </row>
    <row r="705" ht="15" customHeight="1">
      <c r="A705" t="inlineStr">
        <is>
          <t>A 8244-2024</t>
        </is>
      </c>
      <c r="B705" s="1" t="n">
        <v>45351</v>
      </c>
      <c r="C705" s="1" t="n">
        <v>45908</v>
      </c>
      <c r="D705" t="inlineStr">
        <is>
          <t>VÄSTERNORRLANDS LÄN</t>
        </is>
      </c>
      <c r="E705" t="inlineStr">
        <is>
          <t>SOLLEFTEÅ</t>
        </is>
      </c>
      <c r="F705" t="inlineStr">
        <is>
          <t>SCA</t>
        </is>
      </c>
      <c r="G705" t="n">
        <v>0.1</v>
      </c>
      <c r="H705" t="n">
        <v>0</v>
      </c>
      <c r="I705" t="n">
        <v>0</v>
      </c>
      <c r="J705" t="n">
        <v>0</v>
      </c>
      <c r="K705" t="n">
        <v>0</v>
      </c>
      <c r="L705" t="n">
        <v>0</v>
      </c>
      <c r="M705" t="n">
        <v>0</v>
      </c>
      <c r="N705" t="n">
        <v>0</v>
      </c>
      <c r="O705" t="n">
        <v>0</v>
      </c>
      <c r="P705" t="n">
        <v>0</v>
      </c>
      <c r="Q705" t="n">
        <v>0</v>
      </c>
      <c r="R705" s="2" t="inlineStr"/>
    </row>
    <row r="706" ht="15" customHeight="1">
      <c r="A706" t="inlineStr">
        <is>
          <t>A 29956-2023</t>
        </is>
      </c>
      <c r="B706" s="1" t="n">
        <v>45107</v>
      </c>
      <c r="C706" s="1" t="n">
        <v>45908</v>
      </c>
      <c r="D706" t="inlineStr">
        <is>
          <t>VÄSTERNORRLANDS LÄN</t>
        </is>
      </c>
      <c r="E706" t="inlineStr">
        <is>
          <t>SOLLEFTEÅ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51527-2024</t>
        </is>
      </c>
      <c r="B707" s="1" t="n">
        <v>45604</v>
      </c>
      <c r="C707" s="1" t="n">
        <v>45908</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3990-2024</t>
        </is>
      </c>
      <c r="B708" s="1" t="n">
        <v>45322.94880787037</v>
      </c>
      <c r="C708" s="1" t="n">
        <v>45908</v>
      </c>
      <c r="D708" t="inlineStr">
        <is>
          <t>VÄSTERNORRLANDS LÄN</t>
        </is>
      </c>
      <c r="E708" t="inlineStr">
        <is>
          <t>SOLLEFTEÅ</t>
        </is>
      </c>
      <c r="F708" t="inlineStr">
        <is>
          <t>SCA</t>
        </is>
      </c>
      <c r="G708" t="n">
        <v>6.3</v>
      </c>
      <c r="H708" t="n">
        <v>0</v>
      </c>
      <c r="I708" t="n">
        <v>0</v>
      </c>
      <c r="J708" t="n">
        <v>0</v>
      </c>
      <c r="K708" t="n">
        <v>0</v>
      </c>
      <c r="L708" t="n">
        <v>0</v>
      </c>
      <c r="M708" t="n">
        <v>0</v>
      </c>
      <c r="N708" t="n">
        <v>0</v>
      </c>
      <c r="O708" t="n">
        <v>0</v>
      </c>
      <c r="P708" t="n">
        <v>0</v>
      </c>
      <c r="Q708" t="n">
        <v>0</v>
      </c>
      <c r="R708" s="2" t="inlineStr"/>
    </row>
    <row r="709" ht="15" customHeight="1">
      <c r="A709" t="inlineStr">
        <is>
          <t>A 17999-2022</t>
        </is>
      </c>
      <c r="B709" s="1" t="n">
        <v>44683</v>
      </c>
      <c r="C709" s="1" t="n">
        <v>45908</v>
      </c>
      <c r="D709" t="inlineStr">
        <is>
          <t>VÄSTERNORRLANDS LÄN</t>
        </is>
      </c>
      <c r="E709" t="inlineStr">
        <is>
          <t>SOLLEFTEÅ</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21269-2025</t>
        </is>
      </c>
      <c r="B710" s="1" t="n">
        <v>45779.62265046296</v>
      </c>
      <c r="C710" s="1" t="n">
        <v>45908</v>
      </c>
      <c r="D710" t="inlineStr">
        <is>
          <t>VÄSTERNORRLANDS LÄN</t>
        </is>
      </c>
      <c r="E710" t="inlineStr">
        <is>
          <t>SOLLEFTEÅ</t>
        </is>
      </c>
      <c r="G710" t="n">
        <v>3.7</v>
      </c>
      <c r="H710" t="n">
        <v>0</v>
      </c>
      <c r="I710" t="n">
        <v>0</v>
      </c>
      <c r="J710" t="n">
        <v>0</v>
      </c>
      <c r="K710" t="n">
        <v>0</v>
      </c>
      <c r="L710" t="n">
        <v>0</v>
      </c>
      <c r="M710" t="n">
        <v>0</v>
      </c>
      <c r="N710" t="n">
        <v>0</v>
      </c>
      <c r="O710" t="n">
        <v>0</v>
      </c>
      <c r="P710" t="n">
        <v>0</v>
      </c>
      <c r="Q710" t="n">
        <v>0</v>
      </c>
      <c r="R710" s="2" t="inlineStr"/>
    </row>
    <row r="711" ht="15" customHeight="1">
      <c r="A711" t="inlineStr">
        <is>
          <t>A 2045-2025</t>
        </is>
      </c>
      <c r="B711" s="1" t="n">
        <v>45672.51086805556</v>
      </c>
      <c r="C711" s="1" t="n">
        <v>45908</v>
      </c>
      <c r="D711" t="inlineStr">
        <is>
          <t>VÄSTERNORRLANDS LÄN</t>
        </is>
      </c>
      <c r="E711" t="inlineStr">
        <is>
          <t>SOLLEFTEÅ</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45719-2022</t>
        </is>
      </c>
      <c r="B712" s="1" t="n">
        <v>44845.95533564815</v>
      </c>
      <c r="C712" s="1" t="n">
        <v>45908</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10865-2025</t>
        </is>
      </c>
      <c r="B713" s="1" t="n">
        <v>45722.61526620371</v>
      </c>
      <c r="C713" s="1" t="n">
        <v>45908</v>
      </c>
      <c r="D713" t="inlineStr">
        <is>
          <t>VÄSTERNORRLANDS LÄN</t>
        </is>
      </c>
      <c r="E713" t="inlineStr">
        <is>
          <t>SOLLEFTEÅ</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21491-2025</t>
        </is>
      </c>
      <c r="B714" s="1" t="n">
        <v>45782.59578703704</v>
      </c>
      <c r="C714" s="1" t="n">
        <v>45908</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11134-2025</t>
        </is>
      </c>
      <c r="B715" s="1" t="n">
        <v>45723.65655092592</v>
      </c>
      <c r="C715" s="1" t="n">
        <v>45908</v>
      </c>
      <c r="D715" t="inlineStr">
        <is>
          <t>VÄSTERNORRLANDS LÄN</t>
        </is>
      </c>
      <c r="E715" t="inlineStr">
        <is>
          <t>SOLLEFTEÅ</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21687-2025</t>
        </is>
      </c>
      <c r="B716" s="1" t="n">
        <v>45783.49135416667</v>
      </c>
      <c r="C716" s="1" t="n">
        <v>45908</v>
      </c>
      <c r="D716" t="inlineStr">
        <is>
          <t>VÄSTERNORRLANDS LÄN</t>
        </is>
      </c>
      <c r="E716" t="inlineStr">
        <is>
          <t>SOLLEFTEÅ</t>
        </is>
      </c>
      <c r="G716" t="n">
        <v>4.1</v>
      </c>
      <c r="H716" t="n">
        <v>0</v>
      </c>
      <c r="I716" t="n">
        <v>0</v>
      </c>
      <c r="J716" t="n">
        <v>0</v>
      </c>
      <c r="K716" t="n">
        <v>0</v>
      </c>
      <c r="L716" t="n">
        <v>0</v>
      </c>
      <c r="M716" t="n">
        <v>0</v>
      </c>
      <c r="N716" t="n">
        <v>0</v>
      </c>
      <c r="O716" t="n">
        <v>0</v>
      </c>
      <c r="P716" t="n">
        <v>0</v>
      </c>
      <c r="Q716" t="n">
        <v>0</v>
      </c>
      <c r="R716" s="2" t="inlineStr"/>
    </row>
    <row r="717" ht="15" customHeight="1">
      <c r="A717" t="inlineStr">
        <is>
          <t>A 21346-2025</t>
        </is>
      </c>
      <c r="B717" s="1" t="n">
        <v>45782.40670138889</v>
      </c>
      <c r="C717" s="1" t="n">
        <v>45908</v>
      </c>
      <c r="D717" t="inlineStr">
        <is>
          <t>VÄSTERNORRLANDS LÄN</t>
        </is>
      </c>
      <c r="E717" t="inlineStr">
        <is>
          <t>SOLLEFTEÅ</t>
        </is>
      </c>
      <c r="F717" t="inlineStr">
        <is>
          <t>SCA</t>
        </is>
      </c>
      <c r="G717" t="n">
        <v>4.8</v>
      </c>
      <c r="H717" t="n">
        <v>0</v>
      </c>
      <c r="I717" t="n">
        <v>0</v>
      </c>
      <c r="J717" t="n">
        <v>0</v>
      </c>
      <c r="K717" t="n">
        <v>0</v>
      </c>
      <c r="L717" t="n">
        <v>0</v>
      </c>
      <c r="M717" t="n">
        <v>0</v>
      </c>
      <c r="N717" t="n">
        <v>0</v>
      </c>
      <c r="O717" t="n">
        <v>0</v>
      </c>
      <c r="P717" t="n">
        <v>0</v>
      </c>
      <c r="Q717" t="n">
        <v>0</v>
      </c>
      <c r="R717" s="2" t="inlineStr"/>
    </row>
    <row r="718" ht="15" customHeight="1">
      <c r="A718" t="inlineStr">
        <is>
          <t>A 21481-2025</t>
        </is>
      </c>
      <c r="B718" s="1" t="n">
        <v>45782.59451388889</v>
      </c>
      <c r="C718" s="1" t="n">
        <v>45908</v>
      </c>
      <c r="D718" t="inlineStr">
        <is>
          <t>VÄSTERNORRLANDS LÄN</t>
        </is>
      </c>
      <c r="E718" t="inlineStr">
        <is>
          <t>SOLLEFTEÅ</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21348-2025</t>
        </is>
      </c>
      <c r="B719" s="1" t="n">
        <v>45782.40679398148</v>
      </c>
      <c r="C719" s="1" t="n">
        <v>45908</v>
      </c>
      <c r="D719" t="inlineStr">
        <is>
          <t>VÄSTERNORRLANDS LÄN</t>
        </is>
      </c>
      <c r="E719" t="inlineStr">
        <is>
          <t>SOLLEFTEÅ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47741-2023</t>
        </is>
      </c>
      <c r="B720" s="1" t="n">
        <v>45198</v>
      </c>
      <c r="C720" s="1" t="n">
        <v>45908</v>
      </c>
      <c r="D720" t="inlineStr">
        <is>
          <t>VÄSTERNORRLANDS LÄN</t>
        </is>
      </c>
      <c r="E720" t="inlineStr">
        <is>
          <t>SOLLEFTEÅ</t>
        </is>
      </c>
      <c r="G720" t="n">
        <v>5</v>
      </c>
      <c r="H720" t="n">
        <v>0</v>
      </c>
      <c r="I720" t="n">
        <v>0</v>
      </c>
      <c r="J720" t="n">
        <v>0</v>
      </c>
      <c r="K720" t="n">
        <v>0</v>
      </c>
      <c r="L720" t="n">
        <v>0</v>
      </c>
      <c r="M720" t="n">
        <v>0</v>
      </c>
      <c r="N720" t="n">
        <v>0</v>
      </c>
      <c r="O720" t="n">
        <v>0</v>
      </c>
      <c r="P720" t="n">
        <v>0</v>
      </c>
      <c r="Q720" t="n">
        <v>0</v>
      </c>
      <c r="R720" s="2" t="inlineStr"/>
    </row>
    <row r="721" ht="15" customHeight="1">
      <c r="A721" t="inlineStr">
        <is>
          <t>A 21429-2025</t>
        </is>
      </c>
      <c r="B721" s="1" t="n">
        <v>45782.51084490741</v>
      </c>
      <c r="C721" s="1" t="n">
        <v>45908</v>
      </c>
      <c r="D721" t="inlineStr">
        <is>
          <t>VÄSTERNORRLANDS LÄN</t>
        </is>
      </c>
      <c r="E721" t="inlineStr">
        <is>
          <t>SOLLEFTEÅ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21455-2025</t>
        </is>
      </c>
      <c r="B722" s="1" t="n">
        <v>45782.55332175926</v>
      </c>
      <c r="C722" s="1" t="n">
        <v>45908</v>
      </c>
      <c r="D722" t="inlineStr">
        <is>
          <t>VÄSTERNORRLANDS LÄN</t>
        </is>
      </c>
      <c r="E722" t="inlineStr">
        <is>
          <t>SOLLEFTEÅ</t>
        </is>
      </c>
      <c r="F722" t="inlineStr">
        <is>
          <t>SCA</t>
        </is>
      </c>
      <c r="G722" t="n">
        <v>10.5</v>
      </c>
      <c r="H722" t="n">
        <v>0</v>
      </c>
      <c r="I722" t="n">
        <v>0</v>
      </c>
      <c r="J722" t="n">
        <v>0</v>
      </c>
      <c r="K722" t="n">
        <v>0</v>
      </c>
      <c r="L722" t="n">
        <v>0</v>
      </c>
      <c r="M722" t="n">
        <v>0</v>
      </c>
      <c r="N722" t="n">
        <v>0</v>
      </c>
      <c r="O722" t="n">
        <v>0</v>
      </c>
      <c r="P722" t="n">
        <v>0</v>
      </c>
      <c r="Q722" t="n">
        <v>0</v>
      </c>
      <c r="R722" s="2" t="inlineStr"/>
    </row>
    <row r="723" ht="15" customHeight="1">
      <c r="A723" t="inlineStr">
        <is>
          <t>A 17279-2025</t>
        </is>
      </c>
      <c r="B723" s="1" t="n">
        <v>45756.56396990741</v>
      </c>
      <c r="C723" s="1" t="n">
        <v>45908</v>
      </c>
      <c r="D723" t="inlineStr">
        <is>
          <t>VÄSTERNORRLANDS LÄN</t>
        </is>
      </c>
      <c r="E723" t="inlineStr">
        <is>
          <t>SOLLEFTEÅ</t>
        </is>
      </c>
      <c r="G723" t="n">
        <v>22.4</v>
      </c>
      <c r="H723" t="n">
        <v>0</v>
      </c>
      <c r="I723" t="n">
        <v>0</v>
      </c>
      <c r="J723" t="n">
        <v>0</v>
      </c>
      <c r="K723" t="n">
        <v>0</v>
      </c>
      <c r="L723" t="n">
        <v>0</v>
      </c>
      <c r="M723" t="n">
        <v>0</v>
      </c>
      <c r="N723" t="n">
        <v>0</v>
      </c>
      <c r="O723" t="n">
        <v>0</v>
      </c>
      <c r="P723" t="n">
        <v>0</v>
      </c>
      <c r="Q723" t="n">
        <v>0</v>
      </c>
      <c r="R723" s="2" t="inlineStr"/>
    </row>
    <row r="724" ht="15" customHeight="1">
      <c r="A724" t="inlineStr">
        <is>
          <t>A 52702-2024</t>
        </is>
      </c>
      <c r="B724" s="1" t="n">
        <v>45610</v>
      </c>
      <c r="C724" s="1" t="n">
        <v>45908</v>
      </c>
      <c r="D724" t="inlineStr">
        <is>
          <t>VÄSTERNORRLANDS LÄN</t>
        </is>
      </c>
      <c r="E724" t="inlineStr">
        <is>
          <t>SOLLEFTEÅ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18185-2025</t>
        </is>
      </c>
      <c r="B725" s="1" t="n">
        <v>45761.66724537037</v>
      </c>
      <c r="C725" s="1" t="n">
        <v>45908</v>
      </c>
      <c r="D725" t="inlineStr">
        <is>
          <t>VÄSTERNORRLANDS LÄN</t>
        </is>
      </c>
      <c r="E725" t="inlineStr">
        <is>
          <t>SOLLEFTEÅ</t>
        </is>
      </c>
      <c r="G725" t="n">
        <v>2.5</v>
      </c>
      <c r="H725" t="n">
        <v>0</v>
      </c>
      <c r="I725" t="n">
        <v>0</v>
      </c>
      <c r="J725" t="n">
        <v>0</v>
      </c>
      <c r="K725" t="n">
        <v>0</v>
      </c>
      <c r="L725" t="n">
        <v>0</v>
      </c>
      <c r="M725" t="n">
        <v>0</v>
      </c>
      <c r="N725" t="n">
        <v>0</v>
      </c>
      <c r="O725" t="n">
        <v>0</v>
      </c>
      <c r="P725" t="n">
        <v>0</v>
      </c>
      <c r="Q725" t="n">
        <v>0</v>
      </c>
      <c r="R725" s="2" t="inlineStr"/>
    </row>
    <row r="726" ht="15" customHeight="1">
      <c r="A726" t="inlineStr">
        <is>
          <t>A 18263-2025</t>
        </is>
      </c>
      <c r="B726" s="1" t="n">
        <v>45762.36509259259</v>
      </c>
      <c r="C726" s="1" t="n">
        <v>45908</v>
      </c>
      <c r="D726" t="inlineStr">
        <is>
          <t>VÄSTERNORRLANDS LÄN</t>
        </is>
      </c>
      <c r="E726" t="inlineStr">
        <is>
          <t>SOLLEFTEÅ</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21669-2025</t>
        </is>
      </c>
      <c r="B727" s="1" t="n">
        <v>45783.46905092592</v>
      </c>
      <c r="C727" s="1" t="n">
        <v>45908</v>
      </c>
      <c r="D727" t="inlineStr">
        <is>
          <t>VÄSTERNORRLANDS LÄN</t>
        </is>
      </c>
      <c r="E727" t="inlineStr">
        <is>
          <t>SOLLEFTEÅ</t>
        </is>
      </c>
      <c r="F727" t="inlineStr">
        <is>
          <t>SCA</t>
        </is>
      </c>
      <c r="G727" t="n">
        <v>7.8</v>
      </c>
      <c r="H727" t="n">
        <v>0</v>
      </c>
      <c r="I727" t="n">
        <v>0</v>
      </c>
      <c r="J727" t="n">
        <v>0</v>
      </c>
      <c r="K727" t="n">
        <v>0</v>
      </c>
      <c r="L727" t="n">
        <v>0</v>
      </c>
      <c r="M727" t="n">
        <v>0</v>
      </c>
      <c r="N727" t="n">
        <v>0</v>
      </c>
      <c r="O727" t="n">
        <v>0</v>
      </c>
      <c r="P727" t="n">
        <v>0</v>
      </c>
      <c r="Q727" t="n">
        <v>0</v>
      </c>
      <c r="R727" s="2" t="inlineStr"/>
    </row>
    <row r="728" ht="15" customHeight="1">
      <c r="A728" t="inlineStr">
        <is>
          <t>A 21489-2025</t>
        </is>
      </c>
      <c r="B728" s="1" t="n">
        <v>45782.59555555556</v>
      </c>
      <c r="C728" s="1" t="n">
        <v>45908</v>
      </c>
      <c r="D728" t="inlineStr">
        <is>
          <t>VÄSTERNORRLANDS LÄN</t>
        </is>
      </c>
      <c r="E728" t="inlineStr">
        <is>
          <t>SOLLEFTEÅ</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59501-2023</t>
        </is>
      </c>
      <c r="B729" s="1" t="n">
        <v>45254</v>
      </c>
      <c r="C729" s="1" t="n">
        <v>45908</v>
      </c>
      <c r="D729" t="inlineStr">
        <is>
          <t>VÄSTERNORRLANDS LÄN</t>
        </is>
      </c>
      <c r="E729" t="inlineStr">
        <is>
          <t>SOLLEFTEÅ</t>
        </is>
      </c>
      <c r="F729" t="inlineStr">
        <is>
          <t>Holmen skog AB</t>
        </is>
      </c>
      <c r="G729" t="n">
        <v>7.1</v>
      </c>
      <c r="H729" t="n">
        <v>0</v>
      </c>
      <c r="I729" t="n">
        <v>0</v>
      </c>
      <c r="J729" t="n">
        <v>0</v>
      </c>
      <c r="K729" t="n">
        <v>0</v>
      </c>
      <c r="L729" t="n">
        <v>0</v>
      </c>
      <c r="M729" t="n">
        <v>0</v>
      </c>
      <c r="N729" t="n">
        <v>0</v>
      </c>
      <c r="O729" t="n">
        <v>0</v>
      </c>
      <c r="P729" t="n">
        <v>0</v>
      </c>
      <c r="Q729" t="n">
        <v>0</v>
      </c>
      <c r="R729" s="2" t="inlineStr"/>
    </row>
    <row r="730" ht="15" customHeight="1">
      <c r="A730" t="inlineStr">
        <is>
          <t>A 61784-2023</t>
        </is>
      </c>
      <c r="B730" s="1" t="n">
        <v>45265</v>
      </c>
      <c r="C730" s="1" t="n">
        <v>45908</v>
      </c>
      <c r="D730" t="inlineStr">
        <is>
          <t>VÄSTERNORRLANDS LÄN</t>
        </is>
      </c>
      <c r="E730" t="inlineStr">
        <is>
          <t>SOLLEFTEÅ</t>
        </is>
      </c>
      <c r="F730" t="inlineStr">
        <is>
          <t>SCA</t>
        </is>
      </c>
      <c r="G730" t="n">
        <v>9.1</v>
      </c>
      <c r="H730" t="n">
        <v>0</v>
      </c>
      <c r="I730" t="n">
        <v>0</v>
      </c>
      <c r="J730" t="n">
        <v>0</v>
      </c>
      <c r="K730" t="n">
        <v>0</v>
      </c>
      <c r="L730" t="n">
        <v>0</v>
      </c>
      <c r="M730" t="n">
        <v>0</v>
      </c>
      <c r="N730" t="n">
        <v>0</v>
      </c>
      <c r="O730" t="n">
        <v>0</v>
      </c>
      <c r="P730" t="n">
        <v>0</v>
      </c>
      <c r="Q730" t="n">
        <v>0</v>
      </c>
      <c r="R730" s="2" t="inlineStr"/>
    </row>
    <row r="731" ht="15" customHeight="1">
      <c r="A731" t="inlineStr">
        <is>
          <t>A 10554-2022</t>
        </is>
      </c>
      <c r="B731" s="1" t="n">
        <v>44623.93775462963</v>
      </c>
      <c r="C731" s="1" t="n">
        <v>45908</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15978-2023</t>
        </is>
      </c>
      <c r="B732" s="1" t="n">
        <v>45022.94188657407</v>
      </c>
      <c r="C732" s="1" t="n">
        <v>45908</v>
      </c>
      <c r="D732" t="inlineStr">
        <is>
          <t>VÄSTERNORRLANDS LÄN</t>
        </is>
      </c>
      <c r="E732" t="inlineStr">
        <is>
          <t>SOLLEFTEÅ</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19354-2025</t>
        </is>
      </c>
      <c r="B733" s="1" t="n">
        <v>45769.61320601852</v>
      </c>
      <c r="C733" s="1" t="n">
        <v>45908</v>
      </c>
      <c r="D733" t="inlineStr">
        <is>
          <t>VÄSTERNORRLANDS LÄN</t>
        </is>
      </c>
      <c r="E733" t="inlineStr">
        <is>
          <t>SOLLEFTEÅ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21553-2025</t>
        </is>
      </c>
      <c r="B734" s="1" t="n">
        <v>45782.67805555555</v>
      </c>
      <c r="C734" s="1" t="n">
        <v>45908</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21555-2025</t>
        </is>
      </c>
      <c r="B735" s="1" t="n">
        <v>45782.67828703704</v>
      </c>
      <c r="C735" s="1" t="n">
        <v>45908</v>
      </c>
      <c r="D735" t="inlineStr">
        <is>
          <t>VÄSTERNORRLANDS LÄN</t>
        </is>
      </c>
      <c r="E735" t="inlineStr">
        <is>
          <t>SOLLEFTEÅ</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21564-2025</t>
        </is>
      </c>
      <c r="B736" s="1" t="n">
        <v>45782.69837962963</v>
      </c>
      <c r="C736" s="1" t="n">
        <v>45908</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25017-2022</t>
        </is>
      </c>
      <c r="B737" s="1" t="n">
        <v>44728.94331018518</v>
      </c>
      <c r="C737" s="1" t="n">
        <v>45908</v>
      </c>
      <c r="D737" t="inlineStr">
        <is>
          <t>VÄSTERNORRLANDS LÄN</t>
        </is>
      </c>
      <c r="E737" t="inlineStr">
        <is>
          <t>SOLLEFTEÅ</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58226-2024</t>
        </is>
      </c>
      <c r="B738" s="1" t="n">
        <v>45632.51076388889</v>
      </c>
      <c r="C738" s="1" t="n">
        <v>45908</v>
      </c>
      <c r="D738" t="inlineStr">
        <is>
          <t>VÄSTERNORRLANDS LÄN</t>
        </is>
      </c>
      <c r="E738" t="inlineStr">
        <is>
          <t>SOLLEFTEÅ</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6058-2024</t>
        </is>
      </c>
      <c r="B739" s="1" t="n">
        <v>45336.75866898148</v>
      </c>
      <c r="C739" s="1" t="n">
        <v>45908</v>
      </c>
      <c r="D739" t="inlineStr">
        <is>
          <t>VÄSTERNORRLANDS LÄN</t>
        </is>
      </c>
      <c r="E739" t="inlineStr">
        <is>
          <t>SOLLEFTEÅ</t>
        </is>
      </c>
      <c r="F739" t="inlineStr">
        <is>
          <t>Övriga Aktiebolag</t>
        </is>
      </c>
      <c r="G739" t="n">
        <v>5.2</v>
      </c>
      <c r="H739" t="n">
        <v>0</v>
      </c>
      <c r="I739" t="n">
        <v>0</v>
      </c>
      <c r="J739" t="n">
        <v>0</v>
      </c>
      <c r="K739" t="n">
        <v>0</v>
      </c>
      <c r="L739" t="n">
        <v>0</v>
      </c>
      <c r="M739" t="n">
        <v>0</v>
      </c>
      <c r="N739" t="n">
        <v>0</v>
      </c>
      <c r="O739" t="n">
        <v>0</v>
      </c>
      <c r="P739" t="n">
        <v>0</v>
      </c>
      <c r="Q739" t="n">
        <v>0</v>
      </c>
      <c r="R739" s="2" t="inlineStr"/>
    </row>
    <row r="740" ht="15" customHeight="1">
      <c r="A740" t="inlineStr">
        <is>
          <t>A 21565-2025</t>
        </is>
      </c>
      <c r="B740" s="1" t="n">
        <v>45782</v>
      </c>
      <c r="C740" s="1" t="n">
        <v>45908</v>
      </c>
      <c r="D740" t="inlineStr">
        <is>
          <t>VÄSTERNORRLANDS LÄN</t>
        </is>
      </c>
      <c r="E740" t="inlineStr">
        <is>
          <t>SOLLEFTEÅ</t>
        </is>
      </c>
      <c r="F740" t="inlineStr">
        <is>
          <t>SCA</t>
        </is>
      </c>
      <c r="G740" t="n">
        <v>17.4</v>
      </c>
      <c r="H740" t="n">
        <v>0</v>
      </c>
      <c r="I740" t="n">
        <v>0</v>
      </c>
      <c r="J740" t="n">
        <v>0</v>
      </c>
      <c r="K740" t="n">
        <v>0</v>
      </c>
      <c r="L740" t="n">
        <v>0</v>
      </c>
      <c r="M740" t="n">
        <v>0</v>
      </c>
      <c r="N740" t="n">
        <v>0</v>
      </c>
      <c r="O740" t="n">
        <v>0</v>
      </c>
      <c r="P740" t="n">
        <v>0</v>
      </c>
      <c r="Q740" t="n">
        <v>0</v>
      </c>
      <c r="R740" s="2" t="inlineStr"/>
    </row>
    <row r="741" ht="15" customHeight="1">
      <c r="A741" t="inlineStr">
        <is>
          <t>A 21863-2025</t>
        </is>
      </c>
      <c r="B741" s="1" t="n">
        <v>45784.36532407408</v>
      </c>
      <c r="C741" s="1" t="n">
        <v>45908</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62099-2023</t>
        </is>
      </c>
      <c r="B742" s="1" t="n">
        <v>45266</v>
      </c>
      <c r="C742" s="1" t="n">
        <v>45908</v>
      </c>
      <c r="D742" t="inlineStr">
        <is>
          <t>VÄSTERNORRLANDS LÄN</t>
        </is>
      </c>
      <c r="E742" t="inlineStr">
        <is>
          <t>SOLLEFTEÅ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13554-2023</t>
        </is>
      </c>
      <c r="B743" s="1" t="n">
        <v>45005</v>
      </c>
      <c r="C743" s="1" t="n">
        <v>45908</v>
      </c>
      <c r="D743" t="inlineStr">
        <is>
          <t>VÄSTERNORRLANDS LÄN</t>
        </is>
      </c>
      <c r="E743" t="inlineStr">
        <is>
          <t>SOLLEFTEÅ</t>
        </is>
      </c>
      <c r="G743" t="n">
        <v>2.7</v>
      </c>
      <c r="H743" t="n">
        <v>0</v>
      </c>
      <c r="I743" t="n">
        <v>0</v>
      </c>
      <c r="J743" t="n">
        <v>0</v>
      </c>
      <c r="K743" t="n">
        <v>0</v>
      </c>
      <c r="L743" t="n">
        <v>0</v>
      </c>
      <c r="M743" t="n">
        <v>0</v>
      </c>
      <c r="N743" t="n">
        <v>0</v>
      </c>
      <c r="O743" t="n">
        <v>0</v>
      </c>
      <c r="P743" t="n">
        <v>0</v>
      </c>
      <c r="Q743" t="n">
        <v>0</v>
      </c>
      <c r="R743" s="2" t="inlineStr"/>
    </row>
    <row r="744" ht="15" customHeight="1">
      <c r="A744" t="inlineStr">
        <is>
          <t>A 22182-2025</t>
        </is>
      </c>
      <c r="B744" s="1" t="n">
        <v>45785.61640046296</v>
      </c>
      <c r="C744" s="1" t="n">
        <v>45908</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22207-2025</t>
        </is>
      </c>
      <c r="B745" s="1" t="n">
        <v>45785.65710648148</v>
      </c>
      <c r="C745" s="1" t="n">
        <v>45908</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22217-2025</t>
        </is>
      </c>
      <c r="B746" s="1" t="n">
        <v>45785.65828703704</v>
      </c>
      <c r="C746" s="1" t="n">
        <v>45908</v>
      </c>
      <c r="D746" t="inlineStr">
        <is>
          <t>VÄSTERNORRLANDS LÄN</t>
        </is>
      </c>
      <c r="E746" t="inlineStr">
        <is>
          <t>SOLLEFTEÅ</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54538-2022</t>
        </is>
      </c>
      <c r="B747" s="1" t="n">
        <v>44882.77261574074</v>
      </c>
      <c r="C747" s="1" t="n">
        <v>45908</v>
      </c>
      <c r="D747" t="inlineStr">
        <is>
          <t>VÄSTERNORRLANDS LÄN</t>
        </is>
      </c>
      <c r="E747" t="inlineStr">
        <is>
          <t>SOLLEFTEÅ</t>
        </is>
      </c>
      <c r="G747" t="n">
        <v>3.8</v>
      </c>
      <c r="H747" t="n">
        <v>0</v>
      </c>
      <c r="I747" t="n">
        <v>0</v>
      </c>
      <c r="J747" t="n">
        <v>0</v>
      </c>
      <c r="K747" t="n">
        <v>0</v>
      </c>
      <c r="L747" t="n">
        <v>0</v>
      </c>
      <c r="M747" t="n">
        <v>0</v>
      </c>
      <c r="N747" t="n">
        <v>0</v>
      </c>
      <c r="O747" t="n">
        <v>0</v>
      </c>
      <c r="P747" t="n">
        <v>0</v>
      </c>
      <c r="Q747" t="n">
        <v>0</v>
      </c>
      <c r="R747" s="2" t="inlineStr"/>
    </row>
    <row r="748" ht="15" customHeight="1">
      <c r="A748" t="inlineStr">
        <is>
          <t>A 2431-2025</t>
        </is>
      </c>
      <c r="B748" s="1" t="n">
        <v>45674.40692129629</v>
      </c>
      <c r="C748" s="1" t="n">
        <v>45908</v>
      </c>
      <c r="D748" t="inlineStr">
        <is>
          <t>VÄSTERNORRLANDS LÄN</t>
        </is>
      </c>
      <c r="E748" t="inlineStr">
        <is>
          <t>SOLLEFTEÅ</t>
        </is>
      </c>
      <c r="F748" t="inlineStr">
        <is>
          <t>SCA</t>
        </is>
      </c>
      <c r="G748" t="n">
        <v>19.2</v>
      </c>
      <c r="H748" t="n">
        <v>0</v>
      </c>
      <c r="I748" t="n">
        <v>0</v>
      </c>
      <c r="J748" t="n">
        <v>0</v>
      </c>
      <c r="K748" t="n">
        <v>0</v>
      </c>
      <c r="L748" t="n">
        <v>0</v>
      </c>
      <c r="M748" t="n">
        <v>0</v>
      </c>
      <c r="N748" t="n">
        <v>0</v>
      </c>
      <c r="O748" t="n">
        <v>0</v>
      </c>
      <c r="P748" t="n">
        <v>0</v>
      </c>
      <c r="Q748" t="n">
        <v>0</v>
      </c>
      <c r="R748" s="2" t="inlineStr"/>
    </row>
    <row r="749" ht="15" customHeight="1">
      <c r="A749" t="inlineStr">
        <is>
          <t>A 61345-2022</t>
        </is>
      </c>
      <c r="B749" s="1" t="n">
        <v>44915</v>
      </c>
      <c r="C749" s="1" t="n">
        <v>45908</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61383-2022</t>
        </is>
      </c>
      <c r="B750" s="1" t="n">
        <v>44915</v>
      </c>
      <c r="C750" s="1" t="n">
        <v>45908</v>
      </c>
      <c r="D750" t="inlineStr">
        <is>
          <t>VÄSTERNORRLANDS LÄN</t>
        </is>
      </c>
      <c r="E750" t="inlineStr">
        <is>
          <t>SOLLEFTEÅ</t>
        </is>
      </c>
      <c r="G750" t="n">
        <v>1.3</v>
      </c>
      <c r="H750" t="n">
        <v>0</v>
      </c>
      <c r="I750" t="n">
        <v>0</v>
      </c>
      <c r="J750" t="n">
        <v>0</v>
      </c>
      <c r="K750" t="n">
        <v>0</v>
      </c>
      <c r="L750" t="n">
        <v>0</v>
      </c>
      <c r="M750" t="n">
        <v>0</v>
      </c>
      <c r="N750" t="n">
        <v>0</v>
      </c>
      <c r="O750" t="n">
        <v>0</v>
      </c>
      <c r="P750" t="n">
        <v>0</v>
      </c>
      <c r="Q750" t="n">
        <v>0</v>
      </c>
      <c r="R750" s="2" t="inlineStr"/>
    </row>
    <row r="751" ht="15" customHeight="1">
      <c r="A751" t="inlineStr">
        <is>
          <t>A 26391-2024</t>
        </is>
      </c>
      <c r="B751" s="1" t="n">
        <v>45468</v>
      </c>
      <c r="C751" s="1" t="n">
        <v>45908</v>
      </c>
      <c r="D751" t="inlineStr">
        <is>
          <t>VÄSTERNORRLANDS LÄN</t>
        </is>
      </c>
      <c r="E751" t="inlineStr">
        <is>
          <t>SOLLEFTEÅ</t>
        </is>
      </c>
      <c r="G751" t="n">
        <v>5.2</v>
      </c>
      <c r="H751" t="n">
        <v>0</v>
      </c>
      <c r="I751" t="n">
        <v>0</v>
      </c>
      <c r="J751" t="n">
        <v>0</v>
      </c>
      <c r="K751" t="n">
        <v>0</v>
      </c>
      <c r="L751" t="n">
        <v>0</v>
      </c>
      <c r="M751" t="n">
        <v>0</v>
      </c>
      <c r="N751" t="n">
        <v>0</v>
      </c>
      <c r="O751" t="n">
        <v>0</v>
      </c>
      <c r="P751" t="n">
        <v>0</v>
      </c>
      <c r="Q751" t="n">
        <v>0</v>
      </c>
      <c r="R751" s="2" t="inlineStr"/>
    </row>
    <row r="752" ht="15" customHeight="1">
      <c r="A752" t="inlineStr">
        <is>
          <t>A 58994-2024</t>
        </is>
      </c>
      <c r="B752" s="1" t="n">
        <v>45636.63717592593</v>
      </c>
      <c r="C752" s="1" t="n">
        <v>45908</v>
      </c>
      <c r="D752" t="inlineStr">
        <is>
          <t>VÄSTERNORRLANDS LÄN</t>
        </is>
      </c>
      <c r="E752" t="inlineStr">
        <is>
          <t>SOLLEFTEÅ</t>
        </is>
      </c>
      <c r="G752" t="n">
        <v>2.6</v>
      </c>
      <c r="H752" t="n">
        <v>0</v>
      </c>
      <c r="I752" t="n">
        <v>0</v>
      </c>
      <c r="J752" t="n">
        <v>0</v>
      </c>
      <c r="K752" t="n">
        <v>0</v>
      </c>
      <c r="L752" t="n">
        <v>0</v>
      </c>
      <c r="M752" t="n">
        <v>0</v>
      </c>
      <c r="N752" t="n">
        <v>0</v>
      </c>
      <c r="O752" t="n">
        <v>0</v>
      </c>
      <c r="P752" t="n">
        <v>0</v>
      </c>
      <c r="Q752" t="n">
        <v>0</v>
      </c>
      <c r="R752" s="2" t="inlineStr"/>
    </row>
    <row r="753" ht="15" customHeight="1">
      <c r="A753" t="inlineStr">
        <is>
          <t>A 16086-2024</t>
        </is>
      </c>
      <c r="B753" s="1" t="n">
        <v>45406</v>
      </c>
      <c r="C753" s="1" t="n">
        <v>45908</v>
      </c>
      <c r="D753" t="inlineStr">
        <is>
          <t>VÄSTERNORRLANDS LÄN</t>
        </is>
      </c>
      <c r="E753" t="inlineStr">
        <is>
          <t>SOLLEFTEÅ</t>
        </is>
      </c>
      <c r="G753" t="n">
        <v>15.9</v>
      </c>
      <c r="H753" t="n">
        <v>0</v>
      </c>
      <c r="I753" t="n">
        <v>0</v>
      </c>
      <c r="J753" t="n">
        <v>0</v>
      </c>
      <c r="K753" t="n">
        <v>0</v>
      </c>
      <c r="L753" t="n">
        <v>0</v>
      </c>
      <c r="M753" t="n">
        <v>0</v>
      </c>
      <c r="N753" t="n">
        <v>0</v>
      </c>
      <c r="O753" t="n">
        <v>0</v>
      </c>
      <c r="P753" t="n">
        <v>0</v>
      </c>
      <c r="Q753" t="n">
        <v>0</v>
      </c>
      <c r="R753" s="2" t="inlineStr"/>
    </row>
    <row r="754" ht="15" customHeight="1">
      <c r="A754" t="inlineStr">
        <is>
          <t>A 22215-2025</t>
        </is>
      </c>
      <c r="B754" s="1" t="n">
        <v>45785.65803240741</v>
      </c>
      <c r="C754" s="1" t="n">
        <v>45908</v>
      </c>
      <c r="D754" t="inlineStr">
        <is>
          <t>VÄSTERNORRLANDS LÄN</t>
        </is>
      </c>
      <c r="E754" t="inlineStr">
        <is>
          <t>SOLLEFTEÅ</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22106-2025</t>
        </is>
      </c>
      <c r="B755" s="1" t="n">
        <v>45785.48988425926</v>
      </c>
      <c r="C755" s="1" t="n">
        <v>45908</v>
      </c>
      <c r="D755" t="inlineStr">
        <is>
          <t>VÄSTERNORRLANDS LÄN</t>
        </is>
      </c>
      <c r="E755" t="inlineStr">
        <is>
          <t>SOLLEFTEÅ</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16468-2024</t>
        </is>
      </c>
      <c r="B756" s="1" t="n">
        <v>45408.0508449074</v>
      </c>
      <c r="C756" s="1" t="n">
        <v>45908</v>
      </c>
      <c r="D756" t="inlineStr">
        <is>
          <t>VÄSTERNORRLANDS LÄN</t>
        </is>
      </c>
      <c r="E756" t="inlineStr">
        <is>
          <t>SOLLEFTEÅ</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21897-2025</t>
        </is>
      </c>
      <c r="B757" s="1" t="n">
        <v>45784.45376157408</v>
      </c>
      <c r="C757" s="1" t="n">
        <v>45908</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22184-2025</t>
        </is>
      </c>
      <c r="B758" s="1" t="n">
        <v>45785.61679398148</v>
      </c>
      <c r="C758" s="1" t="n">
        <v>45908</v>
      </c>
      <c r="D758" t="inlineStr">
        <is>
          <t>VÄSTERNORRLANDS LÄN</t>
        </is>
      </c>
      <c r="E758" t="inlineStr">
        <is>
          <t>SOLLEFTEÅ</t>
        </is>
      </c>
      <c r="F758" t="inlineStr">
        <is>
          <t>SCA</t>
        </is>
      </c>
      <c r="G758" t="n">
        <v>7.4</v>
      </c>
      <c r="H758" t="n">
        <v>0</v>
      </c>
      <c r="I758" t="n">
        <v>0</v>
      </c>
      <c r="J758" t="n">
        <v>0</v>
      </c>
      <c r="K758" t="n">
        <v>0</v>
      </c>
      <c r="L758" t="n">
        <v>0</v>
      </c>
      <c r="M758" t="n">
        <v>0</v>
      </c>
      <c r="N758" t="n">
        <v>0</v>
      </c>
      <c r="O758" t="n">
        <v>0</v>
      </c>
      <c r="P758" t="n">
        <v>0</v>
      </c>
      <c r="Q758" t="n">
        <v>0</v>
      </c>
      <c r="R758" s="2" t="inlineStr"/>
    </row>
    <row r="759" ht="15" customHeight="1">
      <c r="A759" t="inlineStr">
        <is>
          <t>A 34281-2022</t>
        </is>
      </c>
      <c r="B759" s="1" t="n">
        <v>44791</v>
      </c>
      <c r="C759" s="1" t="n">
        <v>45908</v>
      </c>
      <c r="D759" t="inlineStr">
        <is>
          <t>VÄSTERNORRLANDS LÄN</t>
        </is>
      </c>
      <c r="E759" t="inlineStr">
        <is>
          <t>SOLLEFTEÅ</t>
        </is>
      </c>
      <c r="G759" t="n">
        <v>1.8</v>
      </c>
      <c r="H759" t="n">
        <v>0</v>
      </c>
      <c r="I759" t="n">
        <v>0</v>
      </c>
      <c r="J759" t="n">
        <v>0</v>
      </c>
      <c r="K759" t="n">
        <v>0</v>
      </c>
      <c r="L759" t="n">
        <v>0</v>
      </c>
      <c r="M759" t="n">
        <v>0</v>
      </c>
      <c r="N759" t="n">
        <v>0</v>
      </c>
      <c r="O759" t="n">
        <v>0</v>
      </c>
      <c r="P759" t="n">
        <v>0</v>
      </c>
      <c r="Q759" t="n">
        <v>0</v>
      </c>
      <c r="R759" s="2" t="inlineStr"/>
    </row>
    <row r="760" ht="15" customHeight="1">
      <c r="A760" t="inlineStr">
        <is>
          <t>A 7107-2024</t>
        </is>
      </c>
      <c r="B760" s="1" t="n">
        <v>45343</v>
      </c>
      <c r="C760" s="1" t="n">
        <v>45908</v>
      </c>
      <c r="D760" t="inlineStr">
        <is>
          <t>VÄSTERNORRLANDS LÄN</t>
        </is>
      </c>
      <c r="E760" t="inlineStr">
        <is>
          <t>SOLLEFTEÅ</t>
        </is>
      </c>
      <c r="G760" t="n">
        <v>4.4</v>
      </c>
      <c r="H760" t="n">
        <v>0</v>
      </c>
      <c r="I760" t="n">
        <v>0</v>
      </c>
      <c r="J760" t="n">
        <v>0</v>
      </c>
      <c r="K760" t="n">
        <v>0</v>
      </c>
      <c r="L760" t="n">
        <v>0</v>
      </c>
      <c r="M760" t="n">
        <v>0</v>
      </c>
      <c r="N760" t="n">
        <v>0</v>
      </c>
      <c r="O760" t="n">
        <v>0</v>
      </c>
      <c r="P760" t="n">
        <v>0</v>
      </c>
      <c r="Q760" t="n">
        <v>0</v>
      </c>
      <c r="R760" s="2" t="inlineStr"/>
    </row>
    <row r="761" ht="15" customHeight="1">
      <c r="A761" t="inlineStr">
        <is>
          <t>A 22046-2025</t>
        </is>
      </c>
      <c r="B761" s="1" t="n">
        <v>45785.34412037037</v>
      </c>
      <c r="C761" s="1" t="n">
        <v>45908</v>
      </c>
      <c r="D761" t="inlineStr">
        <is>
          <t>VÄSTERNORRLANDS LÄN</t>
        </is>
      </c>
      <c r="E761" t="inlineStr">
        <is>
          <t>SOLLEFTEÅ</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43843-2024</t>
        </is>
      </c>
      <c r="B762" s="1" t="n">
        <v>45572</v>
      </c>
      <c r="C762" s="1" t="n">
        <v>45908</v>
      </c>
      <c r="D762" t="inlineStr">
        <is>
          <t>VÄSTERNORRLANDS LÄN</t>
        </is>
      </c>
      <c r="E762" t="inlineStr">
        <is>
          <t>SOLLEFTEÅ</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50720-2024</t>
        </is>
      </c>
      <c r="B763" s="1" t="n">
        <v>45602.38631944444</v>
      </c>
      <c r="C763" s="1" t="n">
        <v>45908</v>
      </c>
      <c r="D763" t="inlineStr">
        <is>
          <t>VÄSTERNORRLANDS LÄN</t>
        </is>
      </c>
      <c r="E763" t="inlineStr">
        <is>
          <t>SOLLEFTEÅ</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22211-2025</t>
        </is>
      </c>
      <c r="B764" s="1" t="n">
        <v>45785.65752314815</v>
      </c>
      <c r="C764" s="1" t="n">
        <v>45908</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21898-2025</t>
        </is>
      </c>
      <c r="B765" s="1" t="n">
        <v>45784.45386574074</v>
      </c>
      <c r="C765" s="1" t="n">
        <v>45908</v>
      </c>
      <c r="D765" t="inlineStr">
        <is>
          <t>VÄSTERNORRLANDS LÄN</t>
        </is>
      </c>
      <c r="E765" t="inlineStr">
        <is>
          <t>SOLLEFTEÅ</t>
        </is>
      </c>
      <c r="G765" t="n">
        <v>6.8</v>
      </c>
      <c r="H765" t="n">
        <v>0</v>
      </c>
      <c r="I765" t="n">
        <v>0</v>
      </c>
      <c r="J765" t="n">
        <v>0</v>
      </c>
      <c r="K765" t="n">
        <v>0</v>
      </c>
      <c r="L765" t="n">
        <v>0</v>
      </c>
      <c r="M765" t="n">
        <v>0</v>
      </c>
      <c r="N765" t="n">
        <v>0</v>
      </c>
      <c r="O765" t="n">
        <v>0</v>
      </c>
      <c r="P765" t="n">
        <v>0</v>
      </c>
      <c r="Q765" t="n">
        <v>0</v>
      </c>
      <c r="R765" s="2" t="inlineStr"/>
    </row>
    <row r="766" ht="15" customHeight="1">
      <c r="A766" t="inlineStr">
        <is>
          <t>A 21896-2025</t>
        </is>
      </c>
      <c r="B766" s="1" t="n">
        <v>45784.45366898148</v>
      </c>
      <c r="C766" s="1" t="n">
        <v>45908</v>
      </c>
      <c r="D766" t="inlineStr">
        <is>
          <t>VÄSTERNORRLANDS LÄN</t>
        </is>
      </c>
      <c r="E766" t="inlineStr">
        <is>
          <t>SOLLEFTEÅ</t>
        </is>
      </c>
      <c r="G766" t="n">
        <v>16.1</v>
      </c>
      <c r="H766" t="n">
        <v>0</v>
      </c>
      <c r="I766" t="n">
        <v>0</v>
      </c>
      <c r="J766" t="n">
        <v>0</v>
      </c>
      <c r="K766" t="n">
        <v>0</v>
      </c>
      <c r="L766" t="n">
        <v>0</v>
      </c>
      <c r="M766" t="n">
        <v>0</v>
      </c>
      <c r="N766" t="n">
        <v>0</v>
      </c>
      <c r="O766" t="n">
        <v>0</v>
      </c>
      <c r="P766" t="n">
        <v>0</v>
      </c>
      <c r="Q766" t="n">
        <v>0</v>
      </c>
      <c r="R766" s="2" t="inlineStr"/>
    </row>
    <row r="767" ht="15" customHeight="1">
      <c r="A767" t="inlineStr">
        <is>
          <t>A 62171-2024</t>
        </is>
      </c>
      <c r="B767" s="1" t="n">
        <v>45657.65657407408</v>
      </c>
      <c r="C767" s="1" t="n">
        <v>45908</v>
      </c>
      <c r="D767" t="inlineStr">
        <is>
          <t>VÄSTERNORRLANDS LÄN</t>
        </is>
      </c>
      <c r="E767" t="inlineStr">
        <is>
          <t>SOLLEFTEÅ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34309-2023</t>
        </is>
      </c>
      <c r="B768" s="1" t="n">
        <v>45138.92300925926</v>
      </c>
      <c r="C768" s="1" t="n">
        <v>45908</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9120-2024</t>
        </is>
      </c>
      <c r="B769" s="1" t="n">
        <v>45358.04091435186</v>
      </c>
      <c r="C769" s="1" t="n">
        <v>45908</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9122-2024</t>
        </is>
      </c>
      <c r="B770" s="1" t="n">
        <v>45358.04107638889</v>
      </c>
      <c r="C770" s="1" t="n">
        <v>45908</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16726-2024</t>
        </is>
      </c>
      <c r="B771" s="1" t="n">
        <v>45409.98535879629</v>
      </c>
      <c r="C771" s="1" t="n">
        <v>45908</v>
      </c>
      <c r="D771" t="inlineStr">
        <is>
          <t>VÄSTERNORRLANDS LÄN</t>
        </is>
      </c>
      <c r="E771" t="inlineStr">
        <is>
          <t>SOLLEFTEÅ</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11094-2023</t>
        </is>
      </c>
      <c r="B772" s="1" t="n">
        <v>44986</v>
      </c>
      <c r="C772" s="1" t="n">
        <v>45908</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22166-2025</t>
        </is>
      </c>
      <c r="B773" s="1" t="n">
        <v>45785.59480324074</v>
      </c>
      <c r="C773" s="1" t="n">
        <v>45908</v>
      </c>
      <c r="D773" t="inlineStr">
        <is>
          <t>VÄSTERNORRLANDS LÄN</t>
        </is>
      </c>
      <c r="E773" t="inlineStr">
        <is>
          <t>SOLLEFTEÅ</t>
        </is>
      </c>
      <c r="F773" t="inlineStr">
        <is>
          <t>SCA</t>
        </is>
      </c>
      <c r="G773" t="n">
        <v>10.8</v>
      </c>
      <c r="H773" t="n">
        <v>0</v>
      </c>
      <c r="I773" t="n">
        <v>0</v>
      </c>
      <c r="J773" t="n">
        <v>0</v>
      </c>
      <c r="K773" t="n">
        <v>0</v>
      </c>
      <c r="L773" t="n">
        <v>0</v>
      </c>
      <c r="M773" t="n">
        <v>0</v>
      </c>
      <c r="N773" t="n">
        <v>0</v>
      </c>
      <c r="O773" t="n">
        <v>0</v>
      </c>
      <c r="P773" t="n">
        <v>0</v>
      </c>
      <c r="Q773" t="n">
        <v>0</v>
      </c>
      <c r="R773" s="2" t="inlineStr"/>
    </row>
    <row r="774" ht="15" customHeight="1">
      <c r="A774" t="inlineStr">
        <is>
          <t>A 60389-2024</t>
        </is>
      </c>
      <c r="B774" s="1" t="n">
        <v>45643.48988425926</v>
      </c>
      <c r="C774" s="1" t="n">
        <v>45908</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22218-2025</t>
        </is>
      </c>
      <c r="B775" s="1" t="n">
        <v>45785.65840277778</v>
      </c>
      <c r="C775" s="1" t="n">
        <v>45908</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8959-2023</t>
        </is>
      </c>
      <c r="B776" s="1" t="n">
        <v>44974</v>
      </c>
      <c r="C776" s="1" t="n">
        <v>45908</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22205-2025</t>
        </is>
      </c>
      <c r="B777" s="1" t="n">
        <v>45785.65686342592</v>
      </c>
      <c r="C777" s="1" t="n">
        <v>45908</v>
      </c>
      <c r="D777" t="inlineStr">
        <is>
          <t>VÄSTERNORRLANDS LÄN</t>
        </is>
      </c>
      <c r="E777" t="inlineStr">
        <is>
          <t>SOLLEFTEÅ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60361-2024</t>
        </is>
      </c>
      <c r="B778" s="1" t="n">
        <v>45643.44851851852</v>
      </c>
      <c r="C778" s="1" t="n">
        <v>45908</v>
      </c>
      <c r="D778" t="inlineStr">
        <is>
          <t>VÄSTERNORRLANDS LÄN</t>
        </is>
      </c>
      <c r="E778" t="inlineStr">
        <is>
          <t>SOLLEFTEÅ</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8337-2025</t>
        </is>
      </c>
      <c r="B779" s="1" t="n">
        <v>45708.6597337963</v>
      </c>
      <c r="C779" s="1" t="n">
        <v>45908</v>
      </c>
      <c r="D779" t="inlineStr">
        <is>
          <t>VÄSTERNORRLANDS LÄN</t>
        </is>
      </c>
      <c r="E779" t="inlineStr">
        <is>
          <t>SOLLEFTEÅ</t>
        </is>
      </c>
      <c r="G779" t="n">
        <v>6.2</v>
      </c>
      <c r="H779" t="n">
        <v>0</v>
      </c>
      <c r="I779" t="n">
        <v>0</v>
      </c>
      <c r="J779" t="n">
        <v>0</v>
      </c>
      <c r="K779" t="n">
        <v>0</v>
      </c>
      <c r="L779" t="n">
        <v>0</v>
      </c>
      <c r="M779" t="n">
        <v>0</v>
      </c>
      <c r="N779" t="n">
        <v>0</v>
      </c>
      <c r="O779" t="n">
        <v>0</v>
      </c>
      <c r="P779" t="n">
        <v>0</v>
      </c>
      <c r="Q779" t="n">
        <v>0</v>
      </c>
      <c r="R779" s="2" t="inlineStr"/>
    </row>
    <row r="780" ht="15" customHeight="1">
      <c r="A780" t="inlineStr">
        <is>
          <t>A 46207-2023</t>
        </is>
      </c>
      <c r="B780" s="1" t="n">
        <v>45190</v>
      </c>
      <c r="C780" s="1" t="n">
        <v>45908</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57487-2024</t>
        </is>
      </c>
      <c r="B781" s="1" t="n">
        <v>45630.36166666666</v>
      </c>
      <c r="C781" s="1" t="n">
        <v>45908</v>
      </c>
      <c r="D781" t="inlineStr">
        <is>
          <t>VÄSTERNORRLANDS LÄN</t>
        </is>
      </c>
      <c r="E781" t="inlineStr">
        <is>
          <t>SOLLEFTEÅ</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13009-2023</t>
        </is>
      </c>
      <c r="B782" s="1" t="n">
        <v>45002.03643518518</v>
      </c>
      <c r="C782" s="1" t="n">
        <v>45908</v>
      </c>
      <c r="D782" t="inlineStr">
        <is>
          <t>VÄSTERNORRLANDS LÄN</t>
        </is>
      </c>
      <c r="E782" t="inlineStr">
        <is>
          <t>SOLLEFTEÅ</t>
        </is>
      </c>
      <c r="F782" t="inlineStr">
        <is>
          <t>SCA</t>
        </is>
      </c>
      <c r="G782" t="n">
        <v>7.9</v>
      </c>
      <c r="H782" t="n">
        <v>0</v>
      </c>
      <c r="I782" t="n">
        <v>0</v>
      </c>
      <c r="J782" t="n">
        <v>0</v>
      </c>
      <c r="K782" t="n">
        <v>0</v>
      </c>
      <c r="L782" t="n">
        <v>0</v>
      </c>
      <c r="M782" t="n">
        <v>0</v>
      </c>
      <c r="N782" t="n">
        <v>0</v>
      </c>
      <c r="O782" t="n">
        <v>0</v>
      </c>
      <c r="P782" t="n">
        <v>0</v>
      </c>
      <c r="Q782" t="n">
        <v>0</v>
      </c>
      <c r="R782" s="2" t="inlineStr"/>
    </row>
    <row r="783" ht="15" customHeight="1">
      <c r="A783" t="inlineStr">
        <is>
          <t>A 21983-2025</t>
        </is>
      </c>
      <c r="B783" s="1" t="n">
        <v>45784.65678240741</v>
      </c>
      <c r="C783" s="1" t="n">
        <v>45908</v>
      </c>
      <c r="D783" t="inlineStr">
        <is>
          <t>VÄSTERNORRLANDS LÄN</t>
        </is>
      </c>
      <c r="E783" t="inlineStr">
        <is>
          <t>SOLLEFTEÅ</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68034-2020</t>
        </is>
      </c>
      <c r="B784" s="1" t="n">
        <v>44182</v>
      </c>
      <c r="C784" s="1" t="n">
        <v>45908</v>
      </c>
      <c r="D784" t="inlineStr">
        <is>
          <t>VÄSTERNORRLANDS LÄN</t>
        </is>
      </c>
      <c r="E784" t="inlineStr">
        <is>
          <t>SOLLEFTEÅ</t>
        </is>
      </c>
      <c r="F784" t="inlineStr">
        <is>
          <t>SCA</t>
        </is>
      </c>
      <c r="G784" t="n">
        <v>17.1</v>
      </c>
      <c r="H784" t="n">
        <v>0</v>
      </c>
      <c r="I784" t="n">
        <v>0</v>
      </c>
      <c r="J784" t="n">
        <v>0</v>
      </c>
      <c r="K784" t="n">
        <v>0</v>
      </c>
      <c r="L784" t="n">
        <v>0</v>
      </c>
      <c r="M784" t="n">
        <v>0</v>
      </c>
      <c r="N784" t="n">
        <v>0</v>
      </c>
      <c r="O784" t="n">
        <v>0</v>
      </c>
      <c r="P784" t="n">
        <v>0</v>
      </c>
      <c r="Q784" t="n">
        <v>0</v>
      </c>
      <c r="R784" s="2" t="inlineStr"/>
    </row>
    <row r="785" ht="15" customHeight="1">
      <c r="A785" t="inlineStr">
        <is>
          <t>A 5036-2024</t>
        </is>
      </c>
      <c r="B785" s="1" t="n">
        <v>45329.87555555555</v>
      </c>
      <c r="C785" s="1" t="n">
        <v>45908</v>
      </c>
      <c r="D785" t="inlineStr">
        <is>
          <t>VÄSTERNORRLANDS LÄN</t>
        </is>
      </c>
      <c r="E785" t="inlineStr">
        <is>
          <t>SOLLEFTEÅ</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24199-2024</t>
        </is>
      </c>
      <c r="B786" s="1" t="n">
        <v>45456.96634259259</v>
      </c>
      <c r="C786" s="1" t="n">
        <v>45908</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24208-2024</t>
        </is>
      </c>
      <c r="B787" s="1" t="n">
        <v>45456.9678125</v>
      </c>
      <c r="C787" s="1" t="n">
        <v>45908</v>
      </c>
      <c r="D787" t="inlineStr">
        <is>
          <t>VÄSTERNORRLANDS LÄN</t>
        </is>
      </c>
      <c r="E787" t="inlineStr">
        <is>
          <t>SOLLEFTEÅ</t>
        </is>
      </c>
      <c r="G787" t="n">
        <v>2.9</v>
      </c>
      <c r="H787" t="n">
        <v>0</v>
      </c>
      <c r="I787" t="n">
        <v>0</v>
      </c>
      <c r="J787" t="n">
        <v>0</v>
      </c>
      <c r="K787" t="n">
        <v>0</v>
      </c>
      <c r="L787" t="n">
        <v>0</v>
      </c>
      <c r="M787" t="n">
        <v>0</v>
      </c>
      <c r="N787" t="n">
        <v>0</v>
      </c>
      <c r="O787" t="n">
        <v>0</v>
      </c>
      <c r="P787" t="n">
        <v>0</v>
      </c>
      <c r="Q787" t="n">
        <v>0</v>
      </c>
      <c r="R787" s="2" t="inlineStr"/>
    </row>
    <row r="788" ht="15" customHeight="1">
      <c r="A788" t="inlineStr">
        <is>
          <t>A 24211-2024</t>
        </is>
      </c>
      <c r="B788" s="1" t="n">
        <v>45456.9681712963</v>
      </c>
      <c r="C788" s="1" t="n">
        <v>45908</v>
      </c>
      <c r="D788" t="inlineStr">
        <is>
          <t>VÄSTERNORRLANDS LÄN</t>
        </is>
      </c>
      <c r="E788" t="inlineStr">
        <is>
          <t>SOLLEFTEÅ</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9708-2025</t>
        </is>
      </c>
      <c r="B789" s="1" t="n">
        <v>45716.38607638889</v>
      </c>
      <c r="C789" s="1" t="n">
        <v>45908</v>
      </c>
      <c r="D789" t="inlineStr">
        <is>
          <t>VÄSTERNORRLANDS LÄN</t>
        </is>
      </c>
      <c r="E789" t="inlineStr">
        <is>
          <t>SOLLEFTEÅ</t>
        </is>
      </c>
      <c r="F789" t="inlineStr">
        <is>
          <t>SCA</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31672-2022</t>
        </is>
      </c>
      <c r="B790" s="1" t="n">
        <v>44776.36137731482</v>
      </c>
      <c r="C790" s="1" t="n">
        <v>45908</v>
      </c>
      <c r="D790" t="inlineStr">
        <is>
          <t>VÄSTERNORRLANDS LÄN</t>
        </is>
      </c>
      <c r="E790" t="inlineStr">
        <is>
          <t>SOLLEFTEÅ</t>
        </is>
      </c>
      <c r="G790" t="n">
        <v>16.3</v>
      </c>
      <c r="H790" t="n">
        <v>0</v>
      </c>
      <c r="I790" t="n">
        <v>0</v>
      </c>
      <c r="J790" t="n">
        <v>0</v>
      </c>
      <c r="K790" t="n">
        <v>0</v>
      </c>
      <c r="L790" t="n">
        <v>0</v>
      </c>
      <c r="M790" t="n">
        <v>0</v>
      </c>
      <c r="N790" t="n">
        <v>0</v>
      </c>
      <c r="O790" t="n">
        <v>0</v>
      </c>
      <c r="P790" t="n">
        <v>0</v>
      </c>
      <c r="Q790" t="n">
        <v>0</v>
      </c>
      <c r="R790" s="2" t="inlineStr"/>
    </row>
    <row r="791" ht="15" customHeight="1">
      <c r="A791" t="inlineStr">
        <is>
          <t>A 22036-2025</t>
        </is>
      </c>
      <c r="B791" s="1" t="n">
        <v>45785.31820601852</v>
      </c>
      <c r="C791" s="1" t="n">
        <v>45908</v>
      </c>
      <c r="D791" t="inlineStr">
        <is>
          <t>VÄSTERNORRLANDS LÄN</t>
        </is>
      </c>
      <c r="E791" t="inlineStr">
        <is>
          <t>SOLLEFTEÅ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42512-2023</t>
        </is>
      </c>
      <c r="B792" s="1" t="n">
        <v>45180.95953703704</v>
      </c>
      <c r="C792" s="1" t="n">
        <v>45908</v>
      </c>
      <c r="D792" t="inlineStr">
        <is>
          <t>VÄSTERNORRLANDS LÄN</t>
        </is>
      </c>
      <c r="E792" t="inlineStr">
        <is>
          <t>SOLLEFTEÅ</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21985-2025</t>
        </is>
      </c>
      <c r="B793" s="1" t="n">
        <v>45784.65689814815</v>
      </c>
      <c r="C793" s="1" t="n">
        <v>45908</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3555-2022</t>
        </is>
      </c>
      <c r="B794" s="1" t="n">
        <v>44585.93820601852</v>
      </c>
      <c r="C794" s="1" t="n">
        <v>45908</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19892-2025</t>
        </is>
      </c>
      <c r="B795" s="1" t="n">
        <v>45771.57461805556</v>
      </c>
      <c r="C795" s="1" t="n">
        <v>45908</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20458-2025</t>
        </is>
      </c>
      <c r="B796" s="1" t="n">
        <v>45775.52623842593</v>
      </c>
      <c r="C796" s="1" t="n">
        <v>45908</v>
      </c>
      <c r="D796" t="inlineStr">
        <is>
          <t>VÄSTERNORRLANDS LÄN</t>
        </is>
      </c>
      <c r="E796" t="inlineStr">
        <is>
          <t>SOLLEFTEÅ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30692-2021</t>
        </is>
      </c>
      <c r="B797" s="1" t="n">
        <v>44365</v>
      </c>
      <c r="C797" s="1" t="n">
        <v>45908</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29914-2024</t>
        </is>
      </c>
      <c r="B798" s="1" t="n">
        <v>45487.92814814814</v>
      </c>
      <c r="C798" s="1" t="n">
        <v>45908</v>
      </c>
      <c r="D798" t="inlineStr">
        <is>
          <t>VÄSTERNORRLANDS LÄN</t>
        </is>
      </c>
      <c r="E798" t="inlineStr">
        <is>
          <t>SOLLEFTEÅ</t>
        </is>
      </c>
      <c r="G798" t="n">
        <v>6.3</v>
      </c>
      <c r="H798" t="n">
        <v>0</v>
      </c>
      <c r="I798" t="n">
        <v>0</v>
      </c>
      <c r="J798" t="n">
        <v>0</v>
      </c>
      <c r="K798" t="n">
        <v>0</v>
      </c>
      <c r="L798" t="n">
        <v>0</v>
      </c>
      <c r="M798" t="n">
        <v>0</v>
      </c>
      <c r="N798" t="n">
        <v>0</v>
      </c>
      <c r="O798" t="n">
        <v>0</v>
      </c>
      <c r="P798" t="n">
        <v>0</v>
      </c>
      <c r="Q798" t="n">
        <v>0</v>
      </c>
      <c r="R798" s="2" t="inlineStr"/>
    </row>
    <row r="799" ht="15" customHeight="1">
      <c r="A799" t="inlineStr">
        <is>
          <t>A 13521-2023</t>
        </is>
      </c>
      <c r="B799" s="1" t="n">
        <v>45005</v>
      </c>
      <c r="C799" s="1" t="n">
        <v>45908</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44591-2024</t>
        </is>
      </c>
      <c r="B800" s="1" t="n">
        <v>45574</v>
      </c>
      <c r="C800" s="1" t="n">
        <v>45908</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51227-2024</t>
        </is>
      </c>
      <c r="B801" s="1" t="n">
        <v>45603.65729166667</v>
      </c>
      <c r="C801" s="1" t="n">
        <v>45908</v>
      </c>
      <c r="D801" t="inlineStr">
        <is>
          <t>VÄSTERNORRLANDS LÄN</t>
        </is>
      </c>
      <c r="E801" t="inlineStr">
        <is>
          <t>SOLLEFTEÅ</t>
        </is>
      </c>
      <c r="F801" t="inlineStr">
        <is>
          <t>SCA</t>
        </is>
      </c>
      <c r="G801" t="n">
        <v>5.5</v>
      </c>
      <c r="H801" t="n">
        <v>0</v>
      </c>
      <c r="I801" t="n">
        <v>0</v>
      </c>
      <c r="J801" t="n">
        <v>0</v>
      </c>
      <c r="K801" t="n">
        <v>0</v>
      </c>
      <c r="L801" t="n">
        <v>0</v>
      </c>
      <c r="M801" t="n">
        <v>0</v>
      </c>
      <c r="N801" t="n">
        <v>0</v>
      </c>
      <c r="O801" t="n">
        <v>0</v>
      </c>
      <c r="P801" t="n">
        <v>0</v>
      </c>
      <c r="Q801" t="n">
        <v>0</v>
      </c>
      <c r="R801" s="2" t="inlineStr"/>
    </row>
    <row r="802" ht="15" customHeight="1">
      <c r="A802" t="inlineStr">
        <is>
          <t>A 19635-2025</t>
        </is>
      </c>
      <c r="B802" s="1" t="n">
        <v>45770.64877314815</v>
      </c>
      <c r="C802" s="1" t="n">
        <v>45908</v>
      </c>
      <c r="D802" t="inlineStr">
        <is>
          <t>VÄSTERNORRLANDS LÄN</t>
        </is>
      </c>
      <c r="E802" t="inlineStr">
        <is>
          <t>SOLLEFTEÅ</t>
        </is>
      </c>
      <c r="G802" t="n">
        <v>4.4</v>
      </c>
      <c r="H802" t="n">
        <v>0</v>
      </c>
      <c r="I802" t="n">
        <v>0</v>
      </c>
      <c r="J802" t="n">
        <v>0</v>
      </c>
      <c r="K802" t="n">
        <v>0</v>
      </c>
      <c r="L802" t="n">
        <v>0</v>
      </c>
      <c r="M802" t="n">
        <v>0</v>
      </c>
      <c r="N802" t="n">
        <v>0</v>
      </c>
      <c r="O802" t="n">
        <v>0</v>
      </c>
      <c r="P802" t="n">
        <v>0</v>
      </c>
      <c r="Q802" t="n">
        <v>0</v>
      </c>
      <c r="R802" s="2" t="inlineStr"/>
    </row>
    <row r="803" ht="15" customHeight="1">
      <c r="A803" t="inlineStr">
        <is>
          <t>A 61384-2022</t>
        </is>
      </c>
      <c r="B803" s="1" t="n">
        <v>44915</v>
      </c>
      <c r="C803" s="1" t="n">
        <v>45908</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19633-2025</t>
        </is>
      </c>
      <c r="B804" s="1" t="n">
        <v>45770.64655092593</v>
      </c>
      <c r="C804" s="1" t="n">
        <v>45908</v>
      </c>
      <c r="D804" t="inlineStr">
        <is>
          <t>VÄSTERNORRLANDS LÄN</t>
        </is>
      </c>
      <c r="E804" t="inlineStr">
        <is>
          <t>SOLLEFTEÅ</t>
        </is>
      </c>
      <c r="G804" t="n">
        <v>9.9</v>
      </c>
      <c r="H804" t="n">
        <v>0</v>
      </c>
      <c r="I804" t="n">
        <v>0</v>
      </c>
      <c r="J804" t="n">
        <v>0</v>
      </c>
      <c r="K804" t="n">
        <v>0</v>
      </c>
      <c r="L804" t="n">
        <v>0</v>
      </c>
      <c r="M804" t="n">
        <v>0</v>
      </c>
      <c r="N804" t="n">
        <v>0</v>
      </c>
      <c r="O804" t="n">
        <v>0</v>
      </c>
      <c r="P804" t="n">
        <v>0</v>
      </c>
      <c r="Q804" t="n">
        <v>0</v>
      </c>
      <c r="R804" s="2" t="inlineStr"/>
    </row>
    <row r="805" ht="15" customHeight="1">
      <c r="A805" t="inlineStr">
        <is>
          <t>A 31177-2023</t>
        </is>
      </c>
      <c r="B805" s="1" t="n">
        <v>45113</v>
      </c>
      <c r="C805" s="1" t="n">
        <v>45908</v>
      </c>
      <c r="D805" t="inlineStr">
        <is>
          <t>VÄSTERNORRLANDS LÄN</t>
        </is>
      </c>
      <c r="E805" t="inlineStr">
        <is>
          <t>SOLLEFTEÅ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53669-2023</t>
        </is>
      </c>
      <c r="B806" s="1" t="n">
        <v>45230</v>
      </c>
      <c r="C806" s="1" t="n">
        <v>45908</v>
      </c>
      <c r="D806" t="inlineStr">
        <is>
          <t>VÄSTERNORRLANDS LÄN</t>
        </is>
      </c>
      <c r="E806" t="inlineStr">
        <is>
          <t>SOLLEFTEÅ</t>
        </is>
      </c>
      <c r="G806" t="n">
        <v>11.2</v>
      </c>
      <c r="H806" t="n">
        <v>0</v>
      </c>
      <c r="I806" t="n">
        <v>0</v>
      </c>
      <c r="J806" t="n">
        <v>0</v>
      </c>
      <c r="K806" t="n">
        <v>0</v>
      </c>
      <c r="L806" t="n">
        <v>0</v>
      </c>
      <c r="M806" t="n">
        <v>0</v>
      </c>
      <c r="N806" t="n">
        <v>0</v>
      </c>
      <c r="O806" t="n">
        <v>0</v>
      </c>
      <c r="P806" t="n">
        <v>0</v>
      </c>
      <c r="Q806" t="n">
        <v>0</v>
      </c>
      <c r="R806" s="2" t="inlineStr"/>
    </row>
    <row r="807" ht="15" customHeight="1">
      <c r="A807" t="inlineStr">
        <is>
          <t>A 34397-2021</t>
        </is>
      </c>
      <c r="B807" s="1" t="n">
        <v>44379</v>
      </c>
      <c r="C807" s="1" t="n">
        <v>45908</v>
      </c>
      <c r="D807" t="inlineStr">
        <is>
          <t>VÄSTERNORRLANDS LÄN</t>
        </is>
      </c>
      <c r="E807" t="inlineStr">
        <is>
          <t>SOLLEFTEÅ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33709-2023</t>
        </is>
      </c>
      <c r="B808" s="1" t="n">
        <v>45132.92300925926</v>
      </c>
      <c r="C808" s="1" t="n">
        <v>45908</v>
      </c>
      <c r="D808" t="inlineStr">
        <is>
          <t>VÄSTERNORRLANDS LÄN</t>
        </is>
      </c>
      <c r="E808" t="inlineStr">
        <is>
          <t>SOLLEFTEÅ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23287-2023</t>
        </is>
      </c>
      <c r="B809" s="1" t="n">
        <v>45075</v>
      </c>
      <c r="C809" s="1" t="n">
        <v>45908</v>
      </c>
      <c r="D809" t="inlineStr">
        <is>
          <t>VÄSTERNORRLANDS LÄN</t>
        </is>
      </c>
      <c r="E809" t="inlineStr">
        <is>
          <t>SOLLEFTEÅ</t>
        </is>
      </c>
      <c r="G809" t="n">
        <v>0.2</v>
      </c>
      <c r="H809" t="n">
        <v>0</v>
      </c>
      <c r="I809" t="n">
        <v>0</v>
      </c>
      <c r="J809" t="n">
        <v>0</v>
      </c>
      <c r="K809" t="n">
        <v>0</v>
      </c>
      <c r="L809" t="n">
        <v>0</v>
      </c>
      <c r="M809" t="n">
        <v>0</v>
      </c>
      <c r="N809" t="n">
        <v>0</v>
      </c>
      <c r="O809" t="n">
        <v>0</v>
      </c>
      <c r="P809" t="n">
        <v>0</v>
      </c>
      <c r="Q809" t="n">
        <v>0</v>
      </c>
      <c r="R809" s="2" t="inlineStr"/>
    </row>
    <row r="810" ht="15" customHeight="1">
      <c r="A810" t="inlineStr">
        <is>
          <t>A 37197-2024</t>
        </is>
      </c>
      <c r="B810" s="1" t="n">
        <v>45539</v>
      </c>
      <c r="C810" s="1" t="n">
        <v>45908</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14055-2022</t>
        </is>
      </c>
      <c r="B811" s="1" t="n">
        <v>44650.93824074074</v>
      </c>
      <c r="C811" s="1" t="n">
        <v>45908</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13292-2023</t>
        </is>
      </c>
      <c r="B812" s="1" t="n">
        <v>45004</v>
      </c>
      <c r="C812" s="1" t="n">
        <v>45908</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56252-2024</t>
        </is>
      </c>
      <c r="B813" s="1" t="n">
        <v>45624</v>
      </c>
      <c r="C813" s="1" t="n">
        <v>45908</v>
      </c>
      <c r="D813" t="inlineStr">
        <is>
          <t>VÄSTERNORRLANDS LÄN</t>
        </is>
      </c>
      <c r="E813" t="inlineStr">
        <is>
          <t>SOLLEFTEÅ</t>
        </is>
      </c>
      <c r="G813" t="n">
        <v>4</v>
      </c>
      <c r="H813" t="n">
        <v>0</v>
      </c>
      <c r="I813" t="n">
        <v>0</v>
      </c>
      <c r="J813" t="n">
        <v>0</v>
      </c>
      <c r="K813" t="n">
        <v>0</v>
      </c>
      <c r="L813" t="n">
        <v>0</v>
      </c>
      <c r="M813" t="n">
        <v>0</v>
      </c>
      <c r="N813" t="n">
        <v>0</v>
      </c>
      <c r="O813" t="n">
        <v>0</v>
      </c>
      <c r="P813" t="n">
        <v>0</v>
      </c>
      <c r="Q813" t="n">
        <v>0</v>
      </c>
      <c r="R813" s="2" t="inlineStr"/>
    </row>
    <row r="814" ht="15" customHeight="1">
      <c r="A814" t="inlineStr">
        <is>
          <t>A 9070-2025</t>
        </is>
      </c>
      <c r="B814" s="1" t="n">
        <v>45713.65658564815</v>
      </c>
      <c r="C814" s="1" t="n">
        <v>45908</v>
      </c>
      <c r="D814" t="inlineStr">
        <is>
          <t>VÄSTERNORRLANDS LÄN</t>
        </is>
      </c>
      <c r="E814" t="inlineStr">
        <is>
          <t>SOLLEFTEÅ</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18456-2023</t>
        </is>
      </c>
      <c r="B815" s="1" t="n">
        <v>45041</v>
      </c>
      <c r="C815" s="1" t="n">
        <v>45908</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55710-2024</t>
        </is>
      </c>
      <c r="B816" s="1" t="n">
        <v>45622.6985300926</v>
      </c>
      <c r="C816" s="1" t="n">
        <v>45908</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54532-2024</t>
        </is>
      </c>
      <c r="B817" s="1" t="n">
        <v>45617.60480324074</v>
      </c>
      <c r="C817" s="1" t="n">
        <v>45908</v>
      </c>
      <c r="D817" t="inlineStr">
        <is>
          <t>VÄSTERNORRLANDS LÄN</t>
        </is>
      </c>
      <c r="E817" t="inlineStr">
        <is>
          <t>SOLLEFTEÅ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34737-2023</t>
        </is>
      </c>
      <c r="B818" s="1" t="n">
        <v>45139</v>
      </c>
      <c r="C818" s="1" t="n">
        <v>45908</v>
      </c>
      <c r="D818" t="inlineStr">
        <is>
          <t>VÄSTERNORRLANDS LÄN</t>
        </is>
      </c>
      <c r="E818" t="inlineStr">
        <is>
          <t>SOLLEFTEÅ</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48606-2024</t>
        </is>
      </c>
      <c r="B819" s="1" t="n">
        <v>45593.4485300926</v>
      </c>
      <c r="C819" s="1" t="n">
        <v>45908</v>
      </c>
      <c r="D819" t="inlineStr">
        <is>
          <t>VÄSTERNORRLANDS LÄN</t>
        </is>
      </c>
      <c r="E819" t="inlineStr">
        <is>
          <t>SOLLEFTEÅ</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51249-2022</t>
        </is>
      </c>
      <c r="B820" s="1" t="n">
        <v>44866</v>
      </c>
      <c r="C820" s="1" t="n">
        <v>45908</v>
      </c>
      <c r="D820" t="inlineStr">
        <is>
          <t>VÄSTERNORRLANDS LÄN</t>
        </is>
      </c>
      <c r="E820" t="inlineStr">
        <is>
          <t>SOLLEFTEÅ</t>
        </is>
      </c>
      <c r="G820" t="n">
        <v>1.8</v>
      </c>
      <c r="H820" t="n">
        <v>0</v>
      </c>
      <c r="I820" t="n">
        <v>0</v>
      </c>
      <c r="J820" t="n">
        <v>0</v>
      </c>
      <c r="K820" t="n">
        <v>0</v>
      </c>
      <c r="L820" t="n">
        <v>0</v>
      </c>
      <c r="M820" t="n">
        <v>0</v>
      </c>
      <c r="N820" t="n">
        <v>0</v>
      </c>
      <c r="O820" t="n">
        <v>0</v>
      </c>
      <c r="P820" t="n">
        <v>0</v>
      </c>
      <c r="Q820" t="n">
        <v>0</v>
      </c>
      <c r="R820" s="2" t="inlineStr"/>
    </row>
    <row r="821" ht="15" customHeight="1">
      <c r="A821" t="inlineStr">
        <is>
          <t>A 21099-2024</t>
        </is>
      </c>
      <c r="B821" s="1" t="n">
        <v>45439</v>
      </c>
      <c r="C821" s="1" t="n">
        <v>45908</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50864-2024</t>
        </is>
      </c>
      <c r="B822" s="1" t="n">
        <v>45602.63653935185</v>
      </c>
      <c r="C822" s="1" t="n">
        <v>45908</v>
      </c>
      <c r="D822" t="inlineStr">
        <is>
          <t>VÄSTERNORRLANDS LÄN</t>
        </is>
      </c>
      <c r="E822" t="inlineStr">
        <is>
          <t>SOLLEFTEÅ</t>
        </is>
      </c>
      <c r="G822" t="n">
        <v>9.5</v>
      </c>
      <c r="H822" t="n">
        <v>0</v>
      </c>
      <c r="I822" t="n">
        <v>0</v>
      </c>
      <c r="J822" t="n">
        <v>0</v>
      </c>
      <c r="K822" t="n">
        <v>0</v>
      </c>
      <c r="L822" t="n">
        <v>0</v>
      </c>
      <c r="M822" t="n">
        <v>0</v>
      </c>
      <c r="N822" t="n">
        <v>0</v>
      </c>
      <c r="O822" t="n">
        <v>0</v>
      </c>
      <c r="P822" t="n">
        <v>0</v>
      </c>
      <c r="Q822" t="n">
        <v>0</v>
      </c>
      <c r="R822" s="2" t="inlineStr"/>
    </row>
    <row r="823" ht="15" customHeight="1">
      <c r="A823" t="inlineStr">
        <is>
          <t>A 967-2025</t>
        </is>
      </c>
      <c r="B823" s="1" t="n">
        <v>45666</v>
      </c>
      <c r="C823" s="1" t="n">
        <v>45908</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22803-2025</t>
        </is>
      </c>
      <c r="B824" s="1" t="n">
        <v>45789</v>
      </c>
      <c r="C824" s="1" t="n">
        <v>45908</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56249-2024</t>
        </is>
      </c>
      <c r="B825" s="1" t="n">
        <v>45624.63584490741</v>
      </c>
      <c r="C825" s="1" t="n">
        <v>45908</v>
      </c>
      <c r="D825" t="inlineStr">
        <is>
          <t>VÄSTERNORRLANDS LÄN</t>
        </is>
      </c>
      <c r="E825" t="inlineStr">
        <is>
          <t>SOLLEFTEÅ</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6065-2024</t>
        </is>
      </c>
      <c r="B826" s="1" t="n">
        <v>45336.87826388889</v>
      </c>
      <c r="C826" s="1" t="n">
        <v>45908</v>
      </c>
      <c r="D826" t="inlineStr">
        <is>
          <t>VÄSTERNORRLANDS LÄN</t>
        </is>
      </c>
      <c r="E826" t="inlineStr">
        <is>
          <t>SOLLEFTEÅ</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21089-2025</t>
        </is>
      </c>
      <c r="B827" s="1" t="n">
        <v>45777</v>
      </c>
      <c r="C827" s="1" t="n">
        <v>45908</v>
      </c>
      <c r="D827" t="inlineStr">
        <is>
          <t>VÄSTERNORRLANDS LÄN</t>
        </is>
      </c>
      <c r="E827" t="inlineStr">
        <is>
          <t>SOLLEFTEÅ</t>
        </is>
      </c>
      <c r="F827" t="inlineStr">
        <is>
          <t>SCA</t>
        </is>
      </c>
      <c r="G827" t="n">
        <v>19.9</v>
      </c>
      <c r="H827" t="n">
        <v>0</v>
      </c>
      <c r="I827" t="n">
        <v>0</v>
      </c>
      <c r="J827" t="n">
        <v>0</v>
      </c>
      <c r="K827" t="n">
        <v>0</v>
      </c>
      <c r="L827" t="n">
        <v>0</v>
      </c>
      <c r="M827" t="n">
        <v>0</v>
      </c>
      <c r="N827" t="n">
        <v>0</v>
      </c>
      <c r="O827" t="n">
        <v>0</v>
      </c>
      <c r="P827" t="n">
        <v>0</v>
      </c>
      <c r="Q827" t="n">
        <v>0</v>
      </c>
      <c r="R827" s="2" t="inlineStr"/>
    </row>
    <row r="828" ht="15" customHeight="1">
      <c r="A828" t="inlineStr">
        <is>
          <t>A 54485-2024</t>
        </is>
      </c>
      <c r="B828" s="1" t="n">
        <v>45617.5625462963</v>
      </c>
      <c r="C828" s="1" t="n">
        <v>45908</v>
      </c>
      <c r="D828" t="inlineStr">
        <is>
          <t>VÄSTERNORRLANDS LÄN</t>
        </is>
      </c>
      <c r="E828" t="inlineStr">
        <is>
          <t>SOLLEFTEÅ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22615-2025</t>
        </is>
      </c>
      <c r="B829" s="1" t="n">
        <v>45789.42741898148</v>
      </c>
      <c r="C829" s="1" t="n">
        <v>45908</v>
      </c>
      <c r="D829" t="inlineStr">
        <is>
          <t>VÄSTERNORRLANDS LÄN</t>
        </is>
      </c>
      <c r="E829" t="inlineStr">
        <is>
          <t>SOLLEFTEÅ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22815-2025</t>
        </is>
      </c>
      <c r="B830" s="1" t="n">
        <v>45789.69826388889</v>
      </c>
      <c r="C830" s="1" t="n">
        <v>45908</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10967-2025</t>
        </is>
      </c>
      <c r="B831" s="1" t="n">
        <v>45723.38615740741</v>
      </c>
      <c r="C831" s="1" t="n">
        <v>45908</v>
      </c>
      <c r="D831" t="inlineStr">
        <is>
          <t>VÄSTERNORRLANDS LÄN</t>
        </is>
      </c>
      <c r="E831" t="inlineStr">
        <is>
          <t>SOLLEFTEÅ</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14274-2025</t>
        </is>
      </c>
      <c r="B832" s="1" t="n">
        <v>45740.64412037037</v>
      </c>
      <c r="C832" s="1" t="n">
        <v>45908</v>
      </c>
      <c r="D832" t="inlineStr">
        <is>
          <t>VÄSTERNORRLANDS LÄN</t>
        </is>
      </c>
      <c r="E832" t="inlineStr">
        <is>
          <t>SOLLEFTEÅ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14875-2023</t>
        </is>
      </c>
      <c r="B833" s="1" t="n">
        <v>45015.07292824074</v>
      </c>
      <c r="C833" s="1" t="n">
        <v>45908</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22569-2025</t>
        </is>
      </c>
      <c r="B834" s="1" t="n">
        <v>45789.36363425926</v>
      </c>
      <c r="C834" s="1" t="n">
        <v>45908</v>
      </c>
      <c r="D834" t="inlineStr">
        <is>
          <t>VÄSTERNORRLANDS LÄN</t>
        </is>
      </c>
      <c r="E834" t="inlineStr">
        <is>
          <t>SOLLEFTEÅ</t>
        </is>
      </c>
      <c r="G834" t="n">
        <v>3.7</v>
      </c>
      <c r="H834" t="n">
        <v>0</v>
      </c>
      <c r="I834" t="n">
        <v>0</v>
      </c>
      <c r="J834" t="n">
        <v>0</v>
      </c>
      <c r="K834" t="n">
        <v>0</v>
      </c>
      <c r="L834" t="n">
        <v>0</v>
      </c>
      <c r="M834" t="n">
        <v>0</v>
      </c>
      <c r="N834" t="n">
        <v>0</v>
      </c>
      <c r="O834" t="n">
        <v>0</v>
      </c>
      <c r="P834" t="n">
        <v>0</v>
      </c>
      <c r="Q834" t="n">
        <v>0</v>
      </c>
      <c r="R834" s="2" t="inlineStr"/>
    </row>
    <row r="835" ht="15" customHeight="1">
      <c r="A835" t="inlineStr">
        <is>
          <t>A 22390-2025</t>
        </is>
      </c>
      <c r="B835" s="1" t="n">
        <v>45786.51107638889</v>
      </c>
      <c r="C835" s="1" t="n">
        <v>45908</v>
      </c>
      <c r="D835" t="inlineStr">
        <is>
          <t>VÄSTERNORRLANDS LÄN</t>
        </is>
      </c>
      <c r="E835" t="inlineStr">
        <is>
          <t>SOLLEFTEÅ</t>
        </is>
      </c>
      <c r="G835" t="n">
        <v>8.6</v>
      </c>
      <c r="H835" t="n">
        <v>0</v>
      </c>
      <c r="I835" t="n">
        <v>0</v>
      </c>
      <c r="J835" t="n">
        <v>0</v>
      </c>
      <c r="K835" t="n">
        <v>0</v>
      </c>
      <c r="L835" t="n">
        <v>0</v>
      </c>
      <c r="M835" t="n">
        <v>0</v>
      </c>
      <c r="N835" t="n">
        <v>0</v>
      </c>
      <c r="O835" t="n">
        <v>0</v>
      </c>
      <c r="P835" t="n">
        <v>0</v>
      </c>
      <c r="Q835" t="n">
        <v>0</v>
      </c>
      <c r="R835" s="2" t="inlineStr"/>
    </row>
    <row r="836" ht="15" customHeight="1">
      <c r="A836" t="inlineStr">
        <is>
          <t>A 14975-2024</t>
        </is>
      </c>
      <c r="B836" s="1" t="n">
        <v>45398.94100694444</v>
      </c>
      <c r="C836" s="1" t="n">
        <v>45908</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14983-2024</t>
        </is>
      </c>
      <c r="B837" s="1" t="n">
        <v>45398.94237268518</v>
      </c>
      <c r="C837" s="1" t="n">
        <v>45908</v>
      </c>
      <c r="D837" t="inlineStr">
        <is>
          <t>VÄSTERNORRLANDS LÄN</t>
        </is>
      </c>
      <c r="E837" t="inlineStr">
        <is>
          <t>SOLLEFTEÅ</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50721-2024</t>
        </is>
      </c>
      <c r="B838" s="1" t="n">
        <v>45602.3863425926</v>
      </c>
      <c r="C838" s="1" t="n">
        <v>45908</v>
      </c>
      <c r="D838" t="inlineStr">
        <is>
          <t>VÄSTERNORRLANDS LÄN</t>
        </is>
      </c>
      <c r="E838" t="inlineStr">
        <is>
          <t>SOLLEFTEÅ</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15621-2025</t>
        </is>
      </c>
      <c r="B839" s="1" t="n">
        <v>45748.35635416667</v>
      </c>
      <c r="C839" s="1" t="n">
        <v>45908</v>
      </c>
      <c r="D839" t="inlineStr">
        <is>
          <t>VÄSTERNORRLANDS LÄN</t>
        </is>
      </c>
      <c r="E839" t="inlineStr">
        <is>
          <t>SOLLEFTEÅ</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53477-2024</t>
        </is>
      </c>
      <c r="B840" s="1" t="n">
        <v>45611</v>
      </c>
      <c r="C840" s="1" t="n">
        <v>45908</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1986-2025</t>
        </is>
      </c>
      <c r="B841" s="1" t="n">
        <v>45672.40684027778</v>
      </c>
      <c r="C841" s="1" t="n">
        <v>45908</v>
      </c>
      <c r="D841" t="inlineStr">
        <is>
          <t>VÄSTERNORRLANDS LÄN</t>
        </is>
      </c>
      <c r="E841" t="inlineStr">
        <is>
          <t>SOLLEFTEÅ</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16492-2025</t>
        </is>
      </c>
      <c r="B842" s="1" t="n">
        <v>45751.59414351852</v>
      </c>
      <c r="C842" s="1" t="n">
        <v>45908</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7330-2023</t>
        </is>
      </c>
      <c r="B843" s="1" t="n">
        <v>44970.97920138889</v>
      </c>
      <c r="C843" s="1" t="n">
        <v>45908</v>
      </c>
      <c r="D843" t="inlineStr">
        <is>
          <t>VÄSTERNORRLANDS LÄN</t>
        </is>
      </c>
      <c r="E843" t="inlineStr">
        <is>
          <t>SOLLEFTEÅ</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7333-2023</t>
        </is>
      </c>
      <c r="B844" s="1" t="n">
        <v>44970.97947916666</v>
      </c>
      <c r="C844" s="1" t="n">
        <v>45908</v>
      </c>
      <c r="D844" t="inlineStr">
        <is>
          <t>VÄSTERNORRLANDS LÄN</t>
        </is>
      </c>
      <c r="E844" t="inlineStr">
        <is>
          <t>SOLLEFTEÅ</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22767-2025</t>
        </is>
      </c>
      <c r="B845" s="1" t="n">
        <v>45789.63309027778</v>
      </c>
      <c r="C845" s="1" t="n">
        <v>45908</v>
      </c>
      <c r="D845" t="inlineStr">
        <is>
          <t>VÄSTERNORRLANDS LÄN</t>
        </is>
      </c>
      <c r="E845" t="inlineStr">
        <is>
          <t>SOLLEFTEÅ</t>
        </is>
      </c>
      <c r="G845" t="n">
        <v>5.8</v>
      </c>
      <c r="H845" t="n">
        <v>0</v>
      </c>
      <c r="I845" t="n">
        <v>0</v>
      </c>
      <c r="J845" t="n">
        <v>0</v>
      </c>
      <c r="K845" t="n">
        <v>0</v>
      </c>
      <c r="L845" t="n">
        <v>0</v>
      </c>
      <c r="M845" t="n">
        <v>0</v>
      </c>
      <c r="N845" t="n">
        <v>0</v>
      </c>
      <c r="O845" t="n">
        <v>0</v>
      </c>
      <c r="P845" t="n">
        <v>0</v>
      </c>
      <c r="Q845" t="n">
        <v>0</v>
      </c>
      <c r="R845" s="2" t="inlineStr"/>
    </row>
    <row r="846" ht="15" customHeight="1">
      <c r="A846" t="inlineStr">
        <is>
          <t>A 22287-2025</t>
        </is>
      </c>
      <c r="B846" s="1" t="n">
        <v>45786.34409722222</v>
      </c>
      <c r="C846" s="1" t="n">
        <v>45908</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54618-2023</t>
        </is>
      </c>
      <c r="B847" s="1" t="n">
        <v>45233</v>
      </c>
      <c r="C847" s="1" t="n">
        <v>45908</v>
      </c>
      <c r="D847" t="inlineStr">
        <is>
          <t>VÄSTERNORRLANDS LÄN</t>
        </is>
      </c>
      <c r="E847" t="inlineStr">
        <is>
          <t>SOLLEFTEÅ</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4838-2025</t>
        </is>
      </c>
      <c r="B848" s="1" t="n">
        <v>45688.67167824074</v>
      </c>
      <c r="C848" s="1" t="n">
        <v>45908</v>
      </c>
      <c r="D848" t="inlineStr">
        <is>
          <t>VÄSTERNORRLANDS LÄN</t>
        </is>
      </c>
      <c r="E848" t="inlineStr">
        <is>
          <t>SOLLEFTEÅ</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35502-2024</t>
        </is>
      </c>
      <c r="B849" s="1" t="n">
        <v>45531</v>
      </c>
      <c r="C849" s="1" t="n">
        <v>45908</v>
      </c>
      <c r="D849" t="inlineStr">
        <is>
          <t>VÄSTERNORRLANDS LÄN</t>
        </is>
      </c>
      <c r="E849" t="inlineStr">
        <is>
          <t>SOLLEFTEÅ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35509-2024</t>
        </is>
      </c>
      <c r="B850" s="1" t="n">
        <v>45531</v>
      </c>
      <c r="C850" s="1" t="n">
        <v>45908</v>
      </c>
      <c r="D850" t="inlineStr">
        <is>
          <t>VÄSTERNORRLANDS LÄN</t>
        </is>
      </c>
      <c r="E850" t="inlineStr">
        <is>
          <t>SOLLEFTEÅ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53120-2024</t>
        </is>
      </c>
      <c r="B851" s="1" t="n">
        <v>45611</v>
      </c>
      <c r="C851" s="1" t="n">
        <v>45908</v>
      </c>
      <c r="D851" t="inlineStr">
        <is>
          <t>VÄSTERNORRLANDS LÄN</t>
        </is>
      </c>
      <c r="E851" t="inlineStr">
        <is>
          <t>SOLLEFTEÅ</t>
        </is>
      </c>
      <c r="G851" t="n">
        <v>2.5</v>
      </c>
      <c r="H851" t="n">
        <v>0</v>
      </c>
      <c r="I851" t="n">
        <v>0</v>
      </c>
      <c r="J851" t="n">
        <v>0</v>
      </c>
      <c r="K851" t="n">
        <v>0</v>
      </c>
      <c r="L851" t="n">
        <v>0</v>
      </c>
      <c r="M851" t="n">
        <v>0</v>
      </c>
      <c r="N851" t="n">
        <v>0</v>
      </c>
      <c r="O851" t="n">
        <v>0</v>
      </c>
      <c r="P851" t="n">
        <v>0</v>
      </c>
      <c r="Q851" t="n">
        <v>0</v>
      </c>
      <c r="R851" s="2" t="inlineStr"/>
    </row>
    <row r="852" ht="15" customHeight="1">
      <c r="A852" t="inlineStr">
        <is>
          <t>A 33642-2023</t>
        </is>
      </c>
      <c r="B852" s="1" t="n">
        <v>45119</v>
      </c>
      <c r="C852" s="1" t="n">
        <v>45908</v>
      </c>
      <c r="D852" t="inlineStr">
        <is>
          <t>VÄSTERNORRLANDS LÄN</t>
        </is>
      </c>
      <c r="E852" t="inlineStr">
        <is>
          <t>SOLLEFTEÅ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4905-2025</t>
        </is>
      </c>
      <c r="B853" s="1" t="n">
        <v>45688.68043981482</v>
      </c>
      <c r="C853" s="1" t="n">
        <v>45908</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16511-2025</t>
        </is>
      </c>
      <c r="B854" s="1" t="n">
        <v>45751</v>
      </c>
      <c r="C854" s="1" t="n">
        <v>45908</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154-2025</t>
        </is>
      </c>
      <c r="B855" s="1" t="n">
        <v>45659</v>
      </c>
      <c r="C855" s="1" t="n">
        <v>45908</v>
      </c>
      <c r="D855" t="inlineStr">
        <is>
          <t>VÄSTERNORRLANDS LÄN</t>
        </is>
      </c>
      <c r="E855" t="inlineStr">
        <is>
          <t>SOLLEFTEÅ</t>
        </is>
      </c>
      <c r="F855" t="inlineStr">
        <is>
          <t>Holmen skog AB</t>
        </is>
      </c>
      <c r="G855" t="n">
        <v>4.5</v>
      </c>
      <c r="H855" t="n">
        <v>0</v>
      </c>
      <c r="I855" t="n">
        <v>0</v>
      </c>
      <c r="J855" t="n">
        <v>0</v>
      </c>
      <c r="K855" t="n">
        <v>0</v>
      </c>
      <c r="L855" t="n">
        <v>0</v>
      </c>
      <c r="M855" t="n">
        <v>0</v>
      </c>
      <c r="N855" t="n">
        <v>0</v>
      </c>
      <c r="O855" t="n">
        <v>0</v>
      </c>
      <c r="P855" t="n">
        <v>0</v>
      </c>
      <c r="Q855" t="n">
        <v>0</v>
      </c>
      <c r="R855" s="2" t="inlineStr"/>
    </row>
    <row r="856" ht="15" customHeight="1">
      <c r="A856" t="inlineStr">
        <is>
          <t>A 56204-2024</t>
        </is>
      </c>
      <c r="B856" s="1" t="n">
        <v>45624</v>
      </c>
      <c r="C856" s="1" t="n">
        <v>45908</v>
      </c>
      <c r="D856" t="inlineStr">
        <is>
          <t>VÄSTERNORRLANDS LÄN</t>
        </is>
      </c>
      <c r="E856" t="inlineStr">
        <is>
          <t>SOLLEFTEÅ</t>
        </is>
      </c>
      <c r="G856" t="n">
        <v>6.4</v>
      </c>
      <c r="H856" t="n">
        <v>0</v>
      </c>
      <c r="I856" t="n">
        <v>0</v>
      </c>
      <c r="J856" t="n">
        <v>0</v>
      </c>
      <c r="K856" t="n">
        <v>0</v>
      </c>
      <c r="L856" t="n">
        <v>0</v>
      </c>
      <c r="M856" t="n">
        <v>0</v>
      </c>
      <c r="N856" t="n">
        <v>0</v>
      </c>
      <c r="O856" t="n">
        <v>0</v>
      </c>
      <c r="P856" t="n">
        <v>0</v>
      </c>
      <c r="Q856" t="n">
        <v>0</v>
      </c>
      <c r="R856" s="2" t="inlineStr"/>
    </row>
    <row r="857" ht="15" customHeight="1">
      <c r="A857" t="inlineStr">
        <is>
          <t>A 2346-2025</t>
        </is>
      </c>
      <c r="B857" s="1" t="n">
        <v>45673.67767361111</v>
      </c>
      <c r="C857" s="1" t="n">
        <v>45908</v>
      </c>
      <c r="D857" t="inlineStr">
        <is>
          <t>VÄSTERNORRLANDS LÄN</t>
        </is>
      </c>
      <c r="E857" t="inlineStr">
        <is>
          <t>SOLLEFTEÅ</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55149-2024</t>
        </is>
      </c>
      <c r="B858" s="1" t="n">
        <v>45621.49055555555</v>
      </c>
      <c r="C858" s="1" t="n">
        <v>45908</v>
      </c>
      <c r="D858" t="inlineStr">
        <is>
          <t>VÄSTERNORRLANDS LÄN</t>
        </is>
      </c>
      <c r="E858" t="inlineStr">
        <is>
          <t>SOLLEFTEÅ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5862-2025</t>
        </is>
      </c>
      <c r="B859" s="1" t="n">
        <v>45695.35061342592</v>
      </c>
      <c r="C859" s="1" t="n">
        <v>45908</v>
      </c>
      <c r="D859" t="inlineStr">
        <is>
          <t>VÄSTERNORRLANDS LÄN</t>
        </is>
      </c>
      <c r="E859" t="inlineStr">
        <is>
          <t>SOLLEFTEÅ</t>
        </is>
      </c>
      <c r="F859" t="inlineStr">
        <is>
          <t>Holmen skog AB</t>
        </is>
      </c>
      <c r="G859" t="n">
        <v>0.3</v>
      </c>
      <c r="H859" t="n">
        <v>0</v>
      </c>
      <c r="I859" t="n">
        <v>0</v>
      </c>
      <c r="J859" t="n">
        <v>0</v>
      </c>
      <c r="K859" t="n">
        <v>0</v>
      </c>
      <c r="L859" t="n">
        <v>0</v>
      </c>
      <c r="M859" t="n">
        <v>0</v>
      </c>
      <c r="N859" t="n">
        <v>0</v>
      </c>
      <c r="O859" t="n">
        <v>0</v>
      </c>
      <c r="P859" t="n">
        <v>0</v>
      </c>
      <c r="Q859" t="n">
        <v>0</v>
      </c>
      <c r="R859" s="2" t="inlineStr"/>
    </row>
    <row r="860" ht="15" customHeight="1">
      <c r="A860" t="inlineStr">
        <is>
          <t>A 31477-2024</t>
        </is>
      </c>
      <c r="B860" s="1" t="n">
        <v>45505</v>
      </c>
      <c r="C860" s="1" t="n">
        <v>45908</v>
      </c>
      <c r="D860" t="inlineStr">
        <is>
          <t>VÄSTERNORRLANDS LÄN</t>
        </is>
      </c>
      <c r="E860" t="inlineStr">
        <is>
          <t>SOLLEFTEÅ</t>
        </is>
      </c>
      <c r="F860" t="inlineStr">
        <is>
          <t>SCA</t>
        </is>
      </c>
      <c r="G860" t="n">
        <v>7.3</v>
      </c>
      <c r="H860" t="n">
        <v>0</v>
      </c>
      <c r="I860" t="n">
        <v>0</v>
      </c>
      <c r="J860" t="n">
        <v>0</v>
      </c>
      <c r="K860" t="n">
        <v>0</v>
      </c>
      <c r="L860" t="n">
        <v>0</v>
      </c>
      <c r="M860" t="n">
        <v>0</v>
      </c>
      <c r="N860" t="n">
        <v>0</v>
      </c>
      <c r="O860" t="n">
        <v>0</v>
      </c>
      <c r="P860" t="n">
        <v>0</v>
      </c>
      <c r="Q860" t="n">
        <v>0</v>
      </c>
      <c r="R860" s="2" t="inlineStr"/>
    </row>
    <row r="861" ht="15" customHeight="1">
      <c r="A861" t="inlineStr">
        <is>
          <t>A 34284-2023</t>
        </is>
      </c>
      <c r="B861" s="1" t="n">
        <v>45128</v>
      </c>
      <c r="C861" s="1" t="n">
        <v>45908</v>
      </c>
      <c r="D861" t="inlineStr">
        <is>
          <t>VÄSTERNORRLANDS LÄN</t>
        </is>
      </c>
      <c r="E861" t="inlineStr">
        <is>
          <t>SOLLEFTEÅ</t>
        </is>
      </c>
      <c r="G861" t="n">
        <v>6.6</v>
      </c>
      <c r="H861" t="n">
        <v>0</v>
      </c>
      <c r="I861" t="n">
        <v>0</v>
      </c>
      <c r="J861" t="n">
        <v>0</v>
      </c>
      <c r="K861" t="n">
        <v>0</v>
      </c>
      <c r="L861" t="n">
        <v>0</v>
      </c>
      <c r="M861" t="n">
        <v>0</v>
      </c>
      <c r="N861" t="n">
        <v>0</v>
      </c>
      <c r="O861" t="n">
        <v>0</v>
      </c>
      <c r="P861" t="n">
        <v>0</v>
      </c>
      <c r="Q861" t="n">
        <v>0</v>
      </c>
      <c r="R861" s="2" t="inlineStr"/>
    </row>
    <row r="862" ht="15" customHeight="1">
      <c r="A862" t="inlineStr">
        <is>
          <t>A 31537-2024</t>
        </is>
      </c>
      <c r="B862" s="1" t="n">
        <v>45505.96146990741</v>
      </c>
      <c r="C862" s="1" t="n">
        <v>45908</v>
      </c>
      <c r="D862" t="inlineStr">
        <is>
          <t>VÄSTERNORRLANDS LÄN</t>
        </is>
      </c>
      <c r="E862" t="inlineStr">
        <is>
          <t>SOLLEFTEÅ</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54235-2024</t>
        </is>
      </c>
      <c r="B863" s="1" t="n">
        <v>45616.67806712963</v>
      </c>
      <c r="C863" s="1" t="n">
        <v>45908</v>
      </c>
      <c r="D863" t="inlineStr">
        <is>
          <t>VÄSTERNORRLANDS LÄN</t>
        </is>
      </c>
      <c r="E863" t="inlineStr">
        <is>
          <t>SOLLEFTEÅ</t>
        </is>
      </c>
      <c r="F863" t="inlineStr">
        <is>
          <t>SCA</t>
        </is>
      </c>
      <c r="G863" t="n">
        <v>0.1</v>
      </c>
      <c r="H863" t="n">
        <v>0</v>
      </c>
      <c r="I863" t="n">
        <v>0</v>
      </c>
      <c r="J863" t="n">
        <v>0</v>
      </c>
      <c r="K863" t="n">
        <v>0</v>
      </c>
      <c r="L863" t="n">
        <v>0</v>
      </c>
      <c r="M863" t="n">
        <v>0</v>
      </c>
      <c r="N863" t="n">
        <v>0</v>
      </c>
      <c r="O863" t="n">
        <v>0</v>
      </c>
      <c r="P863" t="n">
        <v>0</v>
      </c>
      <c r="Q863" t="n">
        <v>0</v>
      </c>
      <c r="R863" s="2" t="inlineStr"/>
    </row>
    <row r="864" ht="15" customHeight="1">
      <c r="A864" t="inlineStr">
        <is>
          <t>A 48475-2020</t>
        </is>
      </c>
      <c r="B864" s="1" t="n">
        <v>44102.94086805556</v>
      </c>
      <c r="C864" s="1" t="n">
        <v>45908</v>
      </c>
      <c r="D864" t="inlineStr">
        <is>
          <t>VÄSTERNORRLANDS LÄN</t>
        </is>
      </c>
      <c r="E864" t="inlineStr">
        <is>
          <t>SOLLEFTEÅ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22562-2025</t>
        </is>
      </c>
      <c r="B865" s="1" t="n">
        <v>45789.34736111111</v>
      </c>
      <c r="C865" s="1" t="n">
        <v>45908</v>
      </c>
      <c r="D865" t="inlineStr">
        <is>
          <t>VÄSTERNORRLANDS LÄN</t>
        </is>
      </c>
      <c r="E865" t="inlineStr">
        <is>
          <t>SOLLEFTEÅ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41028-2024</t>
        </is>
      </c>
      <c r="B866" s="1" t="n">
        <v>45559.34466435185</v>
      </c>
      <c r="C866" s="1" t="n">
        <v>45908</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27382-2023</t>
        </is>
      </c>
      <c r="B867" s="1" t="n">
        <v>45096.93920138889</v>
      </c>
      <c r="C867" s="1" t="n">
        <v>45908</v>
      </c>
      <c r="D867" t="inlineStr">
        <is>
          <t>VÄSTERNORRLANDS LÄN</t>
        </is>
      </c>
      <c r="E867" t="inlineStr">
        <is>
          <t>SOLLEFTEÅ</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27384-2023</t>
        </is>
      </c>
      <c r="B868" s="1" t="n">
        <v>45096.939375</v>
      </c>
      <c r="C868" s="1" t="n">
        <v>45908</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27391-2023</t>
        </is>
      </c>
      <c r="B869" s="1" t="n">
        <v>45096.93991898148</v>
      </c>
      <c r="C869" s="1" t="n">
        <v>45908</v>
      </c>
      <c r="D869" t="inlineStr">
        <is>
          <t>VÄSTERNORRLANDS LÄN</t>
        </is>
      </c>
      <c r="E869" t="inlineStr">
        <is>
          <t>SOLLEFTEÅ</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22737-2025</t>
        </is>
      </c>
      <c r="B870" s="1" t="n">
        <v>45789.59130787037</v>
      </c>
      <c r="C870" s="1" t="n">
        <v>45908</v>
      </c>
      <c r="D870" t="inlineStr">
        <is>
          <t>VÄSTERNORRLANDS LÄN</t>
        </is>
      </c>
      <c r="E870" t="inlineStr">
        <is>
          <t>SOLLEFTEÅ</t>
        </is>
      </c>
      <c r="G870" t="n">
        <v>15.6</v>
      </c>
      <c r="H870" t="n">
        <v>0</v>
      </c>
      <c r="I870" t="n">
        <v>0</v>
      </c>
      <c r="J870" t="n">
        <v>0</v>
      </c>
      <c r="K870" t="n">
        <v>0</v>
      </c>
      <c r="L870" t="n">
        <v>0</v>
      </c>
      <c r="M870" t="n">
        <v>0</v>
      </c>
      <c r="N870" t="n">
        <v>0</v>
      </c>
      <c r="O870" t="n">
        <v>0</v>
      </c>
      <c r="P870" t="n">
        <v>0</v>
      </c>
      <c r="Q870" t="n">
        <v>0</v>
      </c>
      <c r="R870" s="2" t="inlineStr"/>
    </row>
    <row r="871" ht="15" customHeight="1">
      <c r="A871" t="inlineStr">
        <is>
          <t>A 22810-2025</t>
        </is>
      </c>
      <c r="B871" s="1" t="n">
        <v>45789.68076388889</v>
      </c>
      <c r="C871" s="1" t="n">
        <v>45908</v>
      </c>
      <c r="D871" t="inlineStr">
        <is>
          <t>VÄSTERNORRLANDS LÄN</t>
        </is>
      </c>
      <c r="E871" t="inlineStr">
        <is>
          <t>SOLLEFTEÅ</t>
        </is>
      </c>
      <c r="G871" t="n">
        <v>1.8</v>
      </c>
      <c r="H871" t="n">
        <v>0</v>
      </c>
      <c r="I871" t="n">
        <v>0</v>
      </c>
      <c r="J871" t="n">
        <v>0</v>
      </c>
      <c r="K871" t="n">
        <v>0</v>
      </c>
      <c r="L871" t="n">
        <v>0</v>
      </c>
      <c r="M871" t="n">
        <v>0</v>
      </c>
      <c r="N871" t="n">
        <v>0</v>
      </c>
      <c r="O871" t="n">
        <v>0</v>
      </c>
      <c r="P871" t="n">
        <v>0</v>
      </c>
      <c r="Q871" t="n">
        <v>0</v>
      </c>
      <c r="R871" s="2" t="inlineStr"/>
    </row>
    <row r="872" ht="15" customHeight="1">
      <c r="A872" t="inlineStr">
        <is>
          <t>A 26172-2024</t>
        </is>
      </c>
      <c r="B872" s="1" t="n">
        <v>45468</v>
      </c>
      <c r="C872" s="1" t="n">
        <v>45908</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2456-2025</t>
        </is>
      </c>
      <c r="B873" s="1" t="n">
        <v>45673</v>
      </c>
      <c r="C873" s="1" t="n">
        <v>45908</v>
      </c>
      <c r="D873" t="inlineStr">
        <is>
          <t>VÄSTERNORRLANDS LÄN</t>
        </is>
      </c>
      <c r="E873" t="inlineStr">
        <is>
          <t>SOLLEFTEÅ</t>
        </is>
      </c>
      <c r="F873" t="inlineStr">
        <is>
          <t>Kommuner</t>
        </is>
      </c>
      <c r="G873" t="n">
        <v>2.7</v>
      </c>
      <c r="H873" t="n">
        <v>0</v>
      </c>
      <c r="I873" t="n">
        <v>0</v>
      </c>
      <c r="J873" t="n">
        <v>0</v>
      </c>
      <c r="K873" t="n">
        <v>0</v>
      </c>
      <c r="L873" t="n">
        <v>0</v>
      </c>
      <c r="M873" t="n">
        <v>0</v>
      </c>
      <c r="N873" t="n">
        <v>0</v>
      </c>
      <c r="O873" t="n">
        <v>0</v>
      </c>
      <c r="P873" t="n">
        <v>0</v>
      </c>
      <c r="Q873" t="n">
        <v>0</v>
      </c>
      <c r="R873" s="2" t="inlineStr"/>
    </row>
    <row r="874" ht="15" customHeight="1">
      <c r="A874" t="inlineStr">
        <is>
          <t>A 22704-2025</t>
        </is>
      </c>
      <c r="B874" s="1" t="n">
        <v>45789.55251157407</v>
      </c>
      <c r="C874" s="1" t="n">
        <v>45908</v>
      </c>
      <c r="D874" t="inlineStr">
        <is>
          <t>VÄSTERNORRLANDS LÄN</t>
        </is>
      </c>
      <c r="E874" t="inlineStr">
        <is>
          <t>SOLLEFTEÅ</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9163-2025</t>
        </is>
      </c>
      <c r="B875" s="1" t="n">
        <v>45714.36503472222</v>
      </c>
      <c r="C875" s="1" t="n">
        <v>45908</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63652-2023</t>
        </is>
      </c>
      <c r="B876" s="1" t="n">
        <v>45275</v>
      </c>
      <c r="C876" s="1" t="n">
        <v>45908</v>
      </c>
      <c r="D876" t="inlineStr">
        <is>
          <t>VÄSTERNORRLANDS LÄN</t>
        </is>
      </c>
      <c r="E876" t="inlineStr">
        <is>
          <t>SOLLEFTEÅ</t>
        </is>
      </c>
      <c r="G876" t="n">
        <v>4.5</v>
      </c>
      <c r="H876" t="n">
        <v>0</v>
      </c>
      <c r="I876" t="n">
        <v>0</v>
      </c>
      <c r="J876" t="n">
        <v>0</v>
      </c>
      <c r="K876" t="n">
        <v>0</v>
      </c>
      <c r="L876" t="n">
        <v>0</v>
      </c>
      <c r="M876" t="n">
        <v>0</v>
      </c>
      <c r="N876" t="n">
        <v>0</v>
      </c>
      <c r="O876" t="n">
        <v>0</v>
      </c>
      <c r="P876" t="n">
        <v>0</v>
      </c>
      <c r="Q876" t="n">
        <v>0</v>
      </c>
      <c r="R876" s="2" t="inlineStr"/>
    </row>
    <row r="877" ht="15" customHeight="1">
      <c r="A877" t="inlineStr">
        <is>
          <t>A 5059-2024</t>
        </is>
      </c>
      <c r="B877" s="1" t="n">
        <v>45329</v>
      </c>
      <c r="C877" s="1" t="n">
        <v>45908</v>
      </c>
      <c r="D877" t="inlineStr">
        <is>
          <t>VÄSTERNORRLANDS LÄN</t>
        </is>
      </c>
      <c r="E877" t="inlineStr">
        <is>
          <t>SOLLEFTEÅ</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22866-2025</t>
        </is>
      </c>
      <c r="B878" s="1" t="n">
        <v>45790.36519675926</v>
      </c>
      <c r="C878" s="1" t="n">
        <v>45908</v>
      </c>
      <c r="D878" t="inlineStr">
        <is>
          <t>VÄSTERNORRLANDS LÄN</t>
        </is>
      </c>
      <c r="E878" t="inlineStr">
        <is>
          <t>SOLLEFTEÅ</t>
        </is>
      </c>
      <c r="F878" t="inlineStr">
        <is>
          <t>SCA</t>
        </is>
      </c>
      <c r="G878" t="n">
        <v>16.2</v>
      </c>
      <c r="H878" t="n">
        <v>0</v>
      </c>
      <c r="I878" t="n">
        <v>0</v>
      </c>
      <c r="J878" t="n">
        <v>0</v>
      </c>
      <c r="K878" t="n">
        <v>0</v>
      </c>
      <c r="L878" t="n">
        <v>0</v>
      </c>
      <c r="M878" t="n">
        <v>0</v>
      </c>
      <c r="N878" t="n">
        <v>0</v>
      </c>
      <c r="O878" t="n">
        <v>0</v>
      </c>
      <c r="P878" t="n">
        <v>0</v>
      </c>
      <c r="Q878" t="n">
        <v>0</v>
      </c>
      <c r="R878" s="2" t="inlineStr"/>
    </row>
    <row r="879" ht="15" customHeight="1">
      <c r="A879" t="inlineStr">
        <is>
          <t>A 55622-2023</t>
        </is>
      </c>
      <c r="B879" s="1" t="n">
        <v>45238</v>
      </c>
      <c r="C879" s="1" t="n">
        <v>45908</v>
      </c>
      <c r="D879" t="inlineStr">
        <is>
          <t>VÄSTERNORRLANDS LÄN</t>
        </is>
      </c>
      <c r="E879" t="inlineStr">
        <is>
          <t>SOLLEFTEÅ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31547-2024</t>
        </is>
      </c>
      <c r="B880" s="1" t="n">
        <v>45505.96362268519</v>
      </c>
      <c r="C880" s="1" t="n">
        <v>45908</v>
      </c>
      <c r="D880" t="inlineStr">
        <is>
          <t>VÄSTERNORRLANDS LÄN</t>
        </is>
      </c>
      <c r="E880" t="inlineStr">
        <is>
          <t>SOLLEFTEÅ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1030-2025</t>
        </is>
      </c>
      <c r="B881" s="1" t="n">
        <v>45666</v>
      </c>
      <c r="C881" s="1" t="n">
        <v>45908</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47175-2024</t>
        </is>
      </c>
      <c r="B882" s="1" t="n">
        <v>45586</v>
      </c>
      <c r="C882" s="1" t="n">
        <v>45908</v>
      </c>
      <c r="D882" t="inlineStr">
        <is>
          <t>VÄSTERNORRLANDS LÄN</t>
        </is>
      </c>
      <c r="E882" t="inlineStr">
        <is>
          <t>SOLLEFTEÅ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14731-2025</t>
        </is>
      </c>
      <c r="B883" s="1" t="n">
        <v>45742.6360300926</v>
      </c>
      <c r="C883" s="1" t="n">
        <v>45908</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2114-2023</t>
        </is>
      </c>
      <c r="B884" s="1" t="n">
        <v>44939.93809027778</v>
      </c>
      <c r="C884" s="1" t="n">
        <v>45908</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13637-2025</t>
        </is>
      </c>
      <c r="B885" s="1" t="n">
        <v>45736.65681712963</v>
      </c>
      <c r="C885" s="1" t="n">
        <v>45908</v>
      </c>
      <c r="D885" t="inlineStr">
        <is>
          <t>VÄSTERNORRLANDS LÄN</t>
        </is>
      </c>
      <c r="E885" t="inlineStr">
        <is>
          <t>SOLLEFTEÅ</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13652-2025</t>
        </is>
      </c>
      <c r="B886" s="1" t="n">
        <v>45736.71909722222</v>
      </c>
      <c r="C886" s="1" t="n">
        <v>45908</v>
      </c>
      <c r="D886" t="inlineStr">
        <is>
          <t>VÄSTERNORRLANDS LÄN</t>
        </is>
      </c>
      <c r="E886" t="inlineStr">
        <is>
          <t>SOLLEFTEÅ</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31925-2023</t>
        </is>
      </c>
      <c r="B887" s="1" t="n">
        <v>45118</v>
      </c>
      <c r="C887" s="1" t="n">
        <v>45908</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19682-2025</t>
        </is>
      </c>
      <c r="B888" s="1" t="n">
        <v>45770.85163194445</v>
      </c>
      <c r="C888" s="1" t="n">
        <v>45908</v>
      </c>
      <c r="D888" t="inlineStr">
        <is>
          <t>VÄSTERNORRLANDS LÄN</t>
        </is>
      </c>
      <c r="E888" t="inlineStr">
        <is>
          <t>SOLLEFTEÅ</t>
        </is>
      </c>
      <c r="G888" t="n">
        <v>2.7</v>
      </c>
      <c r="H888" t="n">
        <v>0</v>
      </c>
      <c r="I888" t="n">
        <v>0</v>
      </c>
      <c r="J888" t="n">
        <v>0</v>
      </c>
      <c r="K888" t="n">
        <v>0</v>
      </c>
      <c r="L888" t="n">
        <v>0</v>
      </c>
      <c r="M888" t="n">
        <v>0</v>
      </c>
      <c r="N888" t="n">
        <v>0</v>
      </c>
      <c r="O888" t="n">
        <v>0</v>
      </c>
      <c r="P888" t="n">
        <v>0</v>
      </c>
      <c r="Q888" t="n">
        <v>0</v>
      </c>
      <c r="R888" s="2" t="inlineStr"/>
    </row>
    <row r="889" ht="15" customHeight="1">
      <c r="A889" t="inlineStr">
        <is>
          <t>A 469-2025</t>
        </is>
      </c>
      <c r="B889" s="1" t="n">
        <v>45664</v>
      </c>
      <c r="C889" s="1" t="n">
        <v>45908</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3324-2025</t>
        </is>
      </c>
      <c r="B890" s="1" t="n">
        <v>45679.69924768519</v>
      </c>
      <c r="C890" s="1" t="n">
        <v>45908</v>
      </c>
      <c r="D890" t="inlineStr">
        <is>
          <t>VÄSTERNORRLANDS LÄN</t>
        </is>
      </c>
      <c r="E890" t="inlineStr">
        <is>
          <t>SOLLEFTEÅ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6876-2025</t>
        </is>
      </c>
      <c r="B891" s="1" t="n">
        <v>45701.34446759259</v>
      </c>
      <c r="C891" s="1" t="n">
        <v>45908</v>
      </c>
      <c r="D891" t="inlineStr">
        <is>
          <t>VÄSTERNORRLANDS LÄN</t>
        </is>
      </c>
      <c r="E891" t="inlineStr">
        <is>
          <t>SOLLEFTEÅ</t>
        </is>
      </c>
      <c r="F891" t="inlineStr">
        <is>
          <t>SCA</t>
        </is>
      </c>
      <c r="G891" t="n">
        <v>10.4</v>
      </c>
      <c r="H891" t="n">
        <v>0</v>
      </c>
      <c r="I891" t="n">
        <v>0</v>
      </c>
      <c r="J891" t="n">
        <v>0</v>
      </c>
      <c r="K891" t="n">
        <v>0</v>
      </c>
      <c r="L891" t="n">
        <v>0</v>
      </c>
      <c r="M891" t="n">
        <v>0</v>
      </c>
      <c r="N891" t="n">
        <v>0</v>
      </c>
      <c r="O891" t="n">
        <v>0</v>
      </c>
      <c r="P891" t="n">
        <v>0</v>
      </c>
      <c r="Q891" t="n">
        <v>0</v>
      </c>
      <c r="R891" s="2" t="inlineStr"/>
    </row>
    <row r="892" ht="15" customHeight="1">
      <c r="A892" t="inlineStr">
        <is>
          <t>A 46758-2024</t>
        </is>
      </c>
      <c r="B892" s="1" t="n">
        <v>45583.49071759259</v>
      </c>
      <c r="C892" s="1" t="n">
        <v>45908</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46759-2024</t>
        </is>
      </c>
      <c r="B893" s="1" t="n">
        <v>45583.49101851852</v>
      </c>
      <c r="C893" s="1" t="n">
        <v>45908</v>
      </c>
      <c r="D893" t="inlineStr">
        <is>
          <t>VÄSTERNORRLANDS LÄN</t>
        </is>
      </c>
      <c r="E893" t="inlineStr">
        <is>
          <t>SOLLEFTEÅ</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61089-2024</t>
        </is>
      </c>
      <c r="B894" s="1" t="n">
        <v>45644</v>
      </c>
      <c r="C894" s="1" t="n">
        <v>45908</v>
      </c>
      <c r="D894" t="inlineStr">
        <is>
          <t>VÄSTERNORRLANDS LÄN</t>
        </is>
      </c>
      <c r="E894" t="inlineStr">
        <is>
          <t>SOLLEFTEÅ</t>
        </is>
      </c>
      <c r="G894" t="n">
        <v>4.5</v>
      </c>
      <c r="H894" t="n">
        <v>0</v>
      </c>
      <c r="I894" t="n">
        <v>0</v>
      </c>
      <c r="J894" t="n">
        <v>0</v>
      </c>
      <c r="K894" t="n">
        <v>0</v>
      </c>
      <c r="L894" t="n">
        <v>0</v>
      </c>
      <c r="M894" t="n">
        <v>0</v>
      </c>
      <c r="N894" t="n">
        <v>0</v>
      </c>
      <c r="O894" t="n">
        <v>0</v>
      </c>
      <c r="P894" t="n">
        <v>0</v>
      </c>
      <c r="Q894" t="n">
        <v>0</v>
      </c>
      <c r="R894" s="2" t="inlineStr"/>
    </row>
    <row r="895" ht="15" customHeight="1">
      <c r="A895" t="inlineStr">
        <is>
          <t>A 59424-2024</t>
        </is>
      </c>
      <c r="B895" s="1" t="n">
        <v>45638</v>
      </c>
      <c r="C895" s="1" t="n">
        <v>45908</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59434-2024</t>
        </is>
      </c>
      <c r="B896" s="1" t="n">
        <v>45638.43040509259</v>
      </c>
      <c r="C896" s="1" t="n">
        <v>45908</v>
      </c>
      <c r="D896" t="inlineStr">
        <is>
          <t>VÄSTERNORRLANDS LÄN</t>
        </is>
      </c>
      <c r="E896" t="inlineStr">
        <is>
          <t>SOLLEFTEÅ</t>
        </is>
      </c>
      <c r="G896" t="n">
        <v>3.9</v>
      </c>
      <c r="H896" t="n">
        <v>0</v>
      </c>
      <c r="I896" t="n">
        <v>0</v>
      </c>
      <c r="J896" t="n">
        <v>0</v>
      </c>
      <c r="K896" t="n">
        <v>0</v>
      </c>
      <c r="L896" t="n">
        <v>0</v>
      </c>
      <c r="M896" t="n">
        <v>0</v>
      </c>
      <c r="N896" t="n">
        <v>0</v>
      </c>
      <c r="O896" t="n">
        <v>0</v>
      </c>
      <c r="P896" t="n">
        <v>0</v>
      </c>
      <c r="Q896" t="n">
        <v>0</v>
      </c>
      <c r="R896" s="2" t="inlineStr"/>
    </row>
    <row r="897" ht="15" customHeight="1">
      <c r="A897" t="inlineStr">
        <is>
          <t>A 918-2023</t>
        </is>
      </c>
      <c r="B897" s="1" t="n">
        <v>44931.95329861111</v>
      </c>
      <c r="C897" s="1" t="n">
        <v>45908</v>
      </c>
      <c r="D897" t="inlineStr">
        <is>
          <t>VÄSTERNORRLANDS LÄN</t>
        </is>
      </c>
      <c r="E897" t="inlineStr">
        <is>
          <t>SOLLEFTEÅ</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50655-2022</t>
        </is>
      </c>
      <c r="B898" s="1" t="n">
        <v>44866</v>
      </c>
      <c r="C898" s="1" t="n">
        <v>45908</v>
      </c>
      <c r="D898" t="inlineStr">
        <is>
          <t>VÄSTERNORRLANDS LÄN</t>
        </is>
      </c>
      <c r="E898" t="inlineStr">
        <is>
          <t>SOLLEFTEÅ</t>
        </is>
      </c>
      <c r="G898" t="n">
        <v>4.4</v>
      </c>
      <c r="H898" t="n">
        <v>0</v>
      </c>
      <c r="I898" t="n">
        <v>0</v>
      </c>
      <c r="J898" t="n">
        <v>0</v>
      </c>
      <c r="K898" t="n">
        <v>0</v>
      </c>
      <c r="L898" t="n">
        <v>0</v>
      </c>
      <c r="M898" t="n">
        <v>0</v>
      </c>
      <c r="N898" t="n">
        <v>0</v>
      </c>
      <c r="O898" t="n">
        <v>0</v>
      </c>
      <c r="P898" t="n">
        <v>0</v>
      </c>
      <c r="Q898" t="n">
        <v>0</v>
      </c>
      <c r="R898" s="2" t="inlineStr"/>
    </row>
    <row r="899" ht="15" customHeight="1">
      <c r="A899" t="inlineStr">
        <is>
          <t>A 46850-2024</t>
        </is>
      </c>
      <c r="B899" s="1" t="n">
        <v>45583.61513888889</v>
      </c>
      <c r="C899" s="1" t="n">
        <v>45908</v>
      </c>
      <c r="D899" t="inlineStr">
        <is>
          <t>VÄSTERNORRLANDS LÄN</t>
        </is>
      </c>
      <c r="E899" t="inlineStr">
        <is>
          <t>SOLLEFTEÅ</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51029-2021</t>
        </is>
      </c>
      <c r="B900" s="1" t="n">
        <v>44460.94086805556</v>
      </c>
      <c r="C900" s="1" t="n">
        <v>45908</v>
      </c>
      <c r="D900" t="inlineStr">
        <is>
          <t>VÄSTERNORRLANDS LÄN</t>
        </is>
      </c>
      <c r="E900" t="inlineStr">
        <is>
          <t>SOLLEFTEÅ</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3424-2025</t>
        </is>
      </c>
      <c r="B901" s="1" t="n">
        <v>45680</v>
      </c>
      <c r="C901" s="1" t="n">
        <v>45908</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10926-2022</t>
        </is>
      </c>
      <c r="B902" s="1" t="n">
        <v>44627.94447916667</v>
      </c>
      <c r="C902" s="1" t="n">
        <v>45908</v>
      </c>
      <c r="D902" t="inlineStr">
        <is>
          <t>VÄSTERNORRLANDS LÄN</t>
        </is>
      </c>
      <c r="E902" t="inlineStr">
        <is>
          <t>SOLLEFTEÅ</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20389-2025</t>
        </is>
      </c>
      <c r="B903" s="1" t="n">
        <v>45775</v>
      </c>
      <c r="C903" s="1" t="n">
        <v>45908</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25338-2022</t>
        </is>
      </c>
      <c r="B904" s="1" t="n">
        <v>44731</v>
      </c>
      <c r="C904" s="1" t="n">
        <v>45908</v>
      </c>
      <c r="D904" t="inlineStr">
        <is>
          <t>VÄSTERNORRLANDS LÄN</t>
        </is>
      </c>
      <c r="E904" t="inlineStr">
        <is>
          <t>SOLLEFTEÅ</t>
        </is>
      </c>
      <c r="F904" t="inlineStr">
        <is>
          <t>SCA</t>
        </is>
      </c>
      <c r="G904" t="n">
        <v>4.3</v>
      </c>
      <c r="H904" t="n">
        <v>0</v>
      </c>
      <c r="I904" t="n">
        <v>0</v>
      </c>
      <c r="J904" t="n">
        <v>0</v>
      </c>
      <c r="K904" t="n">
        <v>0</v>
      </c>
      <c r="L904" t="n">
        <v>0</v>
      </c>
      <c r="M904" t="n">
        <v>0</v>
      </c>
      <c r="N904" t="n">
        <v>0</v>
      </c>
      <c r="O904" t="n">
        <v>0</v>
      </c>
      <c r="P904" t="n">
        <v>0</v>
      </c>
      <c r="Q904" t="n">
        <v>0</v>
      </c>
      <c r="R904" s="2" t="inlineStr"/>
    </row>
    <row r="905" ht="15" customHeight="1">
      <c r="A905" t="inlineStr">
        <is>
          <t>A 22514-2025</t>
        </is>
      </c>
      <c r="B905" s="1" t="n">
        <v>45786.67755787037</v>
      </c>
      <c r="C905" s="1" t="n">
        <v>45908</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23090-2025</t>
        </is>
      </c>
      <c r="B906" s="1" t="n">
        <v>45791.34443287037</v>
      </c>
      <c r="C906" s="1" t="n">
        <v>45908</v>
      </c>
      <c r="D906" t="inlineStr">
        <is>
          <t>VÄSTERNORRLANDS LÄN</t>
        </is>
      </c>
      <c r="E906" t="inlineStr">
        <is>
          <t>SOLLEFTEÅ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13639-2025</t>
        </is>
      </c>
      <c r="B907" s="1" t="n">
        <v>45736.65710648148</v>
      </c>
      <c r="C907" s="1" t="n">
        <v>45908</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22854-2025</t>
        </is>
      </c>
      <c r="B908" s="1" t="n">
        <v>45790.34457175926</v>
      </c>
      <c r="C908" s="1" t="n">
        <v>45908</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45778-2024</t>
        </is>
      </c>
      <c r="B909" s="1" t="n">
        <v>45579.66471064815</v>
      </c>
      <c r="C909" s="1" t="n">
        <v>45908</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21191-2022</t>
        </is>
      </c>
      <c r="B910" s="1" t="n">
        <v>44704.94193287037</v>
      </c>
      <c r="C910" s="1" t="n">
        <v>45908</v>
      </c>
      <c r="D910" t="inlineStr">
        <is>
          <t>VÄSTERNORRLANDS LÄN</t>
        </is>
      </c>
      <c r="E910" t="inlineStr">
        <is>
          <t>SOLLEFTEÅ</t>
        </is>
      </c>
      <c r="F910" t="inlineStr">
        <is>
          <t>SCA</t>
        </is>
      </c>
      <c r="G910" t="n">
        <v>26.5</v>
      </c>
      <c r="H910" t="n">
        <v>0</v>
      </c>
      <c r="I910" t="n">
        <v>0</v>
      </c>
      <c r="J910" t="n">
        <v>0</v>
      </c>
      <c r="K910" t="n">
        <v>0</v>
      </c>
      <c r="L910" t="n">
        <v>0</v>
      </c>
      <c r="M910" t="n">
        <v>0</v>
      </c>
      <c r="N910" t="n">
        <v>0</v>
      </c>
      <c r="O910" t="n">
        <v>0</v>
      </c>
      <c r="P910" t="n">
        <v>0</v>
      </c>
      <c r="Q910" t="n">
        <v>0</v>
      </c>
      <c r="R910" s="2" t="inlineStr"/>
    </row>
    <row r="911" ht="15" customHeight="1">
      <c r="A911" t="inlineStr">
        <is>
          <t>A 11334-2024</t>
        </is>
      </c>
      <c r="B911" s="1" t="n">
        <v>45372</v>
      </c>
      <c r="C911" s="1" t="n">
        <v>45908</v>
      </c>
      <c r="D911" t="inlineStr">
        <is>
          <t>VÄSTERNORRLANDS LÄN</t>
        </is>
      </c>
      <c r="E911" t="inlineStr">
        <is>
          <t>SOLLEFTEÅ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23339-2025</t>
        </is>
      </c>
      <c r="B912" s="1" t="n">
        <v>45791.65577546296</v>
      </c>
      <c r="C912" s="1" t="n">
        <v>45908</v>
      </c>
      <c r="D912" t="inlineStr">
        <is>
          <t>VÄSTERNORRLANDS LÄN</t>
        </is>
      </c>
      <c r="E912" t="inlineStr">
        <is>
          <t>SOLLEFTEÅ</t>
        </is>
      </c>
      <c r="G912" t="n">
        <v>3.9</v>
      </c>
      <c r="H912" t="n">
        <v>0</v>
      </c>
      <c r="I912" t="n">
        <v>0</v>
      </c>
      <c r="J912" t="n">
        <v>0</v>
      </c>
      <c r="K912" t="n">
        <v>0</v>
      </c>
      <c r="L912" t="n">
        <v>0</v>
      </c>
      <c r="M912" t="n">
        <v>0</v>
      </c>
      <c r="N912" t="n">
        <v>0</v>
      </c>
      <c r="O912" t="n">
        <v>0</v>
      </c>
      <c r="P912" t="n">
        <v>0</v>
      </c>
      <c r="Q912" t="n">
        <v>0</v>
      </c>
      <c r="R912" s="2" t="inlineStr"/>
    </row>
    <row r="913" ht="15" customHeight="1">
      <c r="A913" t="inlineStr">
        <is>
          <t>A 22853-2025</t>
        </is>
      </c>
      <c r="B913" s="1" t="n">
        <v>45790.34443287037</v>
      </c>
      <c r="C913" s="1" t="n">
        <v>45908</v>
      </c>
      <c r="D913" t="inlineStr">
        <is>
          <t>VÄSTERNORRLANDS LÄN</t>
        </is>
      </c>
      <c r="E913" t="inlineStr">
        <is>
          <t>SOLLEFTEÅ</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42915-2024</t>
        </is>
      </c>
      <c r="B914" s="1" t="n">
        <v>45566</v>
      </c>
      <c r="C914" s="1" t="n">
        <v>45908</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37046-2024</t>
        </is>
      </c>
      <c r="B915" s="1" t="n">
        <v>45539.42739583334</v>
      </c>
      <c r="C915" s="1" t="n">
        <v>45908</v>
      </c>
      <c r="D915" t="inlineStr">
        <is>
          <t>VÄSTERNORRLANDS LÄN</t>
        </is>
      </c>
      <c r="E915" t="inlineStr">
        <is>
          <t>SOLLEFTEÅ</t>
        </is>
      </c>
      <c r="F915" t="inlineStr">
        <is>
          <t>SCA</t>
        </is>
      </c>
      <c r="G915" t="n">
        <v>6.2</v>
      </c>
      <c r="H915" t="n">
        <v>0</v>
      </c>
      <c r="I915" t="n">
        <v>0</v>
      </c>
      <c r="J915" t="n">
        <v>0</v>
      </c>
      <c r="K915" t="n">
        <v>0</v>
      </c>
      <c r="L915" t="n">
        <v>0</v>
      </c>
      <c r="M915" t="n">
        <v>0</v>
      </c>
      <c r="N915" t="n">
        <v>0</v>
      </c>
      <c r="O915" t="n">
        <v>0</v>
      </c>
      <c r="P915" t="n">
        <v>0</v>
      </c>
      <c r="Q915" t="n">
        <v>0</v>
      </c>
      <c r="R915" s="2" t="inlineStr"/>
    </row>
    <row r="916" ht="15" customHeight="1">
      <c r="A916" t="inlineStr">
        <is>
          <t>A 50688-2023</t>
        </is>
      </c>
      <c r="B916" s="1" t="n">
        <v>45210</v>
      </c>
      <c r="C916" s="1" t="n">
        <v>45908</v>
      </c>
      <c r="D916" t="inlineStr">
        <is>
          <t>VÄSTERNORRLANDS LÄN</t>
        </is>
      </c>
      <c r="E916" t="inlineStr">
        <is>
          <t>SOLLEFTEÅ</t>
        </is>
      </c>
      <c r="G916" t="n">
        <v>15.6</v>
      </c>
      <c r="H916" t="n">
        <v>0</v>
      </c>
      <c r="I916" t="n">
        <v>0</v>
      </c>
      <c r="J916" t="n">
        <v>0</v>
      </c>
      <c r="K916" t="n">
        <v>0</v>
      </c>
      <c r="L916" t="n">
        <v>0</v>
      </c>
      <c r="M916" t="n">
        <v>0</v>
      </c>
      <c r="N916" t="n">
        <v>0</v>
      </c>
      <c r="O916" t="n">
        <v>0</v>
      </c>
      <c r="P916" t="n">
        <v>0</v>
      </c>
      <c r="Q916" t="n">
        <v>0</v>
      </c>
      <c r="R916" s="2" t="inlineStr"/>
    </row>
    <row r="917" ht="15" customHeight="1">
      <c r="A917" t="inlineStr">
        <is>
          <t>A 50745-2023</t>
        </is>
      </c>
      <c r="B917" s="1" t="n">
        <v>45210</v>
      </c>
      <c r="C917" s="1" t="n">
        <v>45908</v>
      </c>
      <c r="D917" t="inlineStr">
        <is>
          <t>VÄSTERNORRLANDS LÄN</t>
        </is>
      </c>
      <c r="E917" t="inlineStr">
        <is>
          <t>SOLLEFTEÅ</t>
        </is>
      </c>
      <c r="G917" t="n">
        <v>3.8</v>
      </c>
      <c r="H917" t="n">
        <v>0</v>
      </c>
      <c r="I917" t="n">
        <v>0</v>
      </c>
      <c r="J917" t="n">
        <v>0</v>
      </c>
      <c r="K917" t="n">
        <v>0</v>
      </c>
      <c r="L917" t="n">
        <v>0</v>
      </c>
      <c r="M917" t="n">
        <v>0</v>
      </c>
      <c r="N917" t="n">
        <v>0</v>
      </c>
      <c r="O917" t="n">
        <v>0</v>
      </c>
      <c r="P917" t="n">
        <v>0</v>
      </c>
      <c r="Q917" t="n">
        <v>0</v>
      </c>
      <c r="R917" s="2" t="inlineStr"/>
    </row>
    <row r="918" ht="15" customHeight="1">
      <c r="A918" t="inlineStr">
        <is>
          <t>A 43772-2022</t>
        </is>
      </c>
      <c r="B918" s="1" t="n">
        <v>44837</v>
      </c>
      <c r="C918" s="1" t="n">
        <v>45908</v>
      </c>
      <c r="D918" t="inlineStr">
        <is>
          <t>VÄSTERNORRLANDS LÄN</t>
        </is>
      </c>
      <c r="E918" t="inlineStr">
        <is>
          <t>SOLLEFTEÅ</t>
        </is>
      </c>
      <c r="F918" t="inlineStr">
        <is>
          <t>Kyrkan</t>
        </is>
      </c>
      <c r="G918" t="n">
        <v>1.9</v>
      </c>
      <c r="H918" t="n">
        <v>0</v>
      </c>
      <c r="I918" t="n">
        <v>0</v>
      </c>
      <c r="J918" t="n">
        <v>0</v>
      </c>
      <c r="K918" t="n">
        <v>0</v>
      </c>
      <c r="L918" t="n">
        <v>0</v>
      </c>
      <c r="M918" t="n">
        <v>0</v>
      </c>
      <c r="N918" t="n">
        <v>0</v>
      </c>
      <c r="O918" t="n">
        <v>0</v>
      </c>
      <c r="P918" t="n">
        <v>0</v>
      </c>
      <c r="Q918" t="n">
        <v>0</v>
      </c>
      <c r="R918" s="2" t="inlineStr"/>
    </row>
    <row r="919" ht="15" customHeight="1">
      <c r="A919" t="inlineStr">
        <is>
          <t>A 36513-2023</t>
        </is>
      </c>
      <c r="B919" s="1" t="n">
        <v>45152.9537037037</v>
      </c>
      <c r="C919" s="1" t="n">
        <v>45908</v>
      </c>
      <c r="D919" t="inlineStr">
        <is>
          <t>VÄSTERNORRLANDS LÄN</t>
        </is>
      </c>
      <c r="E919" t="inlineStr">
        <is>
          <t>SOLLEFTEÅ</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23409-2025</t>
        </is>
      </c>
      <c r="B920" s="1" t="n">
        <v>45792.34560185186</v>
      </c>
      <c r="C920" s="1" t="n">
        <v>45908</v>
      </c>
      <c r="D920" t="inlineStr">
        <is>
          <t>VÄSTERNORRLANDS LÄN</t>
        </is>
      </c>
      <c r="E920" t="inlineStr">
        <is>
          <t>SOLLEFTEÅ</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57019-2022</t>
        </is>
      </c>
      <c r="B921" s="1" t="n">
        <v>44894.95877314815</v>
      </c>
      <c r="C921" s="1" t="n">
        <v>45908</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48038-2024</t>
        </is>
      </c>
      <c r="B922" s="1" t="n">
        <v>45589.49350694445</v>
      </c>
      <c r="C922" s="1" t="n">
        <v>45908</v>
      </c>
      <c r="D922" t="inlineStr">
        <is>
          <t>VÄSTERNORRLANDS LÄN</t>
        </is>
      </c>
      <c r="E922" t="inlineStr">
        <is>
          <t>SOLLEFTEÅ</t>
        </is>
      </c>
      <c r="G922" t="n">
        <v>0.6</v>
      </c>
      <c r="H922" t="n">
        <v>0</v>
      </c>
      <c r="I922" t="n">
        <v>0</v>
      </c>
      <c r="J922" t="n">
        <v>0</v>
      </c>
      <c r="K922" t="n">
        <v>0</v>
      </c>
      <c r="L922" t="n">
        <v>0</v>
      </c>
      <c r="M922" t="n">
        <v>0</v>
      </c>
      <c r="N922" t="n">
        <v>0</v>
      </c>
      <c r="O922" t="n">
        <v>0</v>
      </c>
      <c r="P922" t="n">
        <v>0</v>
      </c>
      <c r="Q922" t="n">
        <v>0</v>
      </c>
      <c r="R922" s="2" t="inlineStr"/>
    </row>
    <row r="923" ht="15" customHeight="1">
      <c r="A923" t="inlineStr">
        <is>
          <t>A 4722-2025</t>
        </is>
      </c>
      <c r="B923" s="1" t="n">
        <v>45688.41627314815</v>
      </c>
      <c r="C923" s="1" t="n">
        <v>45908</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4726-2025</t>
        </is>
      </c>
      <c r="B924" s="1" t="n">
        <v>45688</v>
      </c>
      <c r="C924" s="1" t="n">
        <v>45908</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6282-2024</t>
        </is>
      </c>
      <c r="B925" s="1" t="n">
        <v>45337</v>
      </c>
      <c r="C925" s="1" t="n">
        <v>45908</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10240-2025</t>
        </is>
      </c>
      <c r="B926" s="1" t="n">
        <v>45720.34508101852</v>
      </c>
      <c r="C926" s="1" t="n">
        <v>45908</v>
      </c>
      <c r="D926" t="inlineStr">
        <is>
          <t>VÄSTERNORRLANDS LÄN</t>
        </is>
      </c>
      <c r="E926" t="inlineStr">
        <is>
          <t>SOLLEFTEÅ</t>
        </is>
      </c>
      <c r="F926" t="inlineStr">
        <is>
          <t>SCA</t>
        </is>
      </c>
      <c r="G926" t="n">
        <v>18.8</v>
      </c>
      <c r="H926" t="n">
        <v>0</v>
      </c>
      <c r="I926" t="n">
        <v>0</v>
      </c>
      <c r="J926" t="n">
        <v>0</v>
      </c>
      <c r="K926" t="n">
        <v>0</v>
      </c>
      <c r="L926" t="n">
        <v>0</v>
      </c>
      <c r="M926" t="n">
        <v>0</v>
      </c>
      <c r="N926" t="n">
        <v>0</v>
      </c>
      <c r="O926" t="n">
        <v>0</v>
      </c>
      <c r="P926" t="n">
        <v>0</v>
      </c>
      <c r="Q926" t="n">
        <v>0</v>
      </c>
      <c r="R926" s="2" t="inlineStr"/>
    </row>
    <row r="927" ht="15" customHeight="1">
      <c r="A927" t="inlineStr">
        <is>
          <t>A 23735-2025</t>
        </is>
      </c>
      <c r="B927" s="1" t="n">
        <v>45793.42777777778</v>
      </c>
      <c r="C927" s="1" t="n">
        <v>45908</v>
      </c>
      <c r="D927" t="inlineStr">
        <is>
          <t>VÄSTERNORRLANDS LÄN</t>
        </is>
      </c>
      <c r="E927" t="inlineStr">
        <is>
          <t>SOLLEFTEÅ</t>
        </is>
      </c>
      <c r="F927" t="inlineStr">
        <is>
          <t>SCA</t>
        </is>
      </c>
      <c r="G927" t="n">
        <v>3.2</v>
      </c>
      <c r="H927" t="n">
        <v>0</v>
      </c>
      <c r="I927" t="n">
        <v>0</v>
      </c>
      <c r="J927" t="n">
        <v>0</v>
      </c>
      <c r="K927" t="n">
        <v>0</v>
      </c>
      <c r="L927" t="n">
        <v>0</v>
      </c>
      <c r="M927" t="n">
        <v>0</v>
      </c>
      <c r="N927" t="n">
        <v>0</v>
      </c>
      <c r="O927" t="n">
        <v>0</v>
      </c>
      <c r="P927" t="n">
        <v>0</v>
      </c>
      <c r="Q927" t="n">
        <v>0</v>
      </c>
      <c r="R927" s="2" t="inlineStr"/>
    </row>
    <row r="928" ht="15" customHeight="1">
      <c r="A928" t="inlineStr">
        <is>
          <t>A 42664-2022</t>
        </is>
      </c>
      <c r="B928" s="1" t="n">
        <v>44831</v>
      </c>
      <c r="C928" s="1" t="n">
        <v>45908</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55654-2023</t>
        </is>
      </c>
      <c r="B929" s="1" t="n">
        <v>45238.96642361111</v>
      </c>
      <c r="C929" s="1" t="n">
        <v>45908</v>
      </c>
      <c r="D929" t="inlineStr">
        <is>
          <t>VÄSTERNORRLANDS LÄN</t>
        </is>
      </c>
      <c r="E929" t="inlineStr">
        <is>
          <t>SOLLEFTEÅ</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17096-2025</t>
        </is>
      </c>
      <c r="B930" s="1" t="n">
        <v>45755.65662037037</v>
      </c>
      <c r="C930" s="1" t="n">
        <v>45908</v>
      </c>
      <c r="D930" t="inlineStr">
        <is>
          <t>VÄSTERNORRLANDS LÄN</t>
        </is>
      </c>
      <c r="E930" t="inlineStr">
        <is>
          <t>SOLLEFTEÅ</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23738-2025</t>
        </is>
      </c>
      <c r="B931" s="1" t="n">
        <v>45793.42819444444</v>
      </c>
      <c r="C931" s="1" t="n">
        <v>45908</v>
      </c>
      <c r="D931" t="inlineStr">
        <is>
          <t>VÄSTERNORRLANDS LÄN</t>
        </is>
      </c>
      <c r="E931" t="inlineStr">
        <is>
          <t>SOLLEFTEÅ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3211-2024</t>
        </is>
      </c>
      <c r="B932" s="1" t="n">
        <v>45316</v>
      </c>
      <c r="C932" s="1" t="n">
        <v>45908</v>
      </c>
      <c r="D932" t="inlineStr">
        <is>
          <t>VÄSTERNORRLANDS LÄN</t>
        </is>
      </c>
      <c r="E932" t="inlineStr">
        <is>
          <t>SOLLEFTEÅ</t>
        </is>
      </c>
      <c r="G932" t="n">
        <v>2.6</v>
      </c>
      <c r="H932" t="n">
        <v>0</v>
      </c>
      <c r="I932" t="n">
        <v>0</v>
      </c>
      <c r="J932" t="n">
        <v>0</v>
      </c>
      <c r="K932" t="n">
        <v>0</v>
      </c>
      <c r="L932" t="n">
        <v>0</v>
      </c>
      <c r="M932" t="n">
        <v>0</v>
      </c>
      <c r="N932" t="n">
        <v>0</v>
      </c>
      <c r="O932" t="n">
        <v>0</v>
      </c>
      <c r="P932" t="n">
        <v>0</v>
      </c>
      <c r="Q932" t="n">
        <v>0</v>
      </c>
      <c r="R932" s="2" t="inlineStr"/>
    </row>
    <row r="933" ht="15" customHeight="1">
      <c r="A933" t="inlineStr">
        <is>
          <t>A 45940-2024</t>
        </is>
      </c>
      <c r="B933" s="1" t="n">
        <v>45580.53167824074</v>
      </c>
      <c r="C933" s="1" t="n">
        <v>45908</v>
      </c>
      <c r="D933" t="inlineStr">
        <is>
          <t>VÄSTERNORRLANDS LÄN</t>
        </is>
      </c>
      <c r="E933" t="inlineStr">
        <is>
          <t>SOLLEFTEÅ</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45975-2024</t>
        </is>
      </c>
      <c r="B934" s="1" t="n">
        <v>45580.59425925926</v>
      </c>
      <c r="C934" s="1" t="n">
        <v>45908</v>
      </c>
      <c r="D934" t="inlineStr">
        <is>
          <t>VÄSTERNORRLANDS LÄN</t>
        </is>
      </c>
      <c r="E934" t="inlineStr">
        <is>
          <t>SOLLEFTEÅ</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22471-2024</t>
        </is>
      </c>
      <c r="B935" s="1" t="n">
        <v>45446</v>
      </c>
      <c r="C935" s="1" t="n">
        <v>45908</v>
      </c>
      <c r="D935" t="inlineStr">
        <is>
          <t>VÄSTERNORRLANDS LÄN</t>
        </is>
      </c>
      <c r="E935" t="inlineStr">
        <is>
          <t>SOLLEFTEÅ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23515-2025</t>
        </is>
      </c>
      <c r="B936" s="1" t="n">
        <v>45792</v>
      </c>
      <c r="C936" s="1" t="n">
        <v>45908</v>
      </c>
      <c r="D936" t="inlineStr">
        <is>
          <t>VÄSTERNORRLANDS LÄN</t>
        </is>
      </c>
      <c r="E936" t="inlineStr">
        <is>
          <t>SOLLEFTEÅ</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23634-2025</t>
        </is>
      </c>
      <c r="B937" s="1" t="n">
        <v>45792.67803240741</v>
      </c>
      <c r="C937" s="1" t="n">
        <v>45908</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23734-2025</t>
        </is>
      </c>
      <c r="B938" s="1" t="n">
        <v>45793.4275462963</v>
      </c>
      <c r="C938" s="1" t="n">
        <v>45908</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17664-2023</t>
        </is>
      </c>
      <c r="B939" s="1" t="n">
        <v>45036.94416666667</v>
      </c>
      <c r="C939" s="1" t="n">
        <v>45908</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18741-2021</t>
        </is>
      </c>
      <c r="B940" s="1" t="n">
        <v>44306</v>
      </c>
      <c r="C940" s="1" t="n">
        <v>45908</v>
      </c>
      <c r="D940" t="inlineStr">
        <is>
          <t>VÄSTERNORRLANDS LÄN</t>
        </is>
      </c>
      <c r="E940" t="inlineStr">
        <is>
          <t>SOLLEFTEÅ</t>
        </is>
      </c>
      <c r="F940" t="inlineStr">
        <is>
          <t>Kyrkan</t>
        </is>
      </c>
      <c r="G940" t="n">
        <v>4.8</v>
      </c>
      <c r="H940" t="n">
        <v>0</v>
      </c>
      <c r="I940" t="n">
        <v>0</v>
      </c>
      <c r="J940" t="n">
        <v>0</v>
      </c>
      <c r="K940" t="n">
        <v>0</v>
      </c>
      <c r="L940" t="n">
        <v>0</v>
      </c>
      <c r="M940" t="n">
        <v>0</v>
      </c>
      <c r="N940" t="n">
        <v>0</v>
      </c>
      <c r="O940" t="n">
        <v>0</v>
      </c>
      <c r="P940" t="n">
        <v>0</v>
      </c>
      <c r="Q940" t="n">
        <v>0</v>
      </c>
      <c r="R940" s="2" t="inlineStr"/>
    </row>
    <row r="941" ht="15" customHeight="1">
      <c r="A941" t="inlineStr">
        <is>
          <t>A 7007-2025</t>
        </is>
      </c>
      <c r="B941" s="1" t="n">
        <v>45701</v>
      </c>
      <c r="C941" s="1" t="n">
        <v>45908</v>
      </c>
      <c r="D941" t="inlineStr">
        <is>
          <t>VÄSTERNORRLANDS LÄN</t>
        </is>
      </c>
      <c r="E941" t="inlineStr">
        <is>
          <t>SOLLEFTEÅ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23285-2023</t>
        </is>
      </c>
      <c r="B942" s="1" t="n">
        <v>45075</v>
      </c>
      <c r="C942" s="1" t="n">
        <v>45908</v>
      </c>
      <c r="D942" t="inlineStr">
        <is>
          <t>VÄSTERNORRLANDS LÄN</t>
        </is>
      </c>
      <c r="E942" t="inlineStr">
        <is>
          <t>SOLLEFTEÅ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62038-2024</t>
        </is>
      </c>
      <c r="B943" s="1" t="n">
        <v>45656.34410879629</v>
      </c>
      <c r="C943" s="1" t="n">
        <v>45908</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25799-2024</t>
        </is>
      </c>
      <c r="B944" s="1" t="n">
        <v>45463</v>
      </c>
      <c r="C944" s="1" t="n">
        <v>45908</v>
      </c>
      <c r="D944" t="inlineStr">
        <is>
          <t>VÄSTERNORRLANDS LÄN</t>
        </is>
      </c>
      <c r="E944" t="inlineStr">
        <is>
          <t>SOLLEFTEÅ</t>
        </is>
      </c>
      <c r="F944" t="inlineStr">
        <is>
          <t>Kommuner</t>
        </is>
      </c>
      <c r="G944" t="n">
        <v>1.2</v>
      </c>
      <c r="H944" t="n">
        <v>0</v>
      </c>
      <c r="I944" t="n">
        <v>0</v>
      </c>
      <c r="J944" t="n">
        <v>0</v>
      </c>
      <c r="K944" t="n">
        <v>0</v>
      </c>
      <c r="L944" t="n">
        <v>0</v>
      </c>
      <c r="M944" t="n">
        <v>0</v>
      </c>
      <c r="N944" t="n">
        <v>0</v>
      </c>
      <c r="O944" t="n">
        <v>0</v>
      </c>
      <c r="P944" t="n">
        <v>0</v>
      </c>
      <c r="Q944" t="n">
        <v>0</v>
      </c>
      <c r="R944" s="2" t="inlineStr"/>
    </row>
    <row r="945" ht="15" customHeight="1">
      <c r="A945" t="inlineStr">
        <is>
          <t>A 19936-2025</t>
        </is>
      </c>
      <c r="B945" s="1" t="n">
        <v>45771.64130787037</v>
      </c>
      <c r="C945" s="1" t="n">
        <v>45908</v>
      </c>
      <c r="D945" t="inlineStr">
        <is>
          <t>VÄSTERNORRLANDS LÄN</t>
        </is>
      </c>
      <c r="E945" t="inlineStr">
        <is>
          <t>SOLLEFTEÅ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23564-2025</t>
        </is>
      </c>
      <c r="B946" s="1" t="n">
        <v>45792.58840277778</v>
      </c>
      <c r="C946" s="1" t="n">
        <v>45908</v>
      </c>
      <c r="D946" t="inlineStr">
        <is>
          <t>VÄSTERNORRLANDS LÄN</t>
        </is>
      </c>
      <c r="E946" t="inlineStr">
        <is>
          <t>SOLLEFTEÅ</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23542-2025</t>
        </is>
      </c>
      <c r="B947" s="1" t="n">
        <v>45792.56184027778</v>
      </c>
      <c r="C947" s="1" t="n">
        <v>45908</v>
      </c>
      <c r="D947" t="inlineStr">
        <is>
          <t>VÄSTERNORRLANDS LÄN</t>
        </is>
      </c>
      <c r="E947" t="inlineStr">
        <is>
          <t>SOLLEFTEÅ</t>
        </is>
      </c>
      <c r="F947" t="inlineStr">
        <is>
          <t>Holmen skog AB</t>
        </is>
      </c>
      <c r="G947" t="n">
        <v>2.9</v>
      </c>
      <c r="H947" t="n">
        <v>0</v>
      </c>
      <c r="I947" t="n">
        <v>0</v>
      </c>
      <c r="J947" t="n">
        <v>0</v>
      </c>
      <c r="K947" t="n">
        <v>0</v>
      </c>
      <c r="L947" t="n">
        <v>0</v>
      </c>
      <c r="M947" t="n">
        <v>0</v>
      </c>
      <c r="N947" t="n">
        <v>0</v>
      </c>
      <c r="O947" t="n">
        <v>0</v>
      </c>
      <c r="P947" t="n">
        <v>0</v>
      </c>
      <c r="Q947" t="n">
        <v>0</v>
      </c>
      <c r="R947" s="2" t="inlineStr"/>
    </row>
    <row r="948" ht="15" customHeight="1">
      <c r="A948" t="inlineStr">
        <is>
          <t>A 2422-2025</t>
        </is>
      </c>
      <c r="B948" s="1" t="n">
        <v>45674.38592592593</v>
      </c>
      <c r="C948" s="1" t="n">
        <v>45908</v>
      </c>
      <c r="D948" t="inlineStr">
        <is>
          <t>VÄSTERNORRLANDS LÄN</t>
        </is>
      </c>
      <c r="E948" t="inlineStr">
        <is>
          <t>SOLLEFTEÅ</t>
        </is>
      </c>
      <c r="F948" t="inlineStr">
        <is>
          <t>SCA</t>
        </is>
      </c>
      <c r="G948" t="n">
        <v>27.9</v>
      </c>
      <c r="H948" t="n">
        <v>0</v>
      </c>
      <c r="I948" t="n">
        <v>0</v>
      </c>
      <c r="J948" t="n">
        <v>0</v>
      </c>
      <c r="K948" t="n">
        <v>0</v>
      </c>
      <c r="L948" t="n">
        <v>0</v>
      </c>
      <c r="M948" t="n">
        <v>0</v>
      </c>
      <c r="N948" t="n">
        <v>0</v>
      </c>
      <c r="O948" t="n">
        <v>0</v>
      </c>
      <c r="P948" t="n">
        <v>0</v>
      </c>
      <c r="Q948" t="n">
        <v>0</v>
      </c>
      <c r="R948" s="2" t="inlineStr"/>
    </row>
    <row r="949" ht="15" customHeight="1">
      <c r="A949" t="inlineStr">
        <is>
          <t>A 33312-2024</t>
        </is>
      </c>
      <c r="B949" s="1" t="n">
        <v>45518.97113425926</v>
      </c>
      <c r="C949" s="1" t="n">
        <v>45908</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43008-2024</t>
        </is>
      </c>
      <c r="B950" s="1" t="n">
        <v>45567.38574074074</v>
      </c>
      <c r="C950" s="1" t="n">
        <v>45908</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20183-2025</t>
        </is>
      </c>
      <c r="B951" s="1" t="n">
        <v>45772.59440972222</v>
      </c>
      <c r="C951" s="1" t="n">
        <v>45908</v>
      </c>
      <c r="D951" t="inlineStr">
        <is>
          <t>VÄSTERNORRLANDS LÄN</t>
        </is>
      </c>
      <c r="E951" t="inlineStr">
        <is>
          <t>SOLLEFTEÅ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31614-2024</t>
        </is>
      </c>
      <c r="B952" s="1" t="n">
        <v>45506</v>
      </c>
      <c r="C952" s="1" t="n">
        <v>45908</v>
      </c>
      <c r="D952" t="inlineStr">
        <is>
          <t>VÄSTERNORRLANDS LÄN</t>
        </is>
      </c>
      <c r="E952" t="inlineStr">
        <is>
          <t>SOLLEFTEÅ</t>
        </is>
      </c>
      <c r="F952" t="inlineStr">
        <is>
          <t>Kommuner</t>
        </is>
      </c>
      <c r="G952" t="n">
        <v>11.5</v>
      </c>
      <c r="H952" t="n">
        <v>0</v>
      </c>
      <c r="I952" t="n">
        <v>0</v>
      </c>
      <c r="J952" t="n">
        <v>0</v>
      </c>
      <c r="K952" t="n">
        <v>0</v>
      </c>
      <c r="L952" t="n">
        <v>0</v>
      </c>
      <c r="M952" t="n">
        <v>0</v>
      </c>
      <c r="N952" t="n">
        <v>0</v>
      </c>
      <c r="O952" t="n">
        <v>0</v>
      </c>
      <c r="P952" t="n">
        <v>0</v>
      </c>
      <c r="Q952" t="n">
        <v>0</v>
      </c>
      <c r="R952" s="2" t="inlineStr"/>
    </row>
    <row r="953" ht="15" customHeight="1">
      <c r="A953" t="inlineStr">
        <is>
          <t>A 8414-2024</t>
        </is>
      </c>
      <c r="B953" s="1" t="n">
        <v>45352</v>
      </c>
      <c r="C953" s="1" t="n">
        <v>45908</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20334-2025</t>
        </is>
      </c>
      <c r="B954" s="1" t="n">
        <v>45775.36496527777</v>
      </c>
      <c r="C954" s="1" t="n">
        <v>45908</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39230-2021</t>
        </is>
      </c>
      <c r="B955" s="1" t="n">
        <v>44413.43902777778</v>
      </c>
      <c r="C955" s="1" t="n">
        <v>45908</v>
      </c>
      <c r="D955" t="inlineStr">
        <is>
          <t>VÄSTERNORRLANDS LÄN</t>
        </is>
      </c>
      <c r="E955" t="inlineStr">
        <is>
          <t>SOLLEFTEÅ</t>
        </is>
      </c>
      <c r="G955" t="n">
        <v>13.6</v>
      </c>
      <c r="H955" t="n">
        <v>0</v>
      </c>
      <c r="I955" t="n">
        <v>0</v>
      </c>
      <c r="J955" t="n">
        <v>0</v>
      </c>
      <c r="K955" t="n">
        <v>0</v>
      </c>
      <c r="L955" t="n">
        <v>0</v>
      </c>
      <c r="M955" t="n">
        <v>0</v>
      </c>
      <c r="N955" t="n">
        <v>0</v>
      </c>
      <c r="O955" t="n">
        <v>0</v>
      </c>
      <c r="P955" t="n">
        <v>0</v>
      </c>
      <c r="Q955" t="n">
        <v>0</v>
      </c>
      <c r="R955" s="2" t="inlineStr"/>
    </row>
    <row r="956" ht="15" customHeight="1">
      <c r="A956" t="inlineStr">
        <is>
          <t>A 35277-2023</t>
        </is>
      </c>
      <c r="B956" s="1" t="n">
        <v>45145</v>
      </c>
      <c r="C956" s="1" t="n">
        <v>45908</v>
      </c>
      <c r="D956" t="inlineStr">
        <is>
          <t>VÄSTERNORRLANDS LÄN</t>
        </is>
      </c>
      <c r="E956" t="inlineStr">
        <is>
          <t>SOLLEFTEÅ</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31005-2022</t>
        </is>
      </c>
      <c r="B957" s="1" t="n">
        <v>44768</v>
      </c>
      <c r="C957" s="1" t="n">
        <v>45908</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40571-2024</t>
        </is>
      </c>
      <c r="B958" s="1" t="n">
        <v>45555.67759259259</v>
      </c>
      <c r="C958" s="1" t="n">
        <v>45908</v>
      </c>
      <c r="D958" t="inlineStr">
        <is>
          <t>VÄSTERNORRLANDS LÄN</t>
        </is>
      </c>
      <c r="E958" t="inlineStr">
        <is>
          <t>SOLLEFTEÅ</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51544-2022</t>
        </is>
      </c>
      <c r="B959" s="1" t="n">
        <v>44869</v>
      </c>
      <c r="C959" s="1" t="n">
        <v>45908</v>
      </c>
      <c r="D959" t="inlineStr">
        <is>
          <t>VÄSTERNORRLANDS LÄN</t>
        </is>
      </c>
      <c r="E959" t="inlineStr">
        <is>
          <t>SOLLEFTEÅ</t>
        </is>
      </c>
      <c r="F959" t="inlineStr">
        <is>
          <t>SCA</t>
        </is>
      </c>
      <c r="G959" t="n">
        <v>0.5</v>
      </c>
      <c r="H959" t="n">
        <v>0</v>
      </c>
      <c r="I959" t="n">
        <v>0</v>
      </c>
      <c r="J959" t="n">
        <v>0</v>
      </c>
      <c r="K959" t="n">
        <v>0</v>
      </c>
      <c r="L959" t="n">
        <v>0</v>
      </c>
      <c r="M959" t="n">
        <v>0</v>
      </c>
      <c r="N959" t="n">
        <v>0</v>
      </c>
      <c r="O959" t="n">
        <v>0</v>
      </c>
      <c r="P959" t="n">
        <v>0</v>
      </c>
      <c r="Q959" t="n">
        <v>0</v>
      </c>
      <c r="R959" s="2" t="inlineStr"/>
    </row>
    <row r="960" ht="15" customHeight="1">
      <c r="A960" t="inlineStr">
        <is>
          <t>A 40679-2024</t>
        </is>
      </c>
      <c r="B960" s="1" t="n">
        <v>45558</v>
      </c>
      <c r="C960" s="1" t="n">
        <v>45908</v>
      </c>
      <c r="D960" t="inlineStr">
        <is>
          <t>VÄSTERNORRLANDS LÄN</t>
        </is>
      </c>
      <c r="E960" t="inlineStr">
        <is>
          <t>SOLLEFTEÅ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23871-2025</t>
        </is>
      </c>
      <c r="B961" s="1" t="n">
        <v>45793.67741898148</v>
      </c>
      <c r="C961" s="1" t="n">
        <v>45908</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769-2025</t>
        </is>
      </c>
      <c r="B962" s="1" t="n">
        <v>45659</v>
      </c>
      <c r="C962" s="1" t="n">
        <v>45908</v>
      </c>
      <c r="D962" t="inlineStr">
        <is>
          <t>VÄSTERNORRLANDS LÄN</t>
        </is>
      </c>
      <c r="E962" t="inlineStr">
        <is>
          <t>SOLLEFTEÅ</t>
        </is>
      </c>
      <c r="G962" t="n">
        <v>3.6</v>
      </c>
      <c r="H962" t="n">
        <v>0</v>
      </c>
      <c r="I962" t="n">
        <v>0</v>
      </c>
      <c r="J962" t="n">
        <v>0</v>
      </c>
      <c r="K962" t="n">
        <v>0</v>
      </c>
      <c r="L962" t="n">
        <v>0</v>
      </c>
      <c r="M962" t="n">
        <v>0</v>
      </c>
      <c r="N962" t="n">
        <v>0</v>
      </c>
      <c r="O962" t="n">
        <v>0</v>
      </c>
      <c r="P962" t="n">
        <v>0</v>
      </c>
      <c r="Q962" t="n">
        <v>0</v>
      </c>
      <c r="R962" s="2" t="inlineStr"/>
    </row>
    <row r="963" ht="15" customHeight="1">
      <c r="A963" t="inlineStr">
        <is>
          <t>A 14308-2022</t>
        </is>
      </c>
      <c r="B963" s="1" t="n">
        <v>44651.93954861111</v>
      </c>
      <c r="C963" s="1" t="n">
        <v>45908</v>
      </c>
      <c r="D963" t="inlineStr">
        <is>
          <t>VÄSTERNORRLANDS LÄN</t>
        </is>
      </c>
      <c r="E963" t="inlineStr">
        <is>
          <t>SOLLEFTEÅ</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23478-2025</t>
        </is>
      </c>
      <c r="B964" s="1" t="n">
        <v>45792</v>
      </c>
      <c r="C964" s="1" t="n">
        <v>45908</v>
      </c>
      <c r="D964" t="inlineStr">
        <is>
          <t>VÄSTERNORRLANDS LÄN</t>
        </is>
      </c>
      <c r="E964" t="inlineStr">
        <is>
          <t>SOLLEFTEÅ</t>
        </is>
      </c>
      <c r="F964" t="inlineStr">
        <is>
          <t>Holmen skog AB</t>
        </is>
      </c>
      <c r="G964" t="n">
        <v>6</v>
      </c>
      <c r="H964" t="n">
        <v>0</v>
      </c>
      <c r="I964" t="n">
        <v>0</v>
      </c>
      <c r="J964" t="n">
        <v>0</v>
      </c>
      <c r="K964" t="n">
        <v>0</v>
      </c>
      <c r="L964" t="n">
        <v>0</v>
      </c>
      <c r="M964" t="n">
        <v>0</v>
      </c>
      <c r="N964" t="n">
        <v>0</v>
      </c>
      <c r="O964" t="n">
        <v>0</v>
      </c>
      <c r="P964" t="n">
        <v>0</v>
      </c>
      <c r="Q964" t="n">
        <v>0</v>
      </c>
      <c r="R964" s="2" t="inlineStr"/>
    </row>
    <row r="965" ht="15" customHeight="1">
      <c r="A965" t="inlineStr">
        <is>
          <t>A 42663-2022</t>
        </is>
      </c>
      <c r="B965" s="1" t="n">
        <v>44831</v>
      </c>
      <c r="C965" s="1" t="n">
        <v>45908</v>
      </c>
      <c r="D965" t="inlineStr">
        <is>
          <t>VÄSTERNORRLANDS LÄN</t>
        </is>
      </c>
      <c r="E965" t="inlineStr">
        <is>
          <t>SOLLEFTEÅ</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15955-2025</t>
        </is>
      </c>
      <c r="B966" s="1" t="n">
        <v>45749.5113425926</v>
      </c>
      <c r="C966" s="1" t="n">
        <v>45908</v>
      </c>
      <c r="D966" t="inlineStr">
        <is>
          <t>VÄSTERNORRLANDS LÄN</t>
        </is>
      </c>
      <c r="E966" t="inlineStr">
        <is>
          <t>SOLLEFTEÅ</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23522-2025</t>
        </is>
      </c>
      <c r="B967" s="1" t="n">
        <v>45792.51415509259</v>
      </c>
      <c r="C967" s="1" t="n">
        <v>45908</v>
      </c>
      <c r="D967" t="inlineStr">
        <is>
          <t>VÄSTERNORRLANDS LÄN</t>
        </is>
      </c>
      <c r="E967" t="inlineStr">
        <is>
          <t>SOLLEFTEÅ</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36211-2023</t>
        </is>
      </c>
      <c r="B968" s="1" t="n">
        <v>45149.95234953704</v>
      </c>
      <c r="C968" s="1" t="n">
        <v>45908</v>
      </c>
      <c r="D968" t="inlineStr">
        <is>
          <t>VÄSTERNORRLANDS LÄN</t>
        </is>
      </c>
      <c r="E968" t="inlineStr">
        <is>
          <t>SOLLEFTEÅ</t>
        </is>
      </c>
      <c r="F968" t="inlineStr">
        <is>
          <t>SCA</t>
        </is>
      </c>
      <c r="G968" t="n">
        <v>4.2</v>
      </c>
      <c r="H968" t="n">
        <v>0</v>
      </c>
      <c r="I968" t="n">
        <v>0</v>
      </c>
      <c r="J968" t="n">
        <v>0</v>
      </c>
      <c r="K968" t="n">
        <v>0</v>
      </c>
      <c r="L968" t="n">
        <v>0</v>
      </c>
      <c r="M968" t="n">
        <v>0</v>
      </c>
      <c r="N968" t="n">
        <v>0</v>
      </c>
      <c r="O968" t="n">
        <v>0</v>
      </c>
      <c r="P968" t="n">
        <v>0</v>
      </c>
      <c r="Q968" t="n">
        <v>0</v>
      </c>
      <c r="R968" s="2" t="inlineStr"/>
    </row>
    <row r="969" ht="15" customHeight="1">
      <c r="A969" t="inlineStr">
        <is>
          <t>A 19749-2025</t>
        </is>
      </c>
      <c r="B969" s="1" t="n">
        <v>45771.38582175926</v>
      </c>
      <c r="C969" s="1" t="n">
        <v>45908</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23977-2025</t>
        </is>
      </c>
      <c r="B970" s="1" t="n">
        <v>45796.38637731481</v>
      </c>
      <c r="C970" s="1" t="n">
        <v>45908</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24420-2025</t>
        </is>
      </c>
      <c r="B971" s="1" t="n">
        <v>45797.67771990741</v>
      </c>
      <c r="C971" s="1" t="n">
        <v>45908</v>
      </c>
      <c r="D971" t="inlineStr">
        <is>
          <t>VÄSTERNORRLANDS LÄN</t>
        </is>
      </c>
      <c r="E971" t="inlineStr">
        <is>
          <t>SOLLEFTEÅ</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31886-2024</t>
        </is>
      </c>
      <c r="B972" s="1" t="n">
        <v>45509.95780092593</v>
      </c>
      <c r="C972" s="1" t="n">
        <v>45908</v>
      </c>
      <c r="D972" t="inlineStr">
        <is>
          <t>VÄSTERNORRLANDS LÄN</t>
        </is>
      </c>
      <c r="E972" t="inlineStr">
        <is>
          <t>SOLLEFTEÅ</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16365-2022</t>
        </is>
      </c>
      <c r="B973" s="1" t="n">
        <v>44670.9406712963</v>
      </c>
      <c r="C973" s="1" t="n">
        <v>45908</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21100-2024</t>
        </is>
      </c>
      <c r="B974" s="1" t="n">
        <v>45439.95072916667</v>
      </c>
      <c r="C974" s="1" t="n">
        <v>45908</v>
      </c>
      <c r="D974" t="inlineStr">
        <is>
          <t>VÄSTERNORRLANDS LÄN</t>
        </is>
      </c>
      <c r="E974" t="inlineStr">
        <is>
          <t>SOLLEFTEÅ</t>
        </is>
      </c>
      <c r="F974" t="inlineStr">
        <is>
          <t>SCA</t>
        </is>
      </c>
      <c r="G974" t="n">
        <v>8.1</v>
      </c>
      <c r="H974" t="n">
        <v>0</v>
      </c>
      <c r="I974" t="n">
        <v>0</v>
      </c>
      <c r="J974" t="n">
        <v>0</v>
      </c>
      <c r="K974" t="n">
        <v>0</v>
      </c>
      <c r="L974" t="n">
        <v>0</v>
      </c>
      <c r="M974" t="n">
        <v>0</v>
      </c>
      <c r="N974" t="n">
        <v>0</v>
      </c>
      <c r="O974" t="n">
        <v>0</v>
      </c>
      <c r="P974" t="n">
        <v>0</v>
      </c>
      <c r="Q974" t="n">
        <v>0</v>
      </c>
      <c r="R974" s="2" t="inlineStr"/>
    </row>
    <row r="975" ht="15" customHeight="1">
      <c r="A975" t="inlineStr">
        <is>
          <t>A 20061-2022</t>
        </is>
      </c>
      <c r="B975" s="1" t="n">
        <v>44697.94140046297</v>
      </c>
      <c r="C975" s="1" t="n">
        <v>45908</v>
      </c>
      <c r="D975" t="inlineStr">
        <is>
          <t>VÄSTERNORRLANDS LÄN</t>
        </is>
      </c>
      <c r="E975" t="inlineStr">
        <is>
          <t>SOLLEFTEÅ</t>
        </is>
      </c>
      <c r="F975" t="inlineStr">
        <is>
          <t>SCA</t>
        </is>
      </c>
      <c r="G975" t="n">
        <v>4.1</v>
      </c>
      <c r="H975" t="n">
        <v>0</v>
      </c>
      <c r="I975" t="n">
        <v>0</v>
      </c>
      <c r="J975" t="n">
        <v>0</v>
      </c>
      <c r="K975" t="n">
        <v>0</v>
      </c>
      <c r="L975" t="n">
        <v>0</v>
      </c>
      <c r="M975" t="n">
        <v>0</v>
      </c>
      <c r="N975" t="n">
        <v>0</v>
      </c>
      <c r="O975" t="n">
        <v>0</v>
      </c>
      <c r="P975" t="n">
        <v>0</v>
      </c>
      <c r="Q975" t="n">
        <v>0</v>
      </c>
      <c r="R975" s="2" t="inlineStr"/>
    </row>
    <row r="976" ht="15" customHeight="1">
      <c r="A976" t="inlineStr">
        <is>
          <t>A 8104-2025</t>
        </is>
      </c>
      <c r="B976" s="1" t="n">
        <v>45707.69835648148</v>
      </c>
      <c r="C976" s="1" t="n">
        <v>45908</v>
      </c>
      <c r="D976" t="inlineStr">
        <is>
          <t>VÄSTERNORRLANDS LÄN</t>
        </is>
      </c>
      <c r="E976" t="inlineStr">
        <is>
          <t>SOLLEFTEÅ</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17172-2024</t>
        </is>
      </c>
      <c r="B977" s="1" t="n">
        <v>45412.97858796296</v>
      </c>
      <c r="C977" s="1" t="n">
        <v>45908</v>
      </c>
      <c r="D977" t="inlineStr">
        <is>
          <t>VÄSTERNORRLANDS LÄN</t>
        </is>
      </c>
      <c r="E977" t="inlineStr">
        <is>
          <t>SOLLEFTEÅ</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2939-2025</t>
        </is>
      </c>
      <c r="B978" s="1" t="n">
        <v>45678.38581018519</v>
      </c>
      <c r="C978" s="1" t="n">
        <v>45908</v>
      </c>
      <c r="D978" t="inlineStr">
        <is>
          <t>VÄSTERNORRLANDS LÄN</t>
        </is>
      </c>
      <c r="E978" t="inlineStr">
        <is>
          <t>SOLLEFTEÅ</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2699-2025</t>
        </is>
      </c>
      <c r="B979" s="1" t="n">
        <v>45677.40665509259</v>
      </c>
      <c r="C979" s="1" t="n">
        <v>45908</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8124-2025</t>
        </is>
      </c>
      <c r="B980" s="1" t="n">
        <v>45707</v>
      </c>
      <c r="C980" s="1" t="n">
        <v>45908</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2044-2025</t>
        </is>
      </c>
      <c r="B981" s="1" t="n">
        <v>45672</v>
      </c>
      <c r="C981" s="1" t="n">
        <v>45908</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37354-2024</t>
        </is>
      </c>
      <c r="B982" s="1" t="n">
        <v>45540.54201388889</v>
      </c>
      <c r="C982" s="1" t="n">
        <v>45908</v>
      </c>
      <c r="D982" t="inlineStr">
        <is>
          <t>VÄSTERNORRLANDS LÄN</t>
        </is>
      </c>
      <c r="E982" t="inlineStr">
        <is>
          <t>SOLLEFTEÅ</t>
        </is>
      </c>
      <c r="F982" t="inlineStr">
        <is>
          <t>Holmen skog AB</t>
        </is>
      </c>
      <c r="G982" t="n">
        <v>2.3</v>
      </c>
      <c r="H982" t="n">
        <v>0</v>
      </c>
      <c r="I982" t="n">
        <v>0</v>
      </c>
      <c r="J982" t="n">
        <v>0</v>
      </c>
      <c r="K982" t="n">
        <v>0</v>
      </c>
      <c r="L982" t="n">
        <v>0</v>
      </c>
      <c r="M982" t="n">
        <v>0</v>
      </c>
      <c r="N982" t="n">
        <v>0</v>
      </c>
      <c r="O982" t="n">
        <v>0</v>
      </c>
      <c r="P982" t="n">
        <v>0</v>
      </c>
      <c r="Q982" t="n">
        <v>0</v>
      </c>
      <c r="R982" s="2" t="inlineStr"/>
    </row>
    <row r="983" ht="15" customHeight="1">
      <c r="A983" t="inlineStr">
        <is>
          <t>A 34395-2021</t>
        </is>
      </c>
      <c r="B983" s="1" t="n">
        <v>44379</v>
      </c>
      <c r="C983" s="1" t="n">
        <v>45908</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55610-2021</t>
        </is>
      </c>
      <c r="B984" s="1" t="n">
        <v>44475.94237268518</v>
      </c>
      <c r="C984" s="1" t="n">
        <v>45908</v>
      </c>
      <c r="D984" t="inlineStr">
        <is>
          <t>VÄSTERNORRLANDS LÄN</t>
        </is>
      </c>
      <c r="E984" t="inlineStr">
        <is>
          <t>SOLLEFTEÅ</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23974-2025</t>
        </is>
      </c>
      <c r="B985" s="1" t="n">
        <v>45796.38594907407</v>
      </c>
      <c r="C985" s="1" t="n">
        <v>45908</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20461-2023</t>
        </is>
      </c>
      <c r="B986" s="1" t="n">
        <v>45056.95284722222</v>
      </c>
      <c r="C986" s="1" t="n">
        <v>45908</v>
      </c>
      <c r="D986" t="inlineStr">
        <is>
          <t>VÄSTERNORRLANDS LÄN</t>
        </is>
      </c>
      <c r="E986" t="inlineStr">
        <is>
          <t>SOLLEFTEÅ</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62523-2023</t>
        </is>
      </c>
      <c r="B987" s="1" t="n">
        <v>45267</v>
      </c>
      <c r="C987" s="1" t="n">
        <v>45908</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35358-2021</t>
        </is>
      </c>
      <c r="B988" s="1" t="n">
        <v>44384.93591435185</v>
      </c>
      <c r="C988" s="1" t="n">
        <v>45908</v>
      </c>
      <c r="D988" t="inlineStr">
        <is>
          <t>VÄSTERNORRLANDS LÄN</t>
        </is>
      </c>
      <c r="E988" t="inlineStr">
        <is>
          <t>SOLLEFTEÅ</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52602-2024</t>
        </is>
      </c>
      <c r="B989" s="1" t="n">
        <v>45609</v>
      </c>
      <c r="C989" s="1" t="n">
        <v>45908</v>
      </c>
      <c r="D989" t="inlineStr">
        <is>
          <t>VÄSTERNORRLANDS LÄN</t>
        </is>
      </c>
      <c r="E989" t="inlineStr">
        <is>
          <t>SOLLEFTEÅ</t>
        </is>
      </c>
      <c r="G989" t="n">
        <v>10.8</v>
      </c>
      <c r="H989" t="n">
        <v>0</v>
      </c>
      <c r="I989" t="n">
        <v>0</v>
      </c>
      <c r="J989" t="n">
        <v>0</v>
      </c>
      <c r="K989" t="n">
        <v>0</v>
      </c>
      <c r="L989" t="n">
        <v>0</v>
      </c>
      <c r="M989" t="n">
        <v>0</v>
      </c>
      <c r="N989" t="n">
        <v>0</v>
      </c>
      <c r="O989" t="n">
        <v>0</v>
      </c>
      <c r="P989" t="n">
        <v>0</v>
      </c>
      <c r="Q989" t="n">
        <v>0</v>
      </c>
      <c r="R989" s="2" t="inlineStr"/>
    </row>
    <row r="990" ht="15" customHeight="1">
      <c r="A990" t="inlineStr">
        <is>
          <t>A 3081-2025</t>
        </is>
      </c>
      <c r="B990" s="1" t="n">
        <v>45678.644375</v>
      </c>
      <c r="C990" s="1" t="n">
        <v>45908</v>
      </c>
      <c r="D990" t="inlineStr">
        <is>
          <t>VÄSTERNORRLANDS LÄN</t>
        </is>
      </c>
      <c r="E990" t="inlineStr">
        <is>
          <t>SOLLEFTEÅ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1268-2024</t>
        </is>
      </c>
      <c r="B991" s="1" t="n">
        <v>45302</v>
      </c>
      <c r="C991" s="1" t="n">
        <v>45908</v>
      </c>
      <c r="D991" t="inlineStr">
        <is>
          <t>VÄSTERNORRLANDS LÄN</t>
        </is>
      </c>
      <c r="E991" t="inlineStr">
        <is>
          <t>SOLLEFTEÅ</t>
        </is>
      </c>
      <c r="G991" t="n">
        <v>3.3</v>
      </c>
      <c r="H991" t="n">
        <v>0</v>
      </c>
      <c r="I991" t="n">
        <v>0</v>
      </c>
      <c r="J991" t="n">
        <v>0</v>
      </c>
      <c r="K991" t="n">
        <v>0</v>
      </c>
      <c r="L991" t="n">
        <v>0</v>
      </c>
      <c r="M991" t="n">
        <v>0</v>
      </c>
      <c r="N991" t="n">
        <v>0</v>
      </c>
      <c r="O991" t="n">
        <v>0</v>
      </c>
      <c r="P991" t="n">
        <v>0</v>
      </c>
      <c r="Q991" t="n">
        <v>0</v>
      </c>
      <c r="R991" s="2" t="inlineStr"/>
    </row>
    <row r="992" ht="15" customHeight="1">
      <c r="A992" t="inlineStr">
        <is>
          <t>A 34983-2023</t>
        </is>
      </c>
      <c r="B992" s="1" t="n">
        <v>45141</v>
      </c>
      <c r="C992" s="1" t="n">
        <v>45908</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37648-2021</t>
        </is>
      </c>
      <c r="B993" s="1" t="n">
        <v>44400</v>
      </c>
      <c r="C993" s="1" t="n">
        <v>45908</v>
      </c>
      <c r="D993" t="inlineStr">
        <is>
          <t>VÄSTERNORRLANDS LÄN</t>
        </is>
      </c>
      <c r="E993" t="inlineStr">
        <is>
          <t>SOLLEFTEÅ</t>
        </is>
      </c>
      <c r="G993" t="n">
        <v>33.6</v>
      </c>
      <c r="H993" t="n">
        <v>0</v>
      </c>
      <c r="I993" t="n">
        <v>0</v>
      </c>
      <c r="J993" t="n">
        <v>0</v>
      </c>
      <c r="K993" t="n">
        <v>0</v>
      </c>
      <c r="L993" t="n">
        <v>0</v>
      </c>
      <c r="M993" t="n">
        <v>0</v>
      </c>
      <c r="N993" t="n">
        <v>0</v>
      </c>
      <c r="O993" t="n">
        <v>0</v>
      </c>
      <c r="P993" t="n">
        <v>0</v>
      </c>
      <c r="Q993" t="n">
        <v>0</v>
      </c>
      <c r="R993" s="2" t="inlineStr"/>
    </row>
    <row r="994" ht="15" customHeight="1">
      <c r="A994" t="inlineStr">
        <is>
          <t>A 23997-2025</t>
        </is>
      </c>
      <c r="B994" s="1" t="n">
        <v>45796.42061342593</v>
      </c>
      <c r="C994" s="1" t="n">
        <v>45908</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19929-2025</t>
        </is>
      </c>
      <c r="B995" s="1" t="n">
        <v>45771.6359837963</v>
      </c>
      <c r="C995" s="1" t="n">
        <v>45908</v>
      </c>
      <c r="D995" t="inlineStr">
        <is>
          <t>VÄSTERNORRLANDS LÄN</t>
        </is>
      </c>
      <c r="E995" t="inlineStr">
        <is>
          <t>SOLLEFTEÅ</t>
        </is>
      </c>
      <c r="G995" t="n">
        <v>2.4</v>
      </c>
      <c r="H995" t="n">
        <v>0</v>
      </c>
      <c r="I995" t="n">
        <v>0</v>
      </c>
      <c r="J995" t="n">
        <v>0</v>
      </c>
      <c r="K995" t="n">
        <v>0</v>
      </c>
      <c r="L995" t="n">
        <v>0</v>
      </c>
      <c r="M995" t="n">
        <v>0</v>
      </c>
      <c r="N995" t="n">
        <v>0</v>
      </c>
      <c r="O995" t="n">
        <v>0</v>
      </c>
      <c r="P995" t="n">
        <v>0</v>
      </c>
      <c r="Q995" t="n">
        <v>0</v>
      </c>
      <c r="R995" s="2" t="inlineStr"/>
    </row>
    <row r="996" ht="15" customHeight="1">
      <c r="A996" t="inlineStr">
        <is>
          <t>A 19932-2025</t>
        </is>
      </c>
      <c r="B996" s="1" t="n">
        <v>45771.63940972222</v>
      </c>
      <c r="C996" s="1" t="n">
        <v>45908</v>
      </c>
      <c r="D996" t="inlineStr">
        <is>
          <t>VÄSTERNORRLANDS LÄN</t>
        </is>
      </c>
      <c r="E996" t="inlineStr">
        <is>
          <t>SOLLEFTEÅ</t>
        </is>
      </c>
      <c r="G996" t="n">
        <v>4</v>
      </c>
      <c r="H996" t="n">
        <v>0</v>
      </c>
      <c r="I996" t="n">
        <v>0</v>
      </c>
      <c r="J996" t="n">
        <v>0</v>
      </c>
      <c r="K996" t="n">
        <v>0</v>
      </c>
      <c r="L996" t="n">
        <v>0</v>
      </c>
      <c r="M996" t="n">
        <v>0</v>
      </c>
      <c r="N996" t="n">
        <v>0</v>
      </c>
      <c r="O996" t="n">
        <v>0</v>
      </c>
      <c r="P996" t="n">
        <v>0</v>
      </c>
      <c r="Q996" t="n">
        <v>0</v>
      </c>
      <c r="R996" s="2" t="inlineStr"/>
    </row>
    <row r="997" ht="15" customHeight="1">
      <c r="A997" t="inlineStr">
        <is>
          <t>A 18949-2025</t>
        </is>
      </c>
      <c r="B997" s="1" t="n">
        <v>45764</v>
      </c>
      <c r="C997" s="1" t="n">
        <v>45908</v>
      </c>
      <c r="D997" t="inlineStr">
        <is>
          <t>VÄSTERNORRLANDS LÄN</t>
        </is>
      </c>
      <c r="E997" t="inlineStr">
        <is>
          <t>SOLLEFTEÅ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48396-2024</t>
        </is>
      </c>
      <c r="B998" s="1" t="n">
        <v>45590.61503472222</v>
      </c>
      <c r="C998" s="1" t="n">
        <v>45908</v>
      </c>
      <c r="D998" t="inlineStr">
        <is>
          <t>VÄSTERNORRLANDS LÄN</t>
        </is>
      </c>
      <c r="E998" t="inlineStr">
        <is>
          <t>SOLLEFTEÅ</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24393-2025</t>
        </is>
      </c>
      <c r="B999" s="1" t="n">
        <v>45797.63653935185</v>
      </c>
      <c r="C999" s="1" t="n">
        <v>45908</v>
      </c>
      <c r="D999" t="inlineStr">
        <is>
          <t>VÄSTERNORRLANDS LÄN</t>
        </is>
      </c>
      <c r="E999" t="inlineStr">
        <is>
          <t>SOLLEFTEÅ</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28290-2024</t>
        </is>
      </c>
      <c r="B1000" s="1" t="n">
        <v>45477.46743055555</v>
      </c>
      <c r="C1000" s="1" t="n">
        <v>45908</v>
      </c>
      <c r="D1000" t="inlineStr">
        <is>
          <t>VÄSTERNORRLANDS LÄN</t>
        </is>
      </c>
      <c r="E1000" t="inlineStr">
        <is>
          <t>SOLLEFTEÅ</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51314-2022</t>
        </is>
      </c>
      <c r="B1001" s="1" t="n">
        <v>44868.950625</v>
      </c>
      <c r="C1001" s="1" t="n">
        <v>45908</v>
      </c>
      <c r="D1001" t="inlineStr">
        <is>
          <t>VÄSTERNORRLANDS LÄN</t>
        </is>
      </c>
      <c r="E1001" t="inlineStr">
        <is>
          <t>SOLLEFTEÅ</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33110-2024</t>
        </is>
      </c>
      <c r="B1002" s="1" t="n">
        <v>45517</v>
      </c>
      <c r="C1002" s="1" t="n">
        <v>45908</v>
      </c>
      <c r="D1002" t="inlineStr">
        <is>
          <t>VÄSTERNORRLANDS LÄN</t>
        </is>
      </c>
      <c r="E1002" t="inlineStr">
        <is>
          <t>SOLLEFTEÅ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41787-2024</t>
        </is>
      </c>
      <c r="B1003" s="1" t="n">
        <v>45561.34986111111</v>
      </c>
      <c r="C1003" s="1" t="n">
        <v>45908</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23889-2025</t>
        </is>
      </c>
      <c r="B1004" s="1" t="n">
        <v>45793.79209490741</v>
      </c>
      <c r="C1004" s="1" t="n">
        <v>45908</v>
      </c>
      <c r="D1004" t="inlineStr">
        <is>
          <t>VÄSTERNORRLANDS LÄN</t>
        </is>
      </c>
      <c r="E1004" t="inlineStr">
        <is>
          <t>SOLLEFTEÅ</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12164-2023</t>
        </is>
      </c>
      <c r="B1005" s="1" t="n">
        <v>44995</v>
      </c>
      <c r="C1005" s="1" t="n">
        <v>45908</v>
      </c>
      <c r="D1005" t="inlineStr">
        <is>
          <t>VÄSTERNORRLANDS LÄN</t>
        </is>
      </c>
      <c r="E1005" t="inlineStr">
        <is>
          <t>SOLLEFTEÅ</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1464-2025</t>
        </is>
      </c>
      <c r="B1006" s="1" t="n">
        <v>45670.365</v>
      </c>
      <c r="C1006" s="1" t="n">
        <v>45908</v>
      </c>
      <c r="D1006" t="inlineStr">
        <is>
          <t>VÄSTERNORRLANDS LÄN</t>
        </is>
      </c>
      <c r="E1006" t="inlineStr">
        <is>
          <t>SOLLEFTEÅ</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43531-2023</t>
        </is>
      </c>
      <c r="B1007" s="1" t="n">
        <v>45184.52731481481</v>
      </c>
      <c r="C1007" s="1" t="n">
        <v>45908</v>
      </c>
      <c r="D1007" t="inlineStr">
        <is>
          <t>VÄSTERNORRLANDS LÄN</t>
        </is>
      </c>
      <c r="E1007" t="inlineStr">
        <is>
          <t>SOLLEFTEÅ</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15809-2022</t>
        </is>
      </c>
      <c r="B1008" s="1" t="n">
        <v>44663</v>
      </c>
      <c r="C1008" s="1" t="n">
        <v>45908</v>
      </c>
      <c r="D1008" t="inlineStr">
        <is>
          <t>VÄSTERNORRLANDS LÄN</t>
        </is>
      </c>
      <c r="E1008" t="inlineStr">
        <is>
          <t>SOLLEFTEÅ</t>
        </is>
      </c>
      <c r="F1008" t="inlineStr">
        <is>
          <t>SCA</t>
        </is>
      </c>
      <c r="G1008" t="n">
        <v>16.3</v>
      </c>
      <c r="H1008" t="n">
        <v>0</v>
      </c>
      <c r="I1008" t="n">
        <v>0</v>
      </c>
      <c r="J1008" t="n">
        <v>0</v>
      </c>
      <c r="K1008" t="n">
        <v>0</v>
      </c>
      <c r="L1008" t="n">
        <v>0</v>
      </c>
      <c r="M1008" t="n">
        <v>0</v>
      </c>
      <c r="N1008" t="n">
        <v>0</v>
      </c>
      <c r="O1008" t="n">
        <v>0</v>
      </c>
      <c r="P1008" t="n">
        <v>0</v>
      </c>
      <c r="Q1008" t="n">
        <v>0</v>
      </c>
      <c r="R1008" s="2" t="inlineStr"/>
    </row>
    <row r="1009" ht="15" customHeight="1">
      <c r="A1009" t="inlineStr">
        <is>
          <t>A 48490-2024</t>
        </is>
      </c>
      <c r="B1009" s="1" t="n">
        <v>45592</v>
      </c>
      <c r="C1009" s="1" t="n">
        <v>45908</v>
      </c>
      <c r="D1009" t="inlineStr">
        <is>
          <t>VÄSTERNORRLANDS LÄN</t>
        </is>
      </c>
      <c r="E1009" t="inlineStr">
        <is>
          <t>SOLLEFTEÅ</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48491-2024</t>
        </is>
      </c>
      <c r="B1010" s="1" t="n">
        <v>45592</v>
      </c>
      <c r="C1010" s="1" t="n">
        <v>45908</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26407-2022</t>
        </is>
      </c>
      <c r="B1011" s="1" t="n">
        <v>44735</v>
      </c>
      <c r="C1011" s="1" t="n">
        <v>45908</v>
      </c>
      <c r="D1011" t="inlineStr">
        <is>
          <t>VÄSTERNORRLANDS LÄN</t>
        </is>
      </c>
      <c r="E1011" t="inlineStr">
        <is>
          <t>SOLLEFTEÅ</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16562-2023</t>
        </is>
      </c>
      <c r="B1012" s="1" t="n">
        <v>45029</v>
      </c>
      <c r="C1012" s="1" t="n">
        <v>45908</v>
      </c>
      <c r="D1012" t="inlineStr">
        <is>
          <t>VÄSTERNORRLANDS LÄN</t>
        </is>
      </c>
      <c r="E1012" t="inlineStr">
        <is>
          <t>SOLLEFTEÅ</t>
        </is>
      </c>
      <c r="F1012" t="inlineStr">
        <is>
          <t>SCA</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10549-2023</t>
        </is>
      </c>
      <c r="B1013" s="1" t="n">
        <v>44987</v>
      </c>
      <c r="C1013" s="1" t="n">
        <v>45908</v>
      </c>
      <c r="D1013" t="inlineStr">
        <is>
          <t>VÄSTERNORRLANDS LÄN</t>
        </is>
      </c>
      <c r="E1013" t="inlineStr">
        <is>
          <t>SOLLEFTEÅ</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50844-2023</t>
        </is>
      </c>
      <c r="B1014" s="1" t="n">
        <v>45217</v>
      </c>
      <c r="C1014" s="1" t="n">
        <v>45908</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8099-2025</t>
        </is>
      </c>
      <c r="B1015" s="1" t="n">
        <v>45707.69086805556</v>
      </c>
      <c r="C1015" s="1" t="n">
        <v>45908</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62098-2023</t>
        </is>
      </c>
      <c r="B1016" s="1" t="n">
        <v>45266</v>
      </c>
      <c r="C1016" s="1" t="n">
        <v>45908</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60420-2022</t>
        </is>
      </c>
      <c r="B1017" s="1" t="n">
        <v>44910</v>
      </c>
      <c r="C1017" s="1" t="n">
        <v>45908</v>
      </c>
      <c r="D1017" t="inlineStr">
        <is>
          <t>VÄSTERNORRLANDS LÄN</t>
        </is>
      </c>
      <c r="E1017" t="inlineStr">
        <is>
          <t>SOLLEFTEÅ</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19326-2024</t>
        </is>
      </c>
      <c r="B1018" s="1" t="n">
        <v>45428</v>
      </c>
      <c r="C1018" s="1" t="n">
        <v>45908</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17604-2021</t>
        </is>
      </c>
      <c r="B1019" s="1" t="n">
        <v>44299</v>
      </c>
      <c r="C1019" s="1" t="n">
        <v>45908</v>
      </c>
      <c r="D1019" t="inlineStr">
        <is>
          <t>VÄSTERNORRLANDS LÄN</t>
        </is>
      </c>
      <c r="E1019" t="inlineStr">
        <is>
          <t>SOLLEFTEÅ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14712-2025</t>
        </is>
      </c>
      <c r="B1020" s="1" t="n">
        <v>45742.61008101852</v>
      </c>
      <c r="C1020" s="1" t="n">
        <v>45908</v>
      </c>
      <c r="D1020" t="inlineStr">
        <is>
          <t>VÄSTERNORRLANDS LÄN</t>
        </is>
      </c>
      <c r="E1020" t="inlineStr">
        <is>
          <t>SOLLEFTEÅ</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16238-2024</t>
        </is>
      </c>
      <c r="B1021" s="1" t="n">
        <v>45407.05692129629</v>
      </c>
      <c r="C1021" s="1" t="n">
        <v>45908</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14554-2024</t>
        </is>
      </c>
      <c r="B1022" s="1" t="n">
        <v>45394</v>
      </c>
      <c r="C1022" s="1" t="n">
        <v>45908</v>
      </c>
      <c r="D1022" t="inlineStr">
        <is>
          <t>VÄSTERNORRLANDS LÄN</t>
        </is>
      </c>
      <c r="E1022" t="inlineStr">
        <is>
          <t>SOLLEFTEÅ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23394-2021</t>
        </is>
      </c>
      <c r="B1023" s="1" t="n">
        <v>44333</v>
      </c>
      <c r="C1023" s="1" t="n">
        <v>45908</v>
      </c>
      <c r="D1023" t="inlineStr">
        <is>
          <t>VÄSTERNORRLANDS LÄN</t>
        </is>
      </c>
      <c r="E1023" t="inlineStr">
        <is>
          <t>SOLLEFTEÅ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1840-2024</t>
        </is>
      </c>
      <c r="B1024" s="1" t="n">
        <v>45307</v>
      </c>
      <c r="C1024" s="1" t="n">
        <v>45908</v>
      </c>
      <c r="D1024" t="inlineStr">
        <is>
          <t>VÄSTERNORRLANDS LÄN</t>
        </is>
      </c>
      <c r="E1024" t="inlineStr">
        <is>
          <t>SOLLEFTEÅ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1844-2024</t>
        </is>
      </c>
      <c r="B1025" s="1" t="n">
        <v>45307</v>
      </c>
      <c r="C1025" s="1" t="n">
        <v>45908</v>
      </c>
      <c r="D1025" t="inlineStr">
        <is>
          <t>VÄSTERNORRLANDS LÄN</t>
        </is>
      </c>
      <c r="E1025" t="inlineStr">
        <is>
          <t>SOLLEFTEÅ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39177-2024</t>
        </is>
      </c>
      <c r="B1026" s="1" t="n">
        <v>45548.65681712963</v>
      </c>
      <c r="C1026" s="1" t="n">
        <v>45908</v>
      </c>
      <c r="D1026" t="inlineStr">
        <is>
          <t>VÄSTERNORRLANDS LÄN</t>
        </is>
      </c>
      <c r="E1026" t="inlineStr">
        <is>
          <t>SOLLEFTEÅ</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24693-2025</t>
        </is>
      </c>
      <c r="B1027" s="1" t="n">
        <v>45798.6775462963</v>
      </c>
      <c r="C1027" s="1" t="n">
        <v>45908</v>
      </c>
      <c r="D1027" t="inlineStr">
        <is>
          <t>VÄSTERNORRLANDS LÄN</t>
        </is>
      </c>
      <c r="E1027" t="inlineStr">
        <is>
          <t>SOLLEFTEÅ</t>
        </is>
      </c>
      <c r="F1027" t="inlineStr">
        <is>
          <t>SCA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51735-2024</t>
        </is>
      </c>
      <c r="B1028" s="1" t="n">
        <v>45607.40127314815</v>
      </c>
      <c r="C1028" s="1" t="n">
        <v>45908</v>
      </c>
      <c r="D1028" t="inlineStr">
        <is>
          <t>VÄSTERNORRLANDS LÄN</t>
        </is>
      </c>
      <c r="E1028" t="inlineStr">
        <is>
          <t>SOLLEFTEÅ</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7003-2025</t>
        </is>
      </c>
      <c r="B1029" s="1" t="n">
        <v>45701</v>
      </c>
      <c r="C1029" s="1" t="n">
        <v>45908</v>
      </c>
      <c r="D1029" t="inlineStr">
        <is>
          <t>VÄSTERNORRLANDS LÄN</t>
        </is>
      </c>
      <c r="E1029" t="inlineStr">
        <is>
          <t>SOLLEFTEÅ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15080-2023</t>
        </is>
      </c>
      <c r="B1030" s="1" t="n">
        <v>45016.07525462963</v>
      </c>
      <c r="C1030" s="1" t="n">
        <v>45908</v>
      </c>
      <c r="D1030" t="inlineStr">
        <is>
          <t>VÄSTERNORRLANDS LÄN</t>
        </is>
      </c>
      <c r="E1030" t="inlineStr">
        <is>
          <t>SOLLEFTEÅ</t>
        </is>
      </c>
      <c r="F1030" t="inlineStr">
        <is>
          <t>SCA</t>
        </is>
      </c>
      <c r="G1030" t="n">
        <v>33.6</v>
      </c>
      <c r="H1030" t="n">
        <v>0</v>
      </c>
      <c r="I1030" t="n">
        <v>0</v>
      </c>
      <c r="J1030" t="n">
        <v>0</v>
      </c>
      <c r="K1030" t="n">
        <v>0</v>
      </c>
      <c r="L1030" t="n">
        <v>0</v>
      </c>
      <c r="M1030" t="n">
        <v>0</v>
      </c>
      <c r="N1030" t="n">
        <v>0</v>
      </c>
      <c r="O1030" t="n">
        <v>0</v>
      </c>
      <c r="P1030" t="n">
        <v>0</v>
      </c>
      <c r="Q1030" t="n">
        <v>0</v>
      </c>
      <c r="R1030" s="2" t="inlineStr"/>
    </row>
    <row r="1031" ht="15" customHeight="1">
      <c r="A1031" t="inlineStr">
        <is>
          <t>A 279-2023</t>
        </is>
      </c>
      <c r="B1031" s="1" t="n">
        <v>44928</v>
      </c>
      <c r="C1031" s="1" t="n">
        <v>45908</v>
      </c>
      <c r="D1031" t="inlineStr">
        <is>
          <t>VÄSTERNORRLANDS LÄN</t>
        </is>
      </c>
      <c r="E1031" t="inlineStr">
        <is>
          <t>SOLLEFTEÅ</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57394-2023</t>
        </is>
      </c>
      <c r="B1032" s="1" t="n">
        <v>45245.96774305555</v>
      </c>
      <c r="C1032" s="1" t="n">
        <v>45908</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40354-2024</t>
        </is>
      </c>
      <c r="B1033" s="1" t="n">
        <v>45555.36525462963</v>
      </c>
      <c r="C1033" s="1" t="n">
        <v>45908</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24596-2023</t>
        </is>
      </c>
      <c r="B1034" s="1" t="n">
        <v>45083.94011574074</v>
      </c>
      <c r="C1034" s="1" t="n">
        <v>45908</v>
      </c>
      <c r="D1034" t="inlineStr">
        <is>
          <t>VÄSTERNORRLANDS LÄN</t>
        </is>
      </c>
      <c r="E1034" t="inlineStr">
        <is>
          <t>SOLLEFTEÅ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47181-2023</t>
        </is>
      </c>
      <c r="B1035" s="1" t="n">
        <v>45201.94876157407</v>
      </c>
      <c r="C1035" s="1" t="n">
        <v>45908</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44392-2023</t>
        </is>
      </c>
      <c r="B1036" s="1" t="n">
        <v>45188.94527777778</v>
      </c>
      <c r="C1036" s="1" t="n">
        <v>45908</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58179-2021</t>
        </is>
      </c>
      <c r="B1037" s="1" t="n">
        <v>44487</v>
      </c>
      <c r="C1037" s="1" t="n">
        <v>45908</v>
      </c>
      <c r="D1037" t="inlineStr">
        <is>
          <t>VÄSTERNORRLANDS LÄN</t>
        </is>
      </c>
      <c r="E1037" t="inlineStr">
        <is>
          <t>SOLLEFTEÅ</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24531-2025</t>
        </is>
      </c>
      <c r="B1038" s="1" t="n">
        <v>45798.42810185185</v>
      </c>
      <c r="C1038" s="1" t="n">
        <v>45908</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24532-2025</t>
        </is>
      </c>
      <c r="B1039" s="1" t="n">
        <v>45798.42820601852</v>
      </c>
      <c r="C1039" s="1" t="n">
        <v>45908</v>
      </c>
      <c r="D1039" t="inlineStr">
        <is>
          <t>VÄSTERNORRLANDS LÄN</t>
        </is>
      </c>
      <c r="E1039" t="inlineStr">
        <is>
          <t>SOLLEFTEÅ</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20507-2024</t>
        </is>
      </c>
      <c r="B1040" s="1" t="n">
        <v>45435</v>
      </c>
      <c r="C1040" s="1" t="n">
        <v>45908</v>
      </c>
      <c r="D1040" t="inlineStr">
        <is>
          <t>VÄSTERNORRLANDS LÄN</t>
        </is>
      </c>
      <c r="E1040" t="inlineStr">
        <is>
          <t>SOLLEFTEÅ</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46804-2023</t>
        </is>
      </c>
      <c r="B1041" s="1" t="n">
        <v>45198</v>
      </c>
      <c r="C1041" s="1" t="n">
        <v>45908</v>
      </c>
      <c r="D1041" t="inlineStr">
        <is>
          <t>VÄSTERNORRLANDS LÄN</t>
        </is>
      </c>
      <c r="E1041" t="inlineStr">
        <is>
          <t>SOLLEFTEÅ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24759-2025</t>
        </is>
      </c>
      <c r="B1042" s="1" t="n">
        <v>45799.38284722222</v>
      </c>
      <c r="C1042" s="1" t="n">
        <v>45908</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24760-2025</t>
        </is>
      </c>
      <c r="B1043" s="1" t="n">
        <v>45799</v>
      </c>
      <c r="C1043" s="1" t="n">
        <v>45908</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4501-2023</t>
        </is>
      </c>
      <c r="B1044" s="1" t="n">
        <v>44952</v>
      </c>
      <c r="C1044" s="1" t="n">
        <v>45908</v>
      </c>
      <c r="D1044" t="inlineStr">
        <is>
          <t>VÄSTERNORRLANDS LÄN</t>
        </is>
      </c>
      <c r="E1044" t="inlineStr">
        <is>
          <t>SOLLEFTEÅ</t>
        </is>
      </c>
      <c r="F1044" t="inlineStr">
        <is>
          <t>Övriga Aktiebolag</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12064-2025</t>
        </is>
      </c>
      <c r="B1045" s="1" t="n">
        <v>45728.69861111111</v>
      </c>
      <c r="C1045" s="1" t="n">
        <v>45908</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24730-2025</t>
        </is>
      </c>
      <c r="B1046" s="1" t="n">
        <v>45799.34150462963</v>
      </c>
      <c r="C1046" s="1" t="n">
        <v>45908</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4935-2025</t>
        </is>
      </c>
      <c r="B1047" s="1" t="n">
        <v>45688.68496527777</v>
      </c>
      <c r="C1047" s="1" t="n">
        <v>45908</v>
      </c>
      <c r="D1047" t="inlineStr">
        <is>
          <t>VÄSTERNORRLANDS LÄN</t>
        </is>
      </c>
      <c r="E1047" t="inlineStr">
        <is>
          <t>SOLLEFTEÅ</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59038-2022</t>
        </is>
      </c>
      <c r="B1048" s="1" t="n">
        <v>44903.9496412037</v>
      </c>
      <c r="C1048" s="1" t="n">
        <v>45908</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44045-2022</t>
        </is>
      </c>
      <c r="B1049" s="1" t="n">
        <v>44838</v>
      </c>
      <c r="C1049" s="1" t="n">
        <v>45908</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48296-2022</t>
        </is>
      </c>
      <c r="B1050" s="1" t="n">
        <v>44858.51815972223</v>
      </c>
      <c r="C1050" s="1" t="n">
        <v>45908</v>
      </c>
      <c r="D1050" t="inlineStr">
        <is>
          <t>VÄSTERNORRLANDS LÄN</t>
        </is>
      </c>
      <c r="E1050" t="inlineStr">
        <is>
          <t>SOLLEFTEÅ</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11318-2022</t>
        </is>
      </c>
      <c r="B1051" s="1" t="n">
        <v>44629.94743055556</v>
      </c>
      <c r="C1051" s="1" t="n">
        <v>45908</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54307-2023</t>
        </is>
      </c>
      <c r="B1052" s="1" t="n">
        <v>45225</v>
      </c>
      <c r="C1052" s="1" t="n">
        <v>45908</v>
      </c>
      <c r="D1052" t="inlineStr">
        <is>
          <t>VÄSTERNORRLANDS LÄN</t>
        </is>
      </c>
      <c r="E1052" t="inlineStr">
        <is>
          <t>SOLLEFTEÅ</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5255-2024</t>
        </is>
      </c>
      <c r="B1053" s="1" t="n">
        <v>45330</v>
      </c>
      <c r="C1053" s="1" t="n">
        <v>45908</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57800-2024</t>
        </is>
      </c>
      <c r="B1054" s="1" t="n">
        <v>45631</v>
      </c>
      <c r="C1054" s="1" t="n">
        <v>45908</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24787-2025</t>
        </is>
      </c>
      <c r="B1055" s="1" t="n">
        <v>45799.42791666667</v>
      </c>
      <c r="C1055" s="1" t="n">
        <v>45908</v>
      </c>
      <c r="D1055" t="inlineStr">
        <is>
          <t>VÄSTERNORRLANDS LÄN</t>
        </is>
      </c>
      <c r="E1055" t="inlineStr">
        <is>
          <t>SOLLEFTEÅ</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25313-2025</t>
        </is>
      </c>
      <c r="B1056" s="1" t="n">
        <v>45799</v>
      </c>
      <c r="C1056" s="1" t="n">
        <v>45908</v>
      </c>
      <c r="D1056" t="inlineStr">
        <is>
          <t>VÄSTERNORRLANDS LÄN</t>
        </is>
      </c>
      <c r="E1056" t="inlineStr">
        <is>
          <t>SOLLEFTEÅ</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24488-2025</t>
        </is>
      </c>
      <c r="B1057" s="1" t="n">
        <v>45798.38576388889</v>
      </c>
      <c r="C1057" s="1" t="n">
        <v>45908</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47177-2023</t>
        </is>
      </c>
      <c r="B1058" s="1" t="n">
        <v>45201</v>
      </c>
      <c r="C1058" s="1" t="n">
        <v>45908</v>
      </c>
      <c r="D1058" t="inlineStr">
        <is>
          <t>VÄSTERNORRLANDS LÄN</t>
        </is>
      </c>
      <c r="E1058" t="inlineStr">
        <is>
          <t>SOLLEFTEÅ</t>
        </is>
      </c>
      <c r="F1058" t="inlineStr">
        <is>
          <t>SCA</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50557-2024</t>
        </is>
      </c>
      <c r="B1059" s="1" t="n">
        <v>45601</v>
      </c>
      <c r="C1059" s="1" t="n">
        <v>45908</v>
      </c>
      <c r="D1059" t="inlineStr">
        <is>
          <t>VÄSTERNORRLANDS LÄN</t>
        </is>
      </c>
      <c r="E1059" t="inlineStr">
        <is>
          <t>SOLLEFTEÅ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14094-2025</t>
        </is>
      </c>
      <c r="B1060" s="1" t="n">
        <v>45740.44827546296</v>
      </c>
      <c r="C1060" s="1" t="n">
        <v>45908</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14096-2025</t>
        </is>
      </c>
      <c r="B1061" s="1" t="n">
        <v>45740.44858796296</v>
      </c>
      <c r="C1061" s="1" t="n">
        <v>45908</v>
      </c>
      <c r="D1061" t="inlineStr">
        <is>
          <t>VÄSTERNORRLANDS LÄN</t>
        </is>
      </c>
      <c r="E1061" t="inlineStr">
        <is>
          <t>SOLLEFTEÅ</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14097-2025</t>
        </is>
      </c>
      <c r="B1062" s="1" t="n">
        <v>45740.44875</v>
      </c>
      <c r="C1062" s="1" t="n">
        <v>45908</v>
      </c>
      <c r="D1062" t="inlineStr">
        <is>
          <t>VÄSTERNORRLANDS LÄN</t>
        </is>
      </c>
      <c r="E1062" t="inlineStr">
        <is>
          <t>SOLLEFTEÅ</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48019-2024</t>
        </is>
      </c>
      <c r="B1063" s="1" t="n">
        <v>45589.47023148148</v>
      </c>
      <c r="C1063" s="1" t="n">
        <v>45908</v>
      </c>
      <c r="D1063" t="inlineStr">
        <is>
          <t>VÄSTERNORRLANDS LÄN</t>
        </is>
      </c>
      <c r="E1063" t="inlineStr">
        <is>
          <t>SOLLEFTEÅ</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48020-2024</t>
        </is>
      </c>
      <c r="B1064" s="1" t="n">
        <v>45589.47027777778</v>
      </c>
      <c r="C1064" s="1" t="n">
        <v>45908</v>
      </c>
      <c r="D1064" t="inlineStr">
        <is>
          <t>VÄSTERNORRLANDS LÄN</t>
        </is>
      </c>
      <c r="E1064" t="inlineStr">
        <is>
          <t>SOLLEFTEÅ</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56260-2023</t>
        </is>
      </c>
      <c r="B1065" s="1" t="n">
        <v>45240</v>
      </c>
      <c r="C1065" s="1" t="n">
        <v>45908</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24552-2025</t>
        </is>
      </c>
      <c r="B1066" s="1" t="n">
        <v>45798.44865740741</v>
      </c>
      <c r="C1066" s="1" t="n">
        <v>45908</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61391-2022</t>
        </is>
      </c>
      <c r="B1067" s="1" t="n">
        <v>44915.94334490741</v>
      </c>
      <c r="C1067" s="1" t="n">
        <v>45908</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18188-2022</t>
        </is>
      </c>
      <c r="B1068" s="1" t="n">
        <v>44684.94004629629</v>
      </c>
      <c r="C1068" s="1" t="n">
        <v>45908</v>
      </c>
      <c r="D1068" t="inlineStr">
        <is>
          <t>VÄSTERNORRLANDS LÄN</t>
        </is>
      </c>
      <c r="E1068" t="inlineStr">
        <is>
          <t>SOLLEFTEÅ</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46032-2022</t>
        </is>
      </c>
      <c r="B1069" s="1" t="n">
        <v>44846</v>
      </c>
      <c r="C1069" s="1" t="n">
        <v>45908</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24530-2025</t>
        </is>
      </c>
      <c r="B1070" s="1" t="n">
        <v>45798.42799768518</v>
      </c>
      <c r="C1070" s="1" t="n">
        <v>45908</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10428-2023</t>
        </is>
      </c>
      <c r="B1071" s="1" t="n">
        <v>44981</v>
      </c>
      <c r="C1071" s="1" t="n">
        <v>45908</v>
      </c>
      <c r="D1071" t="inlineStr">
        <is>
          <t>VÄSTERNORRLANDS LÄN</t>
        </is>
      </c>
      <c r="E1071" t="inlineStr">
        <is>
          <t>SOLLEFTEÅ</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35276-2023</t>
        </is>
      </c>
      <c r="B1072" s="1" t="n">
        <v>45145.95409722222</v>
      </c>
      <c r="C1072" s="1" t="n">
        <v>45908</v>
      </c>
      <c r="D1072" t="inlineStr">
        <is>
          <t>VÄSTERNORRLANDS LÄN</t>
        </is>
      </c>
      <c r="E1072" t="inlineStr">
        <is>
          <t>SOLLEFTEÅ</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56249-2023</t>
        </is>
      </c>
      <c r="B1073" s="1" t="n">
        <v>45240.9468287037</v>
      </c>
      <c r="C1073" s="1" t="n">
        <v>45908</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47272-2022</t>
        </is>
      </c>
      <c r="B1074" s="1" t="n">
        <v>44852.95016203704</v>
      </c>
      <c r="C1074" s="1" t="n">
        <v>45908</v>
      </c>
      <c r="D1074" t="inlineStr">
        <is>
          <t>VÄSTERNORRLANDS LÄN</t>
        </is>
      </c>
      <c r="E1074" t="inlineStr">
        <is>
          <t>SOLLEFTEÅ</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59371-2022</t>
        </is>
      </c>
      <c r="B1075" s="1" t="n">
        <v>44904</v>
      </c>
      <c r="C1075" s="1" t="n">
        <v>45908</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326-2025</t>
        </is>
      </c>
      <c r="B1076" s="1" t="n">
        <v>45660.65653935185</v>
      </c>
      <c r="C1076" s="1" t="n">
        <v>45908</v>
      </c>
      <c r="D1076" t="inlineStr">
        <is>
          <t>VÄSTERNORRLANDS LÄN</t>
        </is>
      </c>
      <c r="E1076" t="inlineStr">
        <is>
          <t>SOLLEFTEÅ</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12107-2023</t>
        </is>
      </c>
      <c r="B1077" s="1" t="n">
        <v>44995</v>
      </c>
      <c r="C1077" s="1" t="n">
        <v>45908</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23030-2021</t>
        </is>
      </c>
      <c r="B1078" s="1" t="n">
        <v>44328.94091435185</v>
      </c>
      <c r="C1078" s="1" t="n">
        <v>45908</v>
      </c>
      <c r="D1078" t="inlineStr">
        <is>
          <t>VÄSTERNORRLANDS LÄN</t>
        </is>
      </c>
      <c r="E1078" t="inlineStr">
        <is>
          <t>SOLLEFTEÅ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52455-2024</t>
        </is>
      </c>
      <c r="B1079" s="1" t="n">
        <v>45609.50984953704</v>
      </c>
      <c r="C1079" s="1" t="n">
        <v>45908</v>
      </c>
      <c r="D1079" t="inlineStr">
        <is>
          <t>VÄSTERNORRLANDS LÄN</t>
        </is>
      </c>
      <c r="E1079" t="inlineStr">
        <is>
          <t>SOLLEFTEÅ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55439-2024</t>
        </is>
      </c>
      <c r="B1080" s="1" t="n">
        <v>45622.40663194445</v>
      </c>
      <c r="C1080" s="1" t="n">
        <v>45908</v>
      </c>
      <c r="D1080" t="inlineStr">
        <is>
          <t>VÄSTERNORRLANDS LÄN</t>
        </is>
      </c>
      <c r="E1080" t="inlineStr">
        <is>
          <t>SOLLEFTEÅ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31918-2023</t>
        </is>
      </c>
      <c r="B1081" s="1" t="n">
        <v>45118</v>
      </c>
      <c r="C1081" s="1" t="n">
        <v>45908</v>
      </c>
      <c r="D1081" t="inlineStr">
        <is>
          <t>VÄSTERNORRLANDS LÄN</t>
        </is>
      </c>
      <c r="E1081" t="inlineStr">
        <is>
          <t>SOLLEFTEÅ</t>
        </is>
      </c>
      <c r="F1081" t="inlineStr">
        <is>
          <t>SCA</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31922-2023</t>
        </is>
      </c>
      <c r="B1082" s="1" t="n">
        <v>45118.94021990741</v>
      </c>
      <c r="C1082" s="1" t="n">
        <v>45908</v>
      </c>
      <c r="D1082" t="inlineStr">
        <is>
          <t>VÄSTERNORRLANDS LÄN</t>
        </is>
      </c>
      <c r="E1082" t="inlineStr">
        <is>
          <t>SOLLEFTEÅ</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295-2025</t>
        </is>
      </c>
      <c r="B1083" s="1" t="n">
        <v>45660.53206018519</v>
      </c>
      <c r="C1083" s="1" t="n">
        <v>45908</v>
      </c>
      <c r="D1083" t="inlineStr">
        <is>
          <t>VÄSTERNORRLANDS LÄN</t>
        </is>
      </c>
      <c r="E1083" t="inlineStr">
        <is>
          <t>SOLLEFTEÅ</t>
        </is>
      </c>
      <c r="F1083" t="inlineStr">
        <is>
          <t>SCA</t>
        </is>
      </c>
      <c r="G1083" t="n">
        <v>30.7</v>
      </c>
      <c r="H1083" t="n">
        <v>0</v>
      </c>
      <c r="I1083" t="n">
        <v>0</v>
      </c>
      <c r="J1083" t="n">
        <v>0</v>
      </c>
      <c r="K1083" t="n">
        <v>0</v>
      </c>
      <c r="L1083" t="n">
        <v>0</v>
      </c>
      <c r="M1083" t="n">
        <v>0</v>
      </c>
      <c r="N1083" t="n">
        <v>0</v>
      </c>
      <c r="O1083" t="n">
        <v>0</v>
      </c>
      <c r="P1083" t="n">
        <v>0</v>
      </c>
      <c r="Q1083" t="n">
        <v>0</v>
      </c>
      <c r="R1083" s="2" t="inlineStr"/>
    </row>
    <row r="1084" ht="15" customHeight="1">
      <c r="A1084" t="inlineStr">
        <is>
          <t>A 13300-2022</t>
        </is>
      </c>
      <c r="B1084" s="1" t="n">
        <v>44644</v>
      </c>
      <c r="C1084" s="1" t="n">
        <v>45908</v>
      </c>
      <c r="D1084" t="inlineStr">
        <is>
          <t>VÄSTERNORRLANDS LÄN</t>
        </is>
      </c>
      <c r="E1084" t="inlineStr">
        <is>
          <t>SOLLEFTEÅ</t>
        </is>
      </c>
      <c r="F1084" t="inlineStr">
        <is>
          <t>SCA</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48088-2023</t>
        </is>
      </c>
      <c r="B1085" s="1" t="n">
        <v>45204.94657407407</v>
      </c>
      <c r="C1085" s="1" t="n">
        <v>45908</v>
      </c>
      <c r="D1085" t="inlineStr">
        <is>
          <t>VÄSTERNORRLANDS LÄN</t>
        </is>
      </c>
      <c r="E1085" t="inlineStr">
        <is>
          <t>SOLLEFTEÅ</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27908-2024</t>
        </is>
      </c>
      <c r="B1086" s="1" t="n">
        <v>45475.94615740741</v>
      </c>
      <c r="C1086" s="1" t="n">
        <v>45908</v>
      </c>
      <c r="D1086" t="inlineStr">
        <is>
          <t>VÄSTERNORRLANDS LÄN</t>
        </is>
      </c>
      <c r="E1086" t="inlineStr">
        <is>
          <t>SOLLEFTEÅ</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27916-2024</t>
        </is>
      </c>
      <c r="B1087" s="1" t="n">
        <v>45475.94834490741</v>
      </c>
      <c r="C1087" s="1" t="n">
        <v>45908</v>
      </c>
      <c r="D1087" t="inlineStr">
        <is>
          <t>VÄSTERNORRLANDS LÄN</t>
        </is>
      </c>
      <c r="E1087" t="inlineStr">
        <is>
          <t>SOLLEFTEÅ</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25181-2025</t>
        </is>
      </c>
      <c r="B1088" s="1" t="n">
        <v>45800.44900462963</v>
      </c>
      <c r="C1088" s="1" t="n">
        <v>45908</v>
      </c>
      <c r="D1088" t="inlineStr">
        <is>
          <t>VÄSTERNORRLANDS LÄN</t>
        </is>
      </c>
      <c r="E1088" t="inlineStr">
        <is>
          <t>SOLLEFTEÅ</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25238-2025</t>
        </is>
      </c>
      <c r="B1089" s="1" t="n">
        <v>45800.49016203704</v>
      </c>
      <c r="C1089" s="1" t="n">
        <v>45908</v>
      </c>
      <c r="D1089" t="inlineStr">
        <is>
          <t>VÄSTERNORRLANDS LÄN</t>
        </is>
      </c>
      <c r="E1089" t="inlineStr">
        <is>
          <t>SOLLEFTEÅ</t>
        </is>
      </c>
      <c r="F1089" t="inlineStr">
        <is>
          <t>SCA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25243-2025</t>
        </is>
      </c>
      <c r="B1090" s="1" t="n">
        <v>45800.49063657408</v>
      </c>
      <c r="C1090" s="1" t="n">
        <v>45908</v>
      </c>
      <c r="D1090" t="inlineStr">
        <is>
          <t>VÄSTERNORRLANDS LÄN</t>
        </is>
      </c>
      <c r="E1090" t="inlineStr">
        <is>
          <t>SOLLEFTEÅ</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7585-2024</t>
        </is>
      </c>
      <c r="B1091" s="1" t="n">
        <v>45348</v>
      </c>
      <c r="C1091" s="1" t="n">
        <v>45908</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4895-2025</t>
        </is>
      </c>
      <c r="B1092" s="1" t="n">
        <v>45688.67891203704</v>
      </c>
      <c r="C1092" s="1" t="n">
        <v>45908</v>
      </c>
      <c r="D1092" t="inlineStr">
        <is>
          <t>VÄSTERNORRLANDS LÄN</t>
        </is>
      </c>
      <c r="E1092" t="inlineStr">
        <is>
          <t>SOLLEFTEÅ</t>
        </is>
      </c>
      <c r="F1092" t="inlineStr">
        <is>
          <t>SCA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4909-2025</t>
        </is>
      </c>
      <c r="B1093" s="1" t="n">
        <v>45688</v>
      </c>
      <c r="C1093" s="1" t="n">
        <v>45908</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27633-2024</t>
        </is>
      </c>
      <c r="B1094" s="1" t="n">
        <v>45474.94590277778</v>
      </c>
      <c r="C1094" s="1" t="n">
        <v>45908</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27634-2024</t>
        </is>
      </c>
      <c r="B1095" s="1" t="n">
        <v>45474.94599537037</v>
      </c>
      <c r="C1095" s="1" t="n">
        <v>45908</v>
      </c>
      <c r="D1095" t="inlineStr">
        <is>
          <t>VÄSTERNORRLANDS LÄN</t>
        </is>
      </c>
      <c r="E1095" t="inlineStr">
        <is>
          <t>SOLLEFTEÅ</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14718-2023</t>
        </is>
      </c>
      <c r="B1096" s="1" t="n">
        <v>45012</v>
      </c>
      <c r="C1096" s="1" t="n">
        <v>45908</v>
      </c>
      <c r="D1096" t="inlineStr">
        <is>
          <t>VÄSTERNORRLANDS LÄN</t>
        </is>
      </c>
      <c r="E1096" t="inlineStr">
        <is>
          <t>SOLLEFTEÅ</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25242-2025</t>
        </is>
      </c>
      <c r="B1097" s="1" t="n">
        <v>45800.49059027778</v>
      </c>
      <c r="C1097" s="1" t="n">
        <v>45908</v>
      </c>
      <c r="D1097" t="inlineStr">
        <is>
          <t>VÄSTERNORRLANDS LÄN</t>
        </is>
      </c>
      <c r="E1097" t="inlineStr">
        <is>
          <t>SOLLEFTEÅ</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10725-2025</t>
        </is>
      </c>
      <c r="B1098" s="1" t="n">
        <v>45722</v>
      </c>
      <c r="C1098" s="1" t="n">
        <v>45908</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61790-2024</t>
        </is>
      </c>
      <c r="B1099" s="1" t="n">
        <v>45649</v>
      </c>
      <c r="C1099" s="1" t="n">
        <v>45908</v>
      </c>
      <c r="D1099" t="inlineStr">
        <is>
          <t>VÄSTERNORRLANDS LÄN</t>
        </is>
      </c>
      <c r="E1099" t="inlineStr">
        <is>
          <t>SOLLEFTEÅ</t>
        </is>
      </c>
      <c r="F1099" t="inlineStr">
        <is>
          <t>Övriga statliga verk och myndigheter</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31562-2024</t>
        </is>
      </c>
      <c r="B1100" s="1" t="n">
        <v>45505</v>
      </c>
      <c r="C1100" s="1" t="n">
        <v>45908</v>
      </c>
      <c r="D1100" t="inlineStr">
        <is>
          <t>VÄSTERNORRLANDS LÄN</t>
        </is>
      </c>
      <c r="E1100" t="inlineStr">
        <is>
          <t>SOLLEFTEÅ</t>
        </is>
      </c>
      <c r="F1100" t="inlineStr">
        <is>
          <t>SCA</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46261-2024</t>
        </is>
      </c>
      <c r="B1101" s="1" t="n">
        <v>45581.61048611111</v>
      </c>
      <c r="C1101" s="1" t="n">
        <v>45908</v>
      </c>
      <c r="D1101" t="inlineStr">
        <is>
          <t>VÄSTERNORRLANDS LÄN</t>
        </is>
      </c>
      <c r="E1101" t="inlineStr">
        <is>
          <t>SOLLEFTEÅ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25702-2024</t>
        </is>
      </c>
      <c r="B1102" s="1" t="n">
        <v>45463</v>
      </c>
      <c r="C1102" s="1" t="n">
        <v>45908</v>
      </c>
      <c r="D1102" t="inlineStr">
        <is>
          <t>VÄSTERNORRLANDS LÄN</t>
        </is>
      </c>
      <c r="E1102" t="inlineStr">
        <is>
          <t>SOLLEFTEÅ</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25711-2024</t>
        </is>
      </c>
      <c r="B1103" s="1" t="n">
        <v>45463</v>
      </c>
      <c r="C1103" s="1" t="n">
        <v>45908</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25356-2024</t>
        </is>
      </c>
      <c r="B1104" s="1" t="n">
        <v>45462.9565162037</v>
      </c>
      <c r="C1104" s="1" t="n">
        <v>45908</v>
      </c>
      <c r="D1104" t="inlineStr">
        <is>
          <t>VÄSTERNORRLANDS LÄN</t>
        </is>
      </c>
      <c r="E1104" t="inlineStr">
        <is>
          <t>SOLLEFTEÅ</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25517-2025</t>
        </is>
      </c>
      <c r="B1105" s="1" t="n">
        <v>45803.37570601852</v>
      </c>
      <c r="C1105" s="1" t="n">
        <v>45908</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25145-2025</t>
        </is>
      </c>
      <c r="B1106" s="1" t="n">
        <v>45800</v>
      </c>
      <c r="C1106" s="1" t="n">
        <v>45908</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62662-2022</t>
        </is>
      </c>
      <c r="B1107" s="1" t="n">
        <v>44917</v>
      </c>
      <c r="C1107" s="1" t="n">
        <v>45908</v>
      </c>
      <c r="D1107" t="inlineStr">
        <is>
          <t>VÄSTERNORRLANDS LÄN</t>
        </is>
      </c>
      <c r="E1107" t="inlineStr">
        <is>
          <t>SOLLEFTEÅ</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27593-2022</t>
        </is>
      </c>
      <c r="B1108" s="1" t="n">
        <v>44742</v>
      </c>
      <c r="C1108" s="1" t="n">
        <v>45908</v>
      </c>
      <c r="D1108" t="inlineStr">
        <is>
          <t>VÄSTERNORRLANDS LÄN</t>
        </is>
      </c>
      <c r="E1108" t="inlineStr">
        <is>
          <t>SOLLEFTEÅ</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25297-2025</t>
        </is>
      </c>
      <c r="B1109" s="1" t="n">
        <v>45800.5684837963</v>
      </c>
      <c r="C1109" s="1" t="n">
        <v>45908</v>
      </c>
      <c r="D1109" t="inlineStr">
        <is>
          <t>VÄSTERNORRLANDS LÄN</t>
        </is>
      </c>
      <c r="E1109" t="inlineStr">
        <is>
          <t>SOLLEFTEÅ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52438-2024</t>
        </is>
      </c>
      <c r="B1110" s="1" t="n">
        <v>45609.48300925926</v>
      </c>
      <c r="C1110" s="1" t="n">
        <v>45908</v>
      </c>
      <c r="D1110" t="inlineStr">
        <is>
          <t>VÄSTERNORRLANDS LÄN</t>
        </is>
      </c>
      <c r="E1110" t="inlineStr">
        <is>
          <t>SOLLEFTEÅ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25132-2025</t>
        </is>
      </c>
      <c r="B1111" s="1" t="n">
        <v>45800</v>
      </c>
      <c r="C1111" s="1" t="n">
        <v>45908</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25207-2025</t>
        </is>
      </c>
      <c r="B1112" s="1" t="n">
        <v>45800.46914351852</v>
      </c>
      <c r="C1112" s="1" t="n">
        <v>45908</v>
      </c>
      <c r="D1112" t="inlineStr">
        <is>
          <t>VÄSTERNORRLANDS LÄN</t>
        </is>
      </c>
      <c r="E1112" t="inlineStr">
        <is>
          <t>SOLLEFTEÅ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40115-2023</t>
        </is>
      </c>
      <c r="B1113" s="1" t="n">
        <v>45168.93859953704</v>
      </c>
      <c r="C1113" s="1" t="n">
        <v>45908</v>
      </c>
      <c r="D1113" t="inlineStr">
        <is>
          <t>VÄSTERNORRLANDS LÄN</t>
        </is>
      </c>
      <c r="E1113" t="inlineStr">
        <is>
          <t>SOLLEFTEÅ</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12730-2023</t>
        </is>
      </c>
      <c r="B1114" s="1" t="n">
        <v>45000.92381944445</v>
      </c>
      <c r="C1114" s="1" t="n">
        <v>45908</v>
      </c>
      <c r="D1114" t="inlineStr">
        <is>
          <t>VÄSTERNORRLANDS LÄN</t>
        </is>
      </c>
      <c r="E1114" t="inlineStr">
        <is>
          <t>SOLLEFTEÅ</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12733-2023</t>
        </is>
      </c>
      <c r="B1115" s="1" t="n">
        <v>45000</v>
      </c>
      <c r="C1115" s="1" t="n">
        <v>45908</v>
      </c>
      <c r="D1115" t="inlineStr">
        <is>
          <t>VÄSTERNORRLANDS LÄN</t>
        </is>
      </c>
      <c r="E1115" t="inlineStr">
        <is>
          <t>SOLLEFTEÅ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63413-2023</t>
        </is>
      </c>
      <c r="B1116" s="1" t="n">
        <v>45274</v>
      </c>
      <c r="C1116" s="1" t="n">
        <v>45908</v>
      </c>
      <c r="D1116" t="inlineStr">
        <is>
          <t>VÄSTERNORRLANDS LÄN</t>
        </is>
      </c>
      <c r="E1116" t="inlineStr">
        <is>
          <t>SOLLEFTEÅ</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63422-2023</t>
        </is>
      </c>
      <c r="B1117" s="1" t="n">
        <v>45274</v>
      </c>
      <c r="C1117" s="1" t="n">
        <v>45908</v>
      </c>
      <c r="D1117" t="inlineStr">
        <is>
          <t>VÄSTERNORRLANDS LÄN</t>
        </is>
      </c>
      <c r="E1117" t="inlineStr">
        <is>
          <t>SOLLEFTEÅ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25079-2023</t>
        </is>
      </c>
      <c r="B1118" s="1" t="n">
        <v>45086</v>
      </c>
      <c r="C1118" s="1" t="n">
        <v>45908</v>
      </c>
      <c r="D1118" t="inlineStr">
        <is>
          <t>VÄSTERNORRLANDS LÄN</t>
        </is>
      </c>
      <c r="E1118" t="inlineStr">
        <is>
          <t>SOLLEFTEÅ</t>
        </is>
      </c>
      <c r="F1118" t="inlineStr">
        <is>
          <t>Kommuner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37381-2023</t>
        </is>
      </c>
      <c r="B1119" s="1" t="n">
        <v>45155</v>
      </c>
      <c r="C1119" s="1" t="n">
        <v>45908</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34316-2024</t>
        </is>
      </c>
      <c r="B1120" s="1" t="n">
        <v>45524</v>
      </c>
      <c r="C1120" s="1" t="n">
        <v>45908</v>
      </c>
      <c r="D1120" t="inlineStr">
        <is>
          <t>VÄSTERNORRLANDS LÄN</t>
        </is>
      </c>
      <c r="E1120" t="inlineStr">
        <is>
          <t>SOLLEFTEÅ</t>
        </is>
      </c>
      <c r="F1120" t="inlineStr">
        <is>
          <t>Övriga statliga verk och myndigheter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49417-2023</t>
        </is>
      </c>
      <c r="B1121" s="1" t="n">
        <v>45205</v>
      </c>
      <c r="C1121" s="1" t="n">
        <v>45908</v>
      </c>
      <c r="D1121" t="inlineStr">
        <is>
          <t>VÄSTERNORRLANDS LÄN</t>
        </is>
      </c>
      <c r="E1121" t="inlineStr">
        <is>
          <t>SOLLEFTEÅ</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25833-2025</t>
        </is>
      </c>
      <c r="B1122" s="1" t="n">
        <v>45804.44827546296</v>
      </c>
      <c r="C1122" s="1" t="n">
        <v>45908</v>
      </c>
      <c r="D1122" t="inlineStr">
        <is>
          <t>VÄSTERNORRLANDS LÄN</t>
        </is>
      </c>
      <c r="E1122" t="inlineStr">
        <is>
          <t>SOLLEFTEÅ</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21364-2024</t>
        </is>
      </c>
      <c r="B1123" s="1" t="n">
        <v>45440.95248842592</v>
      </c>
      <c r="C1123" s="1" t="n">
        <v>45908</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64111-2023</t>
        </is>
      </c>
      <c r="B1124" s="1" t="n">
        <v>45279</v>
      </c>
      <c r="C1124" s="1" t="n">
        <v>45908</v>
      </c>
      <c r="D1124" t="inlineStr">
        <is>
          <t>VÄSTERNORRLANDS LÄN</t>
        </is>
      </c>
      <c r="E1124" t="inlineStr">
        <is>
          <t>SOLLEFTEÅ</t>
        </is>
      </c>
      <c r="G1124" t="n">
        <v>19.9</v>
      </c>
      <c r="H1124" t="n">
        <v>0</v>
      </c>
      <c r="I1124" t="n">
        <v>0</v>
      </c>
      <c r="J1124" t="n">
        <v>0</v>
      </c>
      <c r="K1124" t="n">
        <v>0</v>
      </c>
      <c r="L1124" t="n">
        <v>0</v>
      </c>
      <c r="M1124" t="n">
        <v>0</v>
      </c>
      <c r="N1124" t="n">
        <v>0</v>
      </c>
      <c r="O1124" t="n">
        <v>0</v>
      </c>
      <c r="P1124" t="n">
        <v>0</v>
      </c>
      <c r="Q1124" t="n">
        <v>0</v>
      </c>
      <c r="R1124" s="2" t="inlineStr"/>
    </row>
    <row r="1125" ht="15" customHeight="1">
      <c r="A1125" t="inlineStr">
        <is>
          <t>A 47471-2024</t>
        </is>
      </c>
      <c r="B1125" s="1" t="n">
        <v>45587.57324074074</v>
      </c>
      <c r="C1125" s="1" t="n">
        <v>45908</v>
      </c>
      <c r="D1125" t="inlineStr">
        <is>
          <t>VÄSTERNORRLANDS LÄN</t>
        </is>
      </c>
      <c r="E1125" t="inlineStr">
        <is>
          <t>SOLLEFTEÅ</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64638-2021</t>
        </is>
      </c>
      <c r="B1126" s="1" t="n">
        <v>44511</v>
      </c>
      <c r="C1126" s="1" t="n">
        <v>45908</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25856-2025</t>
        </is>
      </c>
      <c r="B1127" s="1" t="n">
        <v>45804.46944444445</v>
      </c>
      <c r="C1127" s="1" t="n">
        <v>45908</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73367-2021</t>
        </is>
      </c>
      <c r="B1128" s="1" t="n">
        <v>44550</v>
      </c>
      <c r="C1128" s="1" t="n">
        <v>45908</v>
      </c>
      <c r="D1128" t="inlineStr">
        <is>
          <t>VÄSTERNORRLANDS LÄN</t>
        </is>
      </c>
      <c r="E1128" t="inlineStr">
        <is>
          <t>SOLLEFTEÅ</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66178-2021</t>
        </is>
      </c>
      <c r="B1129" s="1" t="n">
        <v>44517</v>
      </c>
      <c r="C1129" s="1" t="n">
        <v>45908</v>
      </c>
      <c r="D1129" t="inlineStr">
        <is>
          <t>VÄSTERNORRLANDS LÄN</t>
        </is>
      </c>
      <c r="E1129" t="inlineStr">
        <is>
          <t>SOLLEFTEÅ</t>
        </is>
      </c>
      <c r="F1129" t="inlineStr">
        <is>
          <t>SCA</t>
        </is>
      </c>
      <c r="G1129" t="n">
        <v>31.7</v>
      </c>
      <c r="H1129" t="n">
        <v>0</v>
      </c>
      <c r="I1129" t="n">
        <v>0</v>
      </c>
      <c r="J1129" t="n">
        <v>0</v>
      </c>
      <c r="K1129" t="n">
        <v>0</v>
      </c>
      <c r="L1129" t="n">
        <v>0</v>
      </c>
      <c r="M1129" t="n">
        <v>0</v>
      </c>
      <c r="N1129" t="n">
        <v>0</v>
      </c>
      <c r="O1129" t="n">
        <v>0</v>
      </c>
      <c r="P1129" t="n">
        <v>0</v>
      </c>
      <c r="Q1129" t="n">
        <v>0</v>
      </c>
      <c r="R1129" s="2" t="inlineStr"/>
    </row>
    <row r="1130" ht="15" customHeight="1">
      <c r="A1130" t="inlineStr">
        <is>
          <t>A 25963-2025</t>
        </is>
      </c>
      <c r="B1130" s="1" t="n">
        <v>45804.61568287037</v>
      </c>
      <c r="C1130" s="1" t="n">
        <v>45908</v>
      </c>
      <c r="D1130" t="inlineStr">
        <is>
          <t>VÄSTERNORRLANDS LÄN</t>
        </is>
      </c>
      <c r="E1130" t="inlineStr">
        <is>
          <t>SOLLEFTEÅ</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26341-2025</t>
        </is>
      </c>
      <c r="B1131" s="1" t="n">
        <v>45805.69878472222</v>
      </c>
      <c r="C1131" s="1" t="n">
        <v>45908</v>
      </c>
      <c r="D1131" t="inlineStr">
        <is>
          <t>VÄSTERNORRLANDS LÄN</t>
        </is>
      </c>
      <c r="E1131" t="inlineStr">
        <is>
          <t>SOLLEFTEÅ</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12022-2022</t>
        </is>
      </c>
      <c r="B1132" s="1" t="n">
        <v>44635.94396990741</v>
      </c>
      <c r="C1132" s="1" t="n">
        <v>45908</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31670-2024</t>
        </is>
      </c>
      <c r="B1133" s="1" t="n">
        <v>45506.94805555556</v>
      </c>
      <c r="C1133" s="1" t="n">
        <v>45908</v>
      </c>
      <c r="D1133" t="inlineStr">
        <is>
          <t>VÄSTERNORRLANDS LÄN</t>
        </is>
      </c>
      <c r="E1133" t="inlineStr">
        <is>
          <t>SOLLEFTEÅ</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32157-2024</t>
        </is>
      </c>
      <c r="B1134" s="1" t="n">
        <v>45511.57340277778</v>
      </c>
      <c r="C1134" s="1" t="n">
        <v>45908</v>
      </c>
      <c r="D1134" t="inlineStr">
        <is>
          <t>VÄSTERNORRLANDS LÄN</t>
        </is>
      </c>
      <c r="E1134" t="inlineStr">
        <is>
          <t>SOLLEFTEÅ</t>
        </is>
      </c>
      <c r="F1134" t="inlineStr">
        <is>
          <t>Holmen skog AB</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40421-2023</t>
        </is>
      </c>
      <c r="B1135" s="1" t="n">
        <v>45169.93973379629</v>
      </c>
      <c r="C1135" s="1" t="n">
        <v>45908</v>
      </c>
      <c r="D1135" t="inlineStr">
        <is>
          <t>VÄSTERNORRLANDS LÄN</t>
        </is>
      </c>
      <c r="E1135" t="inlineStr">
        <is>
          <t>SOLLEFTEÅ</t>
        </is>
      </c>
      <c r="F1135" t="inlineStr">
        <is>
          <t>SCA</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56261-2023</t>
        </is>
      </c>
      <c r="B1136" s="1" t="n">
        <v>45240</v>
      </c>
      <c r="C1136" s="1" t="n">
        <v>45908</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32733-2023</t>
        </is>
      </c>
      <c r="B1137" s="1" t="n">
        <v>45121</v>
      </c>
      <c r="C1137" s="1" t="n">
        <v>45908</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30464-2024</t>
        </is>
      </c>
      <c r="B1138" s="1" t="n">
        <v>45491.94599537037</v>
      </c>
      <c r="C1138" s="1" t="n">
        <v>45908</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30466-2024</t>
        </is>
      </c>
      <c r="B1139" s="1" t="n">
        <v>45491.94641203704</v>
      </c>
      <c r="C1139" s="1" t="n">
        <v>45908</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7332-2023</t>
        </is>
      </c>
      <c r="B1140" s="1" t="n">
        <v>44970</v>
      </c>
      <c r="C1140" s="1" t="n">
        <v>45908</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53379-2023</t>
        </is>
      </c>
      <c r="B1141" s="1" t="n">
        <v>45222</v>
      </c>
      <c r="C1141" s="1" t="n">
        <v>45908</v>
      </c>
      <c r="D1141" t="inlineStr">
        <is>
          <t>VÄSTERNORRLANDS LÄN</t>
        </is>
      </c>
      <c r="E1141" t="inlineStr">
        <is>
          <t>SOLLEFTEÅ</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48489-2024</t>
        </is>
      </c>
      <c r="B1142" s="1" t="n">
        <v>45592</v>
      </c>
      <c r="C1142" s="1" t="n">
        <v>45908</v>
      </c>
      <c r="D1142" t="inlineStr">
        <is>
          <t>VÄSTERNORRLANDS LÄN</t>
        </is>
      </c>
      <c r="E1142" t="inlineStr">
        <is>
          <t>SOLLEFTEÅ</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59579-2023</t>
        </is>
      </c>
      <c r="B1143" s="1" t="n">
        <v>45253</v>
      </c>
      <c r="C1143" s="1" t="n">
        <v>45908</v>
      </c>
      <c r="D1143" t="inlineStr">
        <is>
          <t>VÄSTERNORRLANDS LÄN</t>
        </is>
      </c>
      <c r="E1143" t="inlineStr">
        <is>
          <t>SOLLEFTEÅ</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9950-2025</t>
        </is>
      </c>
      <c r="B1144" s="1" t="n">
        <v>45719.34416666667</v>
      </c>
      <c r="C1144" s="1" t="n">
        <v>45908</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66844-2020</t>
        </is>
      </c>
      <c r="B1145" s="1" t="n">
        <v>44179</v>
      </c>
      <c r="C1145" s="1" t="n">
        <v>45908</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25903-2025</t>
        </is>
      </c>
      <c r="B1146" s="1" t="n">
        <v>45804.55240740741</v>
      </c>
      <c r="C1146" s="1" t="n">
        <v>45908</v>
      </c>
      <c r="D1146" t="inlineStr">
        <is>
          <t>VÄSTERNORRLANDS LÄN</t>
        </is>
      </c>
      <c r="E1146" t="inlineStr">
        <is>
          <t>SOLLEFTEÅ</t>
        </is>
      </c>
      <c r="F1146" t="inlineStr">
        <is>
          <t>SCA</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60328-2023</t>
        </is>
      </c>
      <c r="B1147" s="1" t="n">
        <v>45258</v>
      </c>
      <c r="C1147" s="1" t="n">
        <v>45908</v>
      </c>
      <c r="D1147" t="inlineStr">
        <is>
          <t>VÄSTERNORRLANDS LÄN</t>
        </is>
      </c>
      <c r="E1147" t="inlineStr">
        <is>
          <t>SOLLEFTEÅ</t>
        </is>
      </c>
      <c r="F1147" t="inlineStr">
        <is>
          <t>SCA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32735-2023</t>
        </is>
      </c>
      <c r="B1148" s="1" t="n">
        <v>45121</v>
      </c>
      <c r="C1148" s="1" t="n">
        <v>45908</v>
      </c>
      <c r="D1148" t="inlineStr">
        <is>
          <t>VÄSTERNORRLANDS LÄN</t>
        </is>
      </c>
      <c r="E1148" t="inlineStr">
        <is>
          <t>SOLLEFTEÅ</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45120-2022</t>
        </is>
      </c>
      <c r="B1149" s="1" t="n">
        <v>44843</v>
      </c>
      <c r="C1149" s="1" t="n">
        <v>45908</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25939-2025</t>
        </is>
      </c>
      <c r="B1150" s="1" t="n">
        <v>45804.5943287037</v>
      </c>
      <c r="C1150" s="1" t="n">
        <v>45908</v>
      </c>
      <c r="D1150" t="inlineStr">
        <is>
          <t>VÄSTERNORRLANDS LÄN</t>
        </is>
      </c>
      <c r="E1150" t="inlineStr">
        <is>
          <t>SOLLEFTEÅ</t>
        </is>
      </c>
      <c r="F1150" t="inlineStr">
        <is>
          <t>SCA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57107-2024</t>
        </is>
      </c>
      <c r="B1151" s="1" t="n">
        <v>45629</v>
      </c>
      <c r="C1151" s="1" t="n">
        <v>45908</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26088-2025</t>
        </is>
      </c>
      <c r="B1152" s="1" t="n">
        <v>45805.34497685185</v>
      </c>
      <c r="C1152" s="1" t="n">
        <v>45908</v>
      </c>
      <c r="D1152" t="inlineStr">
        <is>
          <t>VÄSTERNORRLANDS LÄN</t>
        </is>
      </c>
      <c r="E1152" t="inlineStr">
        <is>
          <t>SOLLEFTEÅ</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15154-2024</t>
        </is>
      </c>
      <c r="B1153" s="1" t="n">
        <v>45399.94466435185</v>
      </c>
      <c r="C1153" s="1" t="n">
        <v>45908</v>
      </c>
      <c r="D1153" t="inlineStr">
        <is>
          <t>VÄSTERNORRLANDS LÄN</t>
        </is>
      </c>
      <c r="E1153" t="inlineStr">
        <is>
          <t>SOLLEFTEÅ</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34473-2021</t>
        </is>
      </c>
      <c r="B1154" s="1" t="n">
        <v>44381.93096064815</v>
      </c>
      <c r="C1154" s="1" t="n">
        <v>45908</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25854-2025</t>
        </is>
      </c>
      <c r="B1155" s="1" t="n">
        <v>45804.46920138889</v>
      </c>
      <c r="C1155" s="1" t="n">
        <v>45908</v>
      </c>
      <c r="D1155" t="inlineStr">
        <is>
          <t>VÄSTERNORRLANDS LÄN</t>
        </is>
      </c>
      <c r="E1155" t="inlineStr">
        <is>
          <t>SOLLEFTEÅ</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57094-2024</t>
        </is>
      </c>
      <c r="B1156" s="1" t="n">
        <v>45629.35780092593</v>
      </c>
      <c r="C1156" s="1" t="n">
        <v>45908</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26338-2025</t>
        </is>
      </c>
      <c r="B1157" s="1" t="n">
        <v>45805.69841435185</v>
      </c>
      <c r="C1157" s="1" t="n">
        <v>45908</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10256-2023</t>
        </is>
      </c>
      <c r="B1158" s="1" t="n">
        <v>44980</v>
      </c>
      <c r="C1158" s="1" t="n">
        <v>45908</v>
      </c>
      <c r="D1158" t="inlineStr">
        <is>
          <t>VÄSTERNORRLANDS LÄN</t>
        </is>
      </c>
      <c r="E1158" t="inlineStr">
        <is>
          <t>SOLLEFTEÅ</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40819-2024</t>
        </is>
      </c>
      <c r="B1159" s="1" t="n">
        <v>45558.55271990741</v>
      </c>
      <c r="C1159" s="1" t="n">
        <v>45908</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25855-2025</t>
        </is>
      </c>
      <c r="B1160" s="1" t="n">
        <v>45804.46934027778</v>
      </c>
      <c r="C1160" s="1" t="n">
        <v>45908</v>
      </c>
      <c r="D1160" t="inlineStr">
        <is>
          <t>VÄSTERNORRLANDS LÄN</t>
        </is>
      </c>
      <c r="E1160" t="inlineStr">
        <is>
          <t>SOLLEFTEÅ</t>
        </is>
      </c>
      <c r="F1160" t="inlineStr">
        <is>
          <t>SCA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25857-2025</t>
        </is>
      </c>
      <c r="B1161" s="1" t="n">
        <v>45804.46956018519</v>
      </c>
      <c r="C1161" s="1" t="n">
        <v>45908</v>
      </c>
      <c r="D1161" t="inlineStr">
        <is>
          <t>VÄSTERNORRLANDS LÄN</t>
        </is>
      </c>
      <c r="E1161" t="inlineStr">
        <is>
          <t>SOLLEFTEÅ</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12865-2024</t>
        </is>
      </c>
      <c r="B1162" s="1" t="n">
        <v>45384</v>
      </c>
      <c r="C1162" s="1" t="n">
        <v>45908</v>
      </c>
      <c r="D1162" t="inlineStr">
        <is>
          <t>VÄSTERNORRLANDS LÄN</t>
        </is>
      </c>
      <c r="E1162" t="inlineStr">
        <is>
          <t>SOLLEFTEÅ</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26477-2025</t>
        </is>
      </c>
      <c r="B1163" s="1" t="n">
        <v>45807.47011574074</v>
      </c>
      <c r="C1163" s="1" t="n">
        <v>45908</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26409-2025</t>
        </is>
      </c>
      <c r="B1164" s="1" t="n">
        <v>45807.344375</v>
      </c>
      <c r="C1164" s="1" t="n">
        <v>45908</v>
      </c>
      <c r="D1164" t="inlineStr">
        <is>
          <t>VÄSTERNORRLANDS LÄN</t>
        </is>
      </c>
      <c r="E1164" t="inlineStr">
        <is>
          <t>SOLLEFTEÅ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35795-2024</t>
        </is>
      </c>
      <c r="B1165" s="1" t="n">
        <v>45532</v>
      </c>
      <c r="C1165" s="1" t="n">
        <v>45908</v>
      </c>
      <c r="D1165" t="inlineStr">
        <is>
          <t>VÄSTERNORRLANDS LÄN</t>
        </is>
      </c>
      <c r="E1165" t="inlineStr">
        <is>
          <t>SOLLEFTEÅ</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35803-2024</t>
        </is>
      </c>
      <c r="B1166" s="1" t="n">
        <v>45532.64506944444</v>
      </c>
      <c r="C1166" s="1" t="n">
        <v>45908</v>
      </c>
      <c r="D1166" t="inlineStr">
        <is>
          <t>VÄSTERNORRLANDS LÄN</t>
        </is>
      </c>
      <c r="E1166" t="inlineStr">
        <is>
          <t>SOLLEFTEÅ</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26426-2025</t>
        </is>
      </c>
      <c r="B1167" s="1" t="n">
        <v>45807.38574074074</v>
      </c>
      <c r="C1167" s="1" t="n">
        <v>45908</v>
      </c>
      <c r="D1167" t="inlineStr">
        <is>
          <t>VÄSTERNORRLANDS LÄN</t>
        </is>
      </c>
      <c r="E1167" t="inlineStr">
        <is>
          <t>SOLLEFTEÅ</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35975-2023</t>
        </is>
      </c>
      <c r="B1168" s="1" t="n">
        <v>45148</v>
      </c>
      <c r="C1168" s="1" t="n">
        <v>45908</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11039-2023</t>
        </is>
      </c>
      <c r="B1169" s="1" t="n">
        <v>44991.94622685185</v>
      </c>
      <c r="C1169" s="1" t="n">
        <v>45908</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4031-2025</t>
        </is>
      </c>
      <c r="B1170" s="1" t="n">
        <v>45684.5978125</v>
      </c>
      <c r="C1170" s="1" t="n">
        <v>45908</v>
      </c>
      <c r="D1170" t="inlineStr">
        <is>
          <t>VÄSTERNORRLANDS LÄN</t>
        </is>
      </c>
      <c r="E1170" t="inlineStr">
        <is>
          <t>SOLLEFTEÅ</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52709-2024</t>
        </is>
      </c>
      <c r="B1171" s="1" t="n">
        <v>45610.42753472222</v>
      </c>
      <c r="C1171" s="1" t="n">
        <v>45908</v>
      </c>
      <c r="D1171" t="inlineStr">
        <is>
          <t>VÄSTERNORRLANDS LÄN</t>
        </is>
      </c>
      <c r="E1171" t="inlineStr">
        <is>
          <t>SOLLEFTEÅ</t>
        </is>
      </c>
      <c r="F1171" t="inlineStr">
        <is>
          <t>SCA</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56684-2023</t>
        </is>
      </c>
      <c r="B1172" s="1" t="n">
        <v>45243.96592592593</v>
      </c>
      <c r="C1172" s="1" t="n">
        <v>45908</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44533-2023</t>
        </is>
      </c>
      <c r="B1173" s="1" t="n">
        <v>45183</v>
      </c>
      <c r="C1173" s="1" t="n">
        <v>45908</v>
      </c>
      <c r="D1173" t="inlineStr">
        <is>
          <t>VÄSTERNORRLANDS LÄN</t>
        </is>
      </c>
      <c r="E1173" t="inlineStr">
        <is>
          <t>SOLLEFTEÅ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26570-2025</t>
        </is>
      </c>
      <c r="B1174" s="1" t="n">
        <v>45807.67743055556</v>
      </c>
      <c r="C1174" s="1" t="n">
        <v>45908</v>
      </c>
      <c r="D1174" t="inlineStr">
        <is>
          <t>VÄSTERNORRLANDS LÄN</t>
        </is>
      </c>
      <c r="E1174" t="inlineStr">
        <is>
          <t>SOLLEFTEÅ</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25847-2024</t>
        </is>
      </c>
      <c r="B1175" s="1" t="n">
        <v>45467</v>
      </c>
      <c r="C1175" s="1" t="n">
        <v>45908</v>
      </c>
      <c r="D1175" t="inlineStr">
        <is>
          <t>VÄSTERNORRLANDS LÄN</t>
        </is>
      </c>
      <c r="E1175" t="inlineStr">
        <is>
          <t>SOLLEFTEÅ</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25851-2024</t>
        </is>
      </c>
      <c r="B1176" s="1" t="n">
        <v>45467.44688657407</v>
      </c>
      <c r="C1176" s="1" t="n">
        <v>45908</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6284-2025</t>
        </is>
      </c>
      <c r="B1177" s="1" t="n">
        <v>45698.63611111111</v>
      </c>
      <c r="C1177" s="1" t="n">
        <v>45908</v>
      </c>
      <c r="D1177" t="inlineStr">
        <is>
          <t>VÄSTERNORRLANDS LÄN</t>
        </is>
      </c>
      <c r="E1177" t="inlineStr">
        <is>
          <t>SOLLEFTEÅ</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8033-2024</t>
        </is>
      </c>
      <c r="B1178" s="1" t="n">
        <v>45350.95284722222</v>
      </c>
      <c r="C1178" s="1" t="n">
        <v>45908</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9966-2025</t>
        </is>
      </c>
      <c r="B1179" s="1" t="n">
        <v>45719</v>
      </c>
      <c r="C1179" s="1" t="n">
        <v>45908</v>
      </c>
      <c r="D1179" t="inlineStr">
        <is>
          <t>VÄSTERNORRLANDS LÄN</t>
        </is>
      </c>
      <c r="E1179" t="inlineStr">
        <is>
          <t>SOLLEFTEÅ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20204-2025</t>
        </is>
      </c>
      <c r="B1180" s="1" t="n">
        <v>45772.61537037037</v>
      </c>
      <c r="C1180" s="1" t="n">
        <v>45908</v>
      </c>
      <c r="D1180" t="inlineStr">
        <is>
          <t>VÄSTERNORRLANDS LÄN</t>
        </is>
      </c>
      <c r="E1180" t="inlineStr">
        <is>
          <t>SOLLEFTEÅ</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1269-2024</t>
        </is>
      </c>
      <c r="B1181" s="1" t="n">
        <v>45302</v>
      </c>
      <c r="C1181" s="1" t="n">
        <v>45908</v>
      </c>
      <c r="D1181" t="inlineStr">
        <is>
          <t>VÄSTERNORRLANDS LÄN</t>
        </is>
      </c>
      <c r="E1181" t="inlineStr">
        <is>
          <t>SOLLEFTEÅ</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12706-2025</t>
        </is>
      </c>
      <c r="B1182" s="1" t="n">
        <v>45733.46958333333</v>
      </c>
      <c r="C1182" s="1" t="n">
        <v>45908</v>
      </c>
      <c r="D1182" t="inlineStr">
        <is>
          <t>VÄSTERNORRLANDS LÄN</t>
        </is>
      </c>
      <c r="E1182" t="inlineStr">
        <is>
          <t>SOLLEFTEÅ</t>
        </is>
      </c>
      <c r="F1182" t="inlineStr">
        <is>
          <t>SCA</t>
        </is>
      </c>
      <c r="G1182" t="n">
        <v>21.7</v>
      </c>
      <c r="H1182" t="n">
        <v>0</v>
      </c>
      <c r="I1182" t="n">
        <v>0</v>
      </c>
      <c r="J1182" t="n">
        <v>0</v>
      </c>
      <c r="K1182" t="n">
        <v>0</v>
      </c>
      <c r="L1182" t="n">
        <v>0</v>
      </c>
      <c r="M1182" t="n">
        <v>0</v>
      </c>
      <c r="N1182" t="n">
        <v>0</v>
      </c>
      <c r="O1182" t="n">
        <v>0</v>
      </c>
      <c r="P1182" t="n">
        <v>0</v>
      </c>
      <c r="Q1182" t="n">
        <v>0</v>
      </c>
      <c r="R1182" s="2" t="inlineStr"/>
    </row>
    <row r="1183" ht="15" customHeight="1">
      <c r="A1183" t="inlineStr">
        <is>
          <t>A 31179-2023</t>
        </is>
      </c>
      <c r="B1183" s="1" t="n">
        <v>45113.92564814815</v>
      </c>
      <c r="C1183" s="1" t="n">
        <v>45908</v>
      </c>
      <c r="D1183" t="inlineStr">
        <is>
          <t>VÄSTERNORRLANDS LÄN</t>
        </is>
      </c>
      <c r="E1183" t="inlineStr">
        <is>
          <t>SOLLEFTEÅ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26478-2025</t>
        </is>
      </c>
      <c r="B1184" s="1" t="n">
        <v>45807.47013888889</v>
      </c>
      <c r="C1184" s="1" t="n">
        <v>45908</v>
      </c>
      <c r="D1184" t="inlineStr">
        <is>
          <t>VÄSTERNORRLANDS LÄN</t>
        </is>
      </c>
      <c r="E1184" t="inlineStr">
        <is>
          <t>SOLLEFTEÅ</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24461-2024</t>
        </is>
      </c>
      <c r="B1185" s="1" t="n">
        <v>45457.96806712963</v>
      </c>
      <c r="C1185" s="1" t="n">
        <v>45908</v>
      </c>
      <c r="D1185" t="inlineStr">
        <is>
          <t>VÄSTERNORRLANDS LÄN</t>
        </is>
      </c>
      <c r="E1185" t="inlineStr">
        <is>
          <t>SOLLEFTEÅ</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13492-2022</t>
        </is>
      </c>
      <c r="B1186" s="1" t="n">
        <v>44646.92120370371</v>
      </c>
      <c r="C1186" s="1" t="n">
        <v>45908</v>
      </c>
      <c r="D1186" t="inlineStr">
        <is>
          <t>VÄSTERNORRLANDS LÄN</t>
        </is>
      </c>
      <c r="E1186" t="inlineStr">
        <is>
          <t>SOLLEFTEÅ</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26916-2025</t>
        </is>
      </c>
      <c r="B1187" s="1" t="n">
        <v>45811.37184027778</v>
      </c>
      <c r="C1187" s="1" t="n">
        <v>45908</v>
      </c>
      <c r="D1187" t="inlineStr">
        <is>
          <t>VÄSTERNORRLANDS LÄN</t>
        </is>
      </c>
      <c r="E1187" t="inlineStr">
        <is>
          <t>SOLLEFTEÅ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45644-2023</t>
        </is>
      </c>
      <c r="B1188" s="1" t="n">
        <v>45188</v>
      </c>
      <c r="C1188" s="1" t="n">
        <v>45908</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c r="U1188">
        <f>HYPERLINK("https://klasma.github.io/Logging_2283/knärot/A 45644-2023 karta knärot.png", "A 45644-2023")</f>
        <v/>
      </c>
      <c r="V1188">
        <f>HYPERLINK("https://klasma.github.io/Logging_2283/klagomål/A 45644-2023 FSC-klagomål.docx", "A 45644-2023")</f>
        <v/>
      </c>
      <c r="W1188">
        <f>HYPERLINK("https://klasma.github.io/Logging_2283/klagomålsmail/A 45644-2023 FSC-klagomål mail.docx", "A 45644-2023")</f>
        <v/>
      </c>
      <c r="X1188">
        <f>HYPERLINK("https://klasma.github.io/Logging_2283/tillsyn/A 45644-2023 tillsynsbegäran.docx", "A 45644-2023")</f>
        <v/>
      </c>
      <c r="Y1188">
        <f>HYPERLINK("https://klasma.github.io/Logging_2283/tillsynsmail/A 45644-2023 tillsynsbegäran mail.docx", "A 45644-2023")</f>
        <v/>
      </c>
    </row>
    <row r="1189" ht="15" customHeight="1">
      <c r="A1189" t="inlineStr">
        <is>
          <t>A 34765-2024</t>
        </is>
      </c>
      <c r="B1189" s="1" t="n">
        <v>45526</v>
      </c>
      <c r="C1189" s="1" t="n">
        <v>45908</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7184-2025</t>
        </is>
      </c>
      <c r="B1190" s="1" t="n">
        <v>45702</v>
      </c>
      <c r="C1190" s="1" t="n">
        <v>45908</v>
      </c>
      <c r="D1190" t="inlineStr">
        <is>
          <t>VÄSTERNORRLANDS LÄN</t>
        </is>
      </c>
      <c r="E1190" t="inlineStr">
        <is>
          <t>SOLLEFTEÅ</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26642-2025</t>
        </is>
      </c>
      <c r="B1191" s="1" t="n">
        <v>45810.36521990741</v>
      </c>
      <c r="C1191" s="1" t="n">
        <v>45908</v>
      </c>
      <c r="D1191" t="inlineStr">
        <is>
          <t>VÄSTERNORRLANDS LÄN</t>
        </is>
      </c>
      <c r="E1191" t="inlineStr">
        <is>
          <t>SOLLEFTEÅ</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6172-2022</t>
        </is>
      </c>
      <c r="B1192" s="1" t="n">
        <v>44599.93700231481</v>
      </c>
      <c r="C1192" s="1" t="n">
        <v>45908</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22750-2023</t>
        </is>
      </c>
      <c r="B1193" s="1" t="n">
        <v>45071.94090277778</v>
      </c>
      <c r="C1193" s="1" t="n">
        <v>45908</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5359-2025</t>
        </is>
      </c>
      <c r="B1194" s="1" t="n">
        <v>45692</v>
      </c>
      <c r="C1194" s="1" t="n">
        <v>45908</v>
      </c>
      <c r="D1194" t="inlineStr">
        <is>
          <t>VÄSTERNORRLANDS LÄN</t>
        </is>
      </c>
      <c r="E1194" t="inlineStr">
        <is>
          <t>SOLLEFTEÅ</t>
        </is>
      </c>
      <c r="F1194" t="inlineStr">
        <is>
          <t>Övriga statliga verk och myndigheter</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52718-2022</t>
        </is>
      </c>
      <c r="B1195" s="1" t="n">
        <v>44874</v>
      </c>
      <c r="C1195" s="1" t="n">
        <v>45908</v>
      </c>
      <c r="D1195" t="inlineStr">
        <is>
          <t>VÄSTERNORRLANDS LÄN</t>
        </is>
      </c>
      <c r="E1195" t="inlineStr">
        <is>
          <t>SOLLEFTEÅ</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26641-2025</t>
        </is>
      </c>
      <c r="B1196" s="1" t="n">
        <v>45810.36509259259</v>
      </c>
      <c r="C1196" s="1" t="n">
        <v>45908</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26921-2025</t>
        </is>
      </c>
      <c r="B1197" s="1" t="n">
        <v>45811.38575231482</v>
      </c>
      <c r="C1197" s="1" t="n">
        <v>45908</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26953-2025</t>
        </is>
      </c>
      <c r="B1198" s="1" t="n">
        <v>45811.44856481482</v>
      </c>
      <c r="C1198" s="1" t="n">
        <v>45908</v>
      </c>
      <c r="D1198" t="inlineStr">
        <is>
          <t>VÄSTERNORRLANDS LÄN</t>
        </is>
      </c>
      <c r="E1198" t="inlineStr">
        <is>
          <t>SOLLEFTEÅ</t>
        </is>
      </c>
      <c r="F1198" t="inlineStr">
        <is>
          <t>SCA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18761-2023</t>
        </is>
      </c>
      <c r="B1199" s="1" t="n">
        <v>45043</v>
      </c>
      <c r="C1199" s="1" t="n">
        <v>45908</v>
      </c>
      <c r="D1199" t="inlineStr">
        <is>
          <t>VÄSTERNORRLANDS LÄN</t>
        </is>
      </c>
      <c r="E1199" t="inlineStr">
        <is>
          <t>SOLLEFTEÅ</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18762-2023</t>
        </is>
      </c>
      <c r="B1200" s="1" t="n">
        <v>45043</v>
      </c>
      <c r="C1200" s="1" t="n">
        <v>45908</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5519-2023</t>
        </is>
      </c>
      <c r="B1201" s="1" t="n">
        <v>44960.42409722223</v>
      </c>
      <c r="C1201" s="1" t="n">
        <v>45908</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39449-2024</t>
        </is>
      </c>
      <c r="B1202" s="1" t="n">
        <v>45551.61609953704</v>
      </c>
      <c r="C1202" s="1" t="n">
        <v>45908</v>
      </c>
      <c r="D1202" t="inlineStr">
        <is>
          <t>VÄSTERNORRLANDS LÄN</t>
        </is>
      </c>
      <c r="E1202" t="inlineStr">
        <is>
          <t>SOLLEFTEÅ</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26733-2025</t>
        </is>
      </c>
      <c r="B1203" s="1" t="n">
        <v>45810.51078703703</v>
      </c>
      <c r="C1203" s="1" t="n">
        <v>45908</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27789-2024</t>
        </is>
      </c>
      <c r="B1204" s="1" t="n">
        <v>45475</v>
      </c>
      <c r="C1204" s="1" t="n">
        <v>45908</v>
      </c>
      <c r="D1204" t="inlineStr">
        <is>
          <t>VÄSTERNORRLANDS LÄN</t>
        </is>
      </c>
      <c r="E1204" t="inlineStr">
        <is>
          <t>SOLLEFTEÅ</t>
        </is>
      </c>
      <c r="F1204" t="inlineStr">
        <is>
          <t>SCA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27392-2023</t>
        </is>
      </c>
      <c r="B1205" s="1" t="n">
        <v>45096.93997685185</v>
      </c>
      <c r="C1205" s="1" t="n">
        <v>45908</v>
      </c>
      <c r="D1205" t="inlineStr">
        <is>
          <t>VÄSTERNORRLANDS LÄN</t>
        </is>
      </c>
      <c r="E1205" t="inlineStr">
        <is>
          <t>SOLLEFTEÅ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26937-2025</t>
        </is>
      </c>
      <c r="B1206" s="1" t="n">
        <v>45811.40989583333</v>
      </c>
      <c r="C1206" s="1" t="n">
        <v>45908</v>
      </c>
      <c r="D1206" t="inlineStr">
        <is>
          <t>VÄSTERNORRLANDS LÄN</t>
        </is>
      </c>
      <c r="E1206" t="inlineStr">
        <is>
          <t>SOLLEFTEÅ</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7258-2024</t>
        </is>
      </c>
      <c r="B1207" s="1" t="n">
        <v>45344.74564814815</v>
      </c>
      <c r="C1207" s="1" t="n">
        <v>45908</v>
      </c>
      <c r="D1207" t="inlineStr">
        <is>
          <t>VÄSTERNORRLANDS LÄN</t>
        </is>
      </c>
      <c r="E1207" t="inlineStr">
        <is>
          <t>SOLLEFTEÅ</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12062-2025</t>
        </is>
      </c>
      <c r="B1208" s="1" t="n">
        <v>45728.6984837963</v>
      </c>
      <c r="C1208" s="1" t="n">
        <v>45908</v>
      </c>
      <c r="D1208" t="inlineStr">
        <is>
          <t>VÄSTERNORRLANDS LÄN</t>
        </is>
      </c>
      <c r="E1208" t="inlineStr">
        <is>
          <t>SOLLEFTEÅ</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12063-2025</t>
        </is>
      </c>
      <c r="B1209" s="1" t="n">
        <v>45728.69851851852</v>
      </c>
      <c r="C1209" s="1" t="n">
        <v>45908</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7261-2024</t>
        </is>
      </c>
      <c r="B1210" s="1" t="n">
        <v>45344</v>
      </c>
      <c r="C1210" s="1" t="n">
        <v>45908</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1096-2025</t>
        </is>
      </c>
      <c r="B1211" s="1" t="n">
        <v>45666</v>
      </c>
      <c r="C1211" s="1" t="n">
        <v>45908</v>
      </c>
      <c r="D1211" t="inlineStr">
        <is>
          <t>VÄSTERNORRLANDS LÄN</t>
        </is>
      </c>
      <c r="E1211" t="inlineStr">
        <is>
          <t>SOLLEFTEÅ</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52471-2024</t>
        </is>
      </c>
      <c r="B1212" s="1" t="n">
        <v>45609.53076388889</v>
      </c>
      <c r="C1212" s="1" t="n">
        <v>45908</v>
      </c>
      <c r="D1212" t="inlineStr">
        <is>
          <t>VÄSTERNORRLANDS LÄN</t>
        </is>
      </c>
      <c r="E1212" t="inlineStr">
        <is>
          <t>SOLLEFTEÅ</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41413-2024</t>
        </is>
      </c>
      <c r="B1213" s="1" t="n">
        <v>45560.345</v>
      </c>
      <c r="C1213" s="1" t="n">
        <v>45908</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54575-2024</t>
        </is>
      </c>
      <c r="B1214" s="1" t="n">
        <v>45617.65232638889</v>
      </c>
      <c r="C1214" s="1" t="n">
        <v>45908</v>
      </c>
      <c r="D1214" t="inlineStr">
        <is>
          <t>VÄSTERNORRLANDS LÄN</t>
        </is>
      </c>
      <c r="E1214" t="inlineStr">
        <is>
          <t>SOLLEFTEÅ</t>
        </is>
      </c>
      <c r="F1214" t="inlineStr">
        <is>
          <t>Holmen skog AB</t>
        </is>
      </c>
      <c r="G1214" t="n">
        <v>1.7</v>
      </c>
      <c r="H1214" t="n">
        <v>0</v>
      </c>
      <c r="I1214" t="n">
        <v>0</v>
      </c>
      <c r="J1214" t="n">
        <v>0</v>
      </c>
      <c r="K1214" t="n">
        <v>0</v>
      </c>
      <c r="L1214" t="n">
        <v>0</v>
      </c>
      <c r="M1214" t="n">
        <v>0</v>
      </c>
      <c r="N1214" t="n">
        <v>0</v>
      </c>
      <c r="O1214" t="n">
        <v>0</v>
      </c>
      <c r="P1214" t="n">
        <v>0</v>
      </c>
      <c r="Q1214" t="n">
        <v>0</v>
      </c>
      <c r="R1214" s="2" t="inlineStr"/>
      <c r="U1214">
        <f>HYPERLINK("https://klasma.github.io/Logging_2283/knärot/A 54575-2024 karta knärot.png", "A 54575-2024")</f>
        <v/>
      </c>
      <c r="V1214">
        <f>HYPERLINK("https://klasma.github.io/Logging_2283/klagomål/A 54575-2024 FSC-klagomål.docx", "A 54575-2024")</f>
        <v/>
      </c>
      <c r="W1214">
        <f>HYPERLINK("https://klasma.github.io/Logging_2283/klagomålsmail/A 54575-2024 FSC-klagomål mail.docx", "A 54575-2024")</f>
        <v/>
      </c>
      <c r="X1214">
        <f>HYPERLINK("https://klasma.github.io/Logging_2283/tillsyn/A 54575-2024 tillsynsbegäran.docx", "A 54575-2024")</f>
        <v/>
      </c>
      <c r="Y1214">
        <f>HYPERLINK("https://klasma.github.io/Logging_2283/tillsynsmail/A 54575-2024 tillsynsbegäran mail.docx", "A 54575-2024")</f>
        <v/>
      </c>
    </row>
    <row r="1215" ht="15" customHeight="1">
      <c r="A1215" t="inlineStr">
        <is>
          <t>A 22473-2024</t>
        </is>
      </c>
      <c r="B1215" s="1" t="n">
        <v>45446</v>
      </c>
      <c r="C1215" s="1" t="n">
        <v>45908</v>
      </c>
      <c r="D1215" t="inlineStr">
        <is>
          <t>VÄSTERNORRLANDS LÄN</t>
        </is>
      </c>
      <c r="E1215" t="inlineStr">
        <is>
          <t>SOLLEFTEÅ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26935-2025</t>
        </is>
      </c>
      <c r="B1216" s="1" t="n">
        <v>45811.40413194444</v>
      </c>
      <c r="C1216" s="1" t="n">
        <v>45908</v>
      </c>
      <c r="D1216" t="inlineStr">
        <is>
          <t>VÄSTERNORRLANDS LÄN</t>
        </is>
      </c>
      <c r="E1216" t="inlineStr">
        <is>
          <t>SOLLEFTEÅ</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26938-2025</t>
        </is>
      </c>
      <c r="B1217" s="1" t="n">
        <v>45811.41346064815</v>
      </c>
      <c r="C1217" s="1" t="n">
        <v>45908</v>
      </c>
      <c r="D1217" t="inlineStr">
        <is>
          <t>VÄSTERNORRLANDS LÄN</t>
        </is>
      </c>
      <c r="E1217" t="inlineStr">
        <is>
          <t>SOLLEFTEÅ</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26952-2025</t>
        </is>
      </c>
      <c r="B1218" s="1" t="n">
        <v>45811.4484375</v>
      </c>
      <c r="C1218" s="1" t="n">
        <v>45908</v>
      </c>
      <c r="D1218" t="inlineStr">
        <is>
          <t>VÄSTERNORRLANDS LÄN</t>
        </is>
      </c>
      <c r="E1218" t="inlineStr">
        <is>
          <t>SOLLEFTEÅ</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31662-2024</t>
        </is>
      </c>
      <c r="B1219" s="1" t="n">
        <v>45506.92857638889</v>
      </c>
      <c r="C1219" s="1" t="n">
        <v>45908</v>
      </c>
      <c r="D1219" t="inlineStr">
        <is>
          <t>VÄSTERNORRLANDS LÄN</t>
        </is>
      </c>
      <c r="E1219" t="inlineStr">
        <is>
          <t>SOLLEFTEÅ</t>
        </is>
      </c>
      <c r="G1219" t="n">
        <v>11.7</v>
      </c>
      <c r="H1219" t="n">
        <v>0</v>
      </c>
      <c r="I1219" t="n">
        <v>0</v>
      </c>
      <c r="J1219" t="n">
        <v>0</v>
      </c>
      <c r="K1219" t="n">
        <v>0</v>
      </c>
      <c r="L1219" t="n">
        <v>0</v>
      </c>
      <c r="M1219" t="n">
        <v>0</v>
      </c>
      <c r="N1219" t="n">
        <v>0</v>
      </c>
      <c r="O1219" t="n">
        <v>0</v>
      </c>
      <c r="P1219" t="n">
        <v>0</v>
      </c>
      <c r="Q1219" t="n">
        <v>0</v>
      </c>
      <c r="R1219" s="2" t="inlineStr"/>
    </row>
    <row r="1220" ht="15" customHeight="1">
      <c r="A1220" t="inlineStr">
        <is>
          <t>A 31453-2022</t>
        </is>
      </c>
      <c r="B1220" s="1" t="n">
        <v>44774.94159722222</v>
      </c>
      <c r="C1220" s="1" t="n">
        <v>45908</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19433-2021</t>
        </is>
      </c>
      <c r="B1221" s="1" t="n">
        <v>44309.94400462963</v>
      </c>
      <c r="C1221" s="1" t="n">
        <v>45908</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26896-2025</t>
        </is>
      </c>
      <c r="B1222" s="1" t="n">
        <v>45811.33834490741</v>
      </c>
      <c r="C1222" s="1" t="n">
        <v>45908</v>
      </c>
      <c r="D1222" t="inlineStr">
        <is>
          <t>VÄSTERNORRLANDS LÄN</t>
        </is>
      </c>
      <c r="E1222" t="inlineStr">
        <is>
          <t>SOLLEFTEÅ</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25139-2024</t>
        </is>
      </c>
      <c r="B1223" s="1" t="n">
        <v>45462.48130787037</v>
      </c>
      <c r="C1223" s="1" t="n">
        <v>45908</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10970-2025</t>
        </is>
      </c>
      <c r="B1224" s="1" t="n">
        <v>45723.38648148148</v>
      </c>
      <c r="C1224" s="1" t="n">
        <v>45908</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63712-2023</t>
        </is>
      </c>
      <c r="B1225" s="1" t="n">
        <v>45275.95094907407</v>
      </c>
      <c r="C1225" s="1" t="n">
        <v>45908</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33628-2024</t>
        </is>
      </c>
      <c r="B1226" s="1" t="n">
        <v>45520.4302662037</v>
      </c>
      <c r="C1226" s="1" t="n">
        <v>45908</v>
      </c>
      <c r="D1226" t="inlineStr">
        <is>
          <t>VÄSTERNORRLANDS LÄN</t>
        </is>
      </c>
      <c r="E1226" t="inlineStr">
        <is>
          <t>SOLLEFTEÅ</t>
        </is>
      </c>
      <c r="F1226" t="inlineStr">
        <is>
          <t>Holmen skog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7014-2025</t>
        </is>
      </c>
      <c r="B1227" s="1" t="n">
        <v>45701.61085648148</v>
      </c>
      <c r="C1227" s="1" t="n">
        <v>45908</v>
      </c>
      <c r="D1227" t="inlineStr">
        <is>
          <t>VÄSTERNORRLANDS LÄN</t>
        </is>
      </c>
      <c r="E1227" t="inlineStr">
        <is>
          <t>SOLLEFTEÅ</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49403-2024</t>
        </is>
      </c>
      <c r="B1228" s="1" t="n">
        <v>45595.67730324074</v>
      </c>
      <c r="C1228" s="1" t="n">
        <v>45908</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1402-2022</t>
        </is>
      </c>
      <c r="B1229" s="1" t="n">
        <v>44573</v>
      </c>
      <c r="C1229" s="1" t="n">
        <v>45908</v>
      </c>
      <c r="D1229" t="inlineStr">
        <is>
          <t>VÄSTERNORRLANDS LÄN</t>
        </is>
      </c>
      <c r="E1229" t="inlineStr">
        <is>
          <t>SOLLEFTEÅ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61201-2024</t>
        </is>
      </c>
      <c r="B1230" s="1" t="n">
        <v>45645.6360300926</v>
      </c>
      <c r="C1230" s="1" t="n">
        <v>45908</v>
      </c>
      <c r="D1230" t="inlineStr">
        <is>
          <t>VÄSTERNORRLANDS LÄN</t>
        </is>
      </c>
      <c r="E1230" t="inlineStr">
        <is>
          <t>SOLLEFTEÅ</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47955-2024</t>
        </is>
      </c>
      <c r="B1231" s="1" t="n">
        <v>45589.3703125</v>
      </c>
      <c r="C1231" s="1" t="n">
        <v>45908</v>
      </c>
      <c r="D1231" t="inlineStr">
        <is>
          <t>VÄSTERNORRLANDS LÄN</t>
        </is>
      </c>
      <c r="E1231" t="inlineStr">
        <is>
          <t>SOLLEFTEÅ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657-2025</t>
        </is>
      </c>
      <c r="B1232" s="1" t="n">
        <v>45664.67766203704</v>
      </c>
      <c r="C1232" s="1" t="n">
        <v>45908</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27288-2025</t>
        </is>
      </c>
      <c r="B1233" s="1" t="n">
        <v>45812.55234953704</v>
      </c>
      <c r="C1233" s="1" t="n">
        <v>45908</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18691-2025</t>
        </is>
      </c>
      <c r="B1234" s="1" t="n">
        <v>45763.61511574074</v>
      </c>
      <c r="C1234" s="1" t="n">
        <v>45908</v>
      </c>
      <c r="D1234" t="inlineStr">
        <is>
          <t>VÄSTERNORRLANDS LÄN</t>
        </is>
      </c>
      <c r="E1234" t="inlineStr">
        <is>
          <t>SOLLEFTEÅ</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35556-2023</t>
        </is>
      </c>
      <c r="B1235" s="1" t="n">
        <v>45147</v>
      </c>
      <c r="C1235" s="1" t="n">
        <v>45908</v>
      </c>
      <c r="D1235" t="inlineStr">
        <is>
          <t>VÄSTERNORRLANDS LÄN</t>
        </is>
      </c>
      <c r="E1235" t="inlineStr">
        <is>
          <t>SOLLEFTEÅ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7157-2025</t>
        </is>
      </c>
      <c r="B1236" s="1" t="n">
        <v>45702.38637731481</v>
      </c>
      <c r="C1236" s="1" t="n">
        <v>45908</v>
      </c>
      <c r="D1236" t="inlineStr">
        <is>
          <t>VÄSTERNORRLANDS LÄN</t>
        </is>
      </c>
      <c r="E1236" t="inlineStr">
        <is>
          <t>SOLLEFTEÅ</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27142-2025</t>
        </is>
      </c>
      <c r="B1237" s="1" t="n">
        <v>45812.28087962963</v>
      </c>
      <c r="C1237" s="1" t="n">
        <v>45908</v>
      </c>
      <c r="D1237" t="inlineStr">
        <is>
          <t>VÄSTERNORRLANDS LÄN</t>
        </is>
      </c>
      <c r="E1237" t="inlineStr">
        <is>
          <t>SOLLEFTEÅ</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55851-2024</t>
        </is>
      </c>
      <c r="B1238" s="1" t="n">
        <v>45623.51140046296</v>
      </c>
      <c r="C1238" s="1" t="n">
        <v>45908</v>
      </c>
      <c r="D1238" t="inlineStr">
        <is>
          <t>VÄSTERNORRLANDS LÄN</t>
        </is>
      </c>
      <c r="E1238" t="inlineStr">
        <is>
          <t>SOLLEFTEÅ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14656-2025</t>
        </is>
      </c>
      <c r="B1239" s="1" t="n">
        <v>45742.51074074074</v>
      </c>
      <c r="C1239" s="1" t="n">
        <v>45908</v>
      </c>
      <c r="D1239" t="inlineStr">
        <is>
          <t>VÄSTERNORRLANDS LÄN</t>
        </is>
      </c>
      <c r="E1239" t="inlineStr">
        <is>
          <t>SOLLEFTEÅ</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40921-2024</t>
        </is>
      </c>
      <c r="B1240" s="1" t="n">
        <v>45558.6358912037</v>
      </c>
      <c r="C1240" s="1" t="n">
        <v>45908</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52267-2023</t>
        </is>
      </c>
      <c r="B1241" s="1" t="n">
        <v>45217</v>
      </c>
      <c r="C1241" s="1" t="n">
        <v>45908</v>
      </c>
      <c r="D1241" t="inlineStr">
        <is>
          <t>VÄSTERNORRLANDS LÄN</t>
        </is>
      </c>
      <c r="E1241" t="inlineStr">
        <is>
          <t>SOLLEFTEÅ</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27427-2025</t>
        </is>
      </c>
      <c r="B1242" s="1" t="n">
        <v>45813.28706018518</v>
      </c>
      <c r="C1242" s="1" t="n">
        <v>45908</v>
      </c>
      <c r="D1242" t="inlineStr">
        <is>
          <t>VÄSTERNORRLANDS LÄN</t>
        </is>
      </c>
      <c r="E1242" t="inlineStr">
        <is>
          <t>SOLLEFTEÅ</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27167-2025</t>
        </is>
      </c>
      <c r="B1243" s="1" t="n">
        <v>45812.34465277778</v>
      </c>
      <c r="C1243" s="1" t="n">
        <v>45908</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27519-2025</t>
        </is>
      </c>
      <c r="B1244" s="1" t="n">
        <v>45813.44186342593</v>
      </c>
      <c r="C1244" s="1" t="n">
        <v>45908</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27407-2025</t>
        </is>
      </c>
      <c r="B1245" s="1" t="n">
        <v>45812.74519675926</v>
      </c>
      <c r="C1245" s="1" t="n">
        <v>45908</v>
      </c>
      <c r="D1245" t="inlineStr">
        <is>
          <t>VÄSTERNORRLANDS LÄN</t>
        </is>
      </c>
      <c r="E1245" t="inlineStr">
        <is>
          <t>SOLLEFTEÅ</t>
        </is>
      </c>
      <c r="G1245" t="n">
        <v>23.2</v>
      </c>
      <c r="H1245" t="n">
        <v>0</v>
      </c>
      <c r="I1245" t="n">
        <v>0</v>
      </c>
      <c r="J1245" t="n">
        <v>0</v>
      </c>
      <c r="K1245" t="n">
        <v>0</v>
      </c>
      <c r="L1245" t="n">
        <v>0</v>
      </c>
      <c r="M1245" t="n">
        <v>0</v>
      </c>
      <c r="N1245" t="n">
        <v>0</v>
      </c>
      <c r="O1245" t="n">
        <v>0</v>
      </c>
      <c r="P1245" t="n">
        <v>0</v>
      </c>
      <c r="Q1245" t="n">
        <v>0</v>
      </c>
      <c r="R1245" s="2" t="inlineStr"/>
    </row>
    <row r="1246" ht="15" customHeight="1">
      <c r="A1246" t="inlineStr">
        <is>
          <t>A 27592-2025</t>
        </is>
      </c>
      <c r="B1246" s="1" t="n">
        <v>45813.5191550926</v>
      </c>
      <c r="C1246" s="1" t="n">
        <v>45908</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27660-2025</t>
        </is>
      </c>
      <c r="B1247" s="1" t="n">
        <v>45813.61490740741</v>
      </c>
      <c r="C1247" s="1" t="n">
        <v>45908</v>
      </c>
      <c r="D1247" t="inlineStr">
        <is>
          <t>VÄSTERNORRLANDS LÄN</t>
        </is>
      </c>
      <c r="E1247" t="inlineStr">
        <is>
          <t>SOLLEFTEÅ</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42987-2024</t>
        </is>
      </c>
      <c r="B1248" s="1" t="n">
        <v>45567</v>
      </c>
      <c r="C1248" s="1" t="n">
        <v>45908</v>
      </c>
      <c r="D1248" t="inlineStr">
        <is>
          <t>VÄSTERNORRLANDS LÄN</t>
        </is>
      </c>
      <c r="E1248" t="inlineStr">
        <is>
          <t>SOLLEFTEÅ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63138-2023</t>
        </is>
      </c>
      <c r="B1249" s="1" t="n">
        <v>45272</v>
      </c>
      <c r="C1249" s="1" t="n">
        <v>45908</v>
      </c>
      <c r="D1249" t="inlineStr">
        <is>
          <t>VÄSTERNORRLANDS LÄN</t>
        </is>
      </c>
      <c r="E1249" t="inlineStr">
        <is>
          <t>SOLLEFTEÅ</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53929-2022</t>
        </is>
      </c>
      <c r="B1250" s="1" t="n">
        <v>44880</v>
      </c>
      <c r="C1250" s="1" t="n">
        <v>45908</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53947-2022</t>
        </is>
      </c>
      <c r="B1251" s="1" t="n">
        <v>44880.95685185185</v>
      </c>
      <c r="C1251" s="1" t="n">
        <v>45908</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68022-2020</t>
        </is>
      </c>
      <c r="B1252" s="1" t="n">
        <v>44182</v>
      </c>
      <c r="C1252" s="1" t="n">
        <v>45908</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49324-2023</t>
        </is>
      </c>
      <c r="B1253" s="1" t="n">
        <v>45210</v>
      </c>
      <c r="C1253" s="1" t="n">
        <v>45908</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56416-2023</t>
        </is>
      </c>
      <c r="B1254" s="1" t="n">
        <v>45237</v>
      </c>
      <c r="C1254" s="1" t="n">
        <v>45908</v>
      </c>
      <c r="D1254" t="inlineStr">
        <is>
          <t>VÄSTERNORRLANDS LÄN</t>
        </is>
      </c>
      <c r="E1254" t="inlineStr">
        <is>
          <t>SOLLEFTEÅ</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64617-2023</t>
        </is>
      </c>
      <c r="B1255" s="1" t="n">
        <v>45281</v>
      </c>
      <c r="C1255" s="1" t="n">
        <v>45908</v>
      </c>
      <c r="D1255" t="inlineStr">
        <is>
          <t>VÄSTERNORRLANDS LÄN</t>
        </is>
      </c>
      <c r="E1255" t="inlineStr">
        <is>
          <t>SOLLEFTEÅ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15429-2025</t>
        </is>
      </c>
      <c r="B1256" s="1" t="n">
        <v>45747.47</v>
      </c>
      <c r="C1256" s="1" t="n">
        <v>45908</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12617-2025</t>
        </is>
      </c>
      <c r="B1257" s="1" t="n">
        <v>45733.34895833334</v>
      </c>
      <c r="C1257" s="1" t="n">
        <v>45908</v>
      </c>
      <c r="D1257" t="inlineStr">
        <is>
          <t>VÄSTERNORRLANDS LÄN</t>
        </is>
      </c>
      <c r="E1257" t="inlineStr">
        <is>
          <t>SOLLEFTEÅ</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22694-2025</t>
        </is>
      </c>
      <c r="B1258" s="1" t="n">
        <v>45789</v>
      </c>
      <c r="C1258" s="1" t="n">
        <v>45908</v>
      </c>
      <c r="D1258" t="inlineStr">
        <is>
          <t>VÄSTERNORRLANDS LÄN</t>
        </is>
      </c>
      <c r="E1258" t="inlineStr">
        <is>
          <t>SOLLEFTEÅ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23025-2024</t>
        </is>
      </c>
      <c r="B1259" s="1" t="n">
        <v>45450.36578703704</v>
      </c>
      <c r="C1259" s="1" t="n">
        <v>45908</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34560-2024</t>
        </is>
      </c>
      <c r="B1260" s="1" t="n">
        <v>45526.31116898148</v>
      </c>
      <c r="C1260" s="1" t="n">
        <v>45908</v>
      </c>
      <c r="D1260" t="inlineStr">
        <is>
          <t>VÄSTERNORRLANDS LÄN</t>
        </is>
      </c>
      <c r="E1260" t="inlineStr">
        <is>
          <t>SOLLEFTEÅ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6896-2025</t>
        </is>
      </c>
      <c r="B1261" s="1" t="n">
        <v>45701.38577546296</v>
      </c>
      <c r="C1261" s="1" t="n">
        <v>45908</v>
      </c>
      <c r="D1261" t="inlineStr">
        <is>
          <t>VÄSTERNORRLANDS LÄN</t>
        </is>
      </c>
      <c r="E1261" t="inlineStr">
        <is>
          <t>SOLLEFTEÅ</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20205-2025</t>
        </is>
      </c>
      <c r="B1262" s="1" t="n">
        <v>45772.61548611111</v>
      </c>
      <c r="C1262" s="1" t="n">
        <v>45908</v>
      </c>
      <c r="D1262" t="inlineStr">
        <is>
          <t>VÄSTERNORRLANDS LÄN</t>
        </is>
      </c>
      <c r="E1262" t="inlineStr">
        <is>
          <t>SOLLEFTEÅ</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3001-2022</t>
        </is>
      </c>
      <c r="B1263" s="1" t="n">
        <v>44581</v>
      </c>
      <c r="C1263" s="1" t="n">
        <v>45908</v>
      </c>
      <c r="D1263" t="inlineStr">
        <is>
          <t>VÄSTERNORRLANDS LÄN</t>
        </is>
      </c>
      <c r="E1263" t="inlineStr">
        <is>
          <t>SOLLEFTEÅ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27641-2024</t>
        </is>
      </c>
      <c r="B1264" s="1" t="n">
        <v>45474.94694444445</v>
      </c>
      <c r="C1264" s="1" t="n">
        <v>45908</v>
      </c>
      <c r="D1264" t="inlineStr">
        <is>
          <t>VÄSTERNORRLANDS LÄN</t>
        </is>
      </c>
      <c r="E1264" t="inlineStr">
        <is>
          <t>SOLLEFTEÅ</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2677-2025</t>
        </is>
      </c>
      <c r="B1265" s="1" t="n">
        <v>45677</v>
      </c>
      <c r="C1265" s="1" t="n">
        <v>45908</v>
      </c>
      <c r="D1265" t="inlineStr">
        <is>
          <t>VÄSTERNORRLANDS LÄN</t>
        </is>
      </c>
      <c r="E1265" t="inlineStr">
        <is>
          <t>SOLLEFTEÅ</t>
        </is>
      </c>
      <c r="F1265" t="inlineStr">
        <is>
          <t>SCA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37201-2024</t>
        </is>
      </c>
      <c r="B1266" s="1" t="n">
        <v>45539</v>
      </c>
      <c r="C1266" s="1" t="n">
        <v>45908</v>
      </c>
      <c r="D1266" t="inlineStr">
        <is>
          <t>VÄSTERNORRLANDS LÄN</t>
        </is>
      </c>
      <c r="E1266" t="inlineStr">
        <is>
          <t>SOLLEFTEÅ</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36004-2024</t>
        </is>
      </c>
      <c r="B1267" s="1" t="n">
        <v>45533.54848379629</v>
      </c>
      <c r="C1267" s="1" t="n">
        <v>45908</v>
      </c>
      <c r="D1267" t="inlineStr">
        <is>
          <t>VÄSTERNORRLANDS LÄN</t>
        </is>
      </c>
      <c r="E1267" t="inlineStr">
        <is>
          <t>SOLLEFTEÅ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27748-2025</t>
        </is>
      </c>
      <c r="B1268" s="1" t="n">
        <v>45815.67740740741</v>
      </c>
      <c r="C1268" s="1" t="n">
        <v>45908</v>
      </c>
      <c r="D1268" t="inlineStr">
        <is>
          <t>VÄSTERNORRLANDS LÄN</t>
        </is>
      </c>
      <c r="E1268" t="inlineStr">
        <is>
          <t>SOLLEFTEÅ</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27956-2025</t>
        </is>
      </c>
      <c r="B1269" s="1" t="n">
        <v>45817.5344675926</v>
      </c>
      <c r="C1269" s="1" t="n">
        <v>45908</v>
      </c>
      <c r="D1269" t="inlineStr">
        <is>
          <t>VÄSTERNORRLANDS LÄN</t>
        </is>
      </c>
      <c r="E1269" t="inlineStr">
        <is>
          <t>SOLLEFTEÅ</t>
        </is>
      </c>
      <c r="F1269" t="inlineStr">
        <is>
          <t>Holmen skog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60177-2024</t>
        </is>
      </c>
      <c r="B1270" s="1" t="n">
        <v>45642.63850694444</v>
      </c>
      <c r="C1270" s="1" t="n">
        <v>45908</v>
      </c>
      <c r="D1270" t="inlineStr">
        <is>
          <t>VÄSTERNORRLANDS LÄN</t>
        </is>
      </c>
      <c r="E1270" t="inlineStr">
        <is>
          <t>SOLLEFTEÅ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27822-2025</t>
        </is>
      </c>
      <c r="B1271" s="1" t="n">
        <v>45817.34410879629</v>
      </c>
      <c r="C1271" s="1" t="n">
        <v>45908</v>
      </c>
      <c r="D1271" t="inlineStr">
        <is>
          <t>VÄSTERNORRLANDS LÄN</t>
        </is>
      </c>
      <c r="E1271" t="inlineStr">
        <is>
          <t>SOLLEFTEÅ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600-2025</t>
        </is>
      </c>
      <c r="B1272" s="1" t="n">
        <v>45664.59428240741</v>
      </c>
      <c r="C1272" s="1" t="n">
        <v>45908</v>
      </c>
      <c r="D1272" t="inlineStr">
        <is>
          <t>VÄSTERNORRLANDS LÄN</t>
        </is>
      </c>
      <c r="E1272" t="inlineStr">
        <is>
          <t>SOLLEFTEÅ</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21092-2024</t>
        </is>
      </c>
      <c r="B1273" s="1" t="n">
        <v>45439.95009259259</v>
      </c>
      <c r="C1273" s="1" t="n">
        <v>45908</v>
      </c>
      <c r="D1273" t="inlineStr">
        <is>
          <t>VÄSTERNORRLANDS LÄN</t>
        </is>
      </c>
      <c r="E1273" t="inlineStr">
        <is>
          <t>SOLLEFTEÅ</t>
        </is>
      </c>
      <c r="F1273" t="inlineStr">
        <is>
          <t>SCA</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43627-2024</t>
        </is>
      </c>
      <c r="B1274" s="1" t="n">
        <v>45569.49006944444</v>
      </c>
      <c r="C1274" s="1" t="n">
        <v>45908</v>
      </c>
      <c r="D1274" t="inlineStr">
        <is>
          <t>VÄSTERNORRLANDS LÄN</t>
        </is>
      </c>
      <c r="E1274" t="inlineStr">
        <is>
          <t>SOLLEFTEÅ</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44661-2024</t>
        </is>
      </c>
      <c r="B1275" s="1" t="n">
        <v>45574.53180555555</v>
      </c>
      <c r="C1275" s="1" t="n">
        <v>45908</v>
      </c>
      <c r="D1275" t="inlineStr">
        <is>
          <t>VÄSTERNORRLANDS LÄN</t>
        </is>
      </c>
      <c r="E1275" t="inlineStr">
        <is>
          <t>SOLLEFTEÅ</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51505-2024</t>
        </is>
      </c>
      <c r="B1276" s="1" t="n">
        <v>45604</v>
      </c>
      <c r="C1276" s="1" t="n">
        <v>45908</v>
      </c>
      <c r="D1276" t="inlineStr">
        <is>
          <t>VÄSTERNORRLANDS LÄN</t>
        </is>
      </c>
      <c r="E1276" t="inlineStr">
        <is>
          <t>SOLLEFTEÅ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8221-2022</t>
        </is>
      </c>
      <c r="B1277" s="1" t="n">
        <v>44609.93001157408</v>
      </c>
      <c r="C1277" s="1" t="n">
        <v>45908</v>
      </c>
      <c r="D1277" t="inlineStr">
        <is>
          <t>VÄSTERNORRLANDS LÄN</t>
        </is>
      </c>
      <c r="E1277" t="inlineStr">
        <is>
          <t>SOLLEFTEÅ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23286-2023</t>
        </is>
      </c>
      <c r="B1278" s="1" t="n">
        <v>45075</v>
      </c>
      <c r="C1278" s="1" t="n">
        <v>45908</v>
      </c>
      <c r="D1278" t="inlineStr">
        <is>
          <t>VÄSTERNORRLANDS LÄN</t>
        </is>
      </c>
      <c r="E1278" t="inlineStr">
        <is>
          <t>SOLLEFTEÅ</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13499-2023</t>
        </is>
      </c>
      <c r="B1279" s="1" t="n">
        <v>45005</v>
      </c>
      <c r="C1279" s="1" t="n">
        <v>45908</v>
      </c>
      <c r="D1279" t="inlineStr">
        <is>
          <t>VÄSTERNORRLANDS LÄN</t>
        </is>
      </c>
      <c r="E1279" t="inlineStr">
        <is>
          <t>SOLLEFTEÅ</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18187-2022</t>
        </is>
      </c>
      <c r="B1280" s="1" t="n">
        <v>44684</v>
      </c>
      <c r="C1280" s="1" t="n">
        <v>45908</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28579-2025</t>
        </is>
      </c>
      <c r="B1281" s="1" t="n">
        <v>45819.57334490741</v>
      </c>
      <c r="C1281" s="1" t="n">
        <v>45908</v>
      </c>
      <c r="D1281" t="inlineStr">
        <is>
          <t>VÄSTERNORRLANDS LÄN</t>
        </is>
      </c>
      <c r="E1281" t="inlineStr">
        <is>
          <t>SOLLEFTEÅ</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25363-2024</t>
        </is>
      </c>
      <c r="B1282" s="1" t="n">
        <v>45462.95833333334</v>
      </c>
      <c r="C1282" s="1" t="n">
        <v>45908</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1466-2025</t>
        </is>
      </c>
      <c r="B1283" s="1" t="n">
        <v>45670</v>
      </c>
      <c r="C1283" s="1" t="n">
        <v>45908</v>
      </c>
      <c r="D1283" t="inlineStr">
        <is>
          <t>VÄSTERNORRLANDS LÄN</t>
        </is>
      </c>
      <c r="E1283" t="inlineStr">
        <is>
          <t>SOLLEFTEÅ</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25384-2024</t>
        </is>
      </c>
      <c r="B1284" s="1" t="n">
        <v>45462.96334490741</v>
      </c>
      <c r="C1284" s="1" t="n">
        <v>45908</v>
      </c>
      <c r="D1284" t="inlineStr">
        <is>
          <t>VÄSTERNORRLANDS LÄN</t>
        </is>
      </c>
      <c r="E1284" t="inlineStr">
        <is>
          <t>SOLLEFTEÅ</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50698-2023</t>
        </is>
      </c>
      <c r="B1285" s="1" t="n">
        <v>45210</v>
      </c>
      <c r="C1285" s="1" t="n">
        <v>45908</v>
      </c>
      <c r="D1285" t="inlineStr">
        <is>
          <t>VÄSTERNORRLANDS LÄN</t>
        </is>
      </c>
      <c r="E1285" t="inlineStr">
        <is>
          <t>SOLLEFTEÅ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28686-2025</t>
        </is>
      </c>
      <c r="B1286" s="1" t="n">
        <v>45819</v>
      </c>
      <c r="C1286" s="1" t="n">
        <v>45908</v>
      </c>
      <c r="D1286" t="inlineStr">
        <is>
          <t>VÄSTERNORRLANDS LÄN</t>
        </is>
      </c>
      <c r="E1286" t="inlineStr">
        <is>
          <t>SOLLEFTEÅ</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28672-2025</t>
        </is>
      </c>
      <c r="B1287" s="1" t="n">
        <v>45819.6754050926</v>
      </c>
      <c r="C1287" s="1" t="n">
        <v>45908</v>
      </c>
      <c r="D1287" t="inlineStr">
        <is>
          <t>VÄSTERNORRLANDS LÄN</t>
        </is>
      </c>
      <c r="E1287" t="inlineStr">
        <is>
          <t>SOLLEFTEÅ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19556-2024</t>
        </is>
      </c>
      <c r="B1288" s="1" t="n">
        <v>45429</v>
      </c>
      <c r="C1288" s="1" t="n">
        <v>45908</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42970-2024</t>
        </is>
      </c>
      <c r="B1289" s="1" t="n">
        <v>45567.37322916667</v>
      </c>
      <c r="C1289" s="1" t="n">
        <v>45908</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42981-2024</t>
        </is>
      </c>
      <c r="B1290" s="1" t="n">
        <v>45567.37460648148</v>
      </c>
      <c r="C1290" s="1" t="n">
        <v>45908</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54330-2023</t>
        </is>
      </c>
      <c r="B1291" s="1" t="n">
        <v>45232.95814814815</v>
      </c>
      <c r="C1291" s="1" t="n">
        <v>45908</v>
      </c>
      <c r="D1291" t="inlineStr">
        <is>
          <t>VÄSTERNORRLANDS LÄN</t>
        </is>
      </c>
      <c r="E1291" t="inlineStr">
        <is>
          <t>SOLLEFTEÅ</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63529-2023</t>
        </is>
      </c>
      <c r="B1292" s="1" t="n">
        <v>45274.94859953703</v>
      </c>
      <c r="C1292" s="1" t="n">
        <v>45908</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45542-2020</t>
        </is>
      </c>
      <c r="B1293" s="1" t="n">
        <v>44089</v>
      </c>
      <c r="C1293" s="1" t="n">
        <v>45908</v>
      </c>
      <c r="D1293" t="inlineStr">
        <is>
          <t>VÄSTERNORRLANDS LÄN</t>
        </is>
      </c>
      <c r="E1293" t="inlineStr">
        <is>
          <t>SOLLEFTEÅ</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23488-2023</t>
        </is>
      </c>
      <c r="B1294" s="1" t="n">
        <v>45072</v>
      </c>
      <c r="C1294" s="1" t="n">
        <v>45908</v>
      </c>
      <c r="D1294" t="inlineStr">
        <is>
          <t>VÄSTERNORRLANDS LÄN</t>
        </is>
      </c>
      <c r="E1294" t="inlineStr">
        <is>
          <t>SOLLEFTEÅ</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49629-2024</t>
        </is>
      </c>
      <c r="B1295" s="1" t="n">
        <v>45596</v>
      </c>
      <c r="C1295" s="1" t="n">
        <v>45908</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28142-2025</t>
        </is>
      </c>
      <c r="B1296" s="1" t="n">
        <v>45818.34538194445</v>
      </c>
      <c r="C1296" s="1" t="n">
        <v>45908</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28195-2025</t>
        </is>
      </c>
      <c r="B1297" s="1" t="n">
        <v>45818</v>
      </c>
      <c r="C1297" s="1" t="n">
        <v>45908</v>
      </c>
      <c r="D1297" t="inlineStr">
        <is>
          <t>VÄSTERNORRLANDS LÄN</t>
        </is>
      </c>
      <c r="E1297" t="inlineStr">
        <is>
          <t>SOLLEFTEÅ</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50757-2023</t>
        </is>
      </c>
      <c r="B1298" s="1" t="n">
        <v>45217</v>
      </c>
      <c r="C1298" s="1" t="n">
        <v>45908</v>
      </c>
      <c r="D1298" t="inlineStr">
        <is>
          <t>VÄSTERNORRLANDS LÄN</t>
        </is>
      </c>
      <c r="E1298" t="inlineStr">
        <is>
          <t>SOLLEFTEÅ</t>
        </is>
      </c>
      <c r="F1298" t="inlineStr">
        <is>
          <t>Holmen skog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9328-2024</t>
        </is>
      </c>
      <c r="B1299" s="1" t="n">
        <v>45358.99144675926</v>
      </c>
      <c r="C1299" s="1" t="n">
        <v>45908</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16709-2024</t>
        </is>
      </c>
      <c r="B1300" s="1" t="n">
        <v>45409.07737268518</v>
      </c>
      <c r="C1300" s="1" t="n">
        <v>45908</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29142-2025</t>
        </is>
      </c>
      <c r="B1301" s="1" t="n">
        <v>45821.61518518518</v>
      </c>
      <c r="C1301" s="1" t="n">
        <v>45908</v>
      </c>
      <c r="D1301" t="inlineStr">
        <is>
          <t>VÄSTERNORRLANDS LÄN</t>
        </is>
      </c>
      <c r="E1301" t="inlineStr">
        <is>
          <t>SOLLEFTEÅ</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28698-2025</t>
        </is>
      </c>
      <c r="B1302" s="1" t="n">
        <v>45819.925625</v>
      </c>
      <c r="C1302" s="1" t="n">
        <v>45908</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29103-2025</t>
        </is>
      </c>
      <c r="B1303" s="1" t="n">
        <v>45821.57219907407</v>
      </c>
      <c r="C1303" s="1" t="n">
        <v>45908</v>
      </c>
      <c r="D1303" t="inlineStr">
        <is>
          <t>VÄSTERNORRLANDS LÄN</t>
        </is>
      </c>
      <c r="E1303" t="inlineStr">
        <is>
          <t>SOLLEFTEÅ</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33134-2024</t>
        </is>
      </c>
      <c r="B1304" s="1" t="n">
        <v>45518</v>
      </c>
      <c r="C1304" s="1" t="n">
        <v>45908</v>
      </c>
      <c r="D1304" t="inlineStr">
        <is>
          <t>VÄSTERNORRLANDS LÄN</t>
        </is>
      </c>
      <c r="E1304" t="inlineStr">
        <is>
          <t>SOLLEFTEÅ</t>
        </is>
      </c>
      <c r="F1304" t="inlineStr">
        <is>
          <t>Holmen skog AB</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33141-2024</t>
        </is>
      </c>
      <c r="B1305" s="1" t="n">
        <v>45518</v>
      </c>
      <c r="C1305" s="1" t="n">
        <v>45908</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53855-2024</t>
        </is>
      </c>
      <c r="B1306" s="1" t="n">
        <v>45615.63724537037</v>
      </c>
      <c r="C1306" s="1" t="n">
        <v>45908</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28715-2025</t>
        </is>
      </c>
      <c r="B1307" s="1" t="n">
        <v>45820</v>
      </c>
      <c r="C1307" s="1" t="n">
        <v>45908</v>
      </c>
      <c r="D1307" t="inlineStr">
        <is>
          <t>VÄSTERNORRLANDS LÄN</t>
        </is>
      </c>
      <c r="E1307" t="inlineStr">
        <is>
          <t>SOLLEFTEÅ</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28719-2025</t>
        </is>
      </c>
      <c r="B1308" s="1" t="n">
        <v>45820</v>
      </c>
      <c r="C1308" s="1" t="n">
        <v>45908</v>
      </c>
      <c r="D1308" t="inlineStr">
        <is>
          <t>VÄSTERNORRLANDS LÄN</t>
        </is>
      </c>
      <c r="E1308" t="inlineStr">
        <is>
          <t>SOLLEFTEÅ</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28993-2025</t>
        </is>
      </c>
      <c r="B1309" s="1" t="n">
        <v>45821.38574074074</v>
      </c>
      <c r="C1309" s="1" t="n">
        <v>45908</v>
      </c>
      <c r="D1309" t="inlineStr">
        <is>
          <t>VÄSTERNORRLANDS LÄN</t>
        </is>
      </c>
      <c r="E1309" t="inlineStr">
        <is>
          <t>SOLLEFTEÅ</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28994-2025</t>
        </is>
      </c>
      <c r="B1310" s="1" t="n">
        <v>45821.38587962963</v>
      </c>
      <c r="C1310" s="1" t="n">
        <v>45908</v>
      </c>
      <c r="D1310" t="inlineStr">
        <is>
          <t>VÄSTERNORRLANDS LÄN</t>
        </is>
      </c>
      <c r="E1310" t="inlineStr">
        <is>
          <t>SOLLEFTEÅ</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54045-2023</t>
        </is>
      </c>
      <c r="B1311" s="1" t="n">
        <v>45231.96743055555</v>
      </c>
      <c r="C1311" s="1" t="n">
        <v>45908</v>
      </c>
      <c r="D1311" t="inlineStr">
        <is>
          <t>VÄSTERNORRLANDS LÄN</t>
        </is>
      </c>
      <c r="E1311" t="inlineStr">
        <is>
          <t>SOLLEFTEÅ</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16632-2025</t>
        </is>
      </c>
      <c r="B1312" s="1" t="n">
        <v>45754.36490740741</v>
      </c>
      <c r="C1312" s="1" t="n">
        <v>45908</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22444-2025</t>
        </is>
      </c>
      <c r="B1313" s="1" t="n">
        <v>45786</v>
      </c>
      <c r="C1313" s="1" t="n">
        <v>45908</v>
      </c>
      <c r="D1313" t="inlineStr">
        <is>
          <t>VÄSTERNORRLANDS LÄN</t>
        </is>
      </c>
      <c r="E1313" t="inlineStr">
        <is>
          <t>SOLLEFTEÅ</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29125-2025</t>
        </is>
      </c>
      <c r="B1314" s="1" t="n">
        <v>45821.59459490741</v>
      </c>
      <c r="C1314" s="1" t="n">
        <v>45908</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18882-2021</t>
        </is>
      </c>
      <c r="B1315" s="1" t="n">
        <v>44307.93505787037</v>
      </c>
      <c r="C1315" s="1" t="n">
        <v>45908</v>
      </c>
      <c r="D1315" t="inlineStr">
        <is>
          <t>VÄSTERNORRLANDS LÄN</t>
        </is>
      </c>
      <c r="E1315" t="inlineStr">
        <is>
          <t>SOLLEFTEÅ</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19055-2022</t>
        </is>
      </c>
      <c r="B1316" s="1" t="n">
        <v>44691.42189814815</v>
      </c>
      <c r="C1316" s="1" t="n">
        <v>45908</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56390-2024</t>
        </is>
      </c>
      <c r="B1317" s="1" t="n">
        <v>45625.34476851852</v>
      </c>
      <c r="C1317" s="1" t="n">
        <v>45908</v>
      </c>
      <c r="D1317" t="inlineStr">
        <is>
          <t>VÄSTERNORRLANDS LÄN</t>
        </is>
      </c>
      <c r="E1317" t="inlineStr">
        <is>
          <t>SOLLEFTEÅ</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2816-2024</t>
        </is>
      </c>
      <c r="B1318" s="1" t="n">
        <v>45314</v>
      </c>
      <c r="C1318" s="1" t="n">
        <v>45908</v>
      </c>
      <c r="D1318" t="inlineStr">
        <is>
          <t>VÄSTERNORRLANDS LÄN</t>
        </is>
      </c>
      <c r="E1318" t="inlineStr">
        <is>
          <t>SOLLEFTEÅ</t>
        </is>
      </c>
      <c r="F1318" t="inlineStr">
        <is>
          <t>Holmen skog AB</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28995-2025</t>
        </is>
      </c>
      <c r="B1319" s="1" t="n">
        <v>45821.38596064815</v>
      </c>
      <c r="C1319" s="1" t="n">
        <v>45908</v>
      </c>
      <c r="D1319" t="inlineStr">
        <is>
          <t>VÄSTERNORRLANDS LÄN</t>
        </is>
      </c>
      <c r="E1319" t="inlineStr">
        <is>
          <t>SOLLEFTEÅ</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28743-2025</t>
        </is>
      </c>
      <c r="B1320" s="1" t="n">
        <v>45820.38586805556</v>
      </c>
      <c r="C1320" s="1" t="n">
        <v>45908</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29039-2025</t>
        </is>
      </c>
      <c r="B1321" s="1" t="n">
        <v>45821.44844907407</v>
      </c>
      <c r="C1321" s="1" t="n">
        <v>45908</v>
      </c>
      <c r="D1321" t="inlineStr">
        <is>
          <t>VÄSTERNORRLANDS LÄN</t>
        </is>
      </c>
      <c r="E1321" t="inlineStr">
        <is>
          <t>SOLLEFTEÅ</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29273-2025</t>
        </is>
      </c>
      <c r="B1322" s="1" t="n">
        <v>45824.41125</v>
      </c>
      <c r="C1322" s="1" t="n">
        <v>45908</v>
      </c>
      <c r="D1322" t="inlineStr">
        <is>
          <t>VÄSTERNORRLANDS LÄN</t>
        </is>
      </c>
      <c r="E1322" t="inlineStr">
        <is>
          <t>SOLLEFTEÅ</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29793-2025</t>
        </is>
      </c>
      <c r="B1323" s="1" t="n">
        <v>45825</v>
      </c>
      <c r="C1323" s="1" t="n">
        <v>45908</v>
      </c>
      <c r="D1323" t="inlineStr">
        <is>
          <t>VÄSTERNORRLANDS LÄN</t>
        </is>
      </c>
      <c r="E1323" t="inlineStr">
        <is>
          <t>SOLLEFTEÅ</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36095-2025</t>
        </is>
      </c>
      <c r="B1324" s="1" t="n">
        <v>45866.49006944444</v>
      </c>
      <c r="C1324" s="1" t="n">
        <v>45908</v>
      </c>
      <c r="D1324" t="inlineStr">
        <is>
          <t>VÄSTERNORRLANDS LÄN</t>
        </is>
      </c>
      <c r="E1324" t="inlineStr">
        <is>
          <t>SOLLEFTEÅ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20859-2023</t>
        </is>
      </c>
      <c r="B1325" s="1" t="n">
        <v>45058.94212962963</v>
      </c>
      <c r="C1325" s="1" t="n">
        <v>45908</v>
      </c>
      <c r="D1325" t="inlineStr">
        <is>
          <t>VÄSTERNORRLANDS LÄN</t>
        </is>
      </c>
      <c r="E1325" t="inlineStr">
        <is>
          <t>SOLLEFTEÅ</t>
        </is>
      </c>
      <c r="F1325" t="inlineStr">
        <is>
          <t>SCA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54458-2024</t>
        </is>
      </c>
      <c r="B1326" s="1" t="n">
        <v>45617.5325</v>
      </c>
      <c r="C1326" s="1" t="n">
        <v>45908</v>
      </c>
      <c r="D1326" t="inlineStr">
        <is>
          <t>VÄSTERNORRLANDS LÄN</t>
        </is>
      </c>
      <c r="E1326" t="inlineStr">
        <is>
          <t>SOLLEFTEÅ</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29309-2025</t>
        </is>
      </c>
      <c r="B1327" s="1" t="n">
        <v>45824.46333333333</v>
      </c>
      <c r="C1327" s="1" t="n">
        <v>45908</v>
      </c>
      <c r="D1327" t="inlineStr">
        <is>
          <t>VÄSTERNORRLANDS LÄN</t>
        </is>
      </c>
      <c r="E1327" t="inlineStr">
        <is>
          <t>SOLLEFTEÅ</t>
        </is>
      </c>
      <c r="F1327" t="inlineStr">
        <is>
          <t>Holmen skog AB</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29435-2025</t>
        </is>
      </c>
      <c r="B1328" s="1" t="n">
        <v>45824.65762731482</v>
      </c>
      <c r="C1328" s="1" t="n">
        <v>45908</v>
      </c>
      <c r="D1328" t="inlineStr">
        <is>
          <t>VÄSTERNORRLANDS LÄN</t>
        </is>
      </c>
      <c r="E1328" t="inlineStr">
        <is>
          <t>SOLLEFTEÅ</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29444-2025</t>
        </is>
      </c>
      <c r="B1329" s="1" t="n">
        <v>45824.66177083334</v>
      </c>
      <c r="C1329" s="1" t="n">
        <v>45908</v>
      </c>
      <c r="D1329" t="inlineStr">
        <is>
          <t>VÄSTERNORRLANDS LÄN</t>
        </is>
      </c>
      <c r="E1329" t="inlineStr">
        <is>
          <t>SOLLEFTEÅ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61480-2021</t>
        </is>
      </c>
      <c r="B1330" s="1" t="n">
        <v>44500</v>
      </c>
      <c r="C1330" s="1" t="n">
        <v>45908</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26444-2024</t>
        </is>
      </c>
      <c r="B1331" s="1" t="n">
        <v>45469.50122685185</v>
      </c>
      <c r="C1331" s="1" t="n">
        <v>45908</v>
      </c>
      <c r="D1331" t="inlineStr">
        <is>
          <t>VÄSTERNORRLANDS LÄN</t>
        </is>
      </c>
      <c r="E1331" t="inlineStr">
        <is>
          <t>SOLLEFTEÅ</t>
        </is>
      </c>
      <c r="F1331" t="inlineStr">
        <is>
          <t>Holmen skog AB</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40211-2024</t>
        </is>
      </c>
      <c r="B1332" s="1" t="n">
        <v>45554.59435185185</v>
      </c>
      <c r="C1332" s="1" t="n">
        <v>45908</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18111-2025</t>
        </is>
      </c>
      <c r="B1333" s="1" t="n">
        <v>45761.57334490741</v>
      </c>
      <c r="C1333" s="1" t="n">
        <v>45908</v>
      </c>
      <c r="D1333" t="inlineStr">
        <is>
          <t>VÄSTERNORRLANDS LÄN</t>
        </is>
      </c>
      <c r="E1333" t="inlineStr">
        <is>
          <t>SOLLEFTEÅ</t>
        </is>
      </c>
      <c r="F1333" t="inlineStr">
        <is>
          <t>SCA</t>
        </is>
      </c>
      <c r="G1333" t="n">
        <v>41.6</v>
      </c>
      <c r="H1333" t="n">
        <v>0</v>
      </c>
      <c r="I1333" t="n">
        <v>0</v>
      </c>
      <c r="J1333" t="n">
        <v>0</v>
      </c>
      <c r="K1333" t="n">
        <v>0</v>
      </c>
      <c r="L1333" t="n">
        <v>0</v>
      </c>
      <c r="M1333" t="n">
        <v>0</v>
      </c>
      <c r="N1333" t="n">
        <v>0</v>
      </c>
      <c r="O1333" t="n">
        <v>0</v>
      </c>
      <c r="P1333" t="n">
        <v>0</v>
      </c>
      <c r="Q1333" t="n">
        <v>0</v>
      </c>
      <c r="R1333" s="2" t="inlineStr"/>
    </row>
    <row r="1334" ht="15" customHeight="1">
      <c r="A1334" t="inlineStr">
        <is>
          <t>A 36224-2025</t>
        </is>
      </c>
      <c r="B1334" s="1" t="n">
        <v>45867.51116898148</v>
      </c>
      <c r="C1334" s="1" t="n">
        <v>45908</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12632-2025</t>
        </is>
      </c>
      <c r="B1335" s="1" t="n">
        <v>45733.37693287037</v>
      </c>
      <c r="C1335" s="1" t="n">
        <v>45908</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41478-2022</t>
        </is>
      </c>
      <c r="B1336" s="1" t="n">
        <v>44826.94892361111</v>
      </c>
      <c r="C1336" s="1" t="n">
        <v>45908</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29759-2025</t>
        </is>
      </c>
      <c r="B1337" s="1" t="n">
        <v>45825</v>
      </c>
      <c r="C1337" s="1" t="n">
        <v>45908</v>
      </c>
      <c r="D1337" t="inlineStr">
        <is>
          <t>VÄSTERNORRLANDS LÄN</t>
        </is>
      </c>
      <c r="E1337" t="inlineStr">
        <is>
          <t>SOLLEFTEÅ</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36274-2025</t>
        </is>
      </c>
      <c r="B1338" s="1" t="n">
        <v>45867.63579861111</v>
      </c>
      <c r="C1338" s="1" t="n">
        <v>45908</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26014-2025</t>
        </is>
      </c>
      <c r="B1339" s="1" t="n">
        <v>45804.67773148148</v>
      </c>
      <c r="C1339" s="1" t="n">
        <v>45908</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29011-2025</t>
        </is>
      </c>
      <c r="B1340" s="1" t="n">
        <v>45821.40659722222</v>
      </c>
      <c r="C1340" s="1" t="n">
        <v>45908</v>
      </c>
      <c r="D1340" t="inlineStr">
        <is>
          <t>VÄSTERNORRLANDS LÄN</t>
        </is>
      </c>
      <c r="E1340" t="inlineStr">
        <is>
          <t>SOLLEFTEÅ</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29535-2025</t>
        </is>
      </c>
      <c r="B1341" s="1" t="n">
        <v>45825.34486111111</v>
      </c>
      <c r="C1341" s="1" t="n">
        <v>45908</v>
      </c>
      <c r="D1341" t="inlineStr">
        <is>
          <t>VÄSTERNORRLANDS LÄN</t>
        </is>
      </c>
      <c r="E1341" t="inlineStr">
        <is>
          <t>SOLLEFTEÅ</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19652-2025</t>
        </is>
      </c>
      <c r="B1342" s="1" t="n">
        <v>45770</v>
      </c>
      <c r="C1342" s="1" t="n">
        <v>45908</v>
      </c>
      <c r="D1342" t="inlineStr">
        <is>
          <t>VÄSTERNORRLANDS LÄN</t>
        </is>
      </c>
      <c r="E1342" t="inlineStr">
        <is>
          <t>SOLLEFTEÅ</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53524-2021</t>
        </is>
      </c>
      <c r="B1343" s="1" t="n">
        <v>44468</v>
      </c>
      <c r="C1343" s="1" t="n">
        <v>45908</v>
      </c>
      <c r="D1343" t="inlineStr">
        <is>
          <t>VÄSTERNORRLANDS LÄN</t>
        </is>
      </c>
      <c r="E1343" t="inlineStr">
        <is>
          <t>SOLLEFTEÅ</t>
        </is>
      </c>
      <c r="F1343" t="inlineStr">
        <is>
          <t>SCA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26655-2024</t>
        </is>
      </c>
      <c r="B1344" s="1" t="n">
        <v>45469</v>
      </c>
      <c r="C1344" s="1" t="n">
        <v>45908</v>
      </c>
      <c r="D1344" t="inlineStr">
        <is>
          <t>VÄSTERNORRLANDS LÄN</t>
        </is>
      </c>
      <c r="E1344" t="inlineStr">
        <is>
          <t>SOLLEFTEÅ</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29760-2025</t>
        </is>
      </c>
      <c r="B1345" s="1" t="n">
        <v>45825.61805555555</v>
      </c>
      <c r="C1345" s="1" t="n">
        <v>45908</v>
      </c>
      <c r="D1345" t="inlineStr">
        <is>
          <t>VÄSTERNORRLANDS LÄN</t>
        </is>
      </c>
      <c r="E1345" t="inlineStr">
        <is>
          <t>SOLLEFTEÅ</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29769-2025</t>
        </is>
      </c>
      <c r="B1346" s="1" t="n">
        <v>45825.62796296296</v>
      </c>
      <c r="C1346" s="1" t="n">
        <v>45908</v>
      </c>
      <c r="D1346" t="inlineStr">
        <is>
          <t>VÄSTERNORRLANDS LÄN</t>
        </is>
      </c>
      <c r="E1346" t="inlineStr">
        <is>
          <t>SOLLEFTEÅ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29436-2025</t>
        </is>
      </c>
      <c r="B1347" s="1" t="n">
        <v>45824.65766203704</v>
      </c>
      <c r="C1347" s="1" t="n">
        <v>45908</v>
      </c>
      <c r="D1347" t="inlineStr">
        <is>
          <t>VÄSTERNORRLANDS LÄN</t>
        </is>
      </c>
      <c r="E1347" t="inlineStr">
        <is>
          <t>SOLLEFTEÅ</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29445-2025</t>
        </is>
      </c>
      <c r="B1348" s="1" t="n">
        <v>45824.66322916667</v>
      </c>
      <c r="C1348" s="1" t="n">
        <v>45908</v>
      </c>
      <c r="D1348" t="inlineStr">
        <is>
          <t>VÄSTERNORRLANDS LÄN</t>
        </is>
      </c>
      <c r="E1348" t="inlineStr">
        <is>
          <t>SOLLEFTEÅ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36135-2025</t>
        </is>
      </c>
      <c r="B1349" s="1" t="n">
        <v>45866.63594907407</v>
      </c>
      <c r="C1349" s="1" t="n">
        <v>45908</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29761-2025</t>
        </is>
      </c>
      <c r="B1350" s="1" t="n">
        <v>45825.61815972222</v>
      </c>
      <c r="C1350" s="1" t="n">
        <v>45908</v>
      </c>
      <c r="D1350" t="inlineStr">
        <is>
          <t>VÄSTERNORRLANDS LÄN</t>
        </is>
      </c>
      <c r="E1350" t="inlineStr">
        <is>
          <t>SOLLEFTEÅ</t>
        </is>
      </c>
      <c r="F1350" t="inlineStr">
        <is>
          <t>SCA</t>
        </is>
      </c>
      <c r="G1350" t="n">
        <v>13.8</v>
      </c>
      <c r="H1350" t="n">
        <v>0</v>
      </c>
      <c r="I1350" t="n">
        <v>0</v>
      </c>
      <c r="J1350" t="n">
        <v>0</v>
      </c>
      <c r="K1350" t="n">
        <v>0</v>
      </c>
      <c r="L1350" t="n">
        <v>0</v>
      </c>
      <c r="M1350" t="n">
        <v>0</v>
      </c>
      <c r="N1350" t="n">
        <v>0</v>
      </c>
      <c r="O1350" t="n">
        <v>0</v>
      </c>
      <c r="P1350" t="n">
        <v>0</v>
      </c>
      <c r="Q1350" t="n">
        <v>0</v>
      </c>
      <c r="R1350" s="2" t="inlineStr"/>
    </row>
    <row r="1351" ht="15" customHeight="1">
      <c r="A1351" t="inlineStr">
        <is>
          <t>A 29762-2025</t>
        </is>
      </c>
      <c r="B1351" s="1" t="n">
        <v>45825.61826388889</v>
      </c>
      <c r="C1351" s="1" t="n">
        <v>45908</v>
      </c>
      <c r="D1351" t="inlineStr">
        <is>
          <t>VÄSTERNORRLANDS LÄN</t>
        </is>
      </c>
      <c r="E1351" t="inlineStr">
        <is>
          <t>SOLLEFTEÅ</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28998-2025</t>
        </is>
      </c>
      <c r="B1352" s="1" t="n">
        <v>45821.38626157407</v>
      </c>
      <c r="C1352" s="1" t="n">
        <v>45908</v>
      </c>
      <c r="D1352" t="inlineStr">
        <is>
          <t>VÄSTERNORRLANDS LÄN</t>
        </is>
      </c>
      <c r="E1352" t="inlineStr">
        <is>
          <t>SOLLEFTEÅ</t>
        </is>
      </c>
      <c r="F1352" t="inlineStr">
        <is>
          <t>SCA</t>
        </is>
      </c>
      <c r="G1352" t="n">
        <v>14.2</v>
      </c>
      <c r="H1352" t="n">
        <v>0</v>
      </c>
      <c r="I1352" t="n">
        <v>0</v>
      </c>
      <c r="J1352" t="n">
        <v>0</v>
      </c>
      <c r="K1352" t="n">
        <v>0</v>
      </c>
      <c r="L1352" t="n">
        <v>0</v>
      </c>
      <c r="M1352" t="n">
        <v>0</v>
      </c>
      <c r="N1352" t="n">
        <v>0</v>
      </c>
      <c r="O1352" t="n">
        <v>0</v>
      </c>
      <c r="P1352" t="n">
        <v>0</v>
      </c>
      <c r="Q1352" t="n">
        <v>0</v>
      </c>
      <c r="R1352" s="2" t="inlineStr"/>
    </row>
    <row r="1353" ht="15" customHeight="1">
      <c r="A1353" t="inlineStr">
        <is>
          <t>A 36068-2025</t>
        </is>
      </c>
      <c r="B1353" s="1" t="n">
        <v>45866.42752314815</v>
      </c>
      <c r="C1353" s="1" t="n">
        <v>45908</v>
      </c>
      <c r="D1353" t="inlineStr">
        <is>
          <t>VÄSTERNORRLANDS LÄN</t>
        </is>
      </c>
      <c r="E1353" t="inlineStr">
        <is>
          <t>SOLLEFTEÅ</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29562-2025</t>
        </is>
      </c>
      <c r="B1354" s="1" t="n">
        <v>45825</v>
      </c>
      <c r="C1354" s="1" t="n">
        <v>45908</v>
      </c>
      <c r="D1354" t="inlineStr">
        <is>
          <t>VÄSTERNORRLANDS LÄN</t>
        </is>
      </c>
      <c r="E1354" t="inlineStr">
        <is>
          <t>SOLLEFTEÅ</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36373-2025</t>
        </is>
      </c>
      <c r="B1355" s="1" t="n">
        <v>45868.55256944444</v>
      </c>
      <c r="C1355" s="1" t="n">
        <v>45908</v>
      </c>
      <c r="D1355" t="inlineStr">
        <is>
          <t>VÄSTERNORRLANDS LÄN</t>
        </is>
      </c>
      <c r="E1355" t="inlineStr">
        <is>
          <t>SOLLEFTEÅ</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30369-2025</t>
        </is>
      </c>
      <c r="B1356" s="1" t="n">
        <v>45827.55729166666</v>
      </c>
      <c r="C1356" s="1" t="n">
        <v>45908</v>
      </c>
      <c r="D1356" t="inlineStr">
        <is>
          <t>VÄSTERNORRLANDS LÄN</t>
        </is>
      </c>
      <c r="E1356" t="inlineStr">
        <is>
          <t>SOLLEFTEÅ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30389-2025</t>
        </is>
      </c>
      <c r="B1357" s="1" t="n">
        <v>45827.57356481482</v>
      </c>
      <c r="C1357" s="1" t="n">
        <v>45908</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29884-2025</t>
        </is>
      </c>
      <c r="B1358" s="1" t="n">
        <v>45826.36582175926</v>
      </c>
      <c r="C1358" s="1" t="n">
        <v>45908</v>
      </c>
      <c r="D1358" t="inlineStr">
        <is>
          <t>VÄSTERNORRLANDS LÄN</t>
        </is>
      </c>
      <c r="E1358" t="inlineStr">
        <is>
          <t>SOLLEFTEÅ</t>
        </is>
      </c>
      <c r="F1358" t="inlineStr">
        <is>
          <t>SCA</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49508-2020</t>
        </is>
      </c>
      <c r="B1359" s="1" t="n">
        <v>44105</v>
      </c>
      <c r="C1359" s="1" t="n">
        <v>45908</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11009-2024</t>
        </is>
      </c>
      <c r="B1360" s="1" t="n">
        <v>45370</v>
      </c>
      <c r="C1360" s="1" t="n">
        <v>45908</v>
      </c>
      <c r="D1360" t="inlineStr">
        <is>
          <t>VÄSTERNORRLANDS LÄN</t>
        </is>
      </c>
      <c r="E1360" t="inlineStr">
        <is>
          <t>SOLLEFTEÅ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30279-2025</t>
        </is>
      </c>
      <c r="B1361" s="1" t="n">
        <v>45827</v>
      </c>
      <c r="C1361" s="1" t="n">
        <v>45908</v>
      </c>
      <c r="D1361" t="inlineStr">
        <is>
          <t>VÄSTERNORRLANDS LÄN</t>
        </is>
      </c>
      <c r="E1361" t="inlineStr">
        <is>
          <t>SOLLEFTEÅ</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29860-2025</t>
        </is>
      </c>
      <c r="B1362" s="1" t="n">
        <v>45826.34638888889</v>
      </c>
      <c r="C1362" s="1" t="n">
        <v>45908</v>
      </c>
      <c r="D1362" t="inlineStr">
        <is>
          <t>VÄSTERNORRLANDS LÄN</t>
        </is>
      </c>
      <c r="E1362" t="inlineStr">
        <is>
          <t>SOLLEFTEÅ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30311-2025</t>
        </is>
      </c>
      <c r="B1363" s="1" t="n">
        <v>45827.49015046296</v>
      </c>
      <c r="C1363" s="1" t="n">
        <v>45908</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30018-2025</t>
        </is>
      </c>
      <c r="B1364" s="1" t="n">
        <v>45826.55332175926</v>
      </c>
      <c r="C1364" s="1" t="n">
        <v>45908</v>
      </c>
      <c r="D1364" t="inlineStr">
        <is>
          <t>VÄSTERNORRLANDS LÄN</t>
        </is>
      </c>
      <c r="E1364" t="inlineStr">
        <is>
          <t>SOLLEFTEÅ</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30020-2025</t>
        </is>
      </c>
      <c r="B1365" s="1" t="n">
        <v>45826.55337962963</v>
      </c>
      <c r="C1365" s="1" t="n">
        <v>45908</v>
      </c>
      <c r="D1365" t="inlineStr">
        <is>
          <t>VÄSTERNORRLANDS LÄN</t>
        </is>
      </c>
      <c r="E1365" t="inlineStr">
        <is>
          <t>SOLLEFTEÅ</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29883-2025</t>
        </is>
      </c>
      <c r="B1366" s="1" t="n">
        <v>45826.36568287037</v>
      </c>
      <c r="C1366" s="1" t="n">
        <v>45908</v>
      </c>
      <c r="D1366" t="inlineStr">
        <is>
          <t>VÄSTERNORRLANDS LÄN</t>
        </is>
      </c>
      <c r="E1366" t="inlineStr">
        <is>
          <t>SOLLEFTEÅ</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30401-2025</t>
        </is>
      </c>
      <c r="B1367" s="1" t="n">
        <v>45827.59135416667</v>
      </c>
      <c r="C1367" s="1" t="n">
        <v>45908</v>
      </c>
      <c r="D1367" t="inlineStr">
        <is>
          <t>VÄSTERNORRLANDS LÄN</t>
        </is>
      </c>
      <c r="E1367" t="inlineStr">
        <is>
          <t>SOLLEFTEÅ</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36545-2025</t>
        </is>
      </c>
      <c r="B1368" s="1" t="n">
        <v>45869.67761574074</v>
      </c>
      <c r="C1368" s="1" t="n">
        <v>45908</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30073-2025</t>
        </is>
      </c>
      <c r="B1369" s="1" t="n">
        <v>45826.63643518519</v>
      </c>
      <c r="C1369" s="1" t="n">
        <v>45908</v>
      </c>
      <c r="D1369" t="inlineStr">
        <is>
          <t>VÄSTERNORRLANDS LÄN</t>
        </is>
      </c>
      <c r="E1369" t="inlineStr">
        <is>
          <t>SOLLEFTEÅ</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36312-2025</t>
        </is>
      </c>
      <c r="B1370" s="1" t="n">
        <v>45868.34444444445</v>
      </c>
      <c r="C1370" s="1" t="n">
        <v>45908</v>
      </c>
      <c r="D1370" t="inlineStr">
        <is>
          <t>VÄSTERNORRLANDS LÄN</t>
        </is>
      </c>
      <c r="E1370" t="inlineStr">
        <is>
          <t>SOLLEFTEÅ</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36324-2025</t>
        </is>
      </c>
      <c r="B1371" s="1" t="n">
        <v>45868.40707175926</v>
      </c>
      <c r="C1371" s="1" t="n">
        <v>45908</v>
      </c>
      <c r="D1371" t="inlineStr">
        <is>
          <t>VÄSTERNORRLANDS LÄN</t>
        </is>
      </c>
      <c r="E1371" t="inlineStr">
        <is>
          <t>SOLLEFTEÅ</t>
        </is>
      </c>
      <c r="F1371" t="inlineStr">
        <is>
          <t>SCA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36313-2025</t>
        </is>
      </c>
      <c r="B1372" s="1" t="n">
        <v>45868.34456018519</v>
      </c>
      <c r="C1372" s="1" t="n">
        <v>45908</v>
      </c>
      <c r="D1372" t="inlineStr">
        <is>
          <t>VÄSTERNORRLANDS LÄN</t>
        </is>
      </c>
      <c r="E1372" t="inlineStr">
        <is>
          <t>SOLLEFTEÅ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36432-2025</t>
        </is>
      </c>
      <c r="B1373" s="1" t="n">
        <v>45869.36505787037</v>
      </c>
      <c r="C1373" s="1" t="n">
        <v>45908</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9967-2025</t>
        </is>
      </c>
      <c r="B1374" s="1" t="n">
        <v>45719.37890046297</v>
      </c>
      <c r="C1374" s="1" t="n">
        <v>45908</v>
      </c>
      <c r="D1374" t="inlineStr">
        <is>
          <t>VÄSTERNORRLANDS LÄN</t>
        </is>
      </c>
      <c r="E1374" t="inlineStr">
        <is>
          <t>SOLLEFTEÅ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45435-2024</t>
        </is>
      </c>
      <c r="B1375" s="1" t="n">
        <v>45576.61538194444</v>
      </c>
      <c r="C1375" s="1" t="n">
        <v>45908</v>
      </c>
      <c r="D1375" t="inlineStr">
        <is>
          <t>VÄSTERNORRLANDS LÄN</t>
        </is>
      </c>
      <c r="E1375" t="inlineStr">
        <is>
          <t>SOLLEFTEÅ</t>
        </is>
      </c>
      <c r="F1375" t="inlineStr">
        <is>
          <t>SCA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30478-2025</t>
        </is>
      </c>
      <c r="B1376" s="1" t="n">
        <v>45828.45866898148</v>
      </c>
      <c r="C1376" s="1" t="n">
        <v>45908</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c r="U1376">
        <f>HYPERLINK("https://klasma.github.io/Logging_2283/knärot/A 30478-2025 karta knärot.png", "A 30478-2025")</f>
        <v/>
      </c>
      <c r="V1376">
        <f>HYPERLINK("https://klasma.github.io/Logging_2283/klagomål/A 30478-2025 FSC-klagomål.docx", "A 30478-2025")</f>
        <v/>
      </c>
      <c r="W1376">
        <f>HYPERLINK("https://klasma.github.io/Logging_2283/klagomålsmail/A 30478-2025 FSC-klagomål mail.docx", "A 30478-2025")</f>
        <v/>
      </c>
      <c r="X1376">
        <f>HYPERLINK("https://klasma.github.io/Logging_2283/tillsyn/A 30478-2025 tillsynsbegäran.docx", "A 30478-2025")</f>
        <v/>
      </c>
      <c r="Y1376">
        <f>HYPERLINK("https://klasma.github.io/Logging_2283/tillsynsmail/A 30478-2025 tillsynsbegäran mail.docx", "A 30478-2025")</f>
        <v/>
      </c>
    </row>
    <row r="1377" ht="15" customHeight="1">
      <c r="A1377" t="inlineStr">
        <is>
          <t>A 36561-2025</t>
        </is>
      </c>
      <c r="B1377" s="1" t="n">
        <v>45870.36722222222</v>
      </c>
      <c r="C1377" s="1" t="n">
        <v>45908</v>
      </c>
      <c r="D1377" t="inlineStr">
        <is>
          <t>VÄSTERNORRLANDS LÄN</t>
        </is>
      </c>
      <c r="E1377" t="inlineStr">
        <is>
          <t>SOLLEFTEÅ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36571-2025</t>
        </is>
      </c>
      <c r="B1378" s="1" t="n">
        <v>45870.38778935185</v>
      </c>
      <c r="C1378" s="1" t="n">
        <v>45908</v>
      </c>
      <c r="D1378" t="inlineStr">
        <is>
          <t>VÄSTERNORRLANDS LÄN</t>
        </is>
      </c>
      <c r="E1378" t="inlineStr">
        <is>
          <t>SOLLEFTEÅ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30750-2025</t>
        </is>
      </c>
      <c r="B1379" s="1" t="n">
        <v>45831.58900462963</v>
      </c>
      <c r="C1379" s="1" t="n">
        <v>45908</v>
      </c>
      <c r="D1379" t="inlineStr">
        <is>
          <t>VÄSTERNORRLANDS LÄN</t>
        </is>
      </c>
      <c r="E1379" t="inlineStr">
        <is>
          <t>SOLLEFTEÅ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30754-2025</t>
        </is>
      </c>
      <c r="B1380" s="1" t="n">
        <v>45831.59417824074</v>
      </c>
      <c r="C1380" s="1" t="n">
        <v>45908</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36558-2025</t>
        </is>
      </c>
      <c r="B1381" s="1" t="n">
        <v>45870.35769675926</v>
      </c>
      <c r="C1381" s="1" t="n">
        <v>45908</v>
      </c>
      <c r="D1381" t="inlineStr">
        <is>
          <t>VÄSTERNORRLANDS LÄN</t>
        </is>
      </c>
      <c r="E1381" t="inlineStr">
        <is>
          <t>SOLLEFTEÅ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30774-2025</t>
        </is>
      </c>
      <c r="B1382" s="1" t="n">
        <v>45831.61501157407</v>
      </c>
      <c r="C1382" s="1" t="n">
        <v>45908</v>
      </c>
      <c r="D1382" t="inlineStr">
        <is>
          <t>VÄSTERNORRLANDS LÄN</t>
        </is>
      </c>
      <c r="E1382" t="inlineStr">
        <is>
          <t>SOLLEFTEÅ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30834-2025</t>
        </is>
      </c>
      <c r="B1383" s="1" t="n">
        <v>45831.6984837963</v>
      </c>
      <c r="C1383" s="1" t="n">
        <v>45908</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30733-2025</t>
        </is>
      </c>
      <c r="B1384" s="1" t="n">
        <v>45831.57340277778</v>
      </c>
      <c r="C1384" s="1" t="n">
        <v>45908</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30734-2025</t>
        </is>
      </c>
      <c r="B1385" s="1" t="n">
        <v>45831.5734375</v>
      </c>
      <c r="C1385" s="1" t="n">
        <v>45908</v>
      </c>
      <c r="D1385" t="inlineStr">
        <is>
          <t>VÄSTERNORRLANDS LÄN</t>
        </is>
      </c>
      <c r="E1385" t="inlineStr">
        <is>
          <t>SOLLEFTEÅ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31554-2024</t>
        </is>
      </c>
      <c r="B1386" s="1" t="n">
        <v>45505.96472222222</v>
      </c>
      <c r="C1386" s="1" t="n">
        <v>45908</v>
      </c>
      <c r="D1386" t="inlineStr">
        <is>
          <t>VÄSTERNORRLANDS LÄN</t>
        </is>
      </c>
      <c r="E1386" t="inlineStr">
        <is>
          <t>SOLLEFTEÅ</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36567-2025</t>
        </is>
      </c>
      <c r="B1387" s="1" t="n">
        <v>45870.38320601852</v>
      </c>
      <c r="C1387" s="1" t="n">
        <v>45908</v>
      </c>
      <c r="D1387" t="inlineStr">
        <is>
          <t>VÄSTERNORRLANDS LÄN</t>
        </is>
      </c>
      <c r="E1387" t="inlineStr">
        <is>
          <t>SOLLEFTEÅ</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37084-2025</t>
        </is>
      </c>
      <c r="B1388" s="1" t="n">
        <v>45875.44826388889</v>
      </c>
      <c r="C1388" s="1" t="n">
        <v>45908</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36966-2025</t>
        </is>
      </c>
      <c r="B1389" s="1" t="n">
        <v>45874.63614583333</v>
      </c>
      <c r="C1389" s="1" t="n">
        <v>45908</v>
      </c>
      <c r="D1389" t="inlineStr">
        <is>
          <t>VÄSTERNORRLANDS LÄN</t>
        </is>
      </c>
      <c r="E1389" t="inlineStr">
        <is>
          <t>SOLLEFTEÅ</t>
        </is>
      </c>
      <c r="F1389" t="inlineStr">
        <is>
          <t>SCA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36967-2025</t>
        </is>
      </c>
      <c r="B1390" s="1" t="n">
        <v>45874.63642361111</v>
      </c>
      <c r="C1390" s="1" t="n">
        <v>45908</v>
      </c>
      <c r="D1390" t="inlineStr">
        <is>
          <t>VÄSTERNORRLANDS LÄN</t>
        </is>
      </c>
      <c r="E1390" t="inlineStr">
        <is>
          <t>SOLLEFTEÅ</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30889-2025</t>
        </is>
      </c>
      <c r="B1391" s="1" t="n">
        <v>45832.34618055556</v>
      </c>
      <c r="C1391" s="1" t="n">
        <v>45908</v>
      </c>
      <c r="D1391" t="inlineStr">
        <is>
          <t>VÄSTERNORRLANDS LÄN</t>
        </is>
      </c>
      <c r="E1391" t="inlineStr">
        <is>
          <t>SOLLEFTEÅ</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30964-2025</t>
        </is>
      </c>
      <c r="B1392" s="1" t="n">
        <v>45832.45111111111</v>
      </c>
      <c r="C1392" s="1" t="n">
        <v>45908</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8880-2023</t>
        </is>
      </c>
      <c r="B1393" s="1" t="n">
        <v>44978.94346064814</v>
      </c>
      <c r="C1393" s="1" t="n">
        <v>45908</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31183-2025</t>
        </is>
      </c>
      <c r="B1394" s="1" t="n">
        <v>45832.67774305555</v>
      </c>
      <c r="C1394" s="1" t="n">
        <v>45908</v>
      </c>
      <c r="D1394" t="inlineStr">
        <is>
          <t>VÄSTERNORRLANDS LÄN</t>
        </is>
      </c>
      <c r="E1394" t="inlineStr">
        <is>
          <t>SOLLEFTEÅ</t>
        </is>
      </c>
      <c r="F1394" t="inlineStr">
        <is>
          <t>SCA</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51942-2024</t>
        </is>
      </c>
      <c r="B1395" s="1" t="n">
        <v>45607.63592592593</v>
      </c>
      <c r="C1395" s="1" t="n">
        <v>45908</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22690-2024</t>
        </is>
      </c>
      <c r="B1396" s="1" t="n">
        <v>45448.31293981482</v>
      </c>
      <c r="C1396" s="1" t="n">
        <v>45908</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1082-2025</t>
        </is>
      </c>
      <c r="B1397" s="1" t="n">
        <v>45666.61646990741</v>
      </c>
      <c r="C1397" s="1" t="n">
        <v>45908</v>
      </c>
      <c r="D1397" t="inlineStr">
        <is>
          <t>VÄSTERNORRLANDS LÄN</t>
        </is>
      </c>
      <c r="E1397" t="inlineStr">
        <is>
          <t>SOLLEFTEÅ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31345-2025</t>
        </is>
      </c>
      <c r="B1398" s="1" t="n">
        <v>45833.42854166667</v>
      </c>
      <c r="C1398" s="1" t="n">
        <v>45908</v>
      </c>
      <c r="D1398" t="inlineStr">
        <is>
          <t>VÄSTERNORRLANDS LÄN</t>
        </is>
      </c>
      <c r="E1398" t="inlineStr">
        <is>
          <t>SOLLEFTEÅ</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31347-2025</t>
        </is>
      </c>
      <c r="B1399" s="1" t="n">
        <v>45833</v>
      </c>
      <c r="C1399" s="1" t="n">
        <v>45908</v>
      </c>
      <c r="D1399" t="inlineStr">
        <is>
          <t>VÄSTERNORRLANDS LÄN</t>
        </is>
      </c>
      <c r="E1399" t="inlineStr">
        <is>
          <t>SOLLEFTEÅ</t>
        </is>
      </c>
      <c r="F1399" t="inlineStr">
        <is>
          <t>SCA</t>
        </is>
      </c>
      <c r="G1399" t="n">
        <v>19.5</v>
      </c>
      <c r="H1399" t="n">
        <v>0</v>
      </c>
      <c r="I1399" t="n">
        <v>0</v>
      </c>
      <c r="J1399" t="n">
        <v>0</v>
      </c>
      <c r="K1399" t="n">
        <v>0</v>
      </c>
      <c r="L1399" t="n">
        <v>0</v>
      </c>
      <c r="M1399" t="n">
        <v>0</v>
      </c>
      <c r="N1399" t="n">
        <v>0</v>
      </c>
      <c r="O1399" t="n">
        <v>0</v>
      </c>
      <c r="P1399" t="n">
        <v>0</v>
      </c>
      <c r="Q1399" t="n">
        <v>0</v>
      </c>
      <c r="R1399" s="2" t="inlineStr"/>
    </row>
    <row r="1400" ht="15" customHeight="1">
      <c r="A1400" t="inlineStr">
        <is>
          <t>A 36850-2025</t>
        </is>
      </c>
      <c r="B1400" s="1" t="n">
        <v>45874.39098379629</v>
      </c>
      <c r="C1400" s="1" t="n">
        <v>45908</v>
      </c>
      <c r="D1400" t="inlineStr">
        <is>
          <t>VÄSTERNORRLANDS LÄN</t>
        </is>
      </c>
      <c r="E1400" t="inlineStr">
        <is>
          <t>SOLLEFTEÅ</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31435-2025</t>
        </is>
      </c>
      <c r="B1401" s="1" t="n">
        <v>45833.49708333334</v>
      </c>
      <c r="C1401" s="1" t="n">
        <v>45908</v>
      </c>
      <c r="D1401" t="inlineStr">
        <is>
          <t>VÄSTERNORRLANDS LÄN</t>
        </is>
      </c>
      <c r="E1401" t="inlineStr">
        <is>
          <t>SOLLEFTEÅ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36927-2025</t>
        </is>
      </c>
      <c r="B1402" s="1" t="n">
        <v>45874.55273148148</v>
      </c>
      <c r="C1402" s="1" t="n">
        <v>45908</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37073-2025</t>
        </is>
      </c>
      <c r="B1403" s="1" t="n">
        <v>45875.40703703704</v>
      </c>
      <c r="C1403" s="1" t="n">
        <v>45908</v>
      </c>
      <c r="D1403" t="inlineStr">
        <is>
          <t>VÄSTERNORRLANDS LÄN</t>
        </is>
      </c>
      <c r="E1403" t="inlineStr">
        <is>
          <t>SOLLEFTEÅ</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31396-2025</t>
        </is>
      </c>
      <c r="B1404" s="1" t="n">
        <v>45833.4658912037</v>
      </c>
      <c r="C1404" s="1" t="n">
        <v>45908</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50963-2024</t>
        </is>
      </c>
      <c r="B1405" s="1" t="n">
        <v>45603.32388888889</v>
      </c>
      <c r="C1405" s="1" t="n">
        <v>45908</v>
      </c>
      <c r="D1405" t="inlineStr">
        <is>
          <t>VÄSTERNORRLANDS LÄN</t>
        </is>
      </c>
      <c r="E1405" t="inlineStr">
        <is>
          <t>SOLLEFTEÅ</t>
        </is>
      </c>
      <c r="F1405" t="inlineStr">
        <is>
          <t>Holmen skog AB</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31423-2025</t>
        </is>
      </c>
      <c r="B1406" s="1" t="n">
        <v>45833.48957175926</v>
      </c>
      <c r="C1406" s="1" t="n">
        <v>45908</v>
      </c>
      <c r="D1406" t="inlineStr">
        <is>
          <t>VÄSTERNORRLANDS LÄN</t>
        </is>
      </c>
      <c r="E1406" t="inlineStr">
        <is>
          <t>SOLLEFTEÅ</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36968-2025</t>
        </is>
      </c>
      <c r="B1407" s="1" t="n">
        <v>45874.63667824074</v>
      </c>
      <c r="C1407" s="1" t="n">
        <v>45908</v>
      </c>
      <c r="D1407" t="inlineStr">
        <is>
          <t>VÄSTERNORRLANDS LÄN</t>
        </is>
      </c>
      <c r="E1407" t="inlineStr">
        <is>
          <t>SOLLEFTEÅ</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31306-2025</t>
        </is>
      </c>
      <c r="B1408" s="1" t="n">
        <v>45833</v>
      </c>
      <c r="C1408" s="1" t="n">
        <v>45908</v>
      </c>
      <c r="D1408" t="inlineStr">
        <is>
          <t>VÄSTERNORRLANDS LÄN</t>
        </is>
      </c>
      <c r="E1408" t="inlineStr">
        <is>
          <t>SOLLEFTEÅ</t>
        </is>
      </c>
      <c r="F1408" t="inlineStr">
        <is>
          <t>SCA</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31337-2025</t>
        </is>
      </c>
      <c r="B1409" s="1" t="n">
        <v>45833.42751157407</v>
      </c>
      <c r="C1409" s="1" t="n">
        <v>45908</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45801-2024</t>
        </is>
      </c>
      <c r="B1410" s="1" t="n">
        <v>45579.67798611111</v>
      </c>
      <c r="C1410" s="1" t="n">
        <v>45908</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45802-2024</t>
        </is>
      </c>
      <c r="B1411" s="1" t="n">
        <v>45579.67818287037</v>
      </c>
      <c r="C1411" s="1" t="n">
        <v>45908</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46101-2024</t>
        </is>
      </c>
      <c r="B1412" s="1" t="n">
        <v>45581</v>
      </c>
      <c r="C1412" s="1" t="n">
        <v>45908</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37053-2025</t>
        </is>
      </c>
      <c r="B1413" s="1" t="n">
        <v>45875.36493055556</v>
      </c>
      <c r="C1413" s="1" t="n">
        <v>45908</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37065-2025</t>
        </is>
      </c>
      <c r="B1414" s="1" t="n">
        <v>45875.38619212963</v>
      </c>
      <c r="C1414" s="1" t="n">
        <v>45908</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31545-2025</t>
        </is>
      </c>
      <c r="B1415" s="1" t="n">
        <v>45833.63615740741</v>
      </c>
      <c r="C1415" s="1" t="n">
        <v>45908</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31395-2025</t>
        </is>
      </c>
      <c r="B1416" s="1" t="n">
        <v>45833.46438657407</v>
      </c>
      <c r="C1416" s="1" t="n">
        <v>45908</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31432-2025</t>
        </is>
      </c>
      <c r="B1417" s="1" t="n">
        <v>45833.49442129629</v>
      </c>
      <c r="C1417" s="1" t="n">
        <v>45908</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3319-2025</t>
        </is>
      </c>
      <c r="B1418" s="1" t="n">
        <v>45679</v>
      </c>
      <c r="C1418" s="1" t="n">
        <v>45908</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394-2024</t>
        </is>
      </c>
      <c r="B1419" s="1" t="n">
        <v>45296</v>
      </c>
      <c r="C1419" s="1" t="n">
        <v>45908</v>
      </c>
      <c r="D1419" t="inlineStr">
        <is>
          <t>VÄSTERNORRLANDS LÄN</t>
        </is>
      </c>
      <c r="E1419" t="inlineStr">
        <is>
          <t>SOLLEFTEÅ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31304-2025</t>
        </is>
      </c>
      <c r="B1420" s="1" t="n">
        <v>45833.38600694444</v>
      </c>
      <c r="C1420" s="1" t="n">
        <v>45908</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31338-2025</t>
        </is>
      </c>
      <c r="B1421" s="1" t="n">
        <v>45833.42768518518</v>
      </c>
      <c r="C1421" s="1" t="n">
        <v>45908</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31428-2025</t>
        </is>
      </c>
      <c r="B1422" s="1" t="n">
        <v>45833.4930787037</v>
      </c>
      <c r="C1422" s="1" t="n">
        <v>45908</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31437-2025</t>
        </is>
      </c>
      <c r="B1423" s="1" t="n">
        <v>45833.49855324074</v>
      </c>
      <c r="C1423" s="1" t="n">
        <v>45908</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37019-2025</t>
        </is>
      </c>
      <c r="B1424" s="1" t="n">
        <v>45874</v>
      </c>
      <c r="C1424" s="1" t="n">
        <v>45908</v>
      </c>
      <c r="D1424" t="inlineStr">
        <is>
          <t>VÄSTERNORRLANDS LÄN</t>
        </is>
      </c>
      <c r="E1424" t="inlineStr">
        <is>
          <t>SOLLEFTEÅ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36928-2025</t>
        </is>
      </c>
      <c r="B1425" s="1" t="n">
        <v>45874.55299768518</v>
      </c>
      <c r="C1425" s="1" t="n">
        <v>45908</v>
      </c>
      <c r="D1425" t="inlineStr">
        <is>
          <t>VÄSTERNORRLANDS LÄN</t>
        </is>
      </c>
      <c r="E1425" t="inlineStr">
        <is>
          <t>SOLLEFTEÅ</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31479-2025</t>
        </is>
      </c>
      <c r="B1426" s="1" t="n">
        <v>45833.57333333333</v>
      </c>
      <c r="C1426" s="1" t="n">
        <v>45908</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37018-2025</t>
        </is>
      </c>
      <c r="B1427" s="1" t="n">
        <v>45874</v>
      </c>
      <c r="C1427" s="1" t="n">
        <v>45908</v>
      </c>
      <c r="D1427" t="inlineStr">
        <is>
          <t>VÄSTERNORRLANDS LÄN</t>
        </is>
      </c>
      <c r="E1427" t="inlineStr">
        <is>
          <t>SOLLEFTEÅ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28510-2025</t>
        </is>
      </c>
      <c r="B1428" s="1" t="n">
        <v>45819</v>
      </c>
      <c r="C1428" s="1" t="n">
        <v>45908</v>
      </c>
      <c r="D1428" t="inlineStr">
        <is>
          <t>VÄSTERNORRLANDS LÄN</t>
        </is>
      </c>
      <c r="E1428" t="inlineStr">
        <is>
          <t>SOLLEFTEÅ</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32271-2025</t>
        </is>
      </c>
      <c r="B1429" s="1" t="n">
        <v>45835.65662037037</v>
      </c>
      <c r="C1429" s="1" t="n">
        <v>45908</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37325-2025</t>
        </is>
      </c>
      <c r="B1430" s="1" t="n">
        <v>45876.63581018519</v>
      </c>
      <c r="C1430" s="1" t="n">
        <v>45908</v>
      </c>
      <c r="D1430" t="inlineStr">
        <is>
          <t>VÄSTERNORRLANDS LÄN</t>
        </is>
      </c>
      <c r="E1430" t="inlineStr">
        <is>
          <t>SOLLEFTEÅ</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32291-2025</t>
        </is>
      </c>
      <c r="B1431" s="1" t="n">
        <v>45835.69961805556</v>
      </c>
      <c r="C1431" s="1" t="n">
        <v>45908</v>
      </c>
      <c r="D1431" t="inlineStr">
        <is>
          <t>VÄSTERNORRLANDS LÄN</t>
        </is>
      </c>
      <c r="E1431" t="inlineStr">
        <is>
          <t>SOLLEFTEÅ</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32280-2025</t>
        </is>
      </c>
      <c r="B1432" s="1" t="n">
        <v>45835.67638888889</v>
      </c>
      <c r="C1432" s="1" t="n">
        <v>45908</v>
      </c>
      <c r="D1432" t="inlineStr">
        <is>
          <t>VÄSTERNORRLANDS LÄN</t>
        </is>
      </c>
      <c r="E1432" t="inlineStr">
        <is>
          <t>SOLLEFTEÅ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32069-2025</t>
        </is>
      </c>
      <c r="B1433" s="1" t="n">
        <v>45835.4487037037</v>
      </c>
      <c r="C1433" s="1" t="n">
        <v>45908</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32139-2025</t>
        </is>
      </c>
      <c r="B1434" s="1" t="n">
        <v>45835</v>
      </c>
      <c r="C1434" s="1" t="n">
        <v>45908</v>
      </c>
      <c r="D1434" t="inlineStr">
        <is>
          <t>VÄSTERNORRLANDS LÄN</t>
        </is>
      </c>
      <c r="E1434" t="inlineStr">
        <is>
          <t>SOLLEFTEÅ</t>
        </is>
      </c>
      <c r="G1434" t="n">
        <v>17.8</v>
      </c>
      <c r="H1434" t="n">
        <v>0</v>
      </c>
      <c r="I1434" t="n">
        <v>0</v>
      </c>
      <c r="J1434" t="n">
        <v>0</v>
      </c>
      <c r="K1434" t="n">
        <v>0</v>
      </c>
      <c r="L1434" t="n">
        <v>0</v>
      </c>
      <c r="M1434" t="n">
        <v>0</v>
      </c>
      <c r="N1434" t="n">
        <v>0</v>
      </c>
      <c r="O1434" t="n">
        <v>0</v>
      </c>
      <c r="P1434" t="n">
        <v>0</v>
      </c>
      <c r="Q1434" t="n">
        <v>0</v>
      </c>
      <c r="R1434" s="2" t="inlineStr"/>
    </row>
    <row r="1435" ht="15" customHeight="1">
      <c r="A1435" t="inlineStr">
        <is>
          <t>A 14365-2024</t>
        </is>
      </c>
      <c r="B1435" s="1" t="n">
        <v>45393.94332175926</v>
      </c>
      <c r="C1435" s="1" t="n">
        <v>45908</v>
      </c>
      <c r="D1435" t="inlineStr">
        <is>
          <t>VÄSTERNORRLANDS LÄN</t>
        </is>
      </c>
      <c r="E1435" t="inlineStr">
        <is>
          <t>SOLLEFTEÅ</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32073-2025</t>
        </is>
      </c>
      <c r="B1436" s="1" t="n">
        <v>45835.44931712963</v>
      </c>
      <c r="C1436" s="1" t="n">
        <v>45908</v>
      </c>
      <c r="D1436" t="inlineStr">
        <is>
          <t>VÄSTERNORRLANDS LÄN</t>
        </is>
      </c>
      <c r="E1436" t="inlineStr">
        <is>
          <t>SOLLEFTEÅ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28658-2025</t>
        </is>
      </c>
      <c r="B1437" s="1" t="n">
        <v>45819</v>
      </c>
      <c r="C1437" s="1" t="n">
        <v>45908</v>
      </c>
      <c r="D1437" t="inlineStr">
        <is>
          <t>VÄSTERNORRLANDS LÄN</t>
        </is>
      </c>
      <c r="E1437" t="inlineStr">
        <is>
          <t>SOLLEFTEÅ</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29946-2023</t>
        </is>
      </c>
      <c r="B1438" s="1" t="n">
        <v>45107.93818287037</v>
      </c>
      <c r="C1438" s="1" t="n">
        <v>45908</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32029-2025</t>
        </is>
      </c>
      <c r="B1439" s="1" t="n">
        <v>45835.40788194445</v>
      </c>
      <c r="C1439" s="1" t="n">
        <v>45908</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32112-2025</t>
        </is>
      </c>
      <c r="B1440" s="1" t="n">
        <v>45835.48392361111</v>
      </c>
      <c r="C1440" s="1" t="n">
        <v>45908</v>
      </c>
      <c r="D1440" t="inlineStr">
        <is>
          <t>VÄSTERNORRLANDS LÄN</t>
        </is>
      </c>
      <c r="E1440" t="inlineStr">
        <is>
          <t>SOLLEFTEÅ</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38102-2022</t>
        </is>
      </c>
      <c r="B1441" s="1" t="n">
        <v>44811</v>
      </c>
      <c r="C1441" s="1" t="n">
        <v>45908</v>
      </c>
      <c r="D1441" t="inlineStr">
        <is>
          <t>VÄSTERNORRLANDS LÄN</t>
        </is>
      </c>
      <c r="E1441" t="inlineStr">
        <is>
          <t>SOLLEFTEÅ</t>
        </is>
      </c>
      <c r="F1441" t="inlineStr">
        <is>
          <t>SCA</t>
        </is>
      </c>
      <c r="G1441" t="n">
        <v>4.9</v>
      </c>
      <c r="H1441" t="n">
        <v>0</v>
      </c>
      <c r="I1441" t="n">
        <v>0</v>
      </c>
      <c r="J1441" t="n">
        <v>0</v>
      </c>
      <c r="K1441" t="n">
        <v>0</v>
      </c>
      <c r="L1441" t="n">
        <v>0</v>
      </c>
      <c r="M1441" t="n">
        <v>0</v>
      </c>
      <c r="N1441" t="n">
        <v>0</v>
      </c>
      <c r="O1441" t="n">
        <v>0</v>
      </c>
      <c r="P1441" t="n">
        <v>0</v>
      </c>
      <c r="Q1441" t="n">
        <v>0</v>
      </c>
      <c r="R1441" s="2" t="inlineStr"/>
      <c r="U1441">
        <f>HYPERLINK("https://klasma.github.io/Logging_2283/knärot/A 38102-2022 karta knärot.png", "A 38102-2022")</f>
        <v/>
      </c>
      <c r="V1441">
        <f>HYPERLINK("https://klasma.github.io/Logging_2283/klagomål/A 38102-2022 FSC-klagomål.docx", "A 38102-2022")</f>
        <v/>
      </c>
      <c r="W1441">
        <f>HYPERLINK("https://klasma.github.io/Logging_2283/klagomålsmail/A 38102-2022 FSC-klagomål mail.docx", "A 38102-2022")</f>
        <v/>
      </c>
      <c r="X1441">
        <f>HYPERLINK("https://klasma.github.io/Logging_2283/tillsyn/A 38102-2022 tillsynsbegäran.docx", "A 38102-2022")</f>
        <v/>
      </c>
      <c r="Y1441">
        <f>HYPERLINK("https://klasma.github.io/Logging_2283/tillsynsmail/A 38102-2022 tillsynsbegäran mail.docx", "A 38102-2022")</f>
        <v/>
      </c>
    </row>
    <row r="1442" ht="15" customHeight="1">
      <c r="A1442" t="inlineStr">
        <is>
          <t>A 34313-2024</t>
        </is>
      </c>
      <c r="B1442" s="1" t="n">
        <v>45524</v>
      </c>
      <c r="C1442" s="1" t="n">
        <v>45908</v>
      </c>
      <c r="D1442" t="inlineStr">
        <is>
          <t>VÄSTERNORRLANDS LÄN</t>
        </is>
      </c>
      <c r="E1442" t="inlineStr">
        <is>
          <t>SOLLEFTEÅ</t>
        </is>
      </c>
      <c r="F1442" t="inlineStr">
        <is>
          <t>Övriga statliga verk och myndigheter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34318-2024</t>
        </is>
      </c>
      <c r="B1443" s="1" t="n">
        <v>45524</v>
      </c>
      <c r="C1443" s="1" t="n">
        <v>45908</v>
      </c>
      <c r="D1443" t="inlineStr">
        <is>
          <t>VÄSTERNORRLANDS LÄN</t>
        </is>
      </c>
      <c r="E1443" t="inlineStr">
        <is>
          <t>SOLLEFTEÅ</t>
        </is>
      </c>
      <c r="F1443" t="inlineStr">
        <is>
          <t>Övriga statliga verk och myndigheter</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37278-2025</t>
        </is>
      </c>
      <c r="B1444" s="1" t="n">
        <v>45876.490625</v>
      </c>
      <c r="C1444" s="1" t="n">
        <v>45908</v>
      </c>
      <c r="D1444" t="inlineStr">
        <is>
          <t>VÄSTERNORRLANDS LÄN</t>
        </is>
      </c>
      <c r="E1444" t="inlineStr">
        <is>
          <t>SOLLEFTEÅ</t>
        </is>
      </c>
      <c r="F1444" t="inlineStr">
        <is>
          <t>SCA</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37242-2025</t>
        </is>
      </c>
      <c r="B1445" s="1" t="n">
        <v>45876.38614583333</v>
      </c>
      <c r="C1445" s="1" t="n">
        <v>45908</v>
      </c>
      <c r="D1445" t="inlineStr">
        <is>
          <t>VÄSTERNORRLANDS LÄN</t>
        </is>
      </c>
      <c r="E1445" t="inlineStr">
        <is>
          <t>SOLLEFTEÅ</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53483-2024</t>
        </is>
      </c>
      <c r="B1446" s="1" t="n">
        <v>45611</v>
      </c>
      <c r="C1446" s="1" t="n">
        <v>45908</v>
      </c>
      <c r="D1446" t="inlineStr">
        <is>
          <t>VÄSTERNORRLANDS LÄN</t>
        </is>
      </c>
      <c r="E1446" t="inlineStr">
        <is>
          <t>SOLLEFTEÅ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37304-2025</t>
        </is>
      </c>
      <c r="B1447" s="1" t="n">
        <v>45876.59458333333</v>
      </c>
      <c r="C1447" s="1" t="n">
        <v>45908</v>
      </c>
      <c r="D1447" t="inlineStr">
        <is>
          <t>VÄSTERNORRLANDS LÄN</t>
        </is>
      </c>
      <c r="E1447" t="inlineStr">
        <is>
          <t>SOLLEFTEÅ</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31801-2025</t>
        </is>
      </c>
      <c r="B1448" s="1" t="n">
        <v>45834.55290509259</v>
      </c>
      <c r="C1448" s="1" t="n">
        <v>45908</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31665-2025</t>
        </is>
      </c>
      <c r="B1449" s="1" t="n">
        <v>45834.36497685185</v>
      </c>
      <c r="C1449" s="1" t="n">
        <v>45908</v>
      </c>
      <c r="D1449" t="inlineStr">
        <is>
          <t>VÄSTERNORRLANDS LÄN</t>
        </is>
      </c>
      <c r="E1449" t="inlineStr">
        <is>
          <t>SOLLEFTEÅ</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31963-2025</t>
        </is>
      </c>
      <c r="B1450" s="1" t="n">
        <v>45835.34480324074</v>
      </c>
      <c r="C1450" s="1" t="n">
        <v>45908</v>
      </c>
      <c r="D1450" t="inlineStr">
        <is>
          <t>VÄSTERNORRLANDS LÄN</t>
        </is>
      </c>
      <c r="E1450" t="inlineStr">
        <is>
          <t>SOLLEFTEÅ</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37801-2025</t>
        </is>
      </c>
      <c r="B1451" s="1" t="n">
        <v>45881.34436342592</v>
      </c>
      <c r="C1451" s="1" t="n">
        <v>45908</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32749-2025</t>
        </is>
      </c>
      <c r="B1452" s="1" t="n">
        <v>45839.42834490741</v>
      </c>
      <c r="C1452" s="1" t="n">
        <v>45908</v>
      </c>
      <c r="D1452" t="inlineStr">
        <is>
          <t>VÄSTERNORRLANDS LÄN</t>
        </is>
      </c>
      <c r="E1452" t="inlineStr">
        <is>
          <t>SOLLEFTEÅ</t>
        </is>
      </c>
      <c r="F1452" t="inlineStr">
        <is>
          <t>SCA</t>
        </is>
      </c>
      <c r="G1452" t="n">
        <v>15.3</v>
      </c>
      <c r="H1452" t="n">
        <v>0</v>
      </c>
      <c r="I1452" t="n">
        <v>0</v>
      </c>
      <c r="J1452" t="n">
        <v>0</v>
      </c>
      <c r="K1452" t="n">
        <v>0</v>
      </c>
      <c r="L1452" t="n">
        <v>0</v>
      </c>
      <c r="M1452" t="n">
        <v>0</v>
      </c>
      <c r="N1452" t="n">
        <v>0</v>
      </c>
      <c r="O1452" t="n">
        <v>0</v>
      </c>
      <c r="P1452" t="n">
        <v>0</v>
      </c>
      <c r="Q1452" t="n">
        <v>0</v>
      </c>
      <c r="R1452" s="2" t="inlineStr"/>
    </row>
    <row r="1453" ht="15" customHeight="1">
      <c r="A1453" t="inlineStr">
        <is>
          <t>A 32745-2025</t>
        </is>
      </c>
      <c r="B1453" s="1" t="n">
        <v>45839.42753472222</v>
      </c>
      <c r="C1453" s="1" t="n">
        <v>45908</v>
      </c>
      <c r="D1453" t="inlineStr">
        <is>
          <t>VÄSTERNORRLANDS LÄN</t>
        </is>
      </c>
      <c r="E1453" t="inlineStr">
        <is>
          <t>SOLLEFTEÅ</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23730-2024</t>
        </is>
      </c>
      <c r="B1454" s="1" t="n">
        <v>45454.95877314815</v>
      </c>
      <c r="C1454" s="1" t="n">
        <v>45908</v>
      </c>
      <c r="D1454" t="inlineStr">
        <is>
          <t>VÄSTERNORRLANDS LÄN</t>
        </is>
      </c>
      <c r="E1454" t="inlineStr">
        <is>
          <t>SOLLEFTEÅ</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36771-2023</t>
        </is>
      </c>
      <c r="B1455" s="1" t="n">
        <v>45153</v>
      </c>
      <c r="C1455" s="1" t="n">
        <v>45908</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20066-2024</t>
        </is>
      </c>
      <c r="B1456" s="1" t="n">
        <v>45434</v>
      </c>
      <c r="C1456" s="1" t="n">
        <v>45908</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27943-2022</t>
        </is>
      </c>
      <c r="B1457" s="1" t="n">
        <v>44743</v>
      </c>
      <c r="C1457" s="1" t="n">
        <v>45908</v>
      </c>
      <c r="D1457" t="inlineStr">
        <is>
          <t>VÄSTERNORRLANDS LÄN</t>
        </is>
      </c>
      <c r="E1457" t="inlineStr">
        <is>
          <t>SOLLEFTEÅ</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42950-2024</t>
        </is>
      </c>
      <c r="B1458" s="1" t="n">
        <v>45567.36657407408</v>
      </c>
      <c r="C1458" s="1" t="n">
        <v>45908</v>
      </c>
      <c r="D1458" t="inlineStr">
        <is>
          <t>VÄSTERNORRLANDS LÄN</t>
        </is>
      </c>
      <c r="E1458" t="inlineStr">
        <is>
          <t>SOLLEFTEÅ</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20515-2024</t>
        </is>
      </c>
      <c r="B1459" s="1" t="n">
        <v>45435</v>
      </c>
      <c r="C1459" s="1" t="n">
        <v>45908</v>
      </c>
      <c r="D1459" t="inlineStr">
        <is>
          <t>VÄSTERNORRLANDS LÄN</t>
        </is>
      </c>
      <c r="E1459" t="inlineStr">
        <is>
          <t>SOLLEFTEÅ</t>
        </is>
      </c>
      <c r="F1459" t="inlineStr">
        <is>
          <t>SCA</t>
        </is>
      </c>
      <c r="G1459" t="n">
        <v>18.8</v>
      </c>
      <c r="H1459" t="n">
        <v>0</v>
      </c>
      <c r="I1459" t="n">
        <v>0</v>
      </c>
      <c r="J1459" t="n">
        <v>0</v>
      </c>
      <c r="K1459" t="n">
        <v>0</v>
      </c>
      <c r="L1459" t="n">
        <v>0</v>
      </c>
      <c r="M1459" t="n">
        <v>0</v>
      </c>
      <c r="N1459" t="n">
        <v>0</v>
      </c>
      <c r="O1459" t="n">
        <v>0</v>
      </c>
      <c r="P1459" t="n">
        <v>0</v>
      </c>
      <c r="Q1459" t="n">
        <v>0</v>
      </c>
      <c r="R1459" s="2" t="inlineStr"/>
    </row>
    <row r="1460" ht="15" customHeight="1">
      <c r="A1460" t="inlineStr">
        <is>
          <t>A 37581-2025</t>
        </is>
      </c>
      <c r="B1460" s="1" t="n">
        <v>45880.38623842593</v>
      </c>
      <c r="C1460" s="1" t="n">
        <v>45908</v>
      </c>
      <c r="D1460" t="inlineStr">
        <is>
          <t>VÄSTERNORRLANDS LÄN</t>
        </is>
      </c>
      <c r="E1460" t="inlineStr">
        <is>
          <t>SOLLEFTEÅ</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32346-2025</t>
        </is>
      </c>
      <c r="B1461" s="1" t="n">
        <v>45837.44827546296</v>
      </c>
      <c r="C1461" s="1" t="n">
        <v>45908</v>
      </c>
      <c r="D1461" t="inlineStr">
        <is>
          <t>VÄSTERNORRLANDS LÄN</t>
        </is>
      </c>
      <c r="E1461" t="inlineStr">
        <is>
          <t>SOLLEFTEÅ</t>
        </is>
      </c>
      <c r="F1461" t="inlineStr">
        <is>
          <t>SCA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32338-2025</t>
        </is>
      </c>
      <c r="B1462" s="1" t="n">
        <v>45836.67751157407</v>
      </c>
      <c r="C1462" s="1" t="n">
        <v>45908</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37921-2025</t>
        </is>
      </c>
      <c r="B1463" s="1" t="n">
        <v>45881.57491898148</v>
      </c>
      <c r="C1463" s="1" t="n">
        <v>45908</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32448-2025</t>
        </is>
      </c>
      <c r="B1464" s="1" t="n">
        <v>45838.38645833333</v>
      </c>
      <c r="C1464" s="1" t="n">
        <v>45908</v>
      </c>
      <c r="D1464" t="inlineStr">
        <is>
          <t>VÄSTERNORRLANDS LÄN</t>
        </is>
      </c>
      <c r="E1464" t="inlineStr">
        <is>
          <t>SOLLEFTEÅ</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32537-2025</t>
        </is>
      </c>
      <c r="B1465" s="1" t="n">
        <v>45838.49689814815</v>
      </c>
      <c r="C1465" s="1" t="n">
        <v>45908</v>
      </c>
      <c r="D1465" t="inlineStr">
        <is>
          <t>VÄSTERNORRLANDS LÄN</t>
        </is>
      </c>
      <c r="E1465" t="inlineStr">
        <is>
          <t>SOLLEFTEÅ</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33496-2025</t>
        </is>
      </c>
      <c r="B1466" s="1" t="n">
        <v>45841</v>
      </c>
      <c r="C1466" s="1" t="n">
        <v>45908</v>
      </c>
      <c r="D1466" t="inlineStr">
        <is>
          <t>VÄSTERNORRLANDS LÄN</t>
        </is>
      </c>
      <c r="E1466" t="inlineStr">
        <is>
          <t>SOLLEFTEÅ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33502-2025</t>
        </is>
      </c>
      <c r="B1467" s="1" t="n">
        <v>45841.51101851852</v>
      </c>
      <c r="C1467" s="1" t="n">
        <v>45908</v>
      </c>
      <c r="D1467" t="inlineStr">
        <is>
          <t>VÄSTERNORRLANDS LÄN</t>
        </is>
      </c>
      <c r="E1467" t="inlineStr">
        <is>
          <t>SOLLEFTEÅ</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38330-2025</t>
        </is>
      </c>
      <c r="B1468" s="1" t="n">
        <v>45883.49123842592</v>
      </c>
      <c r="C1468" s="1" t="n">
        <v>45908</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38092-2025</t>
        </is>
      </c>
      <c r="B1469" s="1" t="n">
        <v>45882.49005787037</v>
      </c>
      <c r="C1469" s="1" t="n">
        <v>45908</v>
      </c>
      <c r="D1469" t="inlineStr">
        <is>
          <t>VÄSTERNORRLANDS LÄN</t>
        </is>
      </c>
      <c r="E1469" t="inlineStr">
        <is>
          <t>SOLLEFTEÅ</t>
        </is>
      </c>
      <c r="F1469" t="inlineStr">
        <is>
          <t>SCA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33430-2025</t>
        </is>
      </c>
      <c r="B1470" s="1" t="n">
        <v>45841.44829861111</v>
      </c>
      <c r="C1470" s="1" t="n">
        <v>45908</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33436-2025</t>
        </is>
      </c>
      <c r="B1471" s="1" t="n">
        <v>45841.44898148148</v>
      </c>
      <c r="C1471" s="1" t="n">
        <v>45908</v>
      </c>
      <c r="D1471" t="inlineStr">
        <is>
          <t>VÄSTERNORRLANDS LÄN</t>
        </is>
      </c>
      <c r="E1471" t="inlineStr">
        <is>
          <t>SOLLEFTEÅ</t>
        </is>
      </c>
      <c r="F1471" t="inlineStr">
        <is>
          <t>SCA</t>
        </is>
      </c>
      <c r="G1471" t="n">
        <v>19.2</v>
      </c>
      <c r="H1471" t="n">
        <v>0</v>
      </c>
      <c r="I1471" t="n">
        <v>0</v>
      </c>
      <c r="J1471" t="n">
        <v>0</v>
      </c>
      <c r="K1471" t="n">
        <v>0</v>
      </c>
      <c r="L1471" t="n">
        <v>0</v>
      </c>
      <c r="M1471" t="n">
        <v>0</v>
      </c>
      <c r="N1471" t="n">
        <v>0</v>
      </c>
      <c r="O1471" t="n">
        <v>0</v>
      </c>
      <c r="P1471" t="n">
        <v>0</v>
      </c>
      <c r="Q1471" t="n">
        <v>0</v>
      </c>
      <c r="R1471" s="2" t="inlineStr"/>
    </row>
    <row r="1472" ht="15" customHeight="1">
      <c r="A1472" t="inlineStr">
        <is>
          <t>A 33437-2025</t>
        </is>
      </c>
      <c r="B1472" s="1" t="n">
        <v>45841.4502199074</v>
      </c>
      <c r="C1472" s="1" t="n">
        <v>45908</v>
      </c>
      <c r="D1472" t="inlineStr">
        <is>
          <t>VÄSTERNORRLANDS LÄN</t>
        </is>
      </c>
      <c r="E1472" t="inlineStr">
        <is>
          <t>SOLLEFTEÅ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33676-2025</t>
        </is>
      </c>
      <c r="B1473" s="1" t="n">
        <v>45841.67818287037</v>
      </c>
      <c r="C1473" s="1" t="n">
        <v>45908</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28580-2024</t>
        </is>
      </c>
      <c r="B1474" s="1" t="n">
        <v>45478</v>
      </c>
      <c r="C1474" s="1" t="n">
        <v>45908</v>
      </c>
      <c r="D1474" t="inlineStr">
        <is>
          <t>VÄSTERNORRLANDS LÄN</t>
        </is>
      </c>
      <c r="E1474" t="inlineStr">
        <is>
          <t>SOLLEFTEÅ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38156-2025</t>
        </is>
      </c>
      <c r="B1475" s="1" t="n">
        <v>45882.61491898148</v>
      </c>
      <c r="C1475" s="1" t="n">
        <v>45908</v>
      </c>
      <c r="D1475" t="inlineStr">
        <is>
          <t>VÄSTERNORRLANDS LÄN</t>
        </is>
      </c>
      <c r="E1475" t="inlineStr">
        <is>
          <t>SOLLEFTEÅ</t>
        </is>
      </c>
      <c r="F1475" t="inlineStr">
        <is>
          <t>SCA</t>
        </is>
      </c>
      <c r="G1475" t="n">
        <v>13.5</v>
      </c>
      <c r="H1475" t="n">
        <v>0</v>
      </c>
      <c r="I1475" t="n">
        <v>0</v>
      </c>
      <c r="J1475" t="n">
        <v>0</v>
      </c>
      <c r="K1475" t="n">
        <v>0</v>
      </c>
      <c r="L1475" t="n">
        <v>0</v>
      </c>
      <c r="M1475" t="n">
        <v>0</v>
      </c>
      <c r="N1475" t="n">
        <v>0</v>
      </c>
      <c r="O1475" t="n">
        <v>0</v>
      </c>
      <c r="P1475" t="n">
        <v>0</v>
      </c>
      <c r="Q1475" t="n">
        <v>0</v>
      </c>
      <c r="R1475" s="2" t="inlineStr"/>
    </row>
    <row r="1476" ht="15" customHeight="1">
      <c r="A1476" t="inlineStr">
        <is>
          <t>A 38240-2025</t>
        </is>
      </c>
      <c r="B1476" s="1" t="n">
        <v>45883.36532407408</v>
      </c>
      <c r="C1476" s="1" t="n">
        <v>45908</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33013-2025</t>
        </is>
      </c>
      <c r="B1477" s="1" t="n">
        <v>45840.36518518518</v>
      </c>
      <c r="C1477" s="1" t="n">
        <v>45908</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33607-2025</t>
        </is>
      </c>
      <c r="B1478" s="1" t="n">
        <v>45841.61521990741</v>
      </c>
      <c r="C1478" s="1" t="n">
        <v>45908</v>
      </c>
      <c r="D1478" t="inlineStr">
        <is>
          <t>VÄSTERNORRLANDS LÄN</t>
        </is>
      </c>
      <c r="E1478" t="inlineStr">
        <is>
          <t>SOLLEFTEÅ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33673-2025</t>
        </is>
      </c>
      <c r="B1479" s="1" t="n">
        <v>45841.67761574074</v>
      </c>
      <c r="C1479" s="1" t="n">
        <v>45908</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33012-2025</t>
        </is>
      </c>
      <c r="B1480" s="1" t="n">
        <v>45840.36498842593</v>
      </c>
      <c r="C1480" s="1" t="n">
        <v>45908</v>
      </c>
      <c r="D1480" t="inlineStr">
        <is>
          <t>VÄSTERNORRLANDS LÄN</t>
        </is>
      </c>
      <c r="E1480" t="inlineStr">
        <is>
          <t>SOLLEFTEÅ</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6474-2023</t>
        </is>
      </c>
      <c r="B1481" s="1" t="n">
        <v>44965.94128472222</v>
      </c>
      <c r="C1481" s="1" t="n">
        <v>45908</v>
      </c>
      <c r="D1481" t="inlineStr">
        <is>
          <t>VÄSTERNORRLANDS LÄN</t>
        </is>
      </c>
      <c r="E1481" t="inlineStr">
        <is>
          <t>SOLLEFTEÅ</t>
        </is>
      </c>
      <c r="F1481" t="inlineStr">
        <is>
          <t>SCA</t>
        </is>
      </c>
      <c r="G1481" t="n">
        <v>47.3</v>
      </c>
      <c r="H1481" t="n">
        <v>0</v>
      </c>
      <c r="I1481" t="n">
        <v>0</v>
      </c>
      <c r="J1481" t="n">
        <v>0</v>
      </c>
      <c r="K1481" t="n">
        <v>0</v>
      </c>
      <c r="L1481" t="n">
        <v>0</v>
      </c>
      <c r="M1481" t="n">
        <v>0</v>
      </c>
      <c r="N1481" t="n">
        <v>0</v>
      </c>
      <c r="O1481" t="n">
        <v>0</v>
      </c>
      <c r="P1481" t="n">
        <v>0</v>
      </c>
      <c r="Q1481" t="n">
        <v>0</v>
      </c>
      <c r="R1481" s="2" t="inlineStr"/>
    </row>
    <row r="1482" ht="15" customHeight="1">
      <c r="A1482" t="inlineStr">
        <is>
          <t>A 38190-2025</t>
        </is>
      </c>
      <c r="B1482" s="1" t="n">
        <v>45882.65680555555</v>
      </c>
      <c r="C1482" s="1" t="n">
        <v>45908</v>
      </c>
      <c r="D1482" t="inlineStr">
        <is>
          <t>VÄSTERNORRLANDS LÄN</t>
        </is>
      </c>
      <c r="E1482" t="inlineStr">
        <is>
          <t>SOLLEFTEÅ</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38220-2025</t>
        </is>
      </c>
      <c r="B1483" s="1" t="n">
        <v>45883.34418981482</v>
      </c>
      <c r="C1483" s="1" t="n">
        <v>45908</v>
      </c>
      <c r="D1483" t="inlineStr">
        <is>
          <t>VÄSTERNORRLANDS LÄN</t>
        </is>
      </c>
      <c r="E1483" t="inlineStr">
        <is>
          <t>SOLLEFTEÅ</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33675-2025</t>
        </is>
      </c>
      <c r="B1484" s="1" t="n">
        <v>45841.67796296296</v>
      </c>
      <c r="C1484" s="1" t="n">
        <v>45908</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38271-2025</t>
        </is>
      </c>
      <c r="B1485" s="1" t="n">
        <v>45883.4071412037</v>
      </c>
      <c r="C1485" s="1" t="n">
        <v>45908</v>
      </c>
      <c r="D1485" t="inlineStr">
        <is>
          <t>VÄSTERNORRLANDS LÄN</t>
        </is>
      </c>
      <c r="E1485" t="inlineStr">
        <is>
          <t>SOLLEFTEÅ</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33442-2025</t>
        </is>
      </c>
      <c r="B1486" s="1" t="n">
        <v>45841.46092592592</v>
      </c>
      <c r="C1486" s="1" t="n">
        <v>45908</v>
      </c>
      <c r="D1486" t="inlineStr">
        <is>
          <t>VÄSTERNORRLANDS LÄN</t>
        </is>
      </c>
      <c r="E1486" t="inlineStr">
        <is>
          <t>SOLLEFTEÅ</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33674-2025</t>
        </is>
      </c>
      <c r="B1487" s="1" t="n">
        <v>45841.67770833334</v>
      </c>
      <c r="C1487" s="1" t="n">
        <v>45908</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52035-2022</t>
        </is>
      </c>
      <c r="B1488" s="1" t="n">
        <v>44872</v>
      </c>
      <c r="C1488" s="1" t="n">
        <v>45908</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33452-2025</t>
        </is>
      </c>
      <c r="B1489" s="1" t="n">
        <v>45841.46940972222</v>
      </c>
      <c r="C1489" s="1" t="n">
        <v>45908</v>
      </c>
      <c r="D1489" t="inlineStr">
        <is>
          <t>VÄSTERNORRLANDS LÄN</t>
        </is>
      </c>
      <c r="E1489" t="inlineStr">
        <is>
          <t>SOLLEFTEÅ</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33495-2025</t>
        </is>
      </c>
      <c r="B1490" s="1" t="n">
        <v>45841</v>
      </c>
      <c r="C1490" s="1" t="n">
        <v>45908</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52136-2023</t>
        </is>
      </c>
      <c r="B1491" s="1" t="n">
        <v>45223.96625</v>
      </c>
      <c r="C1491" s="1" t="n">
        <v>45908</v>
      </c>
      <c r="D1491" t="inlineStr">
        <is>
          <t>VÄSTERNORRLANDS LÄN</t>
        </is>
      </c>
      <c r="E1491" t="inlineStr">
        <is>
          <t>SOLLEFTEÅ</t>
        </is>
      </c>
      <c r="F1491" t="inlineStr">
        <is>
          <t>SCA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59346-2023</t>
        </is>
      </c>
      <c r="B1492" s="1" t="n">
        <v>45253</v>
      </c>
      <c r="C1492" s="1" t="n">
        <v>45908</v>
      </c>
      <c r="D1492" t="inlineStr">
        <is>
          <t>VÄSTERNORRLANDS LÄN</t>
        </is>
      </c>
      <c r="E1492" t="inlineStr">
        <is>
          <t>SOLLEFTEÅ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50549-2024</t>
        </is>
      </c>
      <c r="B1493" s="1" t="n">
        <v>45601</v>
      </c>
      <c r="C1493" s="1" t="n">
        <v>45908</v>
      </c>
      <c r="D1493" t="inlineStr">
        <is>
          <t>VÄSTERNORRLANDS LÄN</t>
        </is>
      </c>
      <c r="E1493" t="inlineStr">
        <is>
          <t>SOLLEFTEÅ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38769-2024</t>
        </is>
      </c>
      <c r="B1494" s="1" t="n">
        <v>45547.44914351852</v>
      </c>
      <c r="C1494" s="1" t="n">
        <v>45908</v>
      </c>
      <c r="D1494" t="inlineStr">
        <is>
          <t>VÄSTERNORRLANDS LÄN</t>
        </is>
      </c>
      <c r="E1494" t="inlineStr">
        <is>
          <t>SOLLEFTEÅ</t>
        </is>
      </c>
      <c r="F1494" t="inlineStr">
        <is>
          <t>SCA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50624-2024</t>
        </is>
      </c>
      <c r="B1495" s="1" t="n">
        <v>45601.65728009259</v>
      </c>
      <c r="C1495" s="1" t="n">
        <v>45908</v>
      </c>
      <c r="D1495" t="inlineStr">
        <is>
          <t>VÄSTERNORRLANDS LÄN</t>
        </is>
      </c>
      <c r="E1495" t="inlineStr">
        <is>
          <t>SOLLEFTEÅ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33825-2025</t>
        </is>
      </c>
      <c r="B1496" s="1" t="n">
        <v>45842.46930555555</v>
      </c>
      <c r="C1496" s="1" t="n">
        <v>45908</v>
      </c>
      <c r="D1496" t="inlineStr">
        <is>
          <t>VÄSTERNORRLANDS LÄN</t>
        </is>
      </c>
      <c r="E1496" t="inlineStr">
        <is>
          <t>SOLLEFTEÅ</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33855-2025</t>
        </is>
      </c>
      <c r="B1497" s="1" t="n">
        <v>45842.51125</v>
      </c>
      <c r="C1497" s="1" t="n">
        <v>45908</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38931-2025</t>
        </is>
      </c>
      <c r="B1498" s="1" t="n">
        <v>45887.63664351852</v>
      </c>
      <c r="C1498" s="1" t="n">
        <v>45908</v>
      </c>
      <c r="D1498" t="inlineStr">
        <is>
          <t>VÄSTERNORRLANDS LÄN</t>
        </is>
      </c>
      <c r="E1498" t="inlineStr">
        <is>
          <t>SOLLEFTEÅ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38910-2025</t>
        </is>
      </c>
      <c r="B1499" s="1" t="n">
        <v>45887.61509259259</v>
      </c>
      <c r="C1499" s="1" t="n">
        <v>45908</v>
      </c>
      <c r="D1499" t="inlineStr">
        <is>
          <t>VÄSTERNORRLANDS LÄN</t>
        </is>
      </c>
      <c r="E1499" t="inlineStr">
        <is>
          <t>SOLLEFTEÅ</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33936-2025</t>
        </is>
      </c>
      <c r="B1500" s="1" t="n">
        <v>45842.63630787037</v>
      </c>
      <c r="C1500" s="1" t="n">
        <v>45908</v>
      </c>
      <c r="D1500" t="inlineStr">
        <is>
          <t>VÄSTERNORRLANDS LÄN</t>
        </is>
      </c>
      <c r="E1500" t="inlineStr">
        <is>
          <t>SOLLEFTEÅ</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33917-2025</t>
        </is>
      </c>
      <c r="B1501" s="1" t="n">
        <v>45842.61491898148</v>
      </c>
      <c r="C1501" s="1" t="n">
        <v>45908</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38972-2025</t>
        </is>
      </c>
      <c r="B1502" s="1" t="n">
        <v>45887.71930555555</v>
      </c>
      <c r="C1502" s="1" t="n">
        <v>45908</v>
      </c>
      <c r="D1502" t="inlineStr">
        <is>
          <t>VÄSTERNORRLANDS LÄN</t>
        </is>
      </c>
      <c r="E1502" t="inlineStr">
        <is>
          <t>SOLLEFTEÅ</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38493-2025</t>
        </is>
      </c>
      <c r="B1503" s="1" t="n">
        <v>45884.36516203704</v>
      </c>
      <c r="C1503" s="1" t="n">
        <v>45908</v>
      </c>
      <c r="D1503" t="inlineStr">
        <is>
          <t>VÄSTERNORRLANDS LÄN</t>
        </is>
      </c>
      <c r="E1503" t="inlineStr">
        <is>
          <t>SOLLEFTEÅ</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38973-2025</t>
        </is>
      </c>
      <c r="B1504" s="1" t="n">
        <v>45887.71942129629</v>
      </c>
      <c r="C1504" s="1" t="n">
        <v>45908</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38958-2025</t>
        </is>
      </c>
      <c r="B1505" s="1" t="n">
        <v>45887.67751157407</v>
      </c>
      <c r="C1505" s="1" t="n">
        <v>45908</v>
      </c>
      <c r="D1505" t="inlineStr">
        <is>
          <t>VÄSTERNORRLANDS LÄN</t>
        </is>
      </c>
      <c r="E1505" t="inlineStr">
        <is>
          <t>SOLLEFTEÅ</t>
        </is>
      </c>
      <c r="F1505" t="inlineStr">
        <is>
          <t>SCA</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30068-2024</t>
        </is>
      </c>
      <c r="B1506" s="1" t="n">
        <v>45488.94886574074</v>
      </c>
      <c r="C1506" s="1" t="n">
        <v>45908</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29070-2023</t>
        </is>
      </c>
      <c r="B1507" s="1" t="n">
        <v>45104.94119212963</v>
      </c>
      <c r="C1507" s="1" t="n">
        <v>45908</v>
      </c>
      <c r="D1507" t="inlineStr">
        <is>
          <t>VÄSTERNORRLANDS LÄN</t>
        </is>
      </c>
      <c r="E1507" t="inlineStr">
        <is>
          <t>SOLLEFTEÅ</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29197-2023</t>
        </is>
      </c>
      <c r="B1508" s="1" t="n">
        <v>45097</v>
      </c>
      <c r="C1508" s="1" t="n">
        <v>45908</v>
      </c>
      <c r="D1508" t="inlineStr">
        <is>
          <t>VÄSTERNORRLANDS LÄN</t>
        </is>
      </c>
      <c r="E1508" t="inlineStr">
        <is>
          <t>SOLLEFTEÅ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19814-2022</t>
        </is>
      </c>
      <c r="B1509" s="1" t="n">
        <v>44694.93945601852</v>
      </c>
      <c r="C1509" s="1" t="n">
        <v>45908</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45973-2023</t>
        </is>
      </c>
      <c r="B1510" s="1" t="n">
        <v>45195</v>
      </c>
      <c r="C1510" s="1" t="n">
        <v>45908</v>
      </c>
      <c r="D1510" t="inlineStr">
        <is>
          <t>VÄSTERNORRLANDS LÄN</t>
        </is>
      </c>
      <c r="E1510" t="inlineStr">
        <is>
          <t>SOLLEFTEÅ</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59421-2024</t>
        </is>
      </c>
      <c r="B1511" s="1" t="n">
        <v>45638.41244212963</v>
      </c>
      <c r="C1511" s="1" t="n">
        <v>45908</v>
      </c>
      <c r="D1511" t="inlineStr">
        <is>
          <t>VÄSTERNORRLANDS LÄN</t>
        </is>
      </c>
      <c r="E1511" t="inlineStr">
        <is>
          <t>SOLLEFTEÅ</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55912-2023</t>
        </is>
      </c>
      <c r="B1512" s="1" t="n">
        <v>45239.92665509259</v>
      </c>
      <c r="C1512" s="1" t="n">
        <v>45908</v>
      </c>
      <c r="D1512" t="inlineStr">
        <is>
          <t>VÄSTERNORRLANDS LÄN</t>
        </is>
      </c>
      <c r="E1512" t="inlineStr">
        <is>
          <t>SOLLEFTEÅ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11125-2022</t>
        </is>
      </c>
      <c r="B1513" s="1" t="n">
        <v>44628</v>
      </c>
      <c r="C1513" s="1" t="n">
        <v>45908</v>
      </c>
      <c r="D1513" t="inlineStr">
        <is>
          <t>VÄSTERNORRLANDS LÄN</t>
        </is>
      </c>
      <c r="E1513" t="inlineStr">
        <is>
          <t>SOLLEFTEÅ</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38581-2025</t>
        </is>
      </c>
      <c r="B1514" s="1" t="n">
        <v>45884.46965277778</v>
      </c>
      <c r="C1514" s="1" t="n">
        <v>45908</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22475-2024</t>
        </is>
      </c>
      <c r="B1515" s="1" t="n">
        <v>45446.95151620371</v>
      </c>
      <c r="C1515" s="1" t="n">
        <v>45908</v>
      </c>
      <c r="D1515" t="inlineStr">
        <is>
          <t>VÄSTERNORRLANDS LÄN</t>
        </is>
      </c>
      <c r="E1515" t="inlineStr">
        <is>
          <t>SOLLEFTEÅ</t>
        </is>
      </c>
      <c r="F1515" t="inlineStr">
        <is>
          <t>SCA</t>
        </is>
      </c>
      <c r="G1515" t="n">
        <v>18.5</v>
      </c>
      <c r="H1515" t="n">
        <v>0</v>
      </c>
      <c r="I1515" t="n">
        <v>0</v>
      </c>
      <c r="J1515" t="n">
        <v>0</v>
      </c>
      <c r="K1515" t="n">
        <v>0</v>
      </c>
      <c r="L1515" t="n">
        <v>0</v>
      </c>
      <c r="M1515" t="n">
        <v>0</v>
      </c>
      <c r="N1515" t="n">
        <v>0</v>
      </c>
      <c r="O1515" t="n">
        <v>0</v>
      </c>
      <c r="P1515" t="n">
        <v>0</v>
      </c>
      <c r="Q1515" t="n">
        <v>0</v>
      </c>
      <c r="R1515" s="2" t="inlineStr"/>
    </row>
    <row r="1516" ht="15" customHeight="1">
      <c r="A1516" t="inlineStr">
        <is>
          <t>A 33935-2025</t>
        </is>
      </c>
      <c r="B1516" s="1" t="n">
        <v>45842.63614583333</v>
      </c>
      <c r="C1516" s="1" t="n">
        <v>45908</v>
      </c>
      <c r="D1516" t="inlineStr">
        <is>
          <t>VÄSTERNORRLANDS LÄN</t>
        </is>
      </c>
      <c r="E1516" t="inlineStr">
        <is>
          <t>SOLLEFTEÅ</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34051-2025</t>
        </is>
      </c>
      <c r="B1517" s="1" t="n">
        <v>45845.40672453704</v>
      </c>
      <c r="C1517" s="1" t="n">
        <v>45908</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36300-2025</t>
        </is>
      </c>
      <c r="B1518" s="1" t="n">
        <v>45867.6984375</v>
      </c>
      <c r="C1518" s="1" t="n">
        <v>45908</v>
      </c>
      <c r="D1518" t="inlineStr">
        <is>
          <t>VÄSTERNORRLANDS LÄN</t>
        </is>
      </c>
      <c r="E1518" t="inlineStr">
        <is>
          <t>SOLLEFTEÅ</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38959-2025</t>
        </is>
      </c>
      <c r="B1519" s="1" t="n">
        <v>45887.67769675926</v>
      </c>
      <c r="C1519" s="1" t="n">
        <v>45908</v>
      </c>
      <c r="D1519" t="inlineStr">
        <is>
          <t>VÄSTERNORRLANDS LÄN</t>
        </is>
      </c>
      <c r="E1519" t="inlineStr">
        <is>
          <t>SOLLEFTEÅ</t>
        </is>
      </c>
      <c r="F1519" t="inlineStr">
        <is>
          <t>SCA</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37042-2021</t>
        </is>
      </c>
      <c r="B1520" s="1" t="n">
        <v>44393.93495370371</v>
      </c>
      <c r="C1520" s="1" t="n">
        <v>45908</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33852-2025</t>
        </is>
      </c>
      <c r="B1521" s="1" t="n">
        <v>45842.51079861111</v>
      </c>
      <c r="C1521" s="1" t="n">
        <v>45908</v>
      </c>
      <c r="D1521" t="inlineStr">
        <is>
          <t>VÄSTERNORRLANDS LÄN</t>
        </is>
      </c>
      <c r="E1521" t="inlineStr">
        <is>
          <t>SOLLEFTEÅ</t>
        </is>
      </c>
      <c r="F1521" t="inlineStr">
        <is>
          <t>SCA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38492-2025</t>
        </is>
      </c>
      <c r="B1522" s="1" t="n">
        <v>45884.36496527777</v>
      </c>
      <c r="C1522" s="1" t="n">
        <v>45908</v>
      </c>
      <c r="D1522" t="inlineStr">
        <is>
          <t>VÄSTERNORRLANDS LÄN</t>
        </is>
      </c>
      <c r="E1522" t="inlineStr">
        <is>
          <t>SOLLEFTEÅ</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38911-2025</t>
        </is>
      </c>
      <c r="B1523" s="1" t="n">
        <v>45887.61534722222</v>
      </c>
      <c r="C1523" s="1" t="n">
        <v>45908</v>
      </c>
      <c r="D1523" t="inlineStr">
        <is>
          <t>VÄSTERNORRLANDS LÄN</t>
        </is>
      </c>
      <c r="E1523" t="inlineStr">
        <is>
          <t>SOLLEFTEÅ</t>
        </is>
      </c>
      <c r="F1523" t="inlineStr">
        <is>
          <t>SCA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35470-2023</t>
        </is>
      </c>
      <c r="B1524" s="1" t="n">
        <v>45146</v>
      </c>
      <c r="C1524" s="1" t="n">
        <v>45908</v>
      </c>
      <c r="D1524" t="inlineStr">
        <is>
          <t>VÄSTERNORRLANDS LÄN</t>
        </is>
      </c>
      <c r="E1524" t="inlineStr">
        <is>
          <t>SOLLEFTEÅ</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33743-2025</t>
        </is>
      </c>
      <c r="B1525" s="1" t="n">
        <v>45842.34496527778</v>
      </c>
      <c r="C1525" s="1" t="n">
        <v>45908</v>
      </c>
      <c r="D1525" t="inlineStr">
        <is>
          <t>VÄSTERNORRLANDS LÄN</t>
        </is>
      </c>
      <c r="E1525" t="inlineStr">
        <is>
          <t>SOLLEFTEÅ</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38507-2025</t>
        </is>
      </c>
      <c r="B1526" s="1" t="n">
        <v>45884.38591435185</v>
      </c>
      <c r="C1526" s="1" t="n">
        <v>45908</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38562-2025</t>
        </is>
      </c>
      <c r="B1527" s="1" t="n">
        <v>45884.44865740741</v>
      </c>
      <c r="C1527" s="1" t="n">
        <v>45908</v>
      </c>
      <c r="D1527" t="inlineStr">
        <is>
          <t>VÄSTERNORRLANDS LÄN</t>
        </is>
      </c>
      <c r="E1527" t="inlineStr">
        <is>
          <t>SOLLEFTEÅ</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56685-2023</t>
        </is>
      </c>
      <c r="B1528" s="1" t="n">
        <v>45243.96600694444</v>
      </c>
      <c r="C1528" s="1" t="n">
        <v>45908</v>
      </c>
      <c r="D1528" t="inlineStr">
        <is>
          <t>VÄSTERNORRLANDS LÄN</t>
        </is>
      </c>
      <c r="E1528" t="inlineStr">
        <is>
          <t>SOLLEFTEÅ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33957-2025</t>
        </is>
      </c>
      <c r="B1529" s="1" t="n">
        <v>45842.67762731481</v>
      </c>
      <c r="C1529" s="1" t="n">
        <v>45908</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38596-2025</t>
        </is>
      </c>
      <c r="B1530" s="1" t="n">
        <v>45884.49040509259</v>
      </c>
      <c r="C1530" s="1" t="n">
        <v>45908</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38598-2025</t>
        </is>
      </c>
      <c r="B1531" s="1" t="n">
        <v>45884.49074074074</v>
      </c>
      <c r="C1531" s="1" t="n">
        <v>45908</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38560-2025</t>
        </is>
      </c>
      <c r="B1532" s="1" t="n">
        <v>45884.44844907407</v>
      </c>
      <c r="C1532" s="1" t="n">
        <v>45908</v>
      </c>
      <c r="D1532" t="inlineStr">
        <is>
          <t>VÄSTERNORRLANDS LÄN</t>
        </is>
      </c>
      <c r="E1532" t="inlineStr">
        <is>
          <t>SOLLEFTEÅ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38561-2025</t>
        </is>
      </c>
      <c r="B1533" s="1" t="n">
        <v>45884.44849537037</v>
      </c>
      <c r="C1533" s="1" t="n">
        <v>45908</v>
      </c>
      <c r="D1533" t="inlineStr">
        <is>
          <t>VÄSTERNORRLANDS LÄN</t>
        </is>
      </c>
      <c r="E1533" t="inlineStr">
        <is>
          <t>SOLLEFTEÅ</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34000-2025</t>
        </is>
      </c>
      <c r="B1534" s="1" t="n">
        <v>45844.37024305556</v>
      </c>
      <c r="C1534" s="1" t="n">
        <v>45908</v>
      </c>
      <c r="D1534" t="inlineStr">
        <is>
          <t>VÄSTERNORRLANDS LÄN</t>
        </is>
      </c>
      <c r="E1534" t="inlineStr">
        <is>
          <t>SOLLEFTEÅ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33999-2025</t>
        </is>
      </c>
      <c r="B1535" s="1" t="n">
        <v>45844.36113425926</v>
      </c>
      <c r="C1535" s="1" t="n">
        <v>45908</v>
      </c>
      <c r="D1535" t="inlineStr">
        <is>
          <t>VÄSTERNORRLANDS LÄN</t>
        </is>
      </c>
      <c r="E1535" t="inlineStr">
        <is>
          <t>SOLLEFTEÅ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58995-2024</t>
        </is>
      </c>
      <c r="B1536" s="1" t="n">
        <v>45636.63726851852</v>
      </c>
      <c r="C1536" s="1" t="n">
        <v>45908</v>
      </c>
      <c r="D1536" t="inlineStr">
        <is>
          <t>VÄSTERNORRLANDS LÄN</t>
        </is>
      </c>
      <c r="E1536" t="inlineStr">
        <is>
          <t>SOLLEFTEÅ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34459-2025</t>
        </is>
      </c>
      <c r="B1537" s="1" t="n">
        <v>45847.34442129629</v>
      </c>
      <c r="C1537" s="1" t="n">
        <v>45908</v>
      </c>
      <c r="D1537" t="inlineStr">
        <is>
          <t>VÄSTERNORRLANDS LÄN</t>
        </is>
      </c>
      <c r="E1537" t="inlineStr">
        <is>
          <t>SOLLEFTEÅ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39195-2025</t>
        </is>
      </c>
      <c r="B1538" s="1" t="n">
        <v>45888</v>
      </c>
      <c r="C1538" s="1" t="n">
        <v>45908</v>
      </c>
      <c r="D1538" t="inlineStr">
        <is>
          <t>VÄSTERNORRLANDS LÄN</t>
        </is>
      </c>
      <c r="E1538" t="inlineStr">
        <is>
          <t>SOLLEFTEÅ</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39270-2025</t>
        </is>
      </c>
      <c r="B1539" s="1" t="n">
        <v>45889.38609953703</v>
      </c>
      <c r="C1539" s="1" t="n">
        <v>45908</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39433-2025</t>
        </is>
      </c>
      <c r="B1540" s="1" t="n">
        <v>45889.67799768518</v>
      </c>
      <c r="C1540" s="1" t="n">
        <v>45908</v>
      </c>
      <c r="D1540" t="inlineStr">
        <is>
          <t>VÄSTERNORRLANDS LÄN</t>
        </is>
      </c>
      <c r="E1540" t="inlineStr">
        <is>
          <t>SOLLEFTEÅ</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34476-2025</t>
        </is>
      </c>
      <c r="B1541" s="1" t="n">
        <v>45847.36752314815</v>
      </c>
      <c r="C1541" s="1" t="n">
        <v>45908</v>
      </c>
      <c r="D1541" t="inlineStr">
        <is>
          <t>VÄSTERNORRLANDS LÄN</t>
        </is>
      </c>
      <c r="E1541" t="inlineStr">
        <is>
          <t>SOLLEFTEÅ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39287-2025</t>
        </is>
      </c>
      <c r="B1542" s="1" t="n">
        <v>45889.40693287037</v>
      </c>
      <c r="C1542" s="1" t="n">
        <v>45908</v>
      </c>
      <c r="D1542" t="inlineStr">
        <is>
          <t>VÄSTERNORRLANDS LÄN</t>
        </is>
      </c>
      <c r="E1542" t="inlineStr">
        <is>
          <t>SOLLEFTEÅ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27377-2024</t>
        </is>
      </c>
      <c r="B1543" s="1" t="n">
        <v>45473.88317129629</v>
      </c>
      <c r="C1543" s="1" t="n">
        <v>45908</v>
      </c>
      <c r="D1543" t="inlineStr">
        <is>
          <t>VÄSTERNORRLANDS LÄN</t>
        </is>
      </c>
      <c r="E1543" t="inlineStr">
        <is>
          <t>SOLLEFTEÅ</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1114-2025</t>
        </is>
      </c>
      <c r="B1544" s="1" t="n">
        <v>45666.65664351852</v>
      </c>
      <c r="C1544" s="1" t="n">
        <v>45908</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34462-2025</t>
        </is>
      </c>
      <c r="B1545" s="1" t="n">
        <v>45847.34498842592</v>
      </c>
      <c r="C1545" s="1" t="n">
        <v>45908</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34473-2025</t>
        </is>
      </c>
      <c r="B1546" s="1" t="n">
        <v>45847.36511574074</v>
      </c>
      <c r="C1546" s="1" t="n">
        <v>45908</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39319-2025</t>
        </is>
      </c>
      <c r="B1547" s="1" t="n">
        <v>45889.46916666667</v>
      </c>
      <c r="C1547" s="1" t="n">
        <v>45908</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68030-2020</t>
        </is>
      </c>
      <c r="B1548" s="1" t="n">
        <v>44182</v>
      </c>
      <c r="C1548" s="1" t="n">
        <v>45908</v>
      </c>
      <c r="D1548" t="inlineStr">
        <is>
          <t>VÄSTERNORRLANDS LÄN</t>
        </is>
      </c>
      <c r="E1548" t="inlineStr">
        <is>
          <t>SOLLEFTEÅ</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68037-2020</t>
        </is>
      </c>
      <c r="B1549" s="1" t="n">
        <v>44182</v>
      </c>
      <c r="C1549" s="1" t="n">
        <v>45908</v>
      </c>
      <c r="D1549" t="inlineStr">
        <is>
          <t>VÄSTERNORRLANDS LÄN</t>
        </is>
      </c>
      <c r="E1549" t="inlineStr">
        <is>
          <t>SOLLEFTEÅ</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39799-2024</t>
        </is>
      </c>
      <c r="B1550" s="1" t="n">
        <v>45553.34415509259</v>
      </c>
      <c r="C1550" s="1" t="n">
        <v>45908</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39801-2024</t>
        </is>
      </c>
      <c r="B1551" s="1" t="n">
        <v>45553.34439814815</v>
      </c>
      <c r="C1551" s="1" t="n">
        <v>45908</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60168-2022</t>
        </is>
      </c>
      <c r="B1552" s="1" t="n">
        <v>44909</v>
      </c>
      <c r="C1552" s="1" t="n">
        <v>45908</v>
      </c>
      <c r="D1552" t="inlineStr">
        <is>
          <t>VÄSTERNORRLANDS LÄN</t>
        </is>
      </c>
      <c r="E1552" t="inlineStr">
        <is>
          <t>SOLLEFTEÅ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60171-2022</t>
        </is>
      </c>
      <c r="B1553" s="1" t="n">
        <v>44909</v>
      </c>
      <c r="C1553" s="1" t="n">
        <v>45908</v>
      </c>
      <c r="D1553" t="inlineStr">
        <is>
          <t>VÄSTERNORRLANDS LÄN</t>
        </is>
      </c>
      <c r="E1553" t="inlineStr">
        <is>
          <t>SOLLEFTEÅ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40429-2024</t>
        </is>
      </c>
      <c r="B1554" s="1" t="n">
        <v>45555</v>
      </c>
      <c r="C1554" s="1" t="n">
        <v>45908</v>
      </c>
      <c r="D1554" t="inlineStr">
        <is>
          <t>VÄSTERNORRLANDS LÄN</t>
        </is>
      </c>
      <c r="E1554" t="inlineStr">
        <is>
          <t>SOLLEFTEÅ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41595-2024</t>
        </is>
      </c>
      <c r="B1555" s="1" t="n">
        <v>45560.57378472222</v>
      </c>
      <c r="C1555" s="1" t="n">
        <v>45908</v>
      </c>
      <c r="D1555" t="inlineStr">
        <is>
          <t>VÄSTERNORRLANDS LÄN</t>
        </is>
      </c>
      <c r="E1555" t="inlineStr">
        <is>
          <t>SOLLEFTEÅ</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39286-2025</t>
        </is>
      </c>
      <c r="B1556" s="1" t="n">
        <v>45889.40690972222</v>
      </c>
      <c r="C1556" s="1" t="n">
        <v>45908</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12311-2023</t>
        </is>
      </c>
      <c r="B1557" s="1" t="n">
        <v>44995</v>
      </c>
      <c r="C1557" s="1" t="n">
        <v>45908</v>
      </c>
      <c r="D1557" t="inlineStr">
        <is>
          <t>VÄSTERNORRLANDS LÄN</t>
        </is>
      </c>
      <c r="E1557" t="inlineStr">
        <is>
          <t>SOLLEFTEÅ</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34870-2025</t>
        </is>
      </c>
      <c r="B1558" s="1" t="n">
        <v>45849.44729166666</v>
      </c>
      <c r="C1558" s="1" t="n">
        <v>45908</v>
      </c>
      <c r="D1558" t="inlineStr">
        <is>
          <t>VÄSTERNORRLANDS LÄN</t>
        </is>
      </c>
      <c r="E1558" t="inlineStr">
        <is>
          <t>SOLLEFTEÅ</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1679-2024</t>
        </is>
      </c>
      <c r="B1559" s="1" t="n">
        <v>45306</v>
      </c>
      <c r="C1559" s="1" t="n">
        <v>45908</v>
      </c>
      <c r="D1559" t="inlineStr">
        <is>
          <t>VÄSTERNORRLANDS LÄN</t>
        </is>
      </c>
      <c r="E1559" t="inlineStr">
        <is>
          <t>SOLLEFTEÅ</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41146-2023</t>
        </is>
      </c>
      <c r="B1560" s="1" t="n">
        <v>45173.94277777777</v>
      </c>
      <c r="C1560" s="1" t="n">
        <v>45908</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39935-2025</t>
        </is>
      </c>
      <c r="B1561" s="1" t="n">
        <v>45891</v>
      </c>
      <c r="C1561" s="1" t="n">
        <v>45908</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16710-2024</t>
        </is>
      </c>
      <c r="B1562" s="1" t="n">
        <v>45409.07748842592</v>
      </c>
      <c r="C1562" s="1" t="n">
        <v>45908</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39515-2025</t>
        </is>
      </c>
      <c r="B1563" s="1" t="n">
        <v>45890.42078703704</v>
      </c>
      <c r="C1563" s="1" t="n">
        <v>45908</v>
      </c>
      <c r="D1563" t="inlineStr">
        <is>
          <t>VÄSTERNORRLANDS LÄN</t>
        </is>
      </c>
      <c r="E1563" t="inlineStr">
        <is>
          <t>SOLLEFTEÅ</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39671-2025</t>
        </is>
      </c>
      <c r="B1564" s="1" t="n">
        <v>45890</v>
      </c>
      <c r="C1564" s="1" t="n">
        <v>45908</v>
      </c>
      <c r="D1564" t="inlineStr">
        <is>
          <t>VÄSTERNORRLANDS LÄN</t>
        </is>
      </c>
      <c r="E1564" t="inlineStr">
        <is>
          <t>SOLLEFTEÅ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22462-2024</t>
        </is>
      </c>
      <c r="B1565" s="1" t="n">
        <v>45446</v>
      </c>
      <c r="C1565" s="1" t="n">
        <v>45908</v>
      </c>
      <c r="D1565" t="inlineStr">
        <is>
          <t>VÄSTERNORRLANDS LÄN</t>
        </is>
      </c>
      <c r="E1565" t="inlineStr">
        <is>
          <t>SOLLEFTEÅ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22468-2024</t>
        </is>
      </c>
      <c r="B1566" s="1" t="n">
        <v>45446.95068287037</v>
      </c>
      <c r="C1566" s="1" t="n">
        <v>45908</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39664-2025</t>
        </is>
      </c>
      <c r="B1567" s="1" t="n">
        <v>45890.63596064815</v>
      </c>
      <c r="C1567" s="1" t="n">
        <v>45908</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16308-2025</t>
        </is>
      </c>
      <c r="B1568" s="1" t="n">
        <v>45751.34700231482</v>
      </c>
      <c r="C1568" s="1" t="n">
        <v>45908</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39475-2025</t>
        </is>
      </c>
      <c r="B1569" s="1" t="n">
        <v>45890.34447916667</v>
      </c>
      <c r="C1569" s="1" t="n">
        <v>45908</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39656-2025</t>
        </is>
      </c>
      <c r="B1570" s="1" t="n">
        <v>45890</v>
      </c>
      <c r="C1570" s="1" t="n">
        <v>45908</v>
      </c>
      <c r="D1570" t="inlineStr">
        <is>
          <t>VÄSTERNORRLANDS LÄN</t>
        </is>
      </c>
      <c r="E1570" t="inlineStr">
        <is>
          <t>SOLLEFTEÅ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39619-2025</t>
        </is>
      </c>
      <c r="B1571" s="1" t="n">
        <v>45890.57347222222</v>
      </c>
      <c r="C1571" s="1" t="n">
        <v>45908</v>
      </c>
      <c r="D1571" t="inlineStr">
        <is>
          <t>VÄSTERNORRLANDS LÄN</t>
        </is>
      </c>
      <c r="E1571" t="inlineStr">
        <is>
          <t>SOLLEFTEÅ</t>
        </is>
      </c>
      <c r="F1571" t="inlineStr">
        <is>
          <t>SCA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39602-2025</t>
        </is>
      </c>
      <c r="B1572" s="1" t="n">
        <v>45890.55296296296</v>
      </c>
      <c r="C1572" s="1" t="n">
        <v>45908</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31555-2024</t>
        </is>
      </c>
      <c r="B1573" s="1" t="n">
        <v>45505.96484953703</v>
      </c>
      <c r="C1573" s="1" t="n">
        <v>45908</v>
      </c>
      <c r="D1573" t="inlineStr">
        <is>
          <t>VÄSTERNORRLANDS LÄN</t>
        </is>
      </c>
      <c r="E1573" t="inlineStr">
        <is>
          <t>SOLLEFTEÅ</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39568-2025</t>
        </is>
      </c>
      <c r="B1574" s="1" t="n">
        <v>45890.48993055556</v>
      </c>
      <c r="C1574" s="1" t="n">
        <v>45908</v>
      </c>
      <c r="D1574" t="inlineStr">
        <is>
          <t>VÄSTERNORRLANDS LÄN</t>
        </is>
      </c>
      <c r="E1574" t="inlineStr">
        <is>
          <t>SOLLEFTEÅ</t>
        </is>
      </c>
      <c r="F1574" t="inlineStr">
        <is>
          <t>SCA</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25945-2025</t>
        </is>
      </c>
      <c r="B1575" s="1" t="n">
        <v>45804</v>
      </c>
      <c r="C1575" s="1" t="n">
        <v>45908</v>
      </c>
      <c r="D1575" t="inlineStr">
        <is>
          <t>VÄSTERNORRLANDS LÄN</t>
        </is>
      </c>
      <c r="E1575" t="inlineStr">
        <is>
          <t>SOLLEFTEÅ</t>
        </is>
      </c>
      <c r="F1575" t="inlineStr">
        <is>
          <t>SCA</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35041-2025</t>
        </is>
      </c>
      <c r="B1576" s="1" t="n">
        <v>45852.3443287037</v>
      </c>
      <c r="C1576" s="1" t="n">
        <v>45908</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5111-2022</t>
        </is>
      </c>
      <c r="B1577" s="1" t="n">
        <v>44593.92144675926</v>
      </c>
      <c r="C1577" s="1" t="n">
        <v>45908</v>
      </c>
      <c r="D1577" t="inlineStr">
        <is>
          <t>VÄSTERNORRLANDS LÄN</t>
        </is>
      </c>
      <c r="E1577" t="inlineStr">
        <is>
          <t>SOLLEFTEÅ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40280-2025</t>
        </is>
      </c>
      <c r="B1578" s="1" t="n">
        <v>45895.36508101852</v>
      </c>
      <c r="C1578" s="1" t="n">
        <v>45908</v>
      </c>
      <c r="D1578" t="inlineStr">
        <is>
          <t>VÄSTERNORRLANDS LÄN</t>
        </is>
      </c>
      <c r="E1578" t="inlineStr">
        <is>
          <t>SOLLEFTEÅ</t>
        </is>
      </c>
      <c r="F1578" t="inlineStr">
        <is>
          <t>SCA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40008-2025</t>
        </is>
      </c>
      <c r="B1579" s="1" t="n">
        <v>45894.34431712963</v>
      </c>
      <c r="C1579" s="1" t="n">
        <v>45908</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40304-2025</t>
        </is>
      </c>
      <c r="B1580" s="1" t="n">
        <v>45895.40690972222</v>
      </c>
      <c r="C1580" s="1" t="n">
        <v>45908</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40136-2025</t>
        </is>
      </c>
      <c r="B1581" s="1" t="n">
        <v>45894.5588425926</v>
      </c>
      <c r="C1581" s="1" t="n">
        <v>45908</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35086-2025</t>
        </is>
      </c>
      <c r="B1582" s="1" t="n">
        <v>45852.51719907407</v>
      </c>
      <c r="C1582" s="1" t="n">
        <v>45908</v>
      </c>
      <c r="D1582" t="inlineStr">
        <is>
          <t>VÄSTERNORRLANDS LÄN</t>
        </is>
      </c>
      <c r="E1582" t="inlineStr">
        <is>
          <t>SOLLEFTEÅ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40190-2025</t>
        </is>
      </c>
      <c r="B1583" s="1" t="n">
        <v>45894.65664351852</v>
      </c>
      <c r="C1583" s="1" t="n">
        <v>45908</v>
      </c>
      <c r="D1583" t="inlineStr">
        <is>
          <t>VÄSTERNORRLANDS LÄN</t>
        </is>
      </c>
      <c r="E1583" t="inlineStr">
        <is>
          <t>SOLLEFTEÅ</t>
        </is>
      </c>
      <c r="F1583" t="inlineStr">
        <is>
          <t>SCA</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40450-2025</t>
        </is>
      </c>
      <c r="B1584" s="1" t="n">
        <v>45895.63584490741</v>
      </c>
      <c r="C1584" s="1" t="n">
        <v>45908</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35066-2025</t>
        </is>
      </c>
      <c r="B1585" s="1" t="n">
        <v>45852.45013888889</v>
      </c>
      <c r="C1585" s="1" t="n">
        <v>45908</v>
      </c>
      <c r="D1585" t="inlineStr">
        <is>
          <t>VÄSTERNORRLANDS LÄN</t>
        </is>
      </c>
      <c r="E1585" t="inlineStr">
        <is>
          <t>SOLLEFTEÅ</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42160-2023</t>
        </is>
      </c>
      <c r="B1586" s="1" t="n">
        <v>45177</v>
      </c>
      <c r="C1586" s="1" t="n">
        <v>45908</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18795-2025</t>
        </is>
      </c>
      <c r="B1587" s="1" t="n">
        <v>45764.34564814815</v>
      </c>
      <c r="C1587" s="1" t="n">
        <v>45908</v>
      </c>
      <c r="D1587" t="inlineStr">
        <is>
          <t>VÄSTERNORRLANDS LÄN</t>
        </is>
      </c>
      <c r="E1587" t="inlineStr">
        <is>
          <t>SOLLEFTEÅ</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40174-2025</t>
        </is>
      </c>
      <c r="B1588" s="1" t="n">
        <v>45894.63587962963</v>
      </c>
      <c r="C1588" s="1" t="n">
        <v>45908</v>
      </c>
      <c r="D1588" t="inlineStr">
        <is>
          <t>VÄSTERNORRLANDS LÄN</t>
        </is>
      </c>
      <c r="E1588" t="inlineStr">
        <is>
          <t>SOLLEFTEÅ</t>
        </is>
      </c>
      <c r="F1588" t="inlineStr">
        <is>
          <t>SCA</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40175-2025</t>
        </is>
      </c>
      <c r="B1589" s="1" t="n">
        <v>45894.63609953703</v>
      </c>
      <c r="C1589" s="1" t="n">
        <v>45908</v>
      </c>
      <c r="D1589" t="inlineStr">
        <is>
          <t>VÄSTERNORRLANDS LÄN</t>
        </is>
      </c>
      <c r="E1589" t="inlineStr">
        <is>
          <t>SOLLEFTEÅ</t>
        </is>
      </c>
      <c r="F1589" t="inlineStr">
        <is>
          <t>SCA</t>
        </is>
      </c>
      <c r="G1589" t="n">
        <v>21.2</v>
      </c>
      <c r="H1589" t="n">
        <v>0</v>
      </c>
      <c r="I1589" t="n">
        <v>0</v>
      </c>
      <c r="J1589" t="n">
        <v>0</v>
      </c>
      <c r="K1589" t="n">
        <v>0</v>
      </c>
      <c r="L1589" t="n">
        <v>0</v>
      </c>
      <c r="M1589" t="n">
        <v>0</v>
      </c>
      <c r="N1589" t="n">
        <v>0</v>
      </c>
      <c r="O1589" t="n">
        <v>0</v>
      </c>
      <c r="P1589" t="n">
        <v>0</v>
      </c>
      <c r="Q1589" t="n">
        <v>0</v>
      </c>
      <c r="R1589" s="2" t="inlineStr"/>
    </row>
    <row r="1590" ht="15" customHeight="1">
      <c r="A1590" t="inlineStr">
        <is>
          <t>A 35042-2025</t>
        </is>
      </c>
      <c r="B1590" s="1" t="n">
        <v>45852.34447916667</v>
      </c>
      <c r="C1590" s="1" t="n">
        <v>45908</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40050-2025</t>
        </is>
      </c>
      <c r="B1591" s="1" t="n">
        <v>45894.40717592592</v>
      </c>
      <c r="C1591" s="1" t="n">
        <v>45908</v>
      </c>
      <c r="D1591" t="inlineStr">
        <is>
          <t>VÄSTERNORRLANDS LÄN</t>
        </is>
      </c>
      <c r="E1591" t="inlineStr">
        <is>
          <t>SOLLEFTEÅ</t>
        </is>
      </c>
      <c r="F1591" t="inlineStr">
        <is>
          <t>SCA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40358-2025</t>
        </is>
      </c>
      <c r="B1592" s="1" t="n">
        <v>45895.48995370371</v>
      </c>
      <c r="C1592" s="1" t="n">
        <v>45908</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18442-2025</t>
        </is>
      </c>
      <c r="B1593" s="1" t="n">
        <v>45762.65658564815</v>
      </c>
      <c r="C1593" s="1" t="n">
        <v>45908</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6467-2025</t>
        </is>
      </c>
      <c r="B1594" s="1" t="n">
        <v>45699</v>
      </c>
      <c r="C1594" s="1" t="n">
        <v>45908</v>
      </c>
      <c r="D1594" t="inlineStr">
        <is>
          <t>VÄSTERNORRLANDS LÄN</t>
        </is>
      </c>
      <c r="E1594" t="inlineStr">
        <is>
          <t>SOLLEFTEÅ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40468-2025</t>
        </is>
      </c>
      <c r="B1595" s="1" t="n">
        <v>45895.66416666667</v>
      </c>
      <c r="C1595" s="1" t="n">
        <v>45908</v>
      </c>
      <c r="D1595" t="inlineStr">
        <is>
          <t>VÄSTERNORRLANDS LÄN</t>
        </is>
      </c>
      <c r="E1595" t="inlineStr">
        <is>
          <t>SOLLEFTEÅ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2582-2025</t>
        </is>
      </c>
      <c r="B1596" s="1" t="n">
        <v>45674.67787037037</v>
      </c>
      <c r="C1596" s="1" t="n">
        <v>45908</v>
      </c>
      <c r="D1596" t="inlineStr">
        <is>
          <t>VÄSTERNORRLANDS LÄN</t>
        </is>
      </c>
      <c r="E1596" t="inlineStr">
        <is>
          <t>SOLLEFTEÅ</t>
        </is>
      </c>
      <c r="F1596" t="inlineStr">
        <is>
          <t>SCA</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40009-2025</t>
        </is>
      </c>
      <c r="B1597" s="1" t="n">
        <v>45894.34446759259</v>
      </c>
      <c r="C1597" s="1" t="n">
        <v>45908</v>
      </c>
      <c r="D1597" t="inlineStr">
        <is>
          <t>VÄSTERNORRLANDS LÄN</t>
        </is>
      </c>
      <c r="E1597" t="inlineStr">
        <is>
          <t>SOLLEFTEÅ</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40014-2025</t>
        </is>
      </c>
      <c r="B1598" s="1" t="n">
        <v>45894</v>
      </c>
      <c r="C1598" s="1" t="n">
        <v>45908</v>
      </c>
      <c r="D1598" t="inlineStr">
        <is>
          <t>VÄSTERNORRLANDS LÄN</t>
        </is>
      </c>
      <c r="E1598" t="inlineStr">
        <is>
          <t>SOLLEFTEÅ</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40302-2025</t>
        </is>
      </c>
      <c r="B1599" s="1" t="n">
        <v>45895.40662037037</v>
      </c>
      <c r="C1599" s="1" t="n">
        <v>45908</v>
      </c>
      <c r="D1599" t="inlineStr">
        <is>
          <t>VÄSTERNORRLANDS LÄN</t>
        </is>
      </c>
      <c r="E1599" t="inlineStr">
        <is>
          <t>SOLLEFTEÅ</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35132-2025</t>
        </is>
      </c>
      <c r="B1600" s="1" t="n">
        <v>45852.63618055556</v>
      </c>
      <c r="C1600" s="1" t="n">
        <v>45908</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3414-2025</t>
        </is>
      </c>
      <c r="B1601" s="1" t="n">
        <v>45680</v>
      </c>
      <c r="C1601" s="1" t="n">
        <v>45908</v>
      </c>
      <c r="D1601" t="inlineStr">
        <is>
          <t>VÄSTERNORRLANDS LÄN</t>
        </is>
      </c>
      <c r="E1601" t="inlineStr">
        <is>
          <t>SOLLEFTEÅ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40752-2025</t>
        </is>
      </c>
      <c r="B1602" s="1" t="n">
        <v>45897.38592592593</v>
      </c>
      <c r="C1602" s="1" t="n">
        <v>45908</v>
      </c>
      <c r="D1602" t="inlineStr">
        <is>
          <t>VÄSTERNORRLANDS LÄN</t>
        </is>
      </c>
      <c r="E1602" t="inlineStr">
        <is>
          <t>SOLLEFTEÅ</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41456-2022</t>
        </is>
      </c>
      <c r="B1603" s="1" t="n">
        <v>44826</v>
      </c>
      <c r="C1603" s="1" t="n">
        <v>45908</v>
      </c>
      <c r="D1603" t="inlineStr">
        <is>
          <t>VÄSTERNORRLANDS LÄN</t>
        </is>
      </c>
      <c r="E1603" t="inlineStr">
        <is>
          <t>SOLLEFTEÅ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40962-2025</t>
        </is>
      </c>
      <c r="B1604" s="1" t="n">
        <v>45897.6983912037</v>
      </c>
      <c r="C1604" s="1" t="n">
        <v>45908</v>
      </c>
      <c r="D1604" t="inlineStr">
        <is>
          <t>VÄSTERNORRLANDS LÄN</t>
        </is>
      </c>
      <c r="E1604" t="inlineStr">
        <is>
          <t>SOLLEFTEÅ</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40662-2025</t>
        </is>
      </c>
      <c r="B1605" s="1" t="n">
        <v>45896.6487037037</v>
      </c>
      <c r="C1605" s="1" t="n">
        <v>45908</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35286-2025</t>
        </is>
      </c>
      <c r="B1606" s="1" t="n">
        <v>45854.36512731481</v>
      </c>
      <c r="C1606" s="1" t="n">
        <v>45908</v>
      </c>
      <c r="D1606" t="inlineStr">
        <is>
          <t>VÄSTERNORRLANDS LÄN</t>
        </is>
      </c>
      <c r="E1606" t="inlineStr">
        <is>
          <t>SOLLEFTEÅ</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20738-2022</t>
        </is>
      </c>
      <c r="B1607" s="1" t="n">
        <v>44700</v>
      </c>
      <c r="C1607" s="1" t="n">
        <v>45908</v>
      </c>
      <c r="D1607" t="inlineStr">
        <is>
          <t>VÄSTERNORRLANDS LÄN</t>
        </is>
      </c>
      <c r="E1607" t="inlineStr">
        <is>
          <t>SOLLEFTEÅ</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35448-2025</t>
        </is>
      </c>
      <c r="B1608" s="1" t="n">
        <v>45855.55247685185</v>
      </c>
      <c r="C1608" s="1" t="n">
        <v>45908</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40492-2025</t>
        </is>
      </c>
      <c r="B1609" s="1" t="n">
        <v>45896</v>
      </c>
      <c r="C1609" s="1" t="n">
        <v>45908</v>
      </c>
      <c r="D1609" t="inlineStr">
        <is>
          <t>VÄSTERNORRLANDS LÄN</t>
        </is>
      </c>
      <c r="E1609" t="inlineStr">
        <is>
          <t>SOLLEFTEÅ</t>
        </is>
      </c>
      <c r="F1609" t="inlineStr">
        <is>
          <t>Holmen skog AB</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40651-2025</t>
        </is>
      </c>
      <c r="B1610" s="1" t="n">
        <v>45896.63585648148</v>
      </c>
      <c r="C1610" s="1" t="n">
        <v>45908</v>
      </c>
      <c r="D1610" t="inlineStr">
        <is>
          <t>VÄSTERNORRLANDS LÄN</t>
        </is>
      </c>
      <c r="E1610" t="inlineStr">
        <is>
          <t>SOLLEFTEÅ</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40049-2025</t>
        </is>
      </c>
      <c r="B1611" s="1" t="n">
        <v>45894</v>
      </c>
      <c r="C1611" s="1" t="n">
        <v>45908</v>
      </c>
      <c r="D1611" t="inlineStr">
        <is>
          <t>VÄSTERNORRLANDS LÄN</t>
        </is>
      </c>
      <c r="E1611" t="inlineStr">
        <is>
          <t>SOLLEFTEÅ</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40754-2025</t>
        </is>
      </c>
      <c r="B1612" s="1" t="n">
        <v>45897.38653935185</v>
      </c>
      <c r="C1612" s="1" t="n">
        <v>45908</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40701-2025</t>
        </is>
      </c>
      <c r="B1613" s="1" t="n">
        <v>45897.32884259259</v>
      </c>
      <c r="C1613" s="1" t="n">
        <v>45908</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40515-2025</t>
        </is>
      </c>
      <c r="B1614" s="1" t="n">
        <v>45896</v>
      </c>
      <c r="C1614" s="1" t="n">
        <v>45908</v>
      </c>
      <c r="D1614" t="inlineStr">
        <is>
          <t>VÄSTERNORRLANDS LÄN</t>
        </is>
      </c>
      <c r="E1614" t="inlineStr">
        <is>
          <t>SOLLEFTEÅ</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40967-2025</t>
        </is>
      </c>
      <c r="B1615" s="1" t="n">
        <v>45897.77547453704</v>
      </c>
      <c r="C1615" s="1" t="n">
        <v>45908</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12379-2025</t>
        </is>
      </c>
      <c r="B1616" s="1" t="n">
        <v>45730</v>
      </c>
      <c r="C1616" s="1" t="n">
        <v>45908</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43845-2024</t>
        </is>
      </c>
      <c r="B1617" s="1" t="n">
        <v>45572.34483796296</v>
      </c>
      <c r="C1617" s="1" t="n">
        <v>45908</v>
      </c>
      <c r="D1617" t="inlineStr">
        <is>
          <t>VÄSTERNORRLANDS LÄN</t>
        </is>
      </c>
      <c r="E1617" t="inlineStr">
        <is>
          <t>SOLLEFTEÅ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20599-2023</t>
        </is>
      </c>
      <c r="B1618" s="1" t="n">
        <v>45057.94172453704</v>
      </c>
      <c r="C1618" s="1" t="n">
        <v>45908</v>
      </c>
      <c r="D1618" t="inlineStr">
        <is>
          <t>VÄSTERNORRLANDS LÄN</t>
        </is>
      </c>
      <c r="E1618" t="inlineStr">
        <is>
          <t>SOLLEFTEÅ</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16670-2022</t>
        </is>
      </c>
      <c r="B1619" s="1" t="n">
        <v>44672.93802083333</v>
      </c>
      <c r="C1619" s="1" t="n">
        <v>45908</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41513-2025</t>
        </is>
      </c>
      <c r="B1620" s="1" t="n">
        <v>45901.54069444445</v>
      </c>
      <c r="C1620" s="1" t="n">
        <v>45908</v>
      </c>
      <c r="D1620" t="inlineStr">
        <is>
          <t>VÄSTERNORRLANDS LÄN</t>
        </is>
      </c>
      <c r="E1620" t="inlineStr">
        <is>
          <t>SOLLEFTEÅ</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41305-2025</t>
        </is>
      </c>
      <c r="B1621" s="1" t="n">
        <v>45898.69850694444</v>
      </c>
      <c r="C1621" s="1" t="n">
        <v>45908</v>
      </c>
      <c r="D1621" t="inlineStr">
        <is>
          <t>VÄSTERNORRLANDS LÄN</t>
        </is>
      </c>
      <c r="E1621" t="inlineStr">
        <is>
          <t>SOLLEFTEÅ</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53325-2024</t>
        </is>
      </c>
      <c r="B1622" s="1" t="n">
        <v>45614.41177083334</v>
      </c>
      <c r="C1622" s="1" t="n">
        <v>45908</v>
      </c>
      <c r="D1622" t="inlineStr">
        <is>
          <t>VÄSTERNORRLANDS LÄN</t>
        </is>
      </c>
      <c r="E1622" t="inlineStr">
        <is>
          <t>SOLLEFTEÅ</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35420-2024</t>
        </is>
      </c>
      <c r="B1623" s="1" t="n">
        <v>45531</v>
      </c>
      <c r="C1623" s="1" t="n">
        <v>45908</v>
      </c>
      <c r="D1623" t="inlineStr">
        <is>
          <t>VÄSTERNORRLANDS LÄN</t>
        </is>
      </c>
      <c r="E1623" t="inlineStr">
        <is>
          <t>SOLLEFTEÅ</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41540-2025</t>
        </is>
      </c>
      <c r="B1624" s="1" t="n">
        <v>45901.56833333334</v>
      </c>
      <c r="C1624" s="1" t="n">
        <v>45908</v>
      </c>
      <c r="D1624" t="inlineStr">
        <is>
          <t>VÄSTERNORRLANDS LÄN</t>
        </is>
      </c>
      <c r="E1624" t="inlineStr">
        <is>
          <t>SOLLEFTEÅ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41543-2025</t>
        </is>
      </c>
      <c r="B1625" s="1" t="n">
        <v>45901.57386574074</v>
      </c>
      <c r="C1625" s="1" t="n">
        <v>45908</v>
      </c>
      <c r="D1625" t="inlineStr">
        <is>
          <t>VÄSTERNORRLANDS LÄN</t>
        </is>
      </c>
      <c r="E1625" t="inlineStr">
        <is>
          <t>SOLLEFTEÅ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41617-2025</t>
        </is>
      </c>
      <c r="B1626" s="1" t="n">
        <v>45901.69834490741</v>
      </c>
      <c r="C1626" s="1" t="n">
        <v>45908</v>
      </c>
      <c r="D1626" t="inlineStr">
        <is>
          <t>VÄSTERNORRLANDS LÄN</t>
        </is>
      </c>
      <c r="E1626" t="inlineStr">
        <is>
          <t>SOLLEFTEÅ</t>
        </is>
      </c>
      <c r="F1626" t="inlineStr">
        <is>
          <t>SCA</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40048-2025</t>
        </is>
      </c>
      <c r="B1627" s="1" t="n">
        <v>45894.40679398148</v>
      </c>
      <c r="C1627" s="1" t="n">
        <v>45908</v>
      </c>
      <c r="D1627" t="inlineStr">
        <is>
          <t>VÄSTERNORRLANDS LÄN</t>
        </is>
      </c>
      <c r="E1627" t="inlineStr">
        <is>
          <t>SOLLEFTEÅ</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6063-2024</t>
        </is>
      </c>
      <c r="B1628" s="1" t="n">
        <v>45336.86584490741</v>
      </c>
      <c r="C1628" s="1" t="n">
        <v>45908</v>
      </c>
      <c r="D1628" t="inlineStr">
        <is>
          <t>VÄSTERNORRLANDS LÄN</t>
        </is>
      </c>
      <c r="E1628" t="inlineStr">
        <is>
          <t>SOLLEFTEÅ</t>
        </is>
      </c>
      <c r="F1628" t="inlineStr">
        <is>
          <t>Övriga Aktiebolag</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35147-2023</t>
        </is>
      </c>
      <c r="B1629" s="1" t="n">
        <v>45142</v>
      </c>
      <c r="C1629" s="1" t="n">
        <v>45908</v>
      </c>
      <c r="D1629" t="inlineStr">
        <is>
          <t>VÄSTERNORRLANDS LÄN</t>
        </is>
      </c>
      <c r="E1629" t="inlineStr">
        <is>
          <t>SOLLEFTEÅ</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41001-2025</t>
        </is>
      </c>
      <c r="B1630" s="1" t="n">
        <v>45898</v>
      </c>
      <c r="C1630" s="1" t="n">
        <v>45908</v>
      </c>
      <c r="D1630" t="inlineStr">
        <is>
          <t>VÄSTERNORRLANDS LÄN</t>
        </is>
      </c>
      <c r="E1630" t="inlineStr">
        <is>
          <t>SOLLEFTEÅ</t>
        </is>
      </c>
      <c r="F1630" t="inlineStr">
        <is>
          <t>SCA</t>
        </is>
      </c>
      <c r="G1630" t="n">
        <v>18.3</v>
      </c>
      <c r="H1630" t="n">
        <v>0</v>
      </c>
      <c r="I1630" t="n">
        <v>0</v>
      </c>
      <c r="J1630" t="n">
        <v>0</v>
      </c>
      <c r="K1630" t="n">
        <v>0</v>
      </c>
      <c r="L1630" t="n">
        <v>0</v>
      </c>
      <c r="M1630" t="n">
        <v>0</v>
      </c>
      <c r="N1630" t="n">
        <v>0</v>
      </c>
      <c r="O1630" t="n">
        <v>0</v>
      </c>
      <c r="P1630" t="n">
        <v>0</v>
      </c>
      <c r="Q1630" t="n">
        <v>0</v>
      </c>
      <c r="R1630" s="2" t="inlineStr"/>
    </row>
    <row r="1631" ht="15" customHeight="1">
      <c r="A1631" t="inlineStr">
        <is>
          <t>A 41502-2025</t>
        </is>
      </c>
      <c r="B1631" s="1" t="n">
        <v>45901.51056712963</v>
      </c>
      <c r="C1631" s="1" t="n">
        <v>45908</v>
      </c>
      <c r="D1631" t="inlineStr">
        <is>
          <t>VÄSTERNORRLANDS LÄN</t>
        </is>
      </c>
      <c r="E1631" t="inlineStr">
        <is>
          <t>SOLLEFTEÅ</t>
        </is>
      </c>
      <c r="F1631" t="inlineStr">
        <is>
          <t>Holmen skog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25795-2023</t>
        </is>
      </c>
      <c r="B1632" s="1" t="n">
        <v>45085</v>
      </c>
      <c r="C1632" s="1" t="n">
        <v>45908</v>
      </c>
      <c r="D1632" t="inlineStr">
        <is>
          <t>VÄSTERNORRLANDS LÄN</t>
        </is>
      </c>
      <c r="E1632" t="inlineStr">
        <is>
          <t>SOLLEFTEÅ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4623-2023</t>
        </is>
      </c>
      <c r="B1633" s="1" t="n">
        <v>44956.94013888889</v>
      </c>
      <c r="C1633" s="1" t="n">
        <v>45908</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35572-2025</t>
        </is>
      </c>
      <c r="B1634" s="1" t="n">
        <v>45856.59423611111</v>
      </c>
      <c r="C1634" s="1" t="n">
        <v>45908</v>
      </c>
      <c r="D1634" t="inlineStr">
        <is>
          <t>VÄSTERNORRLANDS LÄN</t>
        </is>
      </c>
      <c r="E1634" t="inlineStr">
        <is>
          <t>SOLLEFTEÅ</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41025-2025</t>
        </is>
      </c>
      <c r="B1635" s="1" t="n">
        <v>45897</v>
      </c>
      <c r="C1635" s="1" t="n">
        <v>45908</v>
      </c>
      <c r="D1635" t="inlineStr">
        <is>
          <t>VÄSTERNORRLANDS LÄN</t>
        </is>
      </c>
      <c r="E1635" t="inlineStr">
        <is>
          <t>SOLLEFTEÅ</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41473-2025</t>
        </is>
      </c>
      <c r="B1636" s="1" t="n">
        <v>45901.46952546296</v>
      </c>
      <c r="C1636" s="1" t="n">
        <v>45908</v>
      </c>
      <c r="D1636" t="inlineStr">
        <is>
          <t>VÄSTERNORRLANDS LÄN</t>
        </is>
      </c>
      <c r="E1636" t="inlineStr">
        <is>
          <t>SOLLEFTEÅ</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29246-2025</t>
        </is>
      </c>
      <c r="B1637" s="1" t="n">
        <v>45824</v>
      </c>
      <c r="C1637" s="1" t="n">
        <v>45908</v>
      </c>
      <c r="D1637" t="inlineStr">
        <is>
          <t>VÄSTERNORRLANDS LÄN</t>
        </is>
      </c>
      <c r="E1637" t="inlineStr">
        <is>
          <t>SOLLEFTEÅ</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35513-2025</t>
        </is>
      </c>
      <c r="B1638" s="1" t="n">
        <v>45856.36520833334</v>
      </c>
      <c r="C1638" s="1" t="n">
        <v>45908</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40997-2025</t>
        </is>
      </c>
      <c r="B1639" s="1" t="n">
        <v>45898.34453703704</v>
      </c>
      <c r="C1639" s="1" t="n">
        <v>45908</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41472-2025</t>
        </is>
      </c>
      <c r="B1640" s="1" t="n">
        <v>45901.4693287037</v>
      </c>
      <c r="C1640" s="1" t="n">
        <v>45908</v>
      </c>
      <c r="D1640" t="inlineStr">
        <is>
          <t>VÄSTERNORRLANDS LÄN</t>
        </is>
      </c>
      <c r="E1640" t="inlineStr">
        <is>
          <t>SOLLEFTEÅ</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41494-2025</t>
        </is>
      </c>
      <c r="B1641" s="1" t="n">
        <v>45901.49199074074</v>
      </c>
      <c r="C1641" s="1" t="n">
        <v>45908</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41372-2025</t>
        </is>
      </c>
      <c r="B1642" s="1" t="n">
        <v>45900.67743055556</v>
      </c>
      <c r="C1642" s="1" t="n">
        <v>45908</v>
      </c>
      <c r="D1642" t="inlineStr">
        <is>
          <t>VÄSTERNORRLANDS LÄN</t>
        </is>
      </c>
      <c r="E1642" t="inlineStr">
        <is>
          <t>SOLLEFTEÅ</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35506-2025</t>
        </is>
      </c>
      <c r="B1643" s="1" t="n">
        <v>45856</v>
      </c>
      <c r="C1643" s="1" t="n">
        <v>45908</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34376-2024</t>
        </is>
      </c>
      <c r="B1644" s="1" t="n">
        <v>45525</v>
      </c>
      <c r="C1644" s="1" t="n">
        <v>45908</v>
      </c>
      <c r="D1644" t="inlineStr">
        <is>
          <t>VÄSTERNORRLANDS LÄN</t>
        </is>
      </c>
      <c r="E1644" t="inlineStr">
        <is>
          <t>SOLLEFTEÅ</t>
        </is>
      </c>
      <c r="F1644" t="inlineStr">
        <is>
          <t>Övriga statliga verk och myndigheter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37880-2025</t>
        </is>
      </c>
      <c r="B1645" s="1" t="n">
        <v>45881.48998842593</v>
      </c>
      <c r="C1645" s="1" t="n">
        <v>45908</v>
      </c>
      <c r="D1645" t="inlineStr">
        <is>
          <t>VÄSTERNORRLANDS LÄN</t>
        </is>
      </c>
      <c r="E1645" t="inlineStr">
        <is>
          <t>SOLLEFTEÅ</t>
        </is>
      </c>
      <c r="F1645" t="inlineStr">
        <is>
          <t>SCA</t>
        </is>
      </c>
      <c r="G1645" t="n">
        <v>26.1</v>
      </c>
      <c r="H1645" t="n">
        <v>0</v>
      </c>
      <c r="I1645" t="n">
        <v>0</v>
      </c>
      <c r="J1645" t="n">
        <v>0</v>
      </c>
      <c r="K1645" t="n">
        <v>0</v>
      </c>
      <c r="L1645" t="n">
        <v>0</v>
      </c>
      <c r="M1645" t="n">
        <v>0</v>
      </c>
      <c r="N1645" t="n">
        <v>0</v>
      </c>
      <c r="O1645" t="n">
        <v>0</v>
      </c>
      <c r="P1645" t="n">
        <v>0</v>
      </c>
      <c r="Q1645" t="n">
        <v>0</v>
      </c>
      <c r="R1645" s="2" t="inlineStr"/>
    </row>
    <row r="1646" ht="15" customHeight="1">
      <c r="A1646" t="inlineStr">
        <is>
          <t>A 8703-2025</t>
        </is>
      </c>
      <c r="B1646" s="1" t="n">
        <v>45712.48630787037</v>
      </c>
      <c r="C1646" s="1" t="n">
        <v>45908</v>
      </c>
      <c r="D1646" t="inlineStr">
        <is>
          <t>VÄSTERNORRLANDS LÄN</t>
        </is>
      </c>
      <c r="E1646" t="inlineStr">
        <is>
          <t>SOLLEFTEÅ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42482-2024</t>
        </is>
      </c>
      <c r="B1647" s="1" t="n">
        <v>45565</v>
      </c>
      <c r="C1647" s="1" t="n">
        <v>45908</v>
      </c>
      <c r="D1647" t="inlineStr">
        <is>
          <t>VÄSTERNORRLANDS LÄN</t>
        </is>
      </c>
      <c r="E1647" t="inlineStr">
        <is>
          <t>SOLLEFTEÅ</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25999-2021</t>
        </is>
      </c>
      <c r="B1648" s="1" t="n">
        <v>44344</v>
      </c>
      <c r="C1648" s="1" t="n">
        <v>45908</v>
      </c>
      <c r="D1648" t="inlineStr">
        <is>
          <t>VÄSTERNORRLANDS LÄN</t>
        </is>
      </c>
      <c r="E1648" t="inlineStr">
        <is>
          <t>SOLLEFTEÅ</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41449-2025</t>
        </is>
      </c>
      <c r="B1649" s="1" t="n">
        <v>45901.42787037037</v>
      </c>
      <c r="C1649" s="1" t="n">
        <v>45908</v>
      </c>
      <c r="D1649" t="inlineStr">
        <is>
          <t>VÄSTERNORRLANDS LÄN</t>
        </is>
      </c>
      <c r="E1649" t="inlineStr">
        <is>
          <t>SOLLEFTEÅ</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17682-2025</t>
        </is>
      </c>
      <c r="B1650" s="1" t="n">
        <v>45758</v>
      </c>
      <c r="C1650" s="1" t="n">
        <v>45908</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35703-2025</t>
        </is>
      </c>
      <c r="B1651" s="1" t="n">
        <v>45860.36497685185</v>
      </c>
      <c r="C1651" s="1" t="n">
        <v>45908</v>
      </c>
      <c r="D1651" t="inlineStr">
        <is>
          <t>VÄSTERNORRLANDS LÄN</t>
        </is>
      </c>
      <c r="E1651" t="inlineStr">
        <is>
          <t>SOLLEFTEÅ</t>
        </is>
      </c>
      <c r="F1651" t="inlineStr">
        <is>
          <t>SCA</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35704-2025</t>
        </is>
      </c>
      <c r="B1652" s="1" t="n">
        <v>45860.36518518518</v>
      </c>
      <c r="C1652" s="1" t="n">
        <v>45908</v>
      </c>
      <c r="D1652" t="inlineStr">
        <is>
          <t>VÄSTERNORRLANDS LÄN</t>
        </is>
      </c>
      <c r="E1652" t="inlineStr">
        <is>
          <t>SOLLEFTEÅ</t>
        </is>
      </c>
      <c r="F1652" t="inlineStr">
        <is>
          <t>SCA</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17843-2025</t>
        </is>
      </c>
      <c r="B1653" s="1" t="n">
        <v>45758</v>
      </c>
      <c r="C1653" s="1" t="n">
        <v>45908</v>
      </c>
      <c r="D1653" t="inlineStr">
        <is>
          <t>VÄSTERNORRLANDS LÄN</t>
        </is>
      </c>
      <c r="E1653" t="inlineStr">
        <is>
          <t>SOLLEFTEÅ</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42041-2025</t>
        </is>
      </c>
      <c r="B1654" s="1" t="n">
        <v>45903.61568287037</v>
      </c>
      <c r="C1654" s="1" t="n">
        <v>45908</v>
      </c>
      <c r="D1654" t="inlineStr">
        <is>
          <t>VÄSTERNORRLANDS LÄN</t>
        </is>
      </c>
      <c r="E1654" t="inlineStr">
        <is>
          <t>SOLLEFTEÅ</t>
        </is>
      </c>
      <c r="F1654" t="inlineStr">
        <is>
          <t>SCA</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37607-2025</t>
        </is>
      </c>
      <c r="B1655" s="1" t="n">
        <v>45880</v>
      </c>
      <c r="C1655" s="1" t="n">
        <v>45908</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41948-2025</t>
        </is>
      </c>
      <c r="B1656" s="1" t="n">
        <v>45903.45092592593</v>
      </c>
      <c r="C1656" s="1" t="n">
        <v>45908</v>
      </c>
      <c r="D1656" t="inlineStr">
        <is>
          <t>VÄSTERNORRLANDS LÄN</t>
        </is>
      </c>
      <c r="E1656" t="inlineStr">
        <is>
          <t>SOLLEFTEÅ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31451-2025</t>
        </is>
      </c>
      <c r="B1657" s="1" t="n">
        <v>45833.53167824074</v>
      </c>
      <c r="C1657" s="1" t="n">
        <v>45908</v>
      </c>
      <c r="D1657" t="inlineStr">
        <is>
          <t>VÄSTERNORRLANDS LÄN</t>
        </is>
      </c>
      <c r="E1657" t="inlineStr">
        <is>
          <t>SOLLEFTEÅ</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36063-2025</t>
        </is>
      </c>
      <c r="B1658" s="1" t="n">
        <v>45866</v>
      </c>
      <c r="C1658" s="1" t="n">
        <v>45908</v>
      </c>
      <c r="D1658" t="inlineStr">
        <is>
          <t>VÄSTERNORRLANDS LÄN</t>
        </is>
      </c>
      <c r="E1658" t="inlineStr">
        <is>
          <t>SOLLEFTEÅ</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42064-2025</t>
        </is>
      </c>
      <c r="B1659" s="1" t="n">
        <v>45903.6527199074</v>
      </c>
      <c r="C1659" s="1" t="n">
        <v>45908</v>
      </c>
      <c r="D1659" t="inlineStr">
        <is>
          <t>VÄSTERNORRLANDS LÄN</t>
        </is>
      </c>
      <c r="E1659" t="inlineStr">
        <is>
          <t>SOLLEFTEÅ</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35618-2025</t>
        </is>
      </c>
      <c r="B1660" s="1" t="n">
        <v>45859.41335648148</v>
      </c>
      <c r="C1660" s="1" t="n">
        <v>45908</v>
      </c>
      <c r="D1660" t="inlineStr">
        <is>
          <t>VÄSTERNORRLANDS LÄN</t>
        </is>
      </c>
      <c r="E1660" t="inlineStr">
        <is>
          <t>SOLLEFTEÅ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22446-2025</t>
        </is>
      </c>
      <c r="B1661" s="1" t="n">
        <v>45786.59439814815</v>
      </c>
      <c r="C1661" s="1" t="n">
        <v>45908</v>
      </c>
      <c r="D1661" t="inlineStr">
        <is>
          <t>VÄSTERNORRLANDS LÄN</t>
        </is>
      </c>
      <c r="E1661" t="inlineStr">
        <is>
          <t>SOLLEFTEÅ</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3080-2025</t>
        </is>
      </c>
      <c r="B1662" s="1" t="n">
        <v>45678</v>
      </c>
      <c r="C1662" s="1" t="n">
        <v>45908</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35807-2025</t>
        </is>
      </c>
      <c r="B1663" s="1" t="n">
        <v>45861.40663194445</v>
      </c>
      <c r="C1663" s="1" t="n">
        <v>45908</v>
      </c>
      <c r="D1663" t="inlineStr">
        <is>
          <t>VÄSTERNORRLANDS LÄN</t>
        </is>
      </c>
      <c r="E1663" t="inlineStr">
        <is>
          <t>SOLLEFTEÅ</t>
        </is>
      </c>
      <c r="F1663" t="inlineStr">
        <is>
          <t>SCA</t>
        </is>
      </c>
      <c r="G1663" t="n">
        <v>16.7</v>
      </c>
      <c r="H1663" t="n">
        <v>0</v>
      </c>
      <c r="I1663" t="n">
        <v>0</v>
      </c>
      <c r="J1663" t="n">
        <v>0</v>
      </c>
      <c r="K1663" t="n">
        <v>0</v>
      </c>
      <c r="L1663" t="n">
        <v>0</v>
      </c>
      <c r="M1663" t="n">
        <v>0</v>
      </c>
      <c r="N1663" t="n">
        <v>0</v>
      </c>
      <c r="O1663" t="n">
        <v>0</v>
      </c>
      <c r="P1663" t="n">
        <v>0</v>
      </c>
      <c r="Q1663" t="n">
        <v>0</v>
      </c>
      <c r="R1663" s="2" t="inlineStr"/>
    </row>
    <row r="1664" ht="15" customHeight="1">
      <c r="A1664" t="inlineStr">
        <is>
          <t>A 31680-2024</t>
        </is>
      </c>
      <c r="B1664" s="1" t="n">
        <v>45506.94894675926</v>
      </c>
      <c r="C1664" s="1" t="n">
        <v>45908</v>
      </c>
      <c r="D1664" t="inlineStr">
        <is>
          <t>VÄSTERNORRLANDS LÄN</t>
        </is>
      </c>
      <c r="E1664" t="inlineStr">
        <is>
          <t>SOLLEFTEÅ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23160-2025</t>
        </is>
      </c>
      <c r="B1665" s="1" t="n">
        <v>45791.40760416666</v>
      </c>
      <c r="C1665" s="1" t="n">
        <v>45908</v>
      </c>
      <c r="D1665" t="inlineStr">
        <is>
          <t>VÄSTERNORRLANDS LÄN</t>
        </is>
      </c>
      <c r="E1665" t="inlineStr">
        <is>
          <t>SOLLEFTEÅ</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36064-2025</t>
        </is>
      </c>
      <c r="B1666" s="1" t="n">
        <v>45866</v>
      </c>
      <c r="C1666" s="1" t="n">
        <v>45908</v>
      </c>
      <c r="D1666" t="inlineStr">
        <is>
          <t>VÄSTERNORRLANDS LÄN</t>
        </is>
      </c>
      <c r="E1666" t="inlineStr">
        <is>
          <t>SOLLEFTEÅ</t>
        </is>
      </c>
      <c r="F1666" t="inlineStr">
        <is>
          <t>SCA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10726-2025</t>
        </is>
      </c>
      <c r="B1667" s="1" t="n">
        <v>45722.38599537037</v>
      </c>
      <c r="C1667" s="1" t="n">
        <v>45908</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41925-2025</t>
        </is>
      </c>
      <c r="B1668" s="1" t="n">
        <v>45903.4275</v>
      </c>
      <c r="C1668" s="1" t="n">
        <v>45908</v>
      </c>
      <c r="D1668" t="inlineStr">
        <is>
          <t>VÄSTERNORRLANDS LÄN</t>
        </is>
      </c>
      <c r="E1668" t="inlineStr">
        <is>
          <t>SOLLEFTEÅ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46767-2024</t>
        </is>
      </c>
      <c r="B1669" s="1" t="n">
        <v>45583.49523148148</v>
      </c>
      <c r="C1669" s="1" t="n">
        <v>45908</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41829-2025</t>
        </is>
      </c>
      <c r="B1670" s="1" t="n">
        <v>45902.67756944444</v>
      </c>
      <c r="C1670" s="1" t="n">
        <v>45908</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7257-2024</t>
        </is>
      </c>
      <c r="B1671" s="1" t="n">
        <v>45344.7371412037</v>
      </c>
      <c r="C1671" s="1" t="n">
        <v>45908</v>
      </c>
      <c r="D1671" t="inlineStr">
        <is>
          <t>VÄSTERNORRLANDS LÄN</t>
        </is>
      </c>
      <c r="E1671" t="inlineStr">
        <is>
          <t>SOLLEFTEÅ</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56256-2023</t>
        </is>
      </c>
      <c r="B1672" s="1" t="n">
        <v>45240</v>
      </c>
      <c r="C1672" s="1" t="n">
        <v>45908</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11108-2025</t>
        </is>
      </c>
      <c r="B1673" s="1" t="n">
        <v>45723.6150462963</v>
      </c>
      <c r="C1673" s="1" t="n">
        <v>45908</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61847-2024</t>
        </is>
      </c>
      <c r="B1674" s="1" t="n">
        <v>45646</v>
      </c>
      <c r="C1674" s="1" t="n">
        <v>45908</v>
      </c>
      <c r="D1674" t="inlineStr">
        <is>
          <t>VÄSTERNORRLANDS LÄN</t>
        </is>
      </c>
      <c r="E1674" t="inlineStr">
        <is>
          <t>SOLLEFTEÅ</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53831-2024</t>
        </is>
      </c>
      <c r="B1675" s="1" t="n">
        <v>45615.61575231481</v>
      </c>
      <c r="C1675" s="1" t="n">
        <v>45908</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12355-2025</t>
        </is>
      </c>
      <c r="B1676" s="1" t="n">
        <v>45730.36490740741</v>
      </c>
      <c r="C1676" s="1" t="n">
        <v>45908</v>
      </c>
      <c r="D1676" t="inlineStr">
        <is>
          <t>VÄSTERNORRLANDS LÄN</t>
        </is>
      </c>
      <c r="E1676" t="inlineStr">
        <is>
          <t>SOLLEFTEÅ</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35924-2025</t>
        </is>
      </c>
      <c r="B1677" s="1" t="n">
        <v>45862.57326388889</v>
      </c>
      <c r="C1677" s="1" t="n">
        <v>45908</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42127-2025</t>
        </is>
      </c>
      <c r="B1678" s="1" t="n">
        <v>45904.34502314815</v>
      </c>
      <c r="C1678" s="1" t="n">
        <v>45908</v>
      </c>
      <c r="D1678" t="inlineStr">
        <is>
          <t>VÄSTERNORRLANDS LÄN</t>
        </is>
      </c>
      <c r="E1678" t="inlineStr">
        <is>
          <t>SOLLEFTEÅ</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44407-2023</t>
        </is>
      </c>
      <c r="B1679" s="1" t="n">
        <v>45188.9465625</v>
      </c>
      <c r="C1679" s="1" t="n">
        <v>45908</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44408-2023</t>
        </is>
      </c>
      <c r="B1680" s="1" t="n">
        <v>45188.94663194445</v>
      </c>
      <c r="C1680" s="1" t="n">
        <v>45908</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57010-2023</t>
        </is>
      </c>
      <c r="B1681" s="1" t="n">
        <v>45239</v>
      </c>
      <c r="C1681" s="1" t="n">
        <v>45908</v>
      </c>
      <c r="D1681" t="inlineStr">
        <is>
          <t>VÄSTERNORRLANDS LÄN</t>
        </is>
      </c>
      <c r="E1681" t="inlineStr">
        <is>
          <t>SOLLEFTEÅ</t>
        </is>
      </c>
      <c r="G1681" t="n">
        <v>1.6</v>
      </c>
      <c r="H1681" t="n">
        <v>0</v>
      </c>
      <c r="I1681" t="n">
        <v>0</v>
      </c>
      <c r="J1681" t="n">
        <v>0</v>
      </c>
      <c r="K1681" t="n">
        <v>0</v>
      </c>
      <c r="L1681" t="n">
        <v>0</v>
      </c>
      <c r="M1681" t="n">
        <v>0</v>
      </c>
      <c r="N1681" t="n">
        <v>0</v>
      </c>
      <c r="O1681" t="n">
        <v>0</v>
      </c>
      <c r="P1681" t="n">
        <v>0</v>
      </c>
      <c r="Q1681" t="n">
        <v>0</v>
      </c>
      <c r="R1681" s="2" t="inlineStr"/>
      <c r="U1681">
        <f>HYPERLINK("https://klasma.github.io/Logging_2283/knärot/A 57010-2023 karta knärot.png", "A 57010-2023")</f>
        <v/>
      </c>
      <c r="V1681">
        <f>HYPERLINK("https://klasma.github.io/Logging_2283/klagomål/A 57010-2023 FSC-klagomål.docx", "A 57010-2023")</f>
        <v/>
      </c>
      <c r="W1681">
        <f>HYPERLINK("https://klasma.github.io/Logging_2283/klagomålsmail/A 57010-2023 FSC-klagomål mail.docx", "A 57010-2023")</f>
        <v/>
      </c>
      <c r="X1681">
        <f>HYPERLINK("https://klasma.github.io/Logging_2283/tillsyn/A 57010-2023 tillsynsbegäran.docx", "A 57010-2023")</f>
        <v/>
      </c>
      <c r="Y1681">
        <f>HYPERLINK("https://klasma.github.io/Logging_2283/tillsynsmail/A 57010-2023 tillsynsbegäran mail.docx", "A 57010-2023")</f>
        <v/>
      </c>
    </row>
    <row r="1682" ht="15" customHeight="1">
      <c r="A1682" t="inlineStr">
        <is>
          <t>A 35261-2025</t>
        </is>
      </c>
      <c r="B1682" s="1" t="n">
        <v>45853</v>
      </c>
      <c r="C1682" s="1" t="n">
        <v>45908</v>
      </c>
      <c r="D1682" t="inlineStr">
        <is>
          <t>VÄSTERNORRLANDS LÄN</t>
        </is>
      </c>
      <c r="E1682" t="inlineStr">
        <is>
          <t>SOLLEFTEÅ</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36139-2024</t>
        </is>
      </c>
      <c r="B1683" s="1" t="n">
        <v>45534.35474537037</v>
      </c>
      <c r="C1683" s="1" t="n">
        <v>45908</v>
      </c>
      <c r="D1683" t="inlineStr">
        <is>
          <t>VÄSTERNORRLANDS LÄN</t>
        </is>
      </c>
      <c r="E1683" t="inlineStr">
        <is>
          <t>SOLLEFTEÅ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42554-2025</t>
        </is>
      </c>
      <c r="B1684" s="1" t="n">
        <v>45905.59445601852</v>
      </c>
      <c r="C1684" s="1" t="n">
        <v>45908</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64115-2023</t>
        </is>
      </c>
      <c r="B1685" s="1" t="n">
        <v>45279</v>
      </c>
      <c r="C1685" s="1" t="n">
        <v>45908</v>
      </c>
      <c r="D1685" t="inlineStr">
        <is>
          <t>VÄSTERNORRLANDS LÄN</t>
        </is>
      </c>
      <c r="E1685" t="inlineStr">
        <is>
          <t>SOLLEFTEÅ</t>
        </is>
      </c>
      <c r="G1685" t="n">
        <v>16.1</v>
      </c>
      <c r="H1685" t="n">
        <v>0</v>
      </c>
      <c r="I1685" t="n">
        <v>0</v>
      </c>
      <c r="J1685" t="n">
        <v>0</v>
      </c>
      <c r="K1685" t="n">
        <v>0</v>
      </c>
      <c r="L1685" t="n">
        <v>0</v>
      </c>
      <c r="M1685" t="n">
        <v>0</v>
      </c>
      <c r="N1685" t="n">
        <v>0</v>
      </c>
      <c r="O1685" t="n">
        <v>0</v>
      </c>
      <c r="P1685" t="n">
        <v>0</v>
      </c>
      <c r="Q1685" t="n">
        <v>0</v>
      </c>
      <c r="R1685" s="2" t="inlineStr"/>
    </row>
    <row r="1686" ht="15" customHeight="1">
      <c r="A1686" t="inlineStr">
        <is>
          <t>A 42199-2025</t>
        </is>
      </c>
      <c r="B1686" s="1" t="n">
        <v>45904.48640046296</v>
      </c>
      <c r="C1686" s="1" t="n">
        <v>45908</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23282-2022</t>
        </is>
      </c>
      <c r="B1687" s="1" t="n">
        <v>44720</v>
      </c>
      <c r="C1687" s="1" t="n">
        <v>45908</v>
      </c>
      <c r="D1687" t="inlineStr">
        <is>
          <t>VÄSTERNORRLANDS LÄN</t>
        </is>
      </c>
      <c r="E1687" t="inlineStr">
        <is>
          <t>SOLLEFTEÅ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14109-2023</t>
        </is>
      </c>
      <c r="B1688" s="1" t="n">
        <v>45008</v>
      </c>
      <c r="C1688" s="1" t="n">
        <v>45908</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58155-2023</t>
        </is>
      </c>
      <c r="B1689" s="1" t="n">
        <v>45250</v>
      </c>
      <c r="C1689" s="1" t="n">
        <v>45908</v>
      </c>
      <c r="D1689" t="inlineStr">
        <is>
          <t>VÄSTERNORRLANDS LÄN</t>
        </is>
      </c>
      <c r="E1689" t="inlineStr">
        <is>
          <t>SOLLEFTEÅ</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6059-2024</t>
        </is>
      </c>
      <c r="B1690" s="1" t="n">
        <v>45336</v>
      </c>
      <c r="C1690" s="1" t="n">
        <v>45908</v>
      </c>
      <c r="D1690" t="inlineStr">
        <is>
          <t>VÄSTERNORRLANDS LÄN</t>
        </is>
      </c>
      <c r="E1690" t="inlineStr">
        <is>
          <t>SOLLEFTEÅ</t>
        </is>
      </c>
      <c r="F1690" t="inlineStr">
        <is>
          <t>Övriga Aktiebolag</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6066-2024</t>
        </is>
      </c>
      <c r="B1691" s="1" t="n">
        <v>45336.88386574074</v>
      </c>
      <c r="C1691" s="1" t="n">
        <v>45908</v>
      </c>
      <c r="D1691" t="inlineStr">
        <is>
          <t>VÄSTERNORRLANDS LÄN</t>
        </is>
      </c>
      <c r="E1691" t="inlineStr">
        <is>
          <t>SOLLEFTEÅ</t>
        </is>
      </c>
      <c r="F1691" t="inlineStr">
        <is>
          <t>Övriga Aktiebolag</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19053-2022</t>
        </is>
      </c>
      <c r="B1692" s="1" t="n">
        <v>44691.41626157407</v>
      </c>
      <c r="C1692" s="1" t="n">
        <v>45908</v>
      </c>
      <c r="D1692" t="inlineStr">
        <is>
          <t>VÄSTERNORRLANDS LÄN</t>
        </is>
      </c>
      <c r="E1692" t="inlineStr">
        <is>
          <t>SOLLEFTEÅ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54572-2024</t>
        </is>
      </c>
      <c r="B1693" s="1" t="n">
        <v>45617.65054398148</v>
      </c>
      <c r="C1693" s="1" t="n">
        <v>45908</v>
      </c>
      <c r="D1693" t="inlineStr">
        <is>
          <t>VÄSTERNORRLANDS LÄN</t>
        </is>
      </c>
      <c r="E1693" t="inlineStr">
        <is>
          <t>SOLLEFTEÅ</t>
        </is>
      </c>
      <c r="G1693" t="n">
        <v>28.2</v>
      </c>
      <c r="H1693" t="n">
        <v>0</v>
      </c>
      <c r="I1693" t="n">
        <v>0</v>
      </c>
      <c r="J1693" t="n">
        <v>0</v>
      </c>
      <c r="K1693" t="n">
        <v>0</v>
      </c>
      <c r="L1693" t="n">
        <v>0</v>
      </c>
      <c r="M1693" t="n">
        <v>0</v>
      </c>
      <c r="N1693" t="n">
        <v>0</v>
      </c>
      <c r="O1693" t="n">
        <v>0</v>
      </c>
      <c r="P1693" t="n">
        <v>0</v>
      </c>
      <c r="Q1693" t="n">
        <v>0</v>
      </c>
      <c r="R1693" s="2" t="inlineStr"/>
    </row>
    <row r="1694" ht="15" customHeight="1">
      <c r="A1694" t="inlineStr">
        <is>
          <t>A 42124-2025</t>
        </is>
      </c>
      <c r="B1694" s="1" t="n">
        <v>45904.34450231482</v>
      </c>
      <c r="C1694" s="1" t="n">
        <v>45908</v>
      </c>
      <c r="D1694" t="inlineStr">
        <is>
          <t>VÄSTERNORRLANDS LÄN</t>
        </is>
      </c>
      <c r="E1694" t="inlineStr">
        <is>
          <t>SOLLEFTEÅ</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42192-2025</t>
        </is>
      </c>
      <c r="B1695" s="1" t="n">
        <v>45904.47975694444</v>
      </c>
      <c r="C1695" s="1" t="n">
        <v>45908</v>
      </c>
      <c r="D1695" t="inlineStr">
        <is>
          <t>VÄSTERNORRLANDS LÄN</t>
        </is>
      </c>
      <c r="E1695" t="inlineStr">
        <is>
          <t>SOLLEFTEÅ</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24731-2021</t>
        </is>
      </c>
      <c r="B1696" s="1" t="n">
        <v>44340</v>
      </c>
      <c r="C1696" s="1" t="n">
        <v>45908</v>
      </c>
      <c r="D1696" t="inlineStr">
        <is>
          <t>VÄSTERNORRLANDS LÄN</t>
        </is>
      </c>
      <c r="E1696" t="inlineStr">
        <is>
          <t>SOLLEFTEÅ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10093-2023</t>
        </is>
      </c>
      <c r="B1697" s="1" t="n">
        <v>44985</v>
      </c>
      <c r="C1697" s="1" t="n">
        <v>45908</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42396-2025</t>
        </is>
      </c>
      <c r="B1698" s="1" t="n">
        <v>45905.36559027778</v>
      </c>
      <c r="C1698" s="1" t="n">
        <v>45908</v>
      </c>
      <c r="D1698" t="inlineStr">
        <is>
          <t>VÄSTERNORRLANDS LÄN</t>
        </is>
      </c>
      <c r="E1698" t="inlineStr">
        <is>
          <t>SOLLEFTEÅ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48477-2020</t>
        </is>
      </c>
      <c r="B1699" s="1" t="n">
        <v>44102</v>
      </c>
      <c r="C1699" s="1" t="n">
        <v>45908</v>
      </c>
      <c r="D1699" t="inlineStr">
        <is>
          <t>VÄSTERNORRLANDS LÄN</t>
        </is>
      </c>
      <c r="E1699" t="inlineStr">
        <is>
          <t>SOLLEFTEÅ</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42191-2025</t>
        </is>
      </c>
      <c r="B1700" s="1" t="n">
        <v>45904.47394675926</v>
      </c>
      <c r="C1700" s="1" t="n">
        <v>45908</v>
      </c>
      <c r="D1700" t="inlineStr">
        <is>
          <t>VÄSTERNORRLANDS LÄN</t>
        </is>
      </c>
      <c r="E1700" t="inlineStr">
        <is>
          <t>SOLLEFTEÅ</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46765-2024</t>
        </is>
      </c>
      <c r="B1701" s="1" t="n">
        <v>45583.49491898148</v>
      </c>
      <c r="C1701" s="1" t="n">
        <v>45908</v>
      </c>
      <c r="D1701" t="inlineStr">
        <is>
          <t>VÄSTERNORRLANDS LÄN</t>
        </is>
      </c>
      <c r="E1701" t="inlineStr">
        <is>
          <t>SOLLEFTEÅ</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42478-2025</t>
        </is>
      </c>
      <c r="B1702" s="1" t="n">
        <v>45905.46935185185</v>
      </c>
      <c r="C1702" s="1" t="n">
        <v>45908</v>
      </c>
      <c r="D1702" t="inlineStr">
        <is>
          <t>VÄSTERNORRLANDS LÄN</t>
        </is>
      </c>
      <c r="E1702" t="inlineStr">
        <is>
          <t>SOLLEFTEÅ</t>
        </is>
      </c>
      <c r="F1702" t="inlineStr">
        <is>
          <t>SCA</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21349-2023</t>
        </is>
      </c>
      <c r="B1703" s="1" t="n">
        <v>45062.9390625</v>
      </c>
      <c r="C1703" s="1" t="n">
        <v>45908</v>
      </c>
      <c r="D1703" t="inlineStr">
        <is>
          <t>VÄSTERNORRLANDS LÄN</t>
        </is>
      </c>
      <c r="E1703" t="inlineStr">
        <is>
          <t>SOLLEFTEÅ</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60856-2022</t>
        </is>
      </c>
      <c r="B1704" s="1" t="n">
        <v>44907</v>
      </c>
      <c r="C1704" s="1" t="n">
        <v>45908</v>
      </c>
      <c r="D1704" t="inlineStr">
        <is>
          <t>VÄSTERNORRLANDS LÄN</t>
        </is>
      </c>
      <c r="E1704" t="inlineStr">
        <is>
          <t>SOLLEFTEÅ</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2536-2022</t>
        </is>
      </c>
      <c r="B1705" s="1" t="n">
        <v>44579</v>
      </c>
      <c r="C1705" s="1" t="n">
        <v>45908</v>
      </c>
      <c r="D1705" t="inlineStr">
        <is>
          <t>VÄSTERNORRLANDS LÄN</t>
        </is>
      </c>
      <c r="E1705" t="inlineStr">
        <is>
          <t>SOLLEFTEÅ</t>
        </is>
      </c>
      <c r="F1705" t="inlineStr">
        <is>
          <t>Övriga Aktiebolag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42201-2025</t>
        </is>
      </c>
      <c r="B1706" s="1" t="n">
        <v>45904.48965277777</v>
      </c>
      <c r="C1706" s="1" t="n">
        <v>45908</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25259-2023</t>
        </is>
      </c>
      <c r="B1707" s="1" t="n">
        <v>45079</v>
      </c>
      <c r="C1707" s="1" t="n">
        <v>45908</v>
      </c>
      <c r="D1707" t="inlineStr">
        <is>
          <t>VÄSTERNORRLANDS LÄN</t>
        </is>
      </c>
      <c r="E1707" t="inlineStr">
        <is>
          <t>SOLLEFTEÅ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43585-2024</t>
        </is>
      </c>
      <c r="B1708" s="1" t="n">
        <v>45569.42770833334</v>
      </c>
      <c r="C1708" s="1" t="n">
        <v>45908</v>
      </c>
      <c r="D1708" t="inlineStr">
        <is>
          <t>VÄSTERNORRLANDS LÄN</t>
        </is>
      </c>
      <c r="E1708" t="inlineStr">
        <is>
          <t>SOLLEFTEÅ</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42081-2025</t>
        </is>
      </c>
      <c r="B1709" s="1" t="n">
        <v>45902</v>
      </c>
      <c r="C1709" s="1" t="n">
        <v>45908</v>
      </c>
      <c r="D1709" t="inlineStr">
        <is>
          <t>VÄSTERNORRLANDS LÄN</t>
        </is>
      </c>
      <c r="E1709" t="inlineStr">
        <is>
          <t>SOLLEFTEÅ</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32071-2024</t>
        </is>
      </c>
      <c r="B1710" s="1" t="n">
        <v>45510.97246527778</v>
      </c>
      <c r="C1710" s="1" t="n">
        <v>45908</v>
      </c>
      <c r="D1710" t="inlineStr">
        <is>
          <t>VÄSTERNORRLANDS LÄN</t>
        </is>
      </c>
      <c r="E1710" t="inlineStr">
        <is>
          <t>SOLLEFTEÅ</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58694-2024</t>
        </is>
      </c>
      <c r="B1711" s="1" t="n">
        <v>45635.63575231482</v>
      </c>
      <c r="C1711" s="1" t="n">
        <v>45908</v>
      </c>
      <c r="D1711" t="inlineStr">
        <is>
          <t>VÄSTERNORRLANDS LÄN</t>
        </is>
      </c>
      <c r="E1711" t="inlineStr">
        <is>
          <t>SOLLEFTEÅ</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54238-2024</t>
        </is>
      </c>
      <c r="B1712" s="1" t="n">
        <v>45616.67844907408</v>
      </c>
      <c r="C1712" s="1" t="n">
        <v>45908</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23025-2025</t>
        </is>
      </c>
      <c r="B1713" s="1" t="n">
        <v>45790.65662037037</v>
      </c>
      <c r="C1713" s="1" t="n">
        <v>45908</v>
      </c>
      <c r="D1713" t="inlineStr">
        <is>
          <t>VÄSTERNORRLANDS LÄN</t>
        </is>
      </c>
      <c r="E1713" t="inlineStr">
        <is>
          <t>SOLLEFTEÅ</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36065-2025</t>
        </is>
      </c>
      <c r="B1714" s="1" t="n">
        <v>45866</v>
      </c>
      <c r="C1714" s="1" t="n">
        <v>45908</v>
      </c>
      <c r="D1714" t="inlineStr">
        <is>
          <t>VÄSTERNORRLANDS LÄN</t>
        </is>
      </c>
      <c r="E1714" t="inlineStr">
        <is>
          <t>SOLLEFTEÅ</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8105-2025</t>
        </is>
      </c>
      <c r="B1715" s="1" t="n">
        <v>45707.6990625</v>
      </c>
      <c r="C1715" s="1" t="n">
        <v>45908</v>
      </c>
      <c r="D1715" t="inlineStr">
        <is>
          <t>VÄSTERNORRLANDS LÄN</t>
        </is>
      </c>
      <c r="E1715" t="inlineStr">
        <is>
          <t>SOLLEFTEÅ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6376-2025</t>
        </is>
      </c>
      <c r="B1716" s="1" t="n">
        <v>45699</v>
      </c>
      <c r="C1716" s="1" t="n">
        <v>45908</v>
      </c>
      <c r="D1716" t="inlineStr">
        <is>
          <t>VÄSTERNORRLANDS LÄN</t>
        </is>
      </c>
      <c r="E1716" t="inlineStr">
        <is>
          <t>SOLLEFTEÅ</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1880-2024</t>
        </is>
      </c>
      <c r="B1717" s="1" t="n">
        <v>45307</v>
      </c>
      <c r="C1717" s="1" t="n">
        <v>45908</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53452-2023</t>
        </is>
      </c>
      <c r="B1718" s="1" t="n">
        <v>45229</v>
      </c>
      <c r="C1718" s="1" t="n">
        <v>45908</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53453-2023</t>
        </is>
      </c>
      <c r="B1719" s="1" t="n">
        <v>45229.96586805556</v>
      </c>
      <c r="C1719" s="1" t="n">
        <v>45908</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13257-2025</t>
        </is>
      </c>
      <c r="B1720" s="1" t="n">
        <v>45735.51075231482</v>
      </c>
      <c r="C1720" s="1" t="n">
        <v>45908</v>
      </c>
      <c r="D1720" t="inlineStr">
        <is>
          <t>VÄSTERNORRLANDS LÄN</t>
        </is>
      </c>
      <c r="E1720" t="inlineStr">
        <is>
          <t>SOLLEFTEÅ</t>
        </is>
      </c>
      <c r="F1720" t="inlineStr">
        <is>
          <t>SCA</t>
        </is>
      </c>
      <c r="G1720" t="n">
        <v>15.3</v>
      </c>
      <c r="H1720" t="n">
        <v>0</v>
      </c>
      <c r="I1720" t="n">
        <v>0</v>
      </c>
      <c r="J1720" t="n">
        <v>0</v>
      </c>
      <c r="K1720" t="n">
        <v>0</v>
      </c>
      <c r="L1720" t="n">
        <v>0</v>
      </c>
      <c r="M1720" t="n">
        <v>0</v>
      </c>
      <c r="N1720" t="n">
        <v>0</v>
      </c>
      <c r="O1720" t="n">
        <v>0</v>
      </c>
      <c r="P1720" t="n">
        <v>0</v>
      </c>
      <c r="Q1720" t="n">
        <v>0</v>
      </c>
      <c r="R1720" s="2" t="inlineStr"/>
    </row>
    <row r="1721" ht="15" customHeight="1">
      <c r="A1721" t="inlineStr">
        <is>
          <t>A 8169-2025</t>
        </is>
      </c>
      <c r="B1721" s="1" t="n">
        <v>45708.3653125</v>
      </c>
      <c r="C1721" s="1" t="n">
        <v>45908</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4129-2025</t>
        </is>
      </c>
      <c r="B1722" s="1" t="n">
        <v>45685.34425925926</v>
      </c>
      <c r="C1722" s="1" t="n">
        <v>45908</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4133-2025</t>
        </is>
      </c>
      <c r="B1723" s="1" t="n">
        <v>45685.34559027778</v>
      </c>
      <c r="C1723" s="1" t="n">
        <v>45908</v>
      </c>
      <c r="D1723" t="inlineStr">
        <is>
          <t>VÄSTERNORRLANDS LÄN</t>
        </is>
      </c>
      <c r="E1723" t="inlineStr">
        <is>
          <t>SOLLEFTEÅ</t>
        </is>
      </c>
      <c r="F1723" t="inlineStr">
        <is>
          <t>SCA</t>
        </is>
      </c>
      <c r="G1723" t="n">
        <v>37.2</v>
      </c>
      <c r="H1723" t="n">
        <v>0</v>
      </c>
      <c r="I1723" t="n">
        <v>0</v>
      </c>
      <c r="J1723" t="n">
        <v>0</v>
      </c>
      <c r="K1723" t="n">
        <v>0</v>
      </c>
      <c r="L1723" t="n">
        <v>0</v>
      </c>
      <c r="M1723" t="n">
        <v>0</v>
      </c>
      <c r="N1723" t="n">
        <v>0</v>
      </c>
      <c r="O1723" t="n">
        <v>0</v>
      </c>
      <c r="P1723" t="n">
        <v>0</v>
      </c>
      <c r="Q1723" t="n">
        <v>0</v>
      </c>
      <c r="R1723" s="2" t="inlineStr"/>
    </row>
    <row r="1724" ht="15" customHeight="1">
      <c r="A1724" t="inlineStr">
        <is>
          <t>A 38283-2021</t>
        </is>
      </c>
      <c r="B1724" s="1" t="n">
        <v>44405</v>
      </c>
      <c r="C1724" s="1" t="n">
        <v>45908</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32924-2024</t>
        </is>
      </c>
      <c r="B1725" s="1" t="n">
        <v>45516.95292824074</v>
      </c>
      <c r="C1725" s="1" t="n">
        <v>45908</v>
      </c>
      <c r="D1725" t="inlineStr">
        <is>
          <t>VÄSTERNORRLANDS LÄN</t>
        </is>
      </c>
      <c r="E1725" t="inlineStr">
        <is>
          <t>SOLLEFTEÅ</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41532-2024</t>
        </is>
      </c>
      <c r="B1726" s="1" t="n">
        <v>45560.49050925926</v>
      </c>
      <c r="C1726" s="1" t="n">
        <v>45908</v>
      </c>
      <c r="D1726" t="inlineStr">
        <is>
          <t>VÄSTERNORRLANDS LÄN</t>
        </is>
      </c>
      <c r="E1726" t="inlineStr">
        <is>
          <t>SOLLEFTEÅ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54617-2023</t>
        </is>
      </c>
      <c r="B1727" s="1" t="n">
        <v>45233.95835648148</v>
      </c>
      <c r="C1727" s="1" t="n">
        <v>45908</v>
      </c>
      <c r="D1727" t="inlineStr">
        <is>
          <t>VÄSTERNORRLANDS LÄN</t>
        </is>
      </c>
      <c r="E1727" t="inlineStr">
        <is>
          <t>SOLLEFTEÅ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2408-2023</t>
        </is>
      </c>
      <c r="B1728" s="1" t="n">
        <v>44942</v>
      </c>
      <c r="C1728" s="1" t="n">
        <v>45908</v>
      </c>
      <c r="D1728" t="inlineStr">
        <is>
          <t>VÄSTERNORRLANDS LÄN</t>
        </is>
      </c>
      <c r="E1728" t="inlineStr">
        <is>
          <t>SOLLEFTEÅ</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35469-2024</t>
        </is>
      </c>
      <c r="B1729" s="1" t="n">
        <v>45531</v>
      </c>
      <c r="C1729" s="1" t="n">
        <v>45908</v>
      </c>
      <c r="D1729" t="inlineStr">
        <is>
          <t>VÄSTERNORRLANDS LÄN</t>
        </is>
      </c>
      <c r="E1729" t="inlineStr">
        <is>
          <t>SOLLEFTEÅ</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51693-2024</t>
        </is>
      </c>
      <c r="B1730" s="1" t="n">
        <v>45607.34570601852</v>
      </c>
      <c r="C1730" s="1" t="n">
        <v>45908</v>
      </c>
      <c r="D1730" t="inlineStr">
        <is>
          <t>VÄSTERNORRLANDS LÄN</t>
        </is>
      </c>
      <c r="E1730" t="inlineStr">
        <is>
          <t>SOLLEFTEÅ</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6067-2024</t>
        </is>
      </c>
      <c r="B1731" s="1" t="n">
        <v>45336.89018518518</v>
      </c>
      <c r="C1731" s="1" t="n">
        <v>45908</v>
      </c>
      <c r="D1731" t="inlineStr">
        <is>
          <t>VÄSTERNORRLANDS LÄN</t>
        </is>
      </c>
      <c r="E1731" t="inlineStr">
        <is>
          <t>SOLLEFTEÅ</t>
        </is>
      </c>
      <c r="F1731" t="inlineStr">
        <is>
          <t>Övriga Aktiebolag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19416-2022</t>
        </is>
      </c>
      <c r="B1732" s="1" t="n">
        <v>44693</v>
      </c>
      <c r="C1732" s="1" t="n">
        <v>45908</v>
      </c>
      <c r="D1732" t="inlineStr">
        <is>
          <t>VÄSTERNORRLANDS LÄN</t>
        </is>
      </c>
      <c r="E1732" t="inlineStr">
        <is>
          <t>SOLLEFTEÅ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8656-2024</t>
        </is>
      </c>
      <c r="B1733" s="1" t="n">
        <v>45356</v>
      </c>
      <c r="C1733" s="1" t="n">
        <v>45908</v>
      </c>
      <c r="D1733" t="inlineStr">
        <is>
          <t>VÄSTERNORRLANDS LÄN</t>
        </is>
      </c>
      <c r="E1733" t="inlineStr">
        <is>
          <t>SOLLEFTEÅ</t>
        </is>
      </c>
      <c r="F1733" t="inlineStr">
        <is>
          <t>SCA</t>
        </is>
      </c>
      <c r="G1733" t="n">
        <v>18.4</v>
      </c>
      <c r="H1733" t="n">
        <v>0</v>
      </c>
      <c r="I1733" t="n">
        <v>0</v>
      </c>
      <c r="J1733" t="n">
        <v>0</v>
      </c>
      <c r="K1733" t="n">
        <v>0</v>
      </c>
      <c r="L1733" t="n">
        <v>0</v>
      </c>
      <c r="M1733" t="n">
        <v>0</v>
      </c>
      <c r="N1733" t="n">
        <v>0</v>
      </c>
      <c r="O1733" t="n">
        <v>0</v>
      </c>
      <c r="P1733" t="n">
        <v>0</v>
      </c>
      <c r="Q1733" t="n">
        <v>0</v>
      </c>
      <c r="R1733" s="2" t="inlineStr"/>
    </row>
    <row r="1734" ht="15" customHeight="1">
      <c r="A1734" t="inlineStr">
        <is>
          <t>A 59407-2024</t>
        </is>
      </c>
      <c r="B1734" s="1" t="n">
        <v>45638.38917824074</v>
      </c>
      <c r="C1734" s="1" t="n">
        <v>45908</v>
      </c>
      <c r="D1734" t="inlineStr">
        <is>
          <t>VÄSTERNORRLANDS LÄN</t>
        </is>
      </c>
      <c r="E1734" t="inlineStr">
        <is>
          <t>SOLLEFTEÅ</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63144-2023</t>
        </is>
      </c>
      <c r="B1735" s="1" t="n">
        <v>45272</v>
      </c>
      <c r="C1735" s="1" t="n">
        <v>45908</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62260-2022</t>
        </is>
      </c>
      <c r="B1736" s="1" t="n">
        <v>44922.94366898148</v>
      </c>
      <c r="C1736" s="1" t="n">
        <v>45908</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25989-2021</t>
        </is>
      </c>
      <c r="B1737" s="1" t="n">
        <v>44344</v>
      </c>
      <c r="C1737" s="1" t="n">
        <v>45908</v>
      </c>
      <c r="D1737" t="inlineStr">
        <is>
          <t>VÄSTERNORRLANDS LÄN</t>
        </is>
      </c>
      <c r="E1737" t="inlineStr">
        <is>
          <t>SOLLEFTEÅ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33739-2024</t>
        </is>
      </c>
      <c r="B1738" s="1" t="n">
        <v>45520.55943287037</v>
      </c>
      <c r="C1738" s="1" t="n">
        <v>45908</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25703-2024</t>
        </is>
      </c>
      <c r="B1739" s="1" t="n">
        <v>45463</v>
      </c>
      <c r="C1739" s="1" t="n">
        <v>45908</v>
      </c>
      <c r="D1739" t="inlineStr">
        <is>
          <t>VÄSTERNORRLANDS LÄN</t>
        </is>
      </c>
      <c r="E1739" t="inlineStr">
        <is>
          <t>SOLLEFTEÅ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25704-2024</t>
        </is>
      </c>
      <c r="B1740" s="1" t="n">
        <v>45463.94270833334</v>
      </c>
      <c r="C1740" s="1" t="n">
        <v>45908</v>
      </c>
      <c r="D1740" t="inlineStr">
        <is>
          <t>VÄSTERNORRLANDS LÄN</t>
        </is>
      </c>
      <c r="E1740" t="inlineStr">
        <is>
          <t>SOLLEFTEÅ</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29459-2024</t>
        </is>
      </c>
      <c r="B1741" s="1" t="n">
        <v>45483.96939814815</v>
      </c>
      <c r="C1741" s="1" t="n">
        <v>45908</v>
      </c>
      <c r="D1741" t="inlineStr">
        <is>
          <t>VÄSTERNORRLANDS LÄN</t>
        </is>
      </c>
      <c r="E1741" t="inlineStr">
        <is>
          <t>SOLLEFTEÅ</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34804-2022</t>
        </is>
      </c>
      <c r="B1742" s="1" t="n">
        <v>44795.94761574074</v>
      </c>
      <c r="C1742" s="1" t="n">
        <v>45908</v>
      </c>
      <c r="D1742" t="inlineStr">
        <is>
          <t>VÄSTERNORRLANDS LÄN</t>
        </is>
      </c>
      <c r="E1742" t="inlineStr">
        <is>
          <t>SOLLEFTEÅ</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3556-2022</t>
        </is>
      </c>
      <c r="B1743" s="1" t="n">
        <v>44585</v>
      </c>
      <c r="C1743" s="1" t="n">
        <v>45908</v>
      </c>
      <c r="D1743" t="inlineStr">
        <is>
          <t>VÄSTERNORRLANDS LÄN</t>
        </is>
      </c>
      <c r="E1743" t="inlineStr">
        <is>
          <t>SOLLEFTEÅ</t>
        </is>
      </c>
      <c r="F1743" t="inlineStr">
        <is>
          <t>SCA</t>
        </is>
      </c>
      <c r="G1743" t="n">
        <v>18.2</v>
      </c>
      <c r="H1743" t="n">
        <v>0</v>
      </c>
      <c r="I1743" t="n">
        <v>0</v>
      </c>
      <c r="J1743" t="n">
        <v>0</v>
      </c>
      <c r="K1743" t="n">
        <v>0</v>
      </c>
      <c r="L1743" t="n">
        <v>0</v>
      </c>
      <c r="M1743" t="n">
        <v>0</v>
      </c>
      <c r="N1743" t="n">
        <v>0</v>
      </c>
      <c r="O1743" t="n">
        <v>0</v>
      </c>
      <c r="P1743" t="n">
        <v>0</v>
      </c>
      <c r="Q1743" t="n">
        <v>0</v>
      </c>
      <c r="R1743" s="2" t="inlineStr"/>
    </row>
    <row r="1744" ht="15" customHeight="1">
      <c r="A1744" t="inlineStr">
        <is>
          <t>A 5258-2025</t>
        </is>
      </c>
      <c r="B1744" s="1" t="n">
        <v>45692</v>
      </c>
      <c r="C1744" s="1" t="n">
        <v>45908</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48235-2024</t>
        </is>
      </c>
      <c r="B1745" s="1" t="n">
        <v>45590</v>
      </c>
      <c r="C1745" s="1" t="n">
        <v>45908</v>
      </c>
      <c r="D1745" t="inlineStr">
        <is>
          <t>VÄSTERNORRLANDS LÄN</t>
        </is>
      </c>
      <c r="E1745" t="inlineStr">
        <is>
          <t>SOLLEFTEÅ</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29869-2024</t>
        </is>
      </c>
      <c r="B1746" s="1" t="n">
        <v>45485.94493055555</v>
      </c>
      <c r="C1746" s="1" t="n">
        <v>45908</v>
      </c>
      <c r="D1746" t="inlineStr">
        <is>
          <t>VÄSTERNORRLANDS LÄN</t>
        </is>
      </c>
      <c r="E1746" t="inlineStr">
        <is>
          <t>SOLLEFTEÅ</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29957-2023</t>
        </is>
      </c>
      <c r="B1747" s="1" t="n">
        <v>45107</v>
      </c>
      <c r="C1747" s="1" t="n">
        <v>45908</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42771-2022</t>
        </is>
      </c>
      <c r="B1748" s="1" t="n">
        <v>44832</v>
      </c>
      <c r="C1748" s="1" t="n">
        <v>45908</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3103-2025</t>
        </is>
      </c>
      <c r="B1749" s="1" t="n">
        <v>45678.67739583334</v>
      </c>
      <c r="C1749" s="1" t="n">
        <v>45908</v>
      </c>
      <c r="D1749" t="inlineStr">
        <is>
          <t>VÄSTERNORRLANDS LÄN</t>
        </is>
      </c>
      <c r="E1749" t="inlineStr">
        <is>
          <t>SOLLEFTEÅ</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57078-2024</t>
        </is>
      </c>
      <c r="B1750" s="1" t="n">
        <v>45629.35518518519</v>
      </c>
      <c r="C1750" s="1" t="n">
        <v>45908</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59593-2023</t>
        </is>
      </c>
      <c r="B1751" s="1" t="n">
        <v>45254.61885416666</v>
      </c>
      <c r="C1751" s="1" t="n">
        <v>45908</v>
      </c>
      <c r="D1751" t="inlineStr">
        <is>
          <t>VÄSTERNORRLANDS LÄN</t>
        </is>
      </c>
      <c r="E1751" t="inlineStr">
        <is>
          <t>SOLLEFTEÅ</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53545-2024</t>
        </is>
      </c>
      <c r="B1752" s="1" t="n">
        <v>45614.6370949074</v>
      </c>
      <c r="C1752" s="1" t="n">
        <v>45908</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7589-2025</t>
        </is>
      </c>
      <c r="B1753" s="1" t="n">
        <v>45705.63597222222</v>
      </c>
      <c r="C1753" s="1" t="n">
        <v>45908</v>
      </c>
      <c r="D1753" t="inlineStr">
        <is>
          <t>VÄSTERNORRLANDS LÄN</t>
        </is>
      </c>
      <c r="E1753" t="inlineStr">
        <is>
          <t>SOLLEFTEÅ</t>
        </is>
      </c>
      <c r="F1753" t="inlineStr">
        <is>
          <t>SCA</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38234-2024</t>
        </is>
      </c>
      <c r="B1754" s="1" t="n">
        <v>45545.56025462963</v>
      </c>
      <c r="C1754" s="1" t="n">
        <v>45908</v>
      </c>
      <c r="D1754" t="inlineStr">
        <is>
          <t>VÄSTERNORRLANDS LÄN</t>
        </is>
      </c>
      <c r="E1754" t="inlineStr">
        <is>
          <t>SOLLEFTEÅ</t>
        </is>
      </c>
      <c r="F1754" t="inlineStr">
        <is>
          <t>Holmen skog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6068-2024</t>
        </is>
      </c>
      <c r="B1755" s="1" t="n">
        <v>45336.89725694444</v>
      </c>
      <c r="C1755" s="1" t="n">
        <v>45908</v>
      </c>
      <c r="D1755" t="inlineStr">
        <is>
          <t>VÄSTERNORRLANDS LÄN</t>
        </is>
      </c>
      <c r="E1755" t="inlineStr">
        <is>
          <t>SOLLEFTEÅ</t>
        </is>
      </c>
      <c r="F1755" t="inlineStr">
        <is>
          <t>Övriga Aktiebolag</t>
        </is>
      </c>
      <c r="G1755" t="n">
        <v>12.6</v>
      </c>
      <c r="H1755" t="n">
        <v>0</v>
      </c>
      <c r="I1755" t="n">
        <v>0</v>
      </c>
      <c r="J1755" t="n">
        <v>0</v>
      </c>
      <c r="K1755" t="n">
        <v>0</v>
      </c>
      <c r="L1755" t="n">
        <v>0</v>
      </c>
      <c r="M1755" t="n">
        <v>0</v>
      </c>
      <c r="N1755" t="n">
        <v>0</v>
      </c>
      <c r="O1755" t="n">
        <v>0</v>
      </c>
      <c r="P1755" t="n">
        <v>0</v>
      </c>
      <c r="Q1755" t="n">
        <v>0</v>
      </c>
      <c r="R1755" s="2" t="inlineStr"/>
    </row>
    <row r="1756" ht="15" customHeight="1">
      <c r="A1756" t="inlineStr">
        <is>
          <t>A 72244-2021</t>
        </is>
      </c>
      <c r="B1756" s="1" t="n">
        <v>44544.9390162037</v>
      </c>
      <c r="C1756" s="1" t="n">
        <v>45908</v>
      </c>
      <c r="D1756" t="inlineStr">
        <is>
          <t>VÄSTERNORRLANDS LÄN</t>
        </is>
      </c>
      <c r="E1756" t="inlineStr">
        <is>
          <t>SOLLEFTEÅ</t>
        </is>
      </c>
      <c r="F1756" t="inlineStr">
        <is>
          <t>SCA</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18304-2022</t>
        </is>
      </c>
      <c r="B1757" s="1" t="n">
        <v>44685</v>
      </c>
      <c r="C1757" s="1" t="n">
        <v>45908</v>
      </c>
      <c r="D1757" t="inlineStr">
        <is>
          <t>VÄSTERNORRLANDS LÄN</t>
        </is>
      </c>
      <c r="E1757" t="inlineStr">
        <is>
          <t>SOLLEFTEÅ</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27025-2024</t>
        </is>
      </c>
      <c r="B1758" s="1" t="n">
        <v>45471.42071759259</v>
      </c>
      <c r="C1758" s="1" t="n">
        <v>45908</v>
      </c>
      <c r="D1758" t="inlineStr">
        <is>
          <t>VÄSTERNORRLANDS LÄN</t>
        </is>
      </c>
      <c r="E1758" t="inlineStr">
        <is>
          <t>SOLLEFTEÅ</t>
        </is>
      </c>
      <c r="F1758" t="inlineStr">
        <is>
          <t>Holmen skog AB</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11727-2025</t>
        </is>
      </c>
      <c r="B1759" s="1" t="n">
        <v>45727.61512731481</v>
      </c>
      <c r="C1759" s="1" t="n">
        <v>45908</v>
      </c>
      <c r="D1759" t="inlineStr">
        <is>
          <t>VÄSTERNORRLANDS LÄN</t>
        </is>
      </c>
      <c r="E1759" t="inlineStr">
        <is>
          <t>SOLLEFTEÅ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62363-2023</t>
        </is>
      </c>
      <c r="B1760" s="1" t="n">
        <v>45267</v>
      </c>
      <c r="C1760" s="1" t="n">
        <v>45908</v>
      </c>
      <c r="D1760" t="inlineStr">
        <is>
          <t>VÄSTERNORRLANDS LÄN</t>
        </is>
      </c>
      <c r="E1760" t="inlineStr">
        <is>
          <t>SOLLEFTEÅ</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38749-2024</t>
        </is>
      </c>
      <c r="B1761" s="1" t="n">
        <v>45547</v>
      </c>
      <c r="C1761" s="1" t="n">
        <v>45908</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60583-2024</t>
        </is>
      </c>
      <c r="B1762" s="1" t="n">
        <v>45644</v>
      </c>
      <c r="C1762" s="1" t="n">
        <v>45908</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40575-2024</t>
        </is>
      </c>
      <c r="B1763" s="1" t="n">
        <v>45555</v>
      </c>
      <c r="C1763" s="1" t="n">
        <v>45908</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10950-2025</t>
        </is>
      </c>
      <c r="B1764" s="1" t="n">
        <v>45723.34474537037</v>
      </c>
      <c r="C1764" s="1" t="n">
        <v>45908</v>
      </c>
      <c r="D1764" t="inlineStr">
        <is>
          <t>VÄSTERNORRLANDS LÄN</t>
        </is>
      </c>
      <c r="E1764" t="inlineStr">
        <is>
          <t>SOLLEFTEÅ</t>
        </is>
      </c>
      <c r="F1764" t="inlineStr">
        <is>
          <t>SCA</t>
        </is>
      </c>
      <c r="G1764" t="n">
        <v>32.3</v>
      </c>
      <c r="H1764" t="n">
        <v>0</v>
      </c>
      <c r="I1764" t="n">
        <v>0</v>
      </c>
      <c r="J1764" t="n">
        <v>0</v>
      </c>
      <c r="K1764" t="n">
        <v>0</v>
      </c>
      <c r="L1764" t="n">
        <v>0</v>
      </c>
      <c r="M1764" t="n">
        <v>0</v>
      </c>
      <c r="N1764" t="n">
        <v>0</v>
      </c>
      <c r="O1764" t="n">
        <v>0</v>
      </c>
      <c r="P1764" t="n">
        <v>0</v>
      </c>
      <c r="Q1764" t="n">
        <v>0</v>
      </c>
      <c r="R1764" s="2" t="inlineStr"/>
    </row>
    <row r="1765" ht="15" customHeight="1">
      <c r="A1765" t="inlineStr">
        <is>
          <t>A 7721-2023</t>
        </is>
      </c>
      <c r="B1765" s="1" t="n">
        <v>44972.94123842593</v>
      </c>
      <c r="C1765" s="1" t="n">
        <v>45908</v>
      </c>
      <c r="D1765" t="inlineStr">
        <is>
          <t>VÄSTERNORRLANDS LÄN</t>
        </is>
      </c>
      <c r="E1765" t="inlineStr">
        <is>
          <t>SOLLEFTEÅ</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21195-2023</t>
        </is>
      </c>
      <c r="B1766" s="1" t="n">
        <v>45057</v>
      </c>
      <c r="C1766" s="1" t="n">
        <v>45908</v>
      </c>
      <c r="D1766" t="inlineStr">
        <is>
          <t>VÄSTERNORRLANDS LÄN</t>
        </is>
      </c>
      <c r="E1766" t="inlineStr">
        <is>
          <t>SOLLEFTEÅ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21230-2023</t>
        </is>
      </c>
      <c r="B1767" s="1" t="n">
        <v>45057</v>
      </c>
      <c r="C1767" s="1" t="n">
        <v>45908</v>
      </c>
      <c r="D1767" t="inlineStr">
        <is>
          <t>VÄSTERNORRLANDS LÄN</t>
        </is>
      </c>
      <c r="E1767" t="inlineStr">
        <is>
          <t>SOLLEFTEÅ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10925-2022</t>
        </is>
      </c>
      <c r="B1768" s="1" t="n">
        <v>44627.9444212963</v>
      </c>
      <c r="C1768" s="1" t="n">
        <v>45908</v>
      </c>
      <c r="D1768" t="inlineStr">
        <is>
          <t>VÄSTERNORRLANDS LÄN</t>
        </is>
      </c>
      <c r="E1768" t="inlineStr">
        <is>
          <t>SOLLEFTEÅ</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31916-2023</t>
        </is>
      </c>
      <c r="B1769" s="1" t="n">
        <v>45118.93978009259</v>
      </c>
      <c r="C1769" s="1" t="n">
        <v>45908</v>
      </c>
      <c r="D1769" t="inlineStr">
        <is>
          <t>VÄSTERNORRLANDS LÄN</t>
        </is>
      </c>
      <c r="E1769" t="inlineStr">
        <is>
          <t>SOLLEFTEÅ</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31919-2023</t>
        </is>
      </c>
      <c r="B1770" s="1" t="n">
        <v>45118</v>
      </c>
      <c r="C1770" s="1" t="n">
        <v>45908</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58085-2023</t>
        </is>
      </c>
      <c r="B1771" s="1" t="n">
        <v>45247</v>
      </c>
      <c r="C1771" s="1" t="n">
        <v>45908</v>
      </c>
      <c r="D1771" t="inlineStr">
        <is>
          <t>VÄSTERNORRLANDS LÄN</t>
        </is>
      </c>
      <c r="E1771" t="inlineStr">
        <is>
          <t>SOLLEFTEÅ</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7569-2025</t>
        </is>
      </c>
      <c r="B1772" s="1" t="n">
        <v>45705.59442129629</v>
      </c>
      <c r="C1772" s="1" t="n">
        <v>45908</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39446-2024</t>
        </is>
      </c>
      <c r="B1773" s="1" t="n">
        <v>45551</v>
      </c>
      <c r="C1773" s="1" t="n">
        <v>45908</v>
      </c>
      <c r="D1773" t="inlineStr">
        <is>
          <t>VÄSTERNORRLANDS LÄN</t>
        </is>
      </c>
      <c r="E1773" t="inlineStr">
        <is>
          <t>SOLLEFTEÅ</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39469-2024</t>
        </is>
      </c>
      <c r="B1774" s="1" t="n">
        <v>45551</v>
      </c>
      <c r="C1774" s="1" t="n">
        <v>45908</v>
      </c>
      <c r="D1774" t="inlineStr">
        <is>
          <t>VÄSTERNORRLANDS LÄN</t>
        </is>
      </c>
      <c r="E1774" t="inlineStr">
        <is>
          <t>SOLLEFTEÅ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19145-2025</t>
        </is>
      </c>
      <c r="B1775" s="1" t="n">
        <v>45769.34452546296</v>
      </c>
      <c r="C1775" s="1" t="n">
        <v>45908</v>
      </c>
      <c r="D1775" t="inlineStr">
        <is>
          <t>VÄSTERNORRLANDS LÄN</t>
        </is>
      </c>
      <c r="E1775" t="inlineStr">
        <is>
          <t>SOLLEFTEÅ</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12965-2025</t>
        </is>
      </c>
      <c r="B1776" s="1" t="n">
        <v>45734.42753472222</v>
      </c>
      <c r="C1776" s="1" t="n">
        <v>45908</v>
      </c>
      <c r="D1776" t="inlineStr">
        <is>
          <t>VÄSTERNORRLANDS LÄN</t>
        </is>
      </c>
      <c r="E1776" t="inlineStr">
        <is>
          <t>SOLLEFTEÅ</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54255-2022</t>
        </is>
      </c>
      <c r="B1777" s="1" t="n">
        <v>44881.95225694445</v>
      </c>
      <c r="C1777" s="1" t="n">
        <v>45908</v>
      </c>
      <c r="D1777" t="inlineStr">
        <is>
          <t>VÄSTERNORRLANDS LÄN</t>
        </is>
      </c>
      <c r="E1777" t="inlineStr">
        <is>
          <t>SOLLEFTEÅ</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27314-2024</t>
        </is>
      </c>
      <c r="B1778" s="1" t="n">
        <v>45471.94633101852</v>
      </c>
      <c r="C1778" s="1" t="n">
        <v>45908</v>
      </c>
      <c r="D1778" t="inlineStr">
        <is>
          <t>VÄSTERNORRLANDS LÄN</t>
        </is>
      </c>
      <c r="E1778" t="inlineStr">
        <is>
          <t>SOLLEFTEÅ</t>
        </is>
      </c>
      <c r="G1778" t="n">
        <v>3.8</v>
      </c>
      <c r="H1778" t="n">
        <v>0</v>
      </c>
      <c r="I1778" t="n">
        <v>0</v>
      </c>
      <c r="J1778" t="n">
        <v>0</v>
      </c>
      <c r="K1778" t="n">
        <v>0</v>
      </c>
      <c r="L1778" t="n">
        <v>0</v>
      </c>
      <c r="M1778" t="n">
        <v>0</v>
      </c>
      <c r="N1778" t="n">
        <v>0</v>
      </c>
      <c r="O1778" t="n">
        <v>0</v>
      </c>
      <c r="P1778" t="n">
        <v>0</v>
      </c>
      <c r="Q1778" t="n">
        <v>0</v>
      </c>
      <c r="R1778" s="2" t="inlineStr"/>
      <c r="U1778">
        <f>HYPERLINK("https://klasma.github.io/Logging_2283/knärot/A 27314-2024 karta knärot.png", "A 27314-2024")</f>
        <v/>
      </c>
      <c r="V1778">
        <f>HYPERLINK("https://klasma.github.io/Logging_2283/klagomål/A 27314-2024 FSC-klagomål.docx", "A 27314-2024")</f>
        <v/>
      </c>
      <c r="W1778">
        <f>HYPERLINK("https://klasma.github.io/Logging_2283/klagomålsmail/A 27314-2024 FSC-klagomål mail.docx", "A 27314-2024")</f>
        <v/>
      </c>
      <c r="X1778">
        <f>HYPERLINK("https://klasma.github.io/Logging_2283/tillsyn/A 27314-2024 tillsynsbegäran.docx", "A 27314-2024")</f>
        <v/>
      </c>
      <c r="Y1778">
        <f>HYPERLINK("https://klasma.github.io/Logging_2283/tillsynsmail/A 27314-2024 tillsynsbegäran mail.docx", "A 27314-2024")</f>
        <v/>
      </c>
    </row>
    <row r="1779" ht="15" customHeight="1">
      <c r="A1779" t="inlineStr">
        <is>
          <t>A 4061-2024</t>
        </is>
      </c>
      <c r="B1779" s="1" t="n">
        <v>45323</v>
      </c>
      <c r="C1779" s="1" t="n">
        <v>45908</v>
      </c>
      <c r="D1779" t="inlineStr">
        <is>
          <t>VÄSTERNORRLANDS LÄN</t>
        </is>
      </c>
      <c r="E1779" t="inlineStr">
        <is>
          <t>SOLLEFTEÅ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1623-2025</t>
        </is>
      </c>
      <c r="B1780" s="1" t="n">
        <v>45670.61526620371</v>
      </c>
      <c r="C1780" s="1" t="n">
        <v>45908</v>
      </c>
      <c r="D1780" t="inlineStr">
        <is>
          <t>VÄSTERNORRLANDS LÄN</t>
        </is>
      </c>
      <c r="E1780" t="inlineStr">
        <is>
          <t>SOLLEFTEÅ</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11057-2025</t>
        </is>
      </c>
      <c r="B1781" s="1" t="n">
        <v>45723.51069444444</v>
      </c>
      <c r="C1781" s="1" t="n">
        <v>45908</v>
      </c>
      <c r="D1781" t="inlineStr">
        <is>
          <t>VÄSTERNORRLANDS LÄN</t>
        </is>
      </c>
      <c r="E1781" t="inlineStr">
        <is>
          <t>SOLLEFTEÅ</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5034-2024</t>
        </is>
      </c>
      <c r="B1782" s="1" t="n">
        <v>45329.86893518519</v>
      </c>
      <c r="C1782" s="1" t="n">
        <v>45908</v>
      </c>
      <c r="D1782" t="inlineStr">
        <is>
          <t>VÄSTERNORRLANDS LÄN</t>
        </is>
      </c>
      <c r="E1782" t="inlineStr">
        <is>
          <t>SOLLEFTEÅ</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35417-2024</t>
        </is>
      </c>
      <c r="B1783" s="1" t="n">
        <v>45531.40851851852</v>
      </c>
      <c r="C1783" s="1" t="n">
        <v>45908</v>
      </c>
      <c r="D1783" t="inlineStr">
        <is>
          <t>VÄSTERNORRLANDS LÄN</t>
        </is>
      </c>
      <c r="E1783" t="inlineStr">
        <is>
          <t>SOLLEFTEÅ</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59179-2024</t>
        </is>
      </c>
      <c r="B1784" s="1" t="n">
        <v>45637.51149305556</v>
      </c>
      <c r="C1784" s="1" t="n">
        <v>45908</v>
      </c>
      <c r="D1784" t="inlineStr">
        <is>
          <t>VÄSTERNORRLANDS LÄN</t>
        </is>
      </c>
      <c r="E1784" t="inlineStr">
        <is>
          <t>SOLLEFTEÅ</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48999-2023</t>
        </is>
      </c>
      <c r="B1785" s="1" t="n">
        <v>45209.66075231481</v>
      </c>
      <c r="C1785" s="1" t="n">
        <v>45908</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30060-2024</t>
        </is>
      </c>
      <c r="B1786" s="1" t="n">
        <v>45488.94813657407</v>
      </c>
      <c r="C1786" s="1" t="n">
        <v>45908</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14448-2022</t>
        </is>
      </c>
      <c r="B1787" s="1" t="n">
        <v>44652</v>
      </c>
      <c r="C1787" s="1" t="n">
        <v>45908</v>
      </c>
      <c r="D1787" t="inlineStr">
        <is>
          <t>VÄSTERNORRLANDS LÄN</t>
        </is>
      </c>
      <c r="E1787" t="inlineStr">
        <is>
          <t>SOLLEFTEÅ</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26500-2024</t>
        </is>
      </c>
      <c r="B1788" s="1" t="n">
        <v>45469.57174768519</v>
      </c>
      <c r="C1788" s="1" t="n">
        <v>45908</v>
      </c>
      <c r="D1788" t="inlineStr">
        <is>
          <t>VÄSTERNORRLANDS LÄN</t>
        </is>
      </c>
      <c r="E1788" t="inlineStr">
        <is>
          <t>SOLLEFTEÅ</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41655-2023</t>
        </is>
      </c>
      <c r="B1789" s="1" t="n">
        <v>45175.95751157407</v>
      </c>
      <c r="C1789" s="1" t="n">
        <v>45908</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13598-2022</t>
        </is>
      </c>
      <c r="B1790" s="1" t="n">
        <v>44648</v>
      </c>
      <c r="C1790" s="1" t="n">
        <v>45908</v>
      </c>
      <c r="D1790" t="inlineStr">
        <is>
          <t>VÄSTERNORRLANDS LÄN</t>
        </is>
      </c>
      <c r="E1790" t="inlineStr">
        <is>
          <t>SOLLEFTEÅ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38432-2022</t>
        </is>
      </c>
      <c r="B1791" s="1" t="n">
        <v>44812</v>
      </c>
      <c r="C1791" s="1" t="n">
        <v>45908</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41041-2024</t>
        </is>
      </c>
      <c r="B1792" s="1" t="n">
        <v>45558</v>
      </c>
      <c r="C1792" s="1" t="n">
        <v>45908</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41042-2024</t>
        </is>
      </c>
      <c r="B1793" s="1" t="n">
        <v>45559.36490740741</v>
      </c>
      <c r="C1793" s="1" t="n">
        <v>45908</v>
      </c>
      <c r="D1793" t="inlineStr">
        <is>
          <t>VÄSTERNORRLANDS LÄN</t>
        </is>
      </c>
      <c r="E1793" t="inlineStr">
        <is>
          <t>SOLLEFTEÅ</t>
        </is>
      </c>
      <c r="F1793" t="inlineStr">
        <is>
          <t>SCA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36514-2023</t>
        </is>
      </c>
      <c r="B1794" s="1" t="n">
        <v>45152.95377314815</v>
      </c>
      <c r="C1794" s="1" t="n">
        <v>45908</v>
      </c>
      <c r="D1794" t="inlineStr">
        <is>
          <t>VÄSTERNORRLANDS LÄN</t>
        </is>
      </c>
      <c r="E1794" t="inlineStr">
        <is>
          <t>SOLLEFTEÅ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37977-2022</t>
        </is>
      </c>
      <c r="B1795" s="1" t="n">
        <v>44811</v>
      </c>
      <c r="C1795" s="1" t="n">
        <v>45908</v>
      </c>
      <c r="D1795" t="inlineStr">
        <is>
          <t>VÄSTERNORRLANDS LÄN</t>
        </is>
      </c>
      <c r="E1795" t="inlineStr">
        <is>
          <t>SOLLEFTEÅ</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43469-2022</t>
        </is>
      </c>
      <c r="B1796" s="1" t="n">
        <v>44836.80145833334</v>
      </c>
      <c r="C1796" s="1" t="n">
        <v>45908</v>
      </c>
      <c r="D1796" t="inlineStr">
        <is>
          <t>VÄSTERNORRLANDS LÄN</t>
        </is>
      </c>
      <c r="E1796" t="inlineStr">
        <is>
          <t>SOLLEFTEÅ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14169-2024</t>
        </is>
      </c>
      <c r="B1797" s="1" t="n">
        <v>45392.95831018518</v>
      </c>
      <c r="C1797" s="1" t="n">
        <v>45908</v>
      </c>
      <c r="D1797" t="inlineStr">
        <is>
          <t>VÄSTERNORRLANDS LÄN</t>
        </is>
      </c>
      <c r="E1797" t="inlineStr">
        <is>
          <t>SOLLEFTEÅ</t>
        </is>
      </c>
      <c r="F1797" t="inlineStr">
        <is>
          <t>SCA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48767-2023</t>
        </is>
      </c>
      <c r="B1798" s="1" t="n">
        <v>45208</v>
      </c>
      <c r="C1798" s="1" t="n">
        <v>45908</v>
      </c>
      <c r="D1798" t="inlineStr">
        <is>
          <t>VÄSTERNORRLANDS LÄN</t>
        </is>
      </c>
      <c r="E1798" t="inlineStr">
        <is>
          <t>SOLLEFTEÅ</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5035-2024</t>
        </is>
      </c>
      <c r="B1799" s="1" t="n">
        <v>45329.86893518519</v>
      </c>
      <c r="C1799" s="1" t="n">
        <v>45908</v>
      </c>
      <c r="D1799" t="inlineStr">
        <is>
          <t>VÄSTERNORRLANDS LÄN</t>
        </is>
      </c>
      <c r="E1799" t="inlineStr">
        <is>
          <t>SOLLEFTEÅ</t>
        </is>
      </c>
      <c r="F1799" t="inlineStr">
        <is>
          <t>Övriga Aktiebolag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5040-2024</t>
        </is>
      </c>
      <c r="B1800" s="1" t="n">
        <v>45329.88962962963</v>
      </c>
      <c r="C1800" s="1" t="n">
        <v>45908</v>
      </c>
      <c r="D1800" t="inlineStr">
        <is>
          <t>VÄSTERNORRLANDS LÄN</t>
        </is>
      </c>
      <c r="E1800" t="inlineStr">
        <is>
          <t>SOLLEFTEÅ</t>
        </is>
      </c>
      <c r="F1800" t="inlineStr">
        <is>
          <t>Övriga Aktiebolag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3537-2025</t>
        </is>
      </c>
      <c r="B1801" s="1" t="n">
        <v>45680</v>
      </c>
      <c r="C1801" s="1" t="n">
        <v>45908</v>
      </c>
      <c r="D1801" t="inlineStr">
        <is>
          <t>VÄSTERNORRLANDS LÄN</t>
        </is>
      </c>
      <c r="E1801" t="inlineStr">
        <is>
          <t>SOLLEFTEÅ</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16237-2024</t>
        </is>
      </c>
      <c r="B1802" s="1" t="n">
        <v>45407.05681712963</v>
      </c>
      <c r="C1802" s="1" t="n">
        <v>45908</v>
      </c>
      <c r="D1802" t="inlineStr">
        <is>
          <t>VÄSTERNORRLANDS LÄN</t>
        </is>
      </c>
      <c r="E1802" t="inlineStr">
        <is>
          <t>SOLLEFTEÅ</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44662-2024</t>
        </is>
      </c>
      <c r="B1803" s="1" t="n">
        <v>45574.53189814815</v>
      </c>
      <c r="C1803" s="1" t="n">
        <v>45908</v>
      </c>
      <c r="D1803" t="inlineStr">
        <is>
          <t>VÄSTERNORRLANDS LÄN</t>
        </is>
      </c>
      <c r="E1803" t="inlineStr">
        <is>
          <t>SOLLEFTEÅ</t>
        </is>
      </c>
      <c r="F1803" t="inlineStr">
        <is>
          <t>SCA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37691-2023</t>
        </is>
      </c>
      <c r="B1804" s="1" t="n">
        <v>45156</v>
      </c>
      <c r="C1804" s="1" t="n">
        <v>45908</v>
      </c>
      <c r="D1804" t="inlineStr">
        <is>
          <t>VÄSTERNORRLANDS LÄN</t>
        </is>
      </c>
      <c r="E1804" t="inlineStr">
        <is>
          <t>SOLLEFTEÅ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38768-2024</t>
        </is>
      </c>
      <c r="B1805" s="1" t="n">
        <v>45547.44892361111</v>
      </c>
      <c r="C1805" s="1" t="n">
        <v>45908</v>
      </c>
      <c r="D1805" t="inlineStr">
        <is>
          <t>VÄSTERNORRLANDS LÄN</t>
        </is>
      </c>
      <c r="E1805" t="inlineStr">
        <is>
          <t>SOLLEFTEÅ</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19205-2025</t>
        </is>
      </c>
      <c r="B1806" s="1" t="n">
        <v>45769.42861111111</v>
      </c>
      <c r="C1806" s="1" t="n">
        <v>45908</v>
      </c>
      <c r="D1806" t="inlineStr">
        <is>
          <t>VÄSTERNORRLANDS LÄN</t>
        </is>
      </c>
      <c r="E1806" t="inlineStr">
        <is>
          <t>SOLLEFTEÅ</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19207-2025</t>
        </is>
      </c>
      <c r="B1807" s="1" t="n">
        <v>45769</v>
      </c>
      <c r="C1807" s="1" t="n">
        <v>45908</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18364-2024</t>
        </is>
      </c>
      <c r="B1808" s="1" t="n">
        <v>45422</v>
      </c>
      <c r="C1808" s="1" t="n">
        <v>45908</v>
      </c>
      <c r="D1808" t="inlineStr">
        <is>
          <t>VÄSTERNORRLANDS LÄN</t>
        </is>
      </c>
      <c r="E1808" t="inlineStr">
        <is>
          <t>SOLLEFTEÅ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52034-2022</t>
        </is>
      </c>
      <c r="B1809" s="1" t="n">
        <v>44872</v>
      </c>
      <c r="C1809" s="1" t="n">
        <v>45908</v>
      </c>
      <c r="D1809" t="inlineStr">
        <is>
          <t>VÄSTERNORRLANDS LÄN</t>
        </is>
      </c>
      <c r="E1809" t="inlineStr">
        <is>
          <t>SOLLEFTEÅ</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47965-2024</t>
        </is>
      </c>
      <c r="B1810" s="1" t="n">
        <v>45589.38638888889</v>
      </c>
      <c r="C1810" s="1" t="n">
        <v>45908</v>
      </c>
      <c r="D1810" t="inlineStr">
        <is>
          <t>VÄSTERNORRLANDS LÄN</t>
        </is>
      </c>
      <c r="E1810" t="inlineStr">
        <is>
          <t>SOLLEFTEÅ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16633-2025</t>
        </is>
      </c>
      <c r="B1811" s="1" t="n">
        <v>45754.36517361111</v>
      </c>
      <c r="C1811" s="1" t="n">
        <v>45908</v>
      </c>
      <c r="D1811" t="inlineStr">
        <is>
          <t>VÄSTERNORRLANDS LÄN</t>
        </is>
      </c>
      <c r="E1811" t="inlineStr">
        <is>
          <t>SOLLEFTEÅ</t>
        </is>
      </c>
      <c r="F1811" t="inlineStr">
        <is>
          <t>SCA</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47987-2024</t>
        </is>
      </c>
      <c r="B1812" s="1" t="n">
        <v>45589.42738425926</v>
      </c>
      <c r="C1812" s="1" t="n">
        <v>45908</v>
      </c>
      <c r="D1812" t="inlineStr">
        <is>
          <t>VÄSTERNORRLANDS LÄN</t>
        </is>
      </c>
      <c r="E1812" t="inlineStr">
        <is>
          <t>SOLLEFTEÅ</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35673-2024</t>
        </is>
      </c>
      <c r="B1813" s="1" t="n">
        <v>45532.39119212963</v>
      </c>
      <c r="C1813" s="1" t="n">
        <v>45908</v>
      </c>
      <c r="D1813" t="inlineStr">
        <is>
          <t>VÄSTERNORRLANDS LÄN</t>
        </is>
      </c>
      <c r="E1813" t="inlineStr">
        <is>
          <t>SOLLEFTEÅ</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12834-2025</t>
        </is>
      </c>
      <c r="B1814" s="1" t="n">
        <v>45733.63612268519</v>
      </c>
      <c r="C1814" s="1" t="n">
        <v>45908</v>
      </c>
      <c r="D1814" t="inlineStr">
        <is>
          <t>VÄSTERNORRLANDS LÄN</t>
        </is>
      </c>
      <c r="E1814" t="inlineStr">
        <is>
          <t>SOLLEFTEÅ</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12941-2025</t>
        </is>
      </c>
      <c r="B1815" s="1" t="n">
        <v>45734.36525462963</v>
      </c>
      <c r="C1815" s="1" t="n">
        <v>45908</v>
      </c>
      <c r="D1815" t="inlineStr">
        <is>
          <t>VÄSTERNORRLANDS LÄN</t>
        </is>
      </c>
      <c r="E1815" t="inlineStr">
        <is>
          <t>SOLLEFTEÅ</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36078-2022</t>
        </is>
      </c>
      <c r="B1816" s="1" t="n">
        <v>44802.9459375</v>
      </c>
      <c r="C1816" s="1" t="n">
        <v>45908</v>
      </c>
      <c r="D1816" t="inlineStr">
        <is>
          <t>VÄSTERNORRLANDS LÄN</t>
        </is>
      </c>
      <c r="E1816" t="inlineStr">
        <is>
          <t>SOLLEFTEÅ</t>
        </is>
      </c>
      <c r="F1816" t="inlineStr">
        <is>
          <t>SCA</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22235-2024</t>
        </is>
      </c>
      <c r="B1817" s="1" t="n">
        <v>45446</v>
      </c>
      <c r="C1817" s="1" t="n">
        <v>45908</v>
      </c>
      <c r="D1817" t="inlineStr">
        <is>
          <t>VÄSTERNORRLANDS LÄN</t>
        </is>
      </c>
      <c r="E1817" t="inlineStr">
        <is>
          <t>SOLLEFTEÅ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5867-2024</t>
        </is>
      </c>
      <c r="B1818" s="1" t="n">
        <v>45335.64733796296</v>
      </c>
      <c r="C1818" s="1" t="n">
        <v>45908</v>
      </c>
      <c r="D1818" t="inlineStr">
        <is>
          <t>VÄSTERNORRLANDS LÄN</t>
        </is>
      </c>
      <c r="E1818" t="inlineStr">
        <is>
          <t>SOLLEFTEÅ</t>
        </is>
      </c>
      <c r="F1818" t="inlineStr">
        <is>
          <t>Övriga Aktiebolag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51681-2023</t>
        </is>
      </c>
      <c r="B1819" s="1" t="n">
        <v>45215</v>
      </c>
      <c r="C1819" s="1" t="n">
        <v>45908</v>
      </c>
      <c r="D1819" t="inlineStr">
        <is>
          <t>VÄSTERNORRLANDS LÄN</t>
        </is>
      </c>
      <c r="E1819" t="inlineStr">
        <is>
          <t>SOLLEFTEÅ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8652-2024</t>
        </is>
      </c>
      <c r="B1820" s="1" t="n">
        <v>45356</v>
      </c>
      <c r="C1820" s="1" t="n">
        <v>45908</v>
      </c>
      <c r="D1820" t="inlineStr">
        <is>
          <t>VÄSTERNORRLANDS LÄN</t>
        </is>
      </c>
      <c r="E1820" t="inlineStr">
        <is>
          <t>SOLLEFTEÅ</t>
        </is>
      </c>
      <c r="F1820" t="inlineStr">
        <is>
          <t>SCA</t>
        </is>
      </c>
      <c r="G1820" t="n">
        <v>38.6</v>
      </c>
      <c r="H1820" t="n">
        <v>0</v>
      </c>
      <c r="I1820" t="n">
        <v>0</v>
      </c>
      <c r="J1820" t="n">
        <v>0</v>
      </c>
      <c r="K1820" t="n">
        <v>0</v>
      </c>
      <c r="L1820" t="n">
        <v>0</v>
      </c>
      <c r="M1820" t="n">
        <v>0</v>
      </c>
      <c r="N1820" t="n">
        <v>0</v>
      </c>
      <c r="O1820" t="n">
        <v>0</v>
      </c>
      <c r="P1820" t="n">
        <v>0</v>
      </c>
      <c r="Q1820" t="n">
        <v>0</v>
      </c>
      <c r="R1820" s="2" t="inlineStr"/>
    </row>
    <row r="1821" ht="15" customHeight="1">
      <c r="A1821" t="inlineStr">
        <is>
          <t>A 9834-2025</t>
        </is>
      </c>
      <c r="B1821" s="1" t="n">
        <v>45716</v>
      </c>
      <c r="C1821" s="1" t="n">
        <v>45908</v>
      </c>
      <c r="D1821" t="inlineStr">
        <is>
          <t>VÄSTERNORRLANDS LÄN</t>
        </is>
      </c>
      <c r="E1821" t="inlineStr">
        <is>
          <t>SOLLEFTEÅ</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1465-2025</t>
        </is>
      </c>
      <c r="B1822" s="1" t="n">
        <v>45670.36513888889</v>
      </c>
      <c r="C1822" s="1" t="n">
        <v>45908</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33713-2023</t>
        </is>
      </c>
      <c r="B1823" s="1" t="n">
        <v>45132.94952546297</v>
      </c>
      <c r="C1823" s="1" t="n">
        <v>45908</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49171-2022</t>
        </is>
      </c>
      <c r="B1824" s="1" t="n">
        <v>44860.9269212963</v>
      </c>
      <c r="C1824" s="1" t="n">
        <v>45908</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13942-2024</t>
        </is>
      </c>
      <c r="B1825" s="1" t="n">
        <v>45391.9540162037</v>
      </c>
      <c r="C1825" s="1" t="n">
        <v>45908</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40355-2024</t>
        </is>
      </c>
      <c r="B1826" s="1" t="n">
        <v>45555.36541666667</v>
      </c>
      <c r="C1826" s="1" t="n">
        <v>45908</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37671-2023</t>
        </is>
      </c>
      <c r="B1827" s="1" t="n">
        <v>45156</v>
      </c>
      <c r="C1827" s="1" t="n">
        <v>45908</v>
      </c>
      <c r="D1827" t="inlineStr">
        <is>
          <t>VÄSTERNORRLANDS LÄN</t>
        </is>
      </c>
      <c r="E1827" t="inlineStr">
        <is>
          <t>SOLLEFTEÅ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54559-2022</t>
        </is>
      </c>
      <c r="B1828" s="1" t="n">
        <v>44882</v>
      </c>
      <c r="C1828" s="1" t="n">
        <v>45908</v>
      </c>
      <c r="D1828" t="inlineStr">
        <is>
          <t>VÄSTERNORRLANDS LÄN</t>
        </is>
      </c>
      <c r="E1828" t="inlineStr">
        <is>
          <t>SOLLEFTEÅ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29210-2023</t>
        </is>
      </c>
      <c r="B1829" s="1" t="n">
        <v>45097</v>
      </c>
      <c r="C1829" s="1" t="n">
        <v>45908</v>
      </c>
      <c r="D1829" t="inlineStr">
        <is>
          <t>VÄSTERNORRLANDS LÄN</t>
        </is>
      </c>
      <c r="E1829" t="inlineStr">
        <is>
          <t>SOLLEFTEÅ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29336-2023</t>
        </is>
      </c>
      <c r="B1830" s="1" t="n">
        <v>45105</v>
      </c>
      <c r="C1830" s="1" t="n">
        <v>45908</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27972-2021</t>
        </is>
      </c>
      <c r="B1831" s="1" t="n">
        <v>44354.93622685185</v>
      </c>
      <c r="C1831" s="1" t="n">
        <v>45908</v>
      </c>
      <c r="D1831" t="inlineStr">
        <is>
          <t>VÄSTERNORRLANDS LÄN</t>
        </is>
      </c>
      <c r="E1831" t="inlineStr">
        <is>
          <t>SOLLEFTEÅ</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59491-2024</t>
        </is>
      </c>
      <c r="B1832" s="1" t="n">
        <v>45637</v>
      </c>
      <c r="C1832" s="1" t="n">
        <v>45908</v>
      </c>
      <c r="D1832" t="inlineStr">
        <is>
          <t>VÄSTERNORRLANDS LÄN</t>
        </is>
      </c>
      <c r="E1832" t="inlineStr">
        <is>
          <t>SOLLEFTEÅ</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12561-2022</t>
        </is>
      </c>
      <c r="B1833" s="1" t="n">
        <v>44638</v>
      </c>
      <c r="C1833" s="1" t="n">
        <v>45908</v>
      </c>
      <c r="D1833" t="inlineStr">
        <is>
          <t>VÄSTERNORRLANDS LÄN</t>
        </is>
      </c>
      <c r="E1833" t="inlineStr">
        <is>
          <t>SOLLEFTEÅ</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12820-2023</t>
        </is>
      </c>
      <c r="B1834" s="1" t="n">
        <v>45000</v>
      </c>
      <c r="C1834" s="1" t="n">
        <v>45908</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9121-2024</t>
        </is>
      </c>
      <c r="B1835" s="1" t="n">
        <v>45358.04099537037</v>
      </c>
      <c r="C1835" s="1" t="n">
        <v>45908</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57892-2024</t>
        </is>
      </c>
      <c r="B1836" s="1" t="n">
        <v>45631.46910879629</v>
      </c>
      <c r="C1836" s="1" t="n">
        <v>45908</v>
      </c>
      <c r="D1836" t="inlineStr">
        <is>
          <t>VÄSTERNORRLANDS LÄN</t>
        </is>
      </c>
      <c r="E1836" t="inlineStr">
        <is>
          <t>SOLLEFTEÅ</t>
        </is>
      </c>
      <c r="F1836" t="inlineStr">
        <is>
          <t>SCA</t>
        </is>
      </c>
      <c r="G1836" t="n">
        <v>13.8</v>
      </c>
      <c r="H1836" t="n">
        <v>0</v>
      </c>
      <c r="I1836" t="n">
        <v>0</v>
      </c>
      <c r="J1836" t="n">
        <v>0</v>
      </c>
      <c r="K1836" t="n">
        <v>0</v>
      </c>
      <c r="L1836" t="n">
        <v>0</v>
      </c>
      <c r="M1836" t="n">
        <v>0</v>
      </c>
      <c r="N1836" t="n">
        <v>0</v>
      </c>
      <c r="O1836" t="n">
        <v>0</v>
      </c>
      <c r="P1836" t="n">
        <v>0</v>
      </c>
      <c r="Q1836" t="n">
        <v>0</v>
      </c>
      <c r="R1836" s="2" t="inlineStr"/>
    </row>
    <row r="1837" ht="15" customHeight="1">
      <c r="A1837" t="inlineStr">
        <is>
          <t>A 3096-2025</t>
        </is>
      </c>
      <c r="B1837" s="1" t="n">
        <v>45678.66643518519</v>
      </c>
      <c r="C1837" s="1" t="n">
        <v>45908</v>
      </c>
      <c r="D1837" t="inlineStr">
        <is>
          <t>VÄSTERNORRLANDS LÄN</t>
        </is>
      </c>
      <c r="E1837" t="inlineStr">
        <is>
          <t>SOLLEFTEÅ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62406-2022</t>
        </is>
      </c>
      <c r="B1838" s="1" t="n">
        <v>44923</v>
      </c>
      <c r="C1838" s="1" t="n">
        <v>45908</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60757-2021</t>
        </is>
      </c>
      <c r="B1839" s="1" t="n">
        <v>44496.92101851852</v>
      </c>
      <c r="C1839" s="1" t="n">
        <v>45908</v>
      </c>
      <c r="D1839" t="inlineStr">
        <is>
          <t>VÄSTERNORRLANDS LÄN</t>
        </is>
      </c>
      <c r="E1839" t="inlineStr">
        <is>
          <t>SOLLEFTEÅ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43049-2024</t>
        </is>
      </c>
      <c r="B1840" s="1" t="n">
        <v>45567</v>
      </c>
      <c r="C1840" s="1" t="n">
        <v>45908</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49711-2021</t>
        </is>
      </c>
      <c r="B1841" s="1" t="n">
        <v>44455</v>
      </c>
      <c r="C1841" s="1" t="n">
        <v>45908</v>
      </c>
      <c r="D1841" t="inlineStr">
        <is>
          <t>VÄSTERNORRLANDS LÄN</t>
        </is>
      </c>
      <c r="E1841" t="inlineStr">
        <is>
          <t>SOLLEFTEÅ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14982-2024</t>
        </is>
      </c>
      <c r="B1842" s="1" t="n">
        <v>45398.94193287037</v>
      </c>
      <c r="C1842" s="1" t="n">
        <v>45908</v>
      </c>
      <c r="D1842" t="inlineStr">
        <is>
          <t>VÄSTERNORRLANDS LÄN</t>
        </is>
      </c>
      <c r="E1842" t="inlineStr">
        <is>
          <t>SOLLEFTEÅ</t>
        </is>
      </c>
      <c r="F1842" t="inlineStr">
        <is>
          <t>SCA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47185-2023</t>
        </is>
      </c>
      <c r="B1843" s="1" t="n">
        <v>45201</v>
      </c>
      <c r="C1843" s="1" t="n">
        <v>45908</v>
      </c>
      <c r="D1843" t="inlineStr">
        <is>
          <t>VÄSTERNORRLANDS LÄN</t>
        </is>
      </c>
      <c r="E1843" t="inlineStr">
        <is>
          <t>SOLLEFTEÅ</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36144-2024</t>
        </is>
      </c>
      <c r="B1844" s="1" t="n">
        <v>45534.36309027778</v>
      </c>
      <c r="C1844" s="1" t="n">
        <v>45908</v>
      </c>
      <c r="D1844" t="inlineStr">
        <is>
          <t>VÄSTERNORRLANDS LÄN</t>
        </is>
      </c>
      <c r="E1844" t="inlineStr">
        <is>
          <t>SOLLEFTEÅ</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23288-2023</t>
        </is>
      </c>
      <c r="B1845" s="1" t="n">
        <v>45075</v>
      </c>
      <c r="C1845" s="1" t="n">
        <v>45908</v>
      </c>
      <c r="D1845" t="inlineStr">
        <is>
          <t>VÄSTERNORRLANDS LÄN</t>
        </is>
      </c>
      <c r="E1845" t="inlineStr">
        <is>
          <t>SOLLEFTEÅ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23289-2023</t>
        </is>
      </c>
      <c r="B1846" s="1" t="n">
        <v>45075</v>
      </c>
      <c r="C1846" s="1" t="n">
        <v>45908</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59563-2024</t>
        </is>
      </c>
      <c r="B1847" s="1" t="n">
        <v>45638.63733796297</v>
      </c>
      <c r="C1847" s="1" t="n">
        <v>45908</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4931-2025</t>
        </is>
      </c>
      <c r="B1848" s="1" t="n">
        <v>45688.68476851852</v>
      </c>
      <c r="C1848" s="1" t="n">
        <v>45908</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21031-2024</t>
        </is>
      </c>
      <c r="B1849" s="1" t="n">
        <v>45439</v>
      </c>
      <c r="C1849" s="1" t="n">
        <v>45908</v>
      </c>
      <c r="D1849" t="inlineStr">
        <is>
          <t>VÄSTERNORRLANDS LÄN</t>
        </is>
      </c>
      <c r="E1849" t="inlineStr">
        <is>
          <t>SOLLEFTEÅ</t>
        </is>
      </c>
      <c r="F1849" t="inlineStr">
        <is>
          <t>Holmen skog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2883-2025</t>
        </is>
      </c>
      <c r="B1850" s="1" t="n">
        <v>45677</v>
      </c>
      <c r="C1850" s="1" t="n">
        <v>45908</v>
      </c>
      <c r="D1850" t="inlineStr">
        <is>
          <t>VÄSTERNORRLANDS LÄN</t>
        </is>
      </c>
      <c r="E1850" t="inlineStr">
        <is>
          <t>SOLLEFTEÅ</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30329-2024</t>
        </is>
      </c>
      <c r="B1851" s="1" t="n">
        <v>45490.95304398148</v>
      </c>
      <c r="C1851" s="1" t="n">
        <v>45908</v>
      </c>
      <c r="D1851" t="inlineStr">
        <is>
          <t>VÄSTERNORRLANDS LÄN</t>
        </is>
      </c>
      <c r="E1851" t="inlineStr">
        <is>
          <t>SOLLEFTEÅ</t>
        </is>
      </c>
      <c r="F1851" t="inlineStr">
        <is>
          <t>SCA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15872-2024</t>
        </is>
      </c>
      <c r="B1852" s="1" t="n">
        <v>45405</v>
      </c>
      <c r="C1852" s="1" t="n">
        <v>45908</v>
      </c>
      <c r="D1852" t="inlineStr">
        <is>
          <t>VÄSTERNORRLANDS LÄN</t>
        </is>
      </c>
      <c r="E1852" t="inlineStr">
        <is>
          <t>SOLLEFTEÅ</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42963-2024</t>
        </is>
      </c>
      <c r="B1853" s="1" t="n">
        <v>45567.37240740741</v>
      </c>
      <c r="C1853" s="1" t="n">
        <v>45908</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42979-2024</t>
        </is>
      </c>
      <c r="B1854" s="1" t="n">
        <v>45567.37438657408</v>
      </c>
      <c r="C1854" s="1" t="n">
        <v>45908</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12006-2022</t>
        </is>
      </c>
      <c r="B1855" s="1" t="n">
        <v>44635.92496527778</v>
      </c>
      <c r="C1855" s="1" t="n">
        <v>45908</v>
      </c>
      <c r="D1855" t="inlineStr">
        <is>
          <t>VÄSTERNORRLANDS LÄN</t>
        </is>
      </c>
      <c r="E1855" t="inlineStr">
        <is>
          <t>SOLLEFTEÅ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31559-2024</t>
        </is>
      </c>
      <c r="B1856" s="1" t="n">
        <v>45505.96555555556</v>
      </c>
      <c r="C1856" s="1" t="n">
        <v>45908</v>
      </c>
      <c r="D1856" t="inlineStr">
        <is>
          <t>VÄSTERNORRLANDS LÄN</t>
        </is>
      </c>
      <c r="E1856" t="inlineStr">
        <is>
          <t>SOLLEFTEÅ</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45958-2023</t>
        </is>
      </c>
      <c r="B1857" s="1" t="n">
        <v>45195</v>
      </c>
      <c r="C1857" s="1" t="n">
        <v>45908</v>
      </c>
      <c r="D1857" t="inlineStr">
        <is>
          <t>VÄSTERNORRLANDS LÄN</t>
        </is>
      </c>
      <c r="E1857" t="inlineStr">
        <is>
          <t>SOLLEFTEÅ</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3082-2025</t>
        </is>
      </c>
      <c r="B1858" s="1" t="n">
        <v>45678.64443287037</v>
      </c>
      <c r="C1858" s="1" t="n">
        <v>45908</v>
      </c>
      <c r="D1858" t="inlineStr">
        <is>
          <t>VÄSTERNORRLANDS LÄN</t>
        </is>
      </c>
      <c r="E1858" t="inlineStr">
        <is>
          <t>SOLLEFTEÅ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9831-2024</t>
        </is>
      </c>
      <c r="B1859" s="1" t="n">
        <v>45363.04699074074</v>
      </c>
      <c r="C1859" s="1" t="n">
        <v>45908</v>
      </c>
      <c r="D1859" t="inlineStr">
        <is>
          <t>VÄSTERNORRLANDS LÄN</t>
        </is>
      </c>
      <c r="E1859" t="inlineStr">
        <is>
          <t>SOLLEFTEÅ</t>
        </is>
      </c>
      <c r="F1859" t="inlineStr">
        <is>
          <t>SCA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5874-2024</t>
        </is>
      </c>
      <c r="B1860" s="1" t="n">
        <v>45335.6615625</v>
      </c>
      <c r="C1860" s="1" t="n">
        <v>45908</v>
      </c>
      <c r="D1860" t="inlineStr">
        <is>
          <t>VÄSTERNORRLANDS LÄN</t>
        </is>
      </c>
      <c r="E1860" t="inlineStr">
        <is>
          <t>SOLLEFTEÅ</t>
        </is>
      </c>
      <c r="F1860" t="inlineStr">
        <is>
          <t>Övriga Aktiebolag</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8084-2025</t>
        </is>
      </c>
      <c r="B1861" s="1" t="n">
        <v>45707</v>
      </c>
      <c r="C1861" s="1" t="n">
        <v>45908</v>
      </c>
      <c r="D1861" t="inlineStr">
        <is>
          <t>VÄSTERNORRLANDS LÄN</t>
        </is>
      </c>
      <c r="E1861" t="inlineStr">
        <is>
          <t>SOLLEFTEÅ</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58427-2023</t>
        </is>
      </c>
      <c r="B1862" s="1" t="n">
        <v>45250</v>
      </c>
      <c r="C1862" s="1" t="n">
        <v>45908</v>
      </c>
      <c r="D1862" t="inlineStr">
        <is>
          <t>VÄSTERNORRLANDS LÄN</t>
        </is>
      </c>
      <c r="E1862" t="inlineStr">
        <is>
          <t>SOLLEFTEÅ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583-2025</t>
        </is>
      </c>
      <c r="B1863" s="1" t="n">
        <v>45664</v>
      </c>
      <c r="C1863" s="1" t="n">
        <v>45908</v>
      </c>
      <c r="D1863" t="inlineStr">
        <is>
          <t>VÄSTERNORRLANDS LÄN</t>
        </is>
      </c>
      <c r="E1863" t="inlineStr">
        <is>
          <t>SOLLEFTEÅ</t>
        </is>
      </c>
      <c r="G1863" t="n">
        <v>47.2</v>
      </c>
      <c r="H1863" t="n">
        <v>0</v>
      </c>
      <c r="I1863" t="n">
        <v>0</v>
      </c>
      <c r="J1863" t="n">
        <v>0</v>
      </c>
      <c r="K1863" t="n">
        <v>0</v>
      </c>
      <c r="L1863" t="n">
        <v>0</v>
      </c>
      <c r="M1863" t="n">
        <v>0</v>
      </c>
      <c r="N1863" t="n">
        <v>0</v>
      </c>
      <c r="O1863" t="n">
        <v>0</v>
      </c>
      <c r="P1863" t="n">
        <v>0</v>
      </c>
      <c r="Q1863" t="n">
        <v>0</v>
      </c>
      <c r="R1863" s="2" t="inlineStr"/>
    </row>
    <row r="1864" ht="15" customHeight="1">
      <c r="A1864" t="inlineStr">
        <is>
          <t>A 35513-2024</t>
        </is>
      </c>
      <c r="B1864" s="1" t="n">
        <v>45531</v>
      </c>
      <c r="C1864" s="1" t="n">
        <v>45908</v>
      </c>
      <c r="D1864" t="inlineStr">
        <is>
          <t>VÄSTERNORRLANDS LÄN</t>
        </is>
      </c>
      <c r="E1864" t="inlineStr">
        <is>
          <t>SOLLEFTEÅ</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12764-2022</t>
        </is>
      </c>
      <c r="B1865" s="1" t="n">
        <v>44641.93445601852</v>
      </c>
      <c r="C1865" s="1" t="n">
        <v>45908</v>
      </c>
      <c r="D1865" t="inlineStr">
        <is>
          <t>VÄSTERNORRLANDS LÄN</t>
        </is>
      </c>
      <c r="E1865" t="inlineStr">
        <is>
          <t>SOLLEFTEÅ</t>
        </is>
      </c>
      <c r="F1865" t="inlineStr">
        <is>
          <t>SCA</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8195-2025</t>
        </is>
      </c>
      <c r="B1866" s="1" t="n">
        <v>45708</v>
      </c>
      <c r="C1866" s="1" t="n">
        <v>45908</v>
      </c>
      <c r="D1866" t="inlineStr">
        <is>
          <t>VÄSTERNORRLANDS LÄN</t>
        </is>
      </c>
      <c r="E1866" t="inlineStr">
        <is>
          <t>SOLLEFTEÅ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4859-2025</t>
        </is>
      </c>
      <c r="B1867" s="1" t="n">
        <v>45688.67451388889</v>
      </c>
      <c r="C1867" s="1" t="n">
        <v>45908</v>
      </c>
      <c r="D1867" t="inlineStr">
        <is>
          <t>VÄSTERNORRLANDS LÄN</t>
        </is>
      </c>
      <c r="E1867" t="inlineStr">
        <is>
          <t>SOLLEFTEÅ</t>
        </is>
      </c>
      <c r="F1867" t="inlineStr">
        <is>
          <t>SCA</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4894-2025</t>
        </is>
      </c>
      <c r="B1868" s="1" t="n">
        <v>45688.67888888889</v>
      </c>
      <c r="C1868" s="1" t="n">
        <v>45908</v>
      </c>
      <c r="D1868" t="inlineStr">
        <is>
          <t>VÄSTERNORRLANDS LÄN</t>
        </is>
      </c>
      <c r="E1868" t="inlineStr">
        <is>
          <t>SOLLEFTEÅ</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6271-2023</t>
        </is>
      </c>
      <c r="B1869" s="1" t="n">
        <v>44959</v>
      </c>
      <c r="C1869" s="1" t="n">
        <v>45908</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38275-2024</t>
        </is>
      </c>
      <c r="B1870" s="1" t="n">
        <v>45545</v>
      </c>
      <c r="C1870" s="1" t="n">
        <v>45908</v>
      </c>
      <c r="D1870" t="inlineStr">
        <is>
          <t>VÄSTERNORRLANDS LÄN</t>
        </is>
      </c>
      <c r="E1870" t="inlineStr">
        <is>
          <t>SOLLEFTEÅ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46212-2023</t>
        </is>
      </c>
      <c r="B1871" s="1" t="n">
        <v>45190</v>
      </c>
      <c r="C1871" s="1" t="n">
        <v>45908</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39399-2023</t>
        </is>
      </c>
      <c r="B1872" s="1" t="n">
        <v>45163</v>
      </c>
      <c r="C1872" s="1" t="n">
        <v>45908</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48265-2024</t>
        </is>
      </c>
      <c r="B1873" s="1" t="n">
        <v>45590.42751157407</v>
      </c>
      <c r="C1873" s="1" t="n">
        <v>45908</v>
      </c>
      <c r="D1873" t="inlineStr">
        <is>
          <t>VÄSTERNORRLANDS LÄN</t>
        </is>
      </c>
      <c r="E1873" t="inlineStr">
        <is>
          <t>SOLLEFTEÅ</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15147-2024</t>
        </is>
      </c>
      <c r="B1874" s="1" t="n">
        <v>45399.94372685185</v>
      </c>
      <c r="C1874" s="1" t="n">
        <v>45908</v>
      </c>
      <c r="D1874" t="inlineStr">
        <is>
          <t>VÄSTERNORRLANDS LÄN</t>
        </is>
      </c>
      <c r="E1874" t="inlineStr">
        <is>
          <t>SOLLEFTEÅ</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50226-2023</t>
        </is>
      </c>
      <c r="B1875" s="1" t="n">
        <v>45215.94767361111</v>
      </c>
      <c r="C1875" s="1" t="n">
        <v>45908</v>
      </c>
      <c r="D1875" t="inlineStr">
        <is>
          <t>VÄSTERNORRLANDS LÄN</t>
        </is>
      </c>
      <c r="E1875" t="inlineStr">
        <is>
          <t>SOLLEFTEÅ</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54574-2024</t>
        </is>
      </c>
      <c r="B1876" s="1" t="n">
        <v>45617.65201388889</v>
      </c>
      <c r="C1876" s="1" t="n">
        <v>45908</v>
      </c>
      <c r="D1876" t="inlineStr">
        <is>
          <t>VÄSTERNORRLANDS LÄN</t>
        </is>
      </c>
      <c r="E1876" t="inlineStr">
        <is>
          <t>SOLLEFTEÅ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26955-2024</t>
        </is>
      </c>
      <c r="B1877" s="1" t="n">
        <v>45470.97040509259</v>
      </c>
      <c r="C1877" s="1" t="n">
        <v>45908</v>
      </c>
      <c r="D1877" t="inlineStr">
        <is>
          <t>VÄSTERNORRLANDS LÄN</t>
        </is>
      </c>
      <c r="E1877" t="inlineStr">
        <is>
          <t>SOLLEFTEÅ</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14612-2025</t>
        </is>
      </c>
      <c r="B1878" s="1" t="n">
        <v>45742</v>
      </c>
      <c r="C1878" s="1" t="n">
        <v>45908</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1459-2024</t>
        </is>
      </c>
      <c r="B1879" s="1" t="n">
        <v>45303.9331712963</v>
      </c>
      <c r="C1879" s="1" t="n">
        <v>45908</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61845-2024</t>
        </is>
      </c>
      <c r="B1880" s="1" t="n">
        <v>45646</v>
      </c>
      <c r="C1880" s="1" t="n">
        <v>45908</v>
      </c>
      <c r="D1880" t="inlineStr">
        <is>
          <t>VÄSTERNORRLANDS LÄN</t>
        </is>
      </c>
      <c r="E1880" t="inlineStr">
        <is>
          <t>SOLLEFTEÅ</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61849-2024</t>
        </is>
      </c>
      <c r="B1881" s="1" t="n">
        <v>45646</v>
      </c>
      <c r="C1881" s="1" t="n">
        <v>45908</v>
      </c>
      <c r="D1881" t="inlineStr">
        <is>
          <t>VÄSTERNORRLANDS LÄN</t>
        </is>
      </c>
      <c r="E1881" t="inlineStr">
        <is>
          <t>SOLLEFTEÅ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44393-2023</t>
        </is>
      </c>
      <c r="B1882" s="1" t="n">
        <v>45188.94534722222</v>
      </c>
      <c r="C1882" s="1" t="n">
        <v>45908</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47329-2023</t>
        </is>
      </c>
      <c r="B1883" s="1" t="n">
        <v>45196</v>
      </c>
      <c r="C1883" s="1" t="n">
        <v>45908</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41925-2024</t>
        </is>
      </c>
      <c r="B1884" s="1" t="n">
        <v>45561</v>
      </c>
      <c r="C1884" s="1" t="n">
        <v>45908</v>
      </c>
      <c r="D1884" t="inlineStr">
        <is>
          <t>VÄSTERNORRLANDS LÄN</t>
        </is>
      </c>
      <c r="E1884" t="inlineStr">
        <is>
          <t>SOLLEFTEÅ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56176-2022</t>
        </is>
      </c>
      <c r="B1885" s="1" t="n">
        <v>44889.94862268519</v>
      </c>
      <c r="C1885" s="1" t="n">
        <v>45908</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58808-2024</t>
        </is>
      </c>
      <c r="B1886" s="1" t="n">
        <v>45636.34446759259</v>
      </c>
      <c r="C1886" s="1" t="n">
        <v>45908</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20101-2025</t>
        </is>
      </c>
      <c r="B1887" s="1" t="n">
        <v>45772</v>
      </c>
      <c r="C1887" s="1" t="n">
        <v>45908</v>
      </c>
      <c r="D1887" t="inlineStr">
        <is>
          <t>VÄSTERNORRLANDS LÄN</t>
        </is>
      </c>
      <c r="E1887" t="inlineStr">
        <is>
          <t>SOLLEFTEÅ</t>
        </is>
      </c>
      <c r="F1887" t="inlineStr">
        <is>
          <t>SCA</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13584-2025</t>
        </is>
      </c>
      <c r="B1888" s="1" t="n">
        <v>45736.59193287037</v>
      </c>
      <c r="C1888" s="1" t="n">
        <v>45908</v>
      </c>
      <c r="D1888" t="inlineStr">
        <is>
          <t>VÄSTERNORRLANDS LÄN</t>
        </is>
      </c>
      <c r="E1888" t="inlineStr">
        <is>
          <t>SOLLEFTEÅ</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42983-2024</t>
        </is>
      </c>
      <c r="B1889" s="1" t="n">
        <v>45567.37471064815</v>
      </c>
      <c r="C1889" s="1" t="n">
        <v>45908</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42984-2024</t>
        </is>
      </c>
      <c r="B1890" s="1" t="n">
        <v>45567.37532407408</v>
      </c>
      <c r="C1890" s="1" t="n">
        <v>45908</v>
      </c>
      <c r="D1890" t="inlineStr">
        <is>
          <t>VÄSTERNORRLANDS LÄN</t>
        </is>
      </c>
      <c r="E1890" t="inlineStr">
        <is>
          <t>SOLLEFTEÅ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42985-2024</t>
        </is>
      </c>
      <c r="B1891" s="1" t="n">
        <v>45567.37533564815</v>
      </c>
      <c r="C1891" s="1" t="n">
        <v>45908</v>
      </c>
      <c r="D1891" t="inlineStr">
        <is>
          <t>VÄSTERNORRLANDS LÄN</t>
        </is>
      </c>
      <c r="E1891" t="inlineStr">
        <is>
          <t>SOLLEFTEÅ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6816-2024</t>
        </is>
      </c>
      <c r="B1892" s="1" t="n">
        <v>45342</v>
      </c>
      <c r="C1892" s="1" t="n">
        <v>45908</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48964-2023</t>
        </is>
      </c>
      <c r="B1893" s="1" t="n">
        <v>45204</v>
      </c>
      <c r="C1893" s="1" t="n">
        <v>45908</v>
      </c>
      <c r="D1893" t="inlineStr">
        <is>
          <t>VÄSTERNORRLANDS LÄN</t>
        </is>
      </c>
      <c r="E1893" t="inlineStr">
        <is>
          <t>SOLLEFTEÅ</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16693-2024</t>
        </is>
      </c>
      <c r="B1894" s="1" t="n">
        <v>45408</v>
      </c>
      <c r="C1894" s="1" t="n">
        <v>45908</v>
      </c>
      <c r="D1894" t="inlineStr">
        <is>
          <t>VÄSTERNORRLANDS LÄN</t>
        </is>
      </c>
      <c r="E1894" t="inlineStr">
        <is>
          <t>SOLLEFTEÅ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48785-2024</t>
        </is>
      </c>
      <c r="B1895" s="1" t="n">
        <v>45593</v>
      </c>
      <c r="C1895" s="1" t="n">
        <v>45908</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34100-2023</t>
        </is>
      </c>
      <c r="B1896" s="1" t="n">
        <v>45125</v>
      </c>
      <c r="C1896" s="1" t="n">
        <v>45908</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18623-2024</t>
        </is>
      </c>
      <c r="B1897" s="1" t="n">
        <v>45425.96378472223</v>
      </c>
      <c r="C1897" s="1" t="n">
        <v>45908</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41434-2024</t>
        </is>
      </c>
      <c r="B1898" s="1" t="n">
        <v>45560</v>
      </c>
      <c r="C1898" s="1" t="n">
        <v>45908</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45334-2024</t>
        </is>
      </c>
      <c r="B1899" s="1" t="n">
        <v>45576</v>
      </c>
      <c r="C1899" s="1" t="n">
        <v>45908</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54607-2023</t>
        </is>
      </c>
      <c r="B1900" s="1" t="n">
        <v>45233.95748842593</v>
      </c>
      <c r="C1900" s="1" t="n">
        <v>45908</v>
      </c>
      <c r="D1900" t="inlineStr">
        <is>
          <t>VÄSTERNORRLANDS LÄN</t>
        </is>
      </c>
      <c r="E1900" t="inlineStr">
        <is>
          <t>SOLLEFTEÅ</t>
        </is>
      </c>
      <c r="F1900" t="inlineStr">
        <is>
          <t>SCA</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41420-2024</t>
        </is>
      </c>
      <c r="B1901" s="1" t="n">
        <v>45560.34616898148</v>
      </c>
      <c r="C1901" s="1" t="n">
        <v>45908</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42229-2021</t>
        </is>
      </c>
      <c r="B1902" s="1" t="n">
        <v>44426.93474537037</v>
      </c>
      <c r="C1902" s="1" t="n">
        <v>45908</v>
      </c>
      <c r="D1902" t="inlineStr">
        <is>
          <t>VÄSTERNORRLANDS LÄN</t>
        </is>
      </c>
      <c r="E1902" t="inlineStr">
        <is>
          <t>SOLLEFTEÅ</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35019-2022</t>
        </is>
      </c>
      <c r="B1903" s="1" t="n">
        <v>44796.94684027778</v>
      </c>
      <c r="C1903" s="1" t="n">
        <v>45908</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56137-2023</t>
        </is>
      </c>
      <c r="B1904" s="1" t="n">
        <v>45240.59096064815</v>
      </c>
      <c r="C1904" s="1" t="n">
        <v>45908</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62262-2022</t>
        </is>
      </c>
      <c r="B1905" s="1" t="n">
        <v>44922.94387731481</v>
      </c>
      <c r="C1905" s="1" t="n">
        <v>45908</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9608-2025</t>
        </is>
      </c>
      <c r="B1906" s="1" t="n">
        <v>45715.65699074074</v>
      </c>
      <c r="C1906" s="1" t="n">
        <v>45908</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10738-2025</t>
        </is>
      </c>
      <c r="B1907" s="1" t="n">
        <v>45722.40704861111</v>
      </c>
      <c r="C1907" s="1" t="n">
        <v>45908</v>
      </c>
      <c r="D1907" t="inlineStr">
        <is>
          <t>VÄSTERNORRLANDS LÄN</t>
        </is>
      </c>
      <c r="E1907" t="inlineStr">
        <is>
          <t>SOLLEFTEÅ</t>
        </is>
      </c>
      <c r="F1907" t="inlineStr">
        <is>
          <t>SCA</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1858-2021</t>
        </is>
      </c>
      <c r="B1908" s="1" t="n">
        <v>44210</v>
      </c>
      <c r="C1908" s="1" t="n">
        <v>45908</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9096-2023</t>
        </is>
      </c>
      <c r="B1909" s="1" t="n">
        <v>44979.94303240741</v>
      </c>
      <c r="C1909" s="1" t="n">
        <v>45908</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18220-2025</t>
        </is>
      </c>
      <c r="B1910" s="1" t="n">
        <v>45761.7190625</v>
      </c>
      <c r="C1910" s="1" t="n">
        <v>45908</v>
      </c>
      <c r="D1910" t="inlineStr">
        <is>
          <t>VÄSTERNORRLANDS LÄN</t>
        </is>
      </c>
      <c r="E1910" t="inlineStr">
        <is>
          <t>SOLLEFTEÅ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51193-2024</t>
        </is>
      </c>
      <c r="B1911" s="1" t="n">
        <v>45603.61511574074</v>
      </c>
      <c r="C1911" s="1" t="n">
        <v>45908</v>
      </c>
      <c r="D1911" t="inlineStr">
        <is>
          <t>VÄSTERNORRLANDS LÄN</t>
        </is>
      </c>
      <c r="E1911" t="inlineStr">
        <is>
          <t>SOLLEFTEÅ</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3689-2023</t>
        </is>
      </c>
      <c r="B1912" s="1" t="n">
        <v>44950</v>
      </c>
      <c r="C1912" s="1" t="n">
        <v>45908</v>
      </c>
      <c r="D1912" t="inlineStr">
        <is>
          <t>VÄSTERNORRLANDS LÄN</t>
        </is>
      </c>
      <c r="E1912" t="inlineStr">
        <is>
          <t>SOLLEFTEÅ</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57846-2024</t>
        </is>
      </c>
      <c r="B1913" s="1" t="n">
        <v>45631.40759259259</v>
      </c>
      <c r="C1913" s="1" t="n">
        <v>45908</v>
      </c>
      <c r="D1913" t="inlineStr">
        <is>
          <t>VÄSTERNORRLANDS LÄN</t>
        </is>
      </c>
      <c r="E1913" t="inlineStr">
        <is>
          <t>SOLLEFTEÅ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23753-2021</t>
        </is>
      </c>
      <c r="B1914" s="1" t="n">
        <v>44334</v>
      </c>
      <c r="C1914" s="1" t="n">
        <v>45908</v>
      </c>
      <c r="D1914" t="inlineStr">
        <is>
          <t>VÄSTERNORRLANDS LÄN</t>
        </is>
      </c>
      <c r="E1914" t="inlineStr">
        <is>
          <t>SOLLEFTEÅ</t>
        </is>
      </c>
      <c r="G1914" t="n">
        <v>14.8</v>
      </c>
      <c r="H1914" t="n">
        <v>0</v>
      </c>
      <c r="I1914" t="n">
        <v>0</v>
      </c>
      <c r="J1914" t="n">
        <v>0</v>
      </c>
      <c r="K1914" t="n">
        <v>0</v>
      </c>
      <c r="L1914" t="n">
        <v>0</v>
      </c>
      <c r="M1914" t="n">
        <v>0</v>
      </c>
      <c r="N1914" t="n">
        <v>0</v>
      </c>
      <c r="O1914" t="n">
        <v>0</v>
      </c>
      <c r="P1914" t="n">
        <v>0</v>
      </c>
      <c r="Q1914" t="n">
        <v>0</v>
      </c>
      <c r="R1914" s="2" t="inlineStr"/>
    </row>
    <row r="1915" ht="15" customHeight="1">
      <c r="A1915" t="inlineStr">
        <is>
          <t>A 57395-2023</t>
        </is>
      </c>
      <c r="B1915" s="1" t="n">
        <v>45245.9678125</v>
      </c>
      <c r="C1915" s="1" t="n">
        <v>45908</v>
      </c>
      <c r="D1915" t="inlineStr">
        <is>
          <t>VÄSTERNORRLANDS LÄN</t>
        </is>
      </c>
      <c r="E1915" t="inlineStr">
        <is>
          <t>SOLLEFTEÅ</t>
        </is>
      </c>
      <c r="F1915" t="inlineStr">
        <is>
          <t>SCA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10870-2024</t>
        </is>
      </c>
      <c r="B1916" s="1" t="n">
        <v>45370.02083333334</v>
      </c>
      <c r="C1916" s="1" t="n">
        <v>45908</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20133-2025</t>
        </is>
      </c>
      <c r="B1917" s="1" t="n">
        <v>45772.51092592593</v>
      </c>
      <c r="C1917" s="1" t="n">
        <v>45908</v>
      </c>
      <c r="D1917" t="inlineStr">
        <is>
          <t>VÄSTERNORRLANDS LÄN</t>
        </is>
      </c>
      <c r="E1917" t="inlineStr">
        <is>
          <t>SOLLEFTEÅ</t>
        </is>
      </c>
      <c r="F1917" t="inlineStr">
        <is>
          <t>SCA</t>
        </is>
      </c>
      <c r="G1917" t="n">
        <v>58.2</v>
      </c>
      <c r="H1917" t="n">
        <v>0</v>
      </c>
      <c r="I1917" t="n">
        <v>0</v>
      </c>
      <c r="J1917" t="n">
        <v>0</v>
      </c>
      <c r="K1917" t="n">
        <v>0</v>
      </c>
      <c r="L1917" t="n">
        <v>0</v>
      </c>
      <c r="M1917" t="n">
        <v>0</v>
      </c>
      <c r="N1917" t="n">
        <v>0</v>
      </c>
      <c r="O1917" t="n">
        <v>0</v>
      </c>
      <c r="P1917" t="n">
        <v>0</v>
      </c>
      <c r="Q1917" t="n">
        <v>0</v>
      </c>
      <c r="R1917" s="2" t="inlineStr"/>
    </row>
    <row r="1918" ht="15" customHeight="1">
      <c r="A1918" t="inlineStr">
        <is>
          <t>A 55643-2021</t>
        </is>
      </c>
      <c r="B1918" s="1" t="n">
        <v>44475</v>
      </c>
      <c r="C1918" s="1" t="n">
        <v>45908</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12752-2023</t>
        </is>
      </c>
      <c r="B1919" s="1" t="n">
        <v>45000.94854166666</v>
      </c>
      <c r="C1919" s="1" t="n">
        <v>45908</v>
      </c>
      <c r="D1919" t="inlineStr">
        <is>
          <t>VÄSTERNORRLANDS LÄN</t>
        </is>
      </c>
      <c r="E1919" t="inlineStr">
        <is>
          <t>SOLLEFTEÅ</t>
        </is>
      </c>
      <c r="F1919" t="inlineStr">
        <is>
          <t>SCA</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49810-2023</t>
        </is>
      </c>
      <c r="B1920" s="1" t="n">
        <v>45212.66369212963</v>
      </c>
      <c r="C1920" s="1" t="n">
        <v>45908</v>
      </c>
      <c r="D1920" t="inlineStr">
        <is>
          <t>VÄSTERNORRLANDS LÄN</t>
        </is>
      </c>
      <c r="E1920" t="inlineStr">
        <is>
          <t>SOLLEFTEÅ</t>
        </is>
      </c>
      <c r="F1920" t="inlineStr">
        <is>
          <t>Holmen skog AB</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1416-2025</t>
        </is>
      </c>
      <c r="B1921" s="1" t="n">
        <v>45668</v>
      </c>
      <c r="C1921" s="1" t="n">
        <v>45908</v>
      </c>
      <c r="D1921" t="inlineStr">
        <is>
          <t>VÄSTERNORRLANDS LÄN</t>
        </is>
      </c>
      <c r="E1921" t="inlineStr">
        <is>
          <t>SOLLEFTEÅ</t>
        </is>
      </c>
      <c r="G1921" t="n">
        <v>21.3</v>
      </c>
      <c r="H1921" t="n">
        <v>0</v>
      </c>
      <c r="I1921" t="n">
        <v>0</v>
      </c>
      <c r="J1921" t="n">
        <v>0</v>
      </c>
      <c r="K1921" t="n">
        <v>0</v>
      </c>
      <c r="L1921" t="n">
        <v>0</v>
      </c>
      <c r="M1921" t="n">
        <v>0</v>
      </c>
      <c r="N1921" t="n">
        <v>0</v>
      </c>
      <c r="O1921" t="n">
        <v>0</v>
      </c>
      <c r="P1921" t="n">
        <v>0</v>
      </c>
      <c r="Q1921" t="n">
        <v>0</v>
      </c>
      <c r="R1921" s="2" t="inlineStr"/>
    </row>
    <row r="1922" ht="15" customHeight="1">
      <c r="A1922" t="inlineStr">
        <is>
          <t>A 31481-2024</t>
        </is>
      </c>
      <c r="B1922" s="1" t="n">
        <v>45505</v>
      </c>
      <c r="C1922" s="1" t="n">
        <v>45908</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32140-2024</t>
        </is>
      </c>
      <c r="B1923" s="1" t="n">
        <v>45511.54391203704</v>
      </c>
      <c r="C1923" s="1" t="n">
        <v>45908</v>
      </c>
      <c r="D1923" t="inlineStr">
        <is>
          <t>VÄSTERNORRLANDS LÄN</t>
        </is>
      </c>
      <c r="E1923" t="inlineStr">
        <is>
          <t>SOLLEFTEÅ</t>
        </is>
      </c>
      <c r="F1923" t="inlineStr">
        <is>
          <t>Holmen skog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58531-2024</t>
        </is>
      </c>
      <c r="B1924" s="1" t="n">
        <v>45635.44822916666</v>
      </c>
      <c r="C1924" s="1" t="n">
        <v>45908</v>
      </c>
      <c r="D1924" t="inlineStr">
        <is>
          <t>VÄSTERNORRLANDS LÄN</t>
        </is>
      </c>
      <c r="E1924" t="inlineStr">
        <is>
          <t>SOLLEFTEÅ</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29290-2022</t>
        </is>
      </c>
      <c r="B1925" s="1" t="n">
        <v>44750</v>
      </c>
      <c r="C1925" s="1" t="n">
        <v>45908</v>
      </c>
      <c r="D1925" t="inlineStr">
        <is>
          <t>VÄSTERNORRLANDS LÄN</t>
        </is>
      </c>
      <c r="E1925" t="inlineStr">
        <is>
          <t>SOLLEFTEÅ</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13567-2023</t>
        </is>
      </c>
      <c r="B1926" s="1" t="n">
        <v>45005</v>
      </c>
      <c r="C1926" s="1" t="n">
        <v>45908</v>
      </c>
      <c r="D1926" t="inlineStr">
        <is>
          <t>VÄSTERNORRLANDS LÄN</t>
        </is>
      </c>
      <c r="E1926" t="inlineStr">
        <is>
          <t>SOLLEFTEÅ</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13570-2023</t>
        </is>
      </c>
      <c r="B1927" s="1" t="n">
        <v>45005</v>
      </c>
      <c r="C1927" s="1" t="n">
        <v>45908</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56356-2023</t>
        </is>
      </c>
      <c r="B1928" s="1" t="n">
        <v>45236</v>
      </c>
      <c r="C1928" s="1" t="n">
        <v>45908</v>
      </c>
      <c r="D1928" t="inlineStr">
        <is>
          <t>VÄSTERNORRLANDS LÄN</t>
        </is>
      </c>
      <c r="E1928" t="inlineStr">
        <is>
          <t>SOLLEFTEÅ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57991-2022</t>
        </is>
      </c>
      <c r="B1929" s="1" t="n">
        <v>44900.48915509259</v>
      </c>
      <c r="C1929" s="1" t="n">
        <v>45908</v>
      </c>
      <c r="D1929" t="inlineStr">
        <is>
          <t>VÄSTERNORRLANDS LÄN</t>
        </is>
      </c>
      <c r="E1929" t="inlineStr">
        <is>
          <t>SOLLEFTEÅ</t>
        </is>
      </c>
      <c r="G1929" t="n">
        <v>14.2</v>
      </c>
      <c r="H1929" t="n">
        <v>0</v>
      </c>
      <c r="I1929" t="n">
        <v>0</v>
      </c>
      <c r="J1929" t="n">
        <v>0</v>
      </c>
      <c r="K1929" t="n">
        <v>0</v>
      </c>
      <c r="L1929" t="n">
        <v>0</v>
      </c>
      <c r="M1929" t="n">
        <v>0</v>
      </c>
      <c r="N1929" t="n">
        <v>0</v>
      </c>
      <c r="O1929" t="n">
        <v>0</v>
      </c>
      <c r="P1929" t="n">
        <v>0</v>
      </c>
      <c r="Q1929" t="n">
        <v>0</v>
      </c>
      <c r="R1929" s="2" t="inlineStr"/>
    </row>
    <row r="1930" ht="15" customHeight="1">
      <c r="A1930" t="inlineStr">
        <is>
          <t>A 29693-2024</t>
        </is>
      </c>
      <c r="B1930" s="1" t="n">
        <v>45484.94490740741</v>
      </c>
      <c r="C1930" s="1" t="n">
        <v>45908</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20184-2025</t>
        </is>
      </c>
      <c r="B1931" s="1" t="n">
        <v>45772.59458333333</v>
      </c>
      <c r="C1931" s="1" t="n">
        <v>45908</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9632-2025</t>
        </is>
      </c>
      <c r="B1932" s="1" t="n">
        <v>45715.71921296296</v>
      </c>
      <c r="C1932" s="1" t="n">
        <v>45908</v>
      </c>
      <c r="D1932" t="inlineStr">
        <is>
          <t>VÄSTERNORRLANDS LÄN</t>
        </is>
      </c>
      <c r="E1932" t="inlineStr">
        <is>
          <t>SOLLEFTEÅ</t>
        </is>
      </c>
      <c r="F1932" t="inlineStr">
        <is>
          <t>SCA</t>
        </is>
      </c>
      <c r="G1932" t="n">
        <v>21.6</v>
      </c>
      <c r="H1932" t="n">
        <v>0</v>
      </c>
      <c r="I1932" t="n">
        <v>0</v>
      </c>
      <c r="J1932" t="n">
        <v>0</v>
      </c>
      <c r="K1932" t="n">
        <v>0</v>
      </c>
      <c r="L1932" t="n">
        <v>0</v>
      </c>
      <c r="M1932" t="n">
        <v>0</v>
      </c>
      <c r="N1932" t="n">
        <v>0</v>
      </c>
      <c r="O1932" t="n">
        <v>0</v>
      </c>
      <c r="P1932" t="n">
        <v>0</v>
      </c>
      <c r="Q1932" t="n">
        <v>0</v>
      </c>
      <c r="R1932" s="2" t="inlineStr"/>
    </row>
    <row r="1933" ht="15" customHeight="1">
      <c r="A1933" t="inlineStr">
        <is>
          <t>A 6139-2024</t>
        </is>
      </c>
      <c r="B1933" s="1" t="n">
        <v>45337</v>
      </c>
      <c r="C1933" s="1" t="n">
        <v>45908</v>
      </c>
      <c r="D1933" t="inlineStr">
        <is>
          <t>VÄSTERNORRLANDS LÄN</t>
        </is>
      </c>
      <c r="E1933" t="inlineStr">
        <is>
          <t>SOLLEFTEÅ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5254-2024</t>
        </is>
      </c>
      <c r="B1934" s="1" t="n">
        <v>45330</v>
      </c>
      <c r="C1934" s="1" t="n">
        <v>45908</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39504-2021</t>
        </is>
      </c>
      <c r="B1935" s="1" t="n">
        <v>44414.93480324074</v>
      </c>
      <c r="C1935" s="1" t="n">
        <v>45908</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58578-2024</t>
        </is>
      </c>
      <c r="B1936" s="1" t="n">
        <v>45635</v>
      </c>
      <c r="C1936" s="1" t="n">
        <v>45908</v>
      </c>
      <c r="D1936" t="inlineStr">
        <is>
          <t>VÄSTERNORRLANDS LÄN</t>
        </is>
      </c>
      <c r="E1936" t="inlineStr">
        <is>
          <t>SOLLEFTEÅ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58588-2024</t>
        </is>
      </c>
      <c r="B1937" s="1" t="n">
        <v>45635.50605324074</v>
      </c>
      <c r="C1937" s="1" t="n">
        <v>45908</v>
      </c>
      <c r="D1937" t="inlineStr">
        <is>
          <t>VÄSTERNORRLANDS LÄN</t>
        </is>
      </c>
      <c r="E1937" t="inlineStr">
        <is>
          <t>SOLLEFTEÅ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47631-2024</t>
        </is>
      </c>
      <c r="B1938" s="1" t="n">
        <v>45588.34465277778</v>
      </c>
      <c r="C1938" s="1" t="n">
        <v>45908</v>
      </c>
      <c r="D1938" t="inlineStr">
        <is>
          <t>VÄSTERNORRLANDS LÄN</t>
        </is>
      </c>
      <c r="E1938" t="inlineStr">
        <is>
          <t>SOLLEFTEÅ</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12539-2023</t>
        </is>
      </c>
      <c r="B1939" s="1" t="n">
        <v>45000.01452546296</v>
      </c>
      <c r="C1939" s="1" t="n">
        <v>45908</v>
      </c>
      <c r="D1939" t="inlineStr">
        <is>
          <t>VÄSTERNORRLANDS LÄN</t>
        </is>
      </c>
      <c r="E1939" t="inlineStr">
        <is>
          <t>SOLLEFTEÅ</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2048-2025</t>
        </is>
      </c>
      <c r="B1940" s="1" t="n">
        <v>45671</v>
      </c>
      <c r="C1940" s="1" t="n">
        <v>45908</v>
      </c>
      <c r="D1940" t="inlineStr">
        <is>
          <t>VÄSTERNORRLANDS LÄN</t>
        </is>
      </c>
      <c r="E1940" t="inlineStr">
        <is>
          <t>SOLLEFTEÅ</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22208-2024</t>
        </is>
      </c>
      <c r="B1941" s="1" t="n">
        <v>45446.38181712963</v>
      </c>
      <c r="C1941" s="1" t="n">
        <v>45908</v>
      </c>
      <c r="D1941" t="inlineStr">
        <is>
          <t>VÄSTERNORRLANDS LÄN</t>
        </is>
      </c>
      <c r="E1941" t="inlineStr">
        <is>
          <t>SOLLEFTEÅ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4253-2025</t>
        </is>
      </c>
      <c r="B1942" s="1" t="n">
        <v>45685.61232638889</v>
      </c>
      <c r="C1942" s="1" t="n">
        <v>45908</v>
      </c>
      <c r="D1942" t="inlineStr">
        <is>
          <t>VÄSTERNORRLANDS LÄN</t>
        </is>
      </c>
      <c r="E1942" t="inlineStr">
        <is>
          <t>SOLLEFTEÅ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60827-2024</t>
        </is>
      </c>
      <c r="B1943" s="1" t="n">
        <v>45644.63590277778</v>
      </c>
      <c r="C1943" s="1" t="n">
        <v>45908</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3194-2025</t>
        </is>
      </c>
      <c r="B1944" s="1" t="n">
        <v>45679.42130787037</v>
      </c>
      <c r="C1944" s="1" t="n">
        <v>45908</v>
      </c>
      <c r="D1944" t="inlineStr">
        <is>
          <t>VÄSTERNORRLANDS LÄN</t>
        </is>
      </c>
      <c r="E1944" t="inlineStr">
        <is>
          <t>SOLLEFTEÅ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59474-2024</t>
        </is>
      </c>
      <c r="B1945" s="1" t="n">
        <v>45638.504375</v>
      </c>
      <c r="C1945" s="1" t="n">
        <v>45908</v>
      </c>
      <c r="D1945" t="inlineStr">
        <is>
          <t>VÄSTERNORRLANDS LÄN</t>
        </is>
      </c>
      <c r="E1945" t="inlineStr">
        <is>
          <t>SOLLEFTEÅ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6236-2023</t>
        </is>
      </c>
      <c r="B1946" s="1" t="n">
        <v>44964</v>
      </c>
      <c r="C1946" s="1" t="n">
        <v>45908</v>
      </c>
      <c r="D1946" t="inlineStr">
        <is>
          <t>VÄSTERNORRLANDS LÄN</t>
        </is>
      </c>
      <c r="E1946" t="inlineStr">
        <is>
          <t>SOLLEFTEÅ</t>
        </is>
      </c>
      <c r="F1946" t="inlineStr">
        <is>
          <t>SCA</t>
        </is>
      </c>
      <c r="G1946" t="n">
        <v>0.1</v>
      </c>
      <c r="H1946" t="n">
        <v>0</v>
      </c>
      <c r="I1946" t="n">
        <v>0</v>
      </c>
      <c r="J1946" t="n">
        <v>0</v>
      </c>
      <c r="K1946" t="n">
        <v>0</v>
      </c>
      <c r="L1946" t="n">
        <v>0</v>
      </c>
      <c r="M1946" t="n">
        <v>0</v>
      </c>
      <c r="N1946" t="n">
        <v>0</v>
      </c>
      <c r="O1946" t="n">
        <v>0</v>
      </c>
      <c r="P1946" t="n">
        <v>0</v>
      </c>
      <c r="Q1946" t="n">
        <v>0</v>
      </c>
      <c r="R1946" s="2" t="inlineStr"/>
      <c r="U1946">
        <f>HYPERLINK("https://klasma.github.io/Logging_2283/knärot/A 6236-2023 karta knärot.png", "A 6236-2023")</f>
        <v/>
      </c>
      <c r="V1946">
        <f>HYPERLINK("https://klasma.github.io/Logging_2283/klagomål/A 6236-2023 FSC-klagomål.docx", "A 6236-2023")</f>
        <v/>
      </c>
      <c r="W1946">
        <f>HYPERLINK("https://klasma.github.io/Logging_2283/klagomålsmail/A 6236-2023 FSC-klagomål mail.docx", "A 6236-2023")</f>
        <v/>
      </c>
      <c r="X1946">
        <f>HYPERLINK("https://klasma.github.io/Logging_2283/tillsyn/A 6236-2023 tillsynsbegäran.docx", "A 6236-2023")</f>
        <v/>
      </c>
      <c r="Y1946">
        <f>HYPERLINK("https://klasma.github.io/Logging_2283/tillsynsmail/A 6236-2023 tillsynsbegäran mail.docx", "A 6236-2023")</f>
        <v/>
      </c>
    </row>
    <row r="1947" ht="15" customHeight="1">
      <c r="A1947" t="inlineStr">
        <is>
          <t>A 73564-2021</t>
        </is>
      </c>
      <c r="B1947" s="1" t="n">
        <v>44551.9409375</v>
      </c>
      <c r="C1947" s="1" t="n">
        <v>45908</v>
      </c>
      <c r="D1947" t="inlineStr">
        <is>
          <t>VÄSTERNORRLANDS LÄN</t>
        </is>
      </c>
      <c r="E1947" t="inlineStr">
        <is>
          <t>SOLLEFTEÅ</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10618-2024</t>
        </is>
      </c>
      <c r="B1948" s="1" t="n">
        <v>45367</v>
      </c>
      <c r="C1948" s="1" t="n">
        <v>45908</v>
      </c>
      <c r="D1948" t="inlineStr">
        <is>
          <t>VÄSTERNORRLANDS LÄN</t>
        </is>
      </c>
      <c r="E1948" t="inlineStr">
        <is>
          <t>SOLLEFTEÅ</t>
        </is>
      </c>
      <c r="F1948" t="inlineStr">
        <is>
          <t>SCA</t>
        </is>
      </c>
      <c r="G1948" t="n">
        <v>21.1</v>
      </c>
      <c r="H1948" t="n">
        <v>0</v>
      </c>
      <c r="I1948" t="n">
        <v>0</v>
      </c>
      <c r="J1948" t="n">
        <v>0</v>
      </c>
      <c r="K1948" t="n">
        <v>0</v>
      </c>
      <c r="L1948" t="n">
        <v>0</v>
      </c>
      <c r="M1948" t="n">
        <v>0</v>
      </c>
      <c r="N1948" t="n">
        <v>0</v>
      </c>
      <c r="O1948" t="n">
        <v>0</v>
      </c>
      <c r="P1948" t="n">
        <v>0</v>
      </c>
      <c r="Q1948" t="n">
        <v>0</v>
      </c>
      <c r="R1948" s="2" t="inlineStr"/>
    </row>
    <row r="1949" ht="15" customHeight="1">
      <c r="A1949" t="inlineStr">
        <is>
          <t>A 13150-2025</t>
        </is>
      </c>
      <c r="B1949" s="1" t="n">
        <v>45735.34439814815</v>
      </c>
      <c r="C1949" s="1" t="n">
        <v>45908</v>
      </c>
      <c r="D1949" t="inlineStr">
        <is>
          <t>VÄSTERNORRLANDS LÄN</t>
        </is>
      </c>
      <c r="E1949" t="inlineStr">
        <is>
          <t>SOLLEFTEÅ</t>
        </is>
      </c>
      <c r="F1949" t="inlineStr">
        <is>
          <t>SCA</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62100-2023</t>
        </is>
      </c>
      <c r="B1950" s="1" t="n">
        <v>45266.92689814815</v>
      </c>
      <c r="C1950" s="1" t="n">
        <v>45908</v>
      </c>
      <c r="D1950" t="inlineStr">
        <is>
          <t>VÄSTERNORRLANDS LÄN</t>
        </is>
      </c>
      <c r="E1950" t="inlineStr">
        <is>
          <t>SOLLEFTEÅ</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25314-2023</t>
        </is>
      </c>
      <c r="B1951" s="1" t="n">
        <v>45086</v>
      </c>
      <c r="C1951" s="1" t="n">
        <v>45908</v>
      </c>
      <c r="D1951" t="inlineStr">
        <is>
          <t>VÄSTERNORRLANDS LÄN</t>
        </is>
      </c>
      <c r="E1951" t="inlineStr">
        <is>
          <t>SOLLEFTEÅ</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14252-2025</t>
        </is>
      </c>
      <c r="B1952" s="1" t="n">
        <v>45740.61601851852</v>
      </c>
      <c r="C1952" s="1" t="n">
        <v>45908</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16795-2025</t>
        </is>
      </c>
      <c r="B1953" s="1" t="n">
        <v>45754.61487268518</v>
      </c>
      <c r="C1953" s="1" t="n">
        <v>45908</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56262-2023</t>
        </is>
      </c>
      <c r="B1954" s="1" t="n">
        <v>45240</v>
      </c>
      <c r="C1954" s="1" t="n">
        <v>45908</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18951-2025</t>
        </is>
      </c>
      <c r="B1955" s="1" t="n">
        <v>45764.51086805556</v>
      </c>
      <c r="C1955" s="1" t="n">
        <v>45908</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1997-2022</t>
        </is>
      </c>
      <c r="B1956" s="1" t="n">
        <v>44575</v>
      </c>
      <c r="C1956" s="1" t="n">
        <v>45908</v>
      </c>
      <c r="D1956" t="inlineStr">
        <is>
          <t>VÄSTERNORRLANDS LÄN</t>
        </is>
      </c>
      <c r="E1956" t="inlineStr">
        <is>
          <t>SOLLEFTEÅ</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49160-2021</t>
        </is>
      </c>
      <c r="B1957" s="1" t="n">
        <v>44453.94021990741</v>
      </c>
      <c r="C1957" s="1" t="n">
        <v>45908</v>
      </c>
      <c r="D1957" t="inlineStr">
        <is>
          <t>VÄSTERNORRLANDS LÄN</t>
        </is>
      </c>
      <c r="E1957" t="inlineStr">
        <is>
          <t>SOLLEFTEÅ</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7942-2025</t>
        </is>
      </c>
      <c r="B1958" s="1" t="n">
        <v>45707</v>
      </c>
      <c r="C1958" s="1" t="n">
        <v>45908</v>
      </c>
      <c r="D1958" t="inlineStr">
        <is>
          <t>VÄSTERNORRLANDS LÄN</t>
        </is>
      </c>
      <c r="E1958" t="inlineStr">
        <is>
          <t>SOLLEFTEÅ</t>
        </is>
      </c>
      <c r="F1958" t="inlineStr">
        <is>
          <t>SCA</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32812-2024</t>
        </is>
      </c>
      <c r="B1959" s="1" t="n">
        <v>45516</v>
      </c>
      <c r="C1959" s="1" t="n">
        <v>45908</v>
      </c>
      <c r="D1959" t="inlineStr">
        <is>
          <t>VÄSTERNORRLANDS LÄN</t>
        </is>
      </c>
      <c r="E1959" t="inlineStr">
        <is>
          <t>SOLLEFTEÅ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48083-2023</t>
        </is>
      </c>
      <c r="B1960" s="1" t="n">
        <v>45204</v>
      </c>
      <c r="C1960" s="1" t="n">
        <v>45908</v>
      </c>
      <c r="D1960" t="inlineStr">
        <is>
          <t>VÄSTERNORRLANDS LÄN</t>
        </is>
      </c>
      <c r="E1960" t="inlineStr">
        <is>
          <t>SOLLEFTEÅ</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7234-2024</t>
        </is>
      </c>
      <c r="B1961" s="1" t="n">
        <v>45344.65627314815</v>
      </c>
      <c r="C1961" s="1" t="n">
        <v>45908</v>
      </c>
      <c r="D1961" t="inlineStr">
        <is>
          <t>VÄSTERNORRLANDS LÄN</t>
        </is>
      </c>
      <c r="E1961" t="inlineStr">
        <is>
          <t>SOLLEFTEÅ</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25131-2024</t>
        </is>
      </c>
      <c r="B1962" s="1" t="n">
        <v>45462.46725694444</v>
      </c>
      <c r="C1962" s="1" t="n">
        <v>45908</v>
      </c>
      <c r="D1962" t="inlineStr">
        <is>
          <t>VÄSTERNORRLANDS LÄN</t>
        </is>
      </c>
      <c r="E1962" t="inlineStr">
        <is>
          <t>SOLLEFTEÅ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17021-2025</t>
        </is>
      </c>
      <c r="B1963" s="1" t="n">
        <v>45755.56135416667</v>
      </c>
      <c r="C1963" s="1" t="n">
        <v>45908</v>
      </c>
      <c r="D1963" t="inlineStr">
        <is>
          <t>VÄSTERNORRLANDS LÄN</t>
        </is>
      </c>
      <c r="E1963" t="inlineStr">
        <is>
          <t>SOLLEFTEÅ</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17034-2025</t>
        </is>
      </c>
      <c r="B1964" s="1" t="n">
        <v>45755.57385416667</v>
      </c>
      <c r="C1964" s="1" t="n">
        <v>45908</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4261-2025</t>
        </is>
      </c>
      <c r="B1965" s="1" t="n">
        <v>45685.61785879629</v>
      </c>
      <c r="C1965" s="1" t="n">
        <v>45908</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41834-2024</t>
        </is>
      </c>
      <c r="B1966" s="1" t="n">
        <v>45561.4084375</v>
      </c>
      <c r="C1966" s="1" t="n">
        <v>45908</v>
      </c>
      <c r="D1966" t="inlineStr">
        <is>
          <t>VÄSTERNORRLANDS LÄN</t>
        </is>
      </c>
      <c r="E1966" t="inlineStr">
        <is>
          <t>SOLLEFTEÅ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41975-2024</t>
        </is>
      </c>
      <c r="B1967" s="1" t="n">
        <v>45561</v>
      </c>
      <c r="C1967" s="1" t="n">
        <v>45908</v>
      </c>
      <c r="D1967" t="inlineStr">
        <is>
          <t>VÄSTERNORRLANDS LÄN</t>
        </is>
      </c>
      <c r="E1967" t="inlineStr">
        <is>
          <t>SOLLEFTEÅ</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28749-2023</t>
        </is>
      </c>
      <c r="B1968" s="1" t="n">
        <v>45103</v>
      </c>
      <c r="C1968" s="1" t="n">
        <v>45908</v>
      </c>
      <c r="D1968" t="inlineStr">
        <is>
          <t>VÄSTERNORRLANDS LÄN</t>
        </is>
      </c>
      <c r="E1968" t="inlineStr">
        <is>
          <t>SOLLEFTEÅ</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58845-2024</t>
        </is>
      </c>
      <c r="B1969" s="1" t="n">
        <v>45636.3862037037</v>
      </c>
      <c r="C1969" s="1" t="n">
        <v>45908</v>
      </c>
      <c r="D1969" t="inlineStr">
        <is>
          <t>VÄSTERNORRLANDS LÄN</t>
        </is>
      </c>
      <c r="E1969" t="inlineStr">
        <is>
          <t>SOLLEFTEÅ</t>
        </is>
      </c>
      <c r="F1969" t="inlineStr">
        <is>
          <t>SCA</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56388-2024</t>
        </is>
      </c>
      <c r="B1970" s="1" t="n">
        <v>45625.34449074074</v>
      </c>
      <c r="C1970" s="1" t="n">
        <v>45908</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43177-2023</t>
        </is>
      </c>
      <c r="B1971" s="1" t="n">
        <v>45181</v>
      </c>
      <c r="C1971" s="1" t="n">
        <v>45908</v>
      </c>
      <c r="D1971" t="inlineStr">
        <is>
          <t>VÄSTERNORRLANDS LÄN</t>
        </is>
      </c>
      <c r="E1971" t="inlineStr">
        <is>
          <t>SOLLEFTEÅ</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53939-2023</t>
        </is>
      </c>
      <c r="B1972" s="1" t="n">
        <v>45224</v>
      </c>
      <c r="C1972" s="1" t="n">
        <v>45908</v>
      </c>
      <c r="D1972" t="inlineStr">
        <is>
          <t>VÄSTERNORRLANDS LÄN</t>
        </is>
      </c>
      <c r="E1972" t="inlineStr">
        <is>
          <t>SOLLEFTEÅ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41924-2023</t>
        </is>
      </c>
      <c r="B1973" s="1" t="n">
        <v>45176</v>
      </c>
      <c r="C1973" s="1" t="n">
        <v>45908</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2185-2025</t>
        </is>
      </c>
      <c r="B1974" s="1" t="n">
        <v>45673</v>
      </c>
      <c r="C1974" s="1" t="n">
        <v>45908</v>
      </c>
      <c r="D1974" t="inlineStr">
        <is>
          <t>VÄSTERNORRLANDS LÄN</t>
        </is>
      </c>
      <c r="E1974" t="inlineStr">
        <is>
          <t>SOLLEFTEÅ</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35872-2024</t>
        </is>
      </c>
      <c r="B1975" s="1" t="n">
        <v>45533</v>
      </c>
      <c r="C1975" s="1" t="n">
        <v>45908</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21582-2022</t>
        </is>
      </c>
      <c r="B1976" s="1" t="n">
        <v>44706</v>
      </c>
      <c r="C1976" s="1" t="n">
        <v>45908</v>
      </c>
      <c r="D1976" t="inlineStr">
        <is>
          <t>VÄSTERNORRLANDS LÄN</t>
        </is>
      </c>
      <c r="E1976" t="inlineStr">
        <is>
          <t>SOLLEFTEÅ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13858-2025</t>
        </is>
      </c>
      <c r="B1977" s="1" t="n">
        <v>45737.57341435185</v>
      </c>
      <c r="C1977" s="1" t="n">
        <v>45908</v>
      </c>
      <c r="D1977" t="inlineStr">
        <is>
          <t>VÄSTERNORRLANDS LÄN</t>
        </is>
      </c>
      <c r="E1977" t="inlineStr">
        <is>
          <t>SOLLEFTEÅ</t>
        </is>
      </c>
      <c r="F1977" t="inlineStr">
        <is>
          <t>SCA</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16312-2025</t>
        </is>
      </c>
      <c r="B1978" s="1" t="n">
        <v>45751.3474074074</v>
      </c>
      <c r="C1978" s="1" t="n">
        <v>45908</v>
      </c>
      <c r="D1978" t="inlineStr">
        <is>
          <t>VÄSTERNORRLANDS LÄN</t>
        </is>
      </c>
      <c r="E1978" t="inlineStr">
        <is>
          <t>SOLLEFTEÅ</t>
        </is>
      </c>
      <c r="F1978" t="inlineStr">
        <is>
          <t>SCA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30069-2024</t>
        </is>
      </c>
      <c r="B1979" s="1" t="n">
        <v>45488.9489699074</v>
      </c>
      <c r="C1979" s="1" t="n">
        <v>45908</v>
      </c>
      <c r="D1979" t="inlineStr">
        <is>
          <t>VÄSTERNORRLANDS LÄN</t>
        </is>
      </c>
      <c r="E1979" t="inlineStr">
        <is>
          <t>SOLLEFTEÅ</t>
        </is>
      </c>
      <c r="F1979" t="inlineStr">
        <is>
          <t>SCA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12683-2025</t>
        </is>
      </c>
      <c r="B1980" s="1" t="n">
        <v>45733.44483796296</v>
      </c>
      <c r="C1980" s="1" t="n">
        <v>45908</v>
      </c>
      <c r="D1980" t="inlineStr">
        <is>
          <t>VÄSTERNORRLANDS LÄN</t>
        </is>
      </c>
      <c r="E1980" t="inlineStr">
        <is>
          <t>SOLLEFTEÅ</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19295-2022</t>
        </is>
      </c>
      <c r="B1981" s="1" t="n">
        <v>44692</v>
      </c>
      <c r="C1981" s="1" t="n">
        <v>45908</v>
      </c>
      <c r="D1981" t="inlineStr">
        <is>
          <t>VÄSTERNORRLANDS LÄN</t>
        </is>
      </c>
      <c r="E1981" t="inlineStr">
        <is>
          <t>SOLLEFTEÅ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16253-2024</t>
        </is>
      </c>
      <c r="B1982" s="1" t="n">
        <v>45407.0587962963</v>
      </c>
      <c r="C1982" s="1" t="n">
        <v>45908</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58478-2021</t>
        </is>
      </c>
      <c r="B1983" s="1" t="n">
        <v>44488</v>
      </c>
      <c r="C1983" s="1" t="n">
        <v>45908</v>
      </c>
      <c r="D1983" t="inlineStr">
        <is>
          <t>VÄSTERNORRLANDS LÄN</t>
        </is>
      </c>
      <c r="E1983" t="inlineStr">
        <is>
          <t>SOLLEFTEÅ</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61081-2023</t>
        </is>
      </c>
      <c r="B1984" s="1" t="n">
        <v>45261</v>
      </c>
      <c r="C1984" s="1" t="n">
        <v>45908</v>
      </c>
      <c r="D1984" t="inlineStr">
        <is>
          <t>VÄSTERNORRLANDS LÄN</t>
        </is>
      </c>
      <c r="E1984" t="inlineStr">
        <is>
          <t>SOLLEFTEÅ</t>
        </is>
      </c>
      <c r="F1984" t="inlineStr">
        <is>
          <t>Holmen skog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19429-2024</t>
        </is>
      </c>
      <c r="B1985" s="1" t="n">
        <v>45429</v>
      </c>
      <c r="C1985" s="1" t="n">
        <v>45908</v>
      </c>
      <c r="D1985" t="inlineStr">
        <is>
          <t>VÄSTERNORRLANDS LÄN</t>
        </is>
      </c>
      <c r="E1985" t="inlineStr">
        <is>
          <t>SOLLEFTEÅ</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35217-2024</t>
        </is>
      </c>
      <c r="B1986" s="1" t="n">
        <v>45530</v>
      </c>
      <c r="C1986" s="1" t="n">
        <v>45908</v>
      </c>
      <c r="D1986" t="inlineStr">
        <is>
          <t>VÄSTERNORRLANDS LÄN</t>
        </is>
      </c>
      <c r="E1986" t="inlineStr">
        <is>
          <t>SOLLEFTEÅ</t>
        </is>
      </c>
      <c r="F1986" t="inlineStr">
        <is>
          <t>Kommuner</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49771-2024</t>
        </is>
      </c>
      <c r="B1987" s="1" t="n">
        <v>45597.34481481482</v>
      </c>
      <c r="C1987" s="1" t="n">
        <v>45908</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49772-2024</t>
        </is>
      </c>
      <c r="B1988" s="1" t="n">
        <v>45597.34483796296</v>
      </c>
      <c r="C1988" s="1" t="n">
        <v>45908</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71580-2021</t>
        </is>
      </c>
      <c r="B1989" s="1" t="n">
        <v>44540</v>
      </c>
      <c r="C1989" s="1" t="n">
        <v>45908</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25364-2024</t>
        </is>
      </c>
      <c r="B1990" s="1" t="n">
        <v>45462.95849537037</v>
      </c>
      <c r="C1990" s="1" t="n">
        <v>45908</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26962-2024</t>
        </is>
      </c>
      <c r="B1991" s="1" t="n">
        <v>45470.9716087963</v>
      </c>
      <c r="C1991" s="1" t="n">
        <v>45908</v>
      </c>
      <c r="D1991" t="inlineStr">
        <is>
          <t>VÄSTERNORRLANDS LÄN</t>
        </is>
      </c>
      <c r="E1991" t="inlineStr">
        <is>
          <t>SOLLEFTEÅ</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13315-2025</t>
        </is>
      </c>
      <c r="B1992" s="1" t="n">
        <v>45735.59418981482</v>
      </c>
      <c r="C1992" s="1" t="n">
        <v>45908</v>
      </c>
      <c r="D1992" t="inlineStr">
        <is>
          <t>VÄSTERNORRLANDS LÄN</t>
        </is>
      </c>
      <c r="E1992" t="inlineStr">
        <is>
          <t>SOLLEFTEÅ</t>
        </is>
      </c>
      <c r="F1992" t="inlineStr">
        <is>
          <t>SCA</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47179-2024</t>
        </is>
      </c>
      <c r="B1993" s="1" t="n">
        <v>45586.61634259259</v>
      </c>
      <c r="C1993" s="1" t="n">
        <v>45908</v>
      </c>
      <c r="D1993" t="inlineStr">
        <is>
          <t>VÄSTERNORRLANDS LÄN</t>
        </is>
      </c>
      <c r="E1993" t="inlineStr">
        <is>
          <t>SOLLEFTEÅ</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15260-2025</t>
        </is>
      </c>
      <c r="B1994" s="1" t="n">
        <v>45744.65659722222</v>
      </c>
      <c r="C1994" s="1" t="n">
        <v>45908</v>
      </c>
      <c r="D1994" t="inlineStr">
        <is>
          <t>VÄSTERNORRLANDS LÄN</t>
        </is>
      </c>
      <c r="E1994" t="inlineStr">
        <is>
          <t>SOLLEFTEÅ</t>
        </is>
      </c>
      <c r="F1994" t="inlineStr">
        <is>
          <t>SCA</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40655-2024</t>
        </is>
      </c>
      <c r="B1995" s="1" t="n">
        <v>45558.34414351852</v>
      </c>
      <c r="C1995" s="1" t="n">
        <v>45908</v>
      </c>
      <c r="D1995" t="inlineStr">
        <is>
          <t>VÄSTERNORRLANDS LÄN</t>
        </is>
      </c>
      <c r="E1995" t="inlineStr">
        <is>
          <t>SOLLEFTEÅ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38054-2024</t>
        </is>
      </c>
      <c r="B1996" s="1" t="n">
        <v>45544.71916666667</v>
      </c>
      <c r="C1996" s="1" t="n">
        <v>45908</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57080-2023</t>
        </is>
      </c>
      <c r="B1997" s="1" t="n">
        <v>45244</v>
      </c>
      <c r="C1997" s="1" t="n">
        <v>45908</v>
      </c>
      <c r="D1997" t="inlineStr">
        <is>
          <t>VÄSTERNORRLANDS LÄN</t>
        </is>
      </c>
      <c r="E1997" t="inlineStr">
        <is>
          <t>SOLLEFTEÅ</t>
        </is>
      </c>
      <c r="F1997" t="inlineStr">
        <is>
          <t>SCA</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1848-2024</t>
        </is>
      </c>
      <c r="B1998" s="1" t="n">
        <v>45307</v>
      </c>
      <c r="C1998" s="1" t="n">
        <v>45908</v>
      </c>
      <c r="D1998" t="inlineStr">
        <is>
          <t>VÄSTERNORRLANDS LÄN</t>
        </is>
      </c>
      <c r="E1998" t="inlineStr">
        <is>
          <t>SOLLEFTEÅ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53212-2024</t>
        </is>
      </c>
      <c r="B1999" s="1" t="n">
        <v>45612.63576388889</v>
      </c>
      <c r="C1999" s="1" t="n">
        <v>45908</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9124-2022</t>
        </is>
      </c>
      <c r="B2000" s="1" t="n">
        <v>44615.58287037037</v>
      </c>
      <c r="C2000" s="1" t="n">
        <v>45908</v>
      </c>
      <c r="D2000" t="inlineStr">
        <is>
          <t>VÄSTERNORRLANDS LÄN</t>
        </is>
      </c>
      <c r="E2000" t="inlineStr">
        <is>
          <t>SOLLEFTEÅ</t>
        </is>
      </c>
      <c r="G2000" t="n">
        <v>20.2</v>
      </c>
      <c r="H2000" t="n">
        <v>0</v>
      </c>
      <c r="I2000" t="n">
        <v>0</v>
      </c>
      <c r="J2000" t="n">
        <v>0</v>
      </c>
      <c r="K2000" t="n">
        <v>0</v>
      </c>
      <c r="L2000" t="n">
        <v>0</v>
      </c>
      <c r="M2000" t="n">
        <v>0</v>
      </c>
      <c r="N2000" t="n">
        <v>0</v>
      </c>
      <c r="O2000" t="n">
        <v>0</v>
      </c>
      <c r="P2000" t="n">
        <v>0</v>
      </c>
      <c r="Q2000" t="n">
        <v>0</v>
      </c>
      <c r="R2000" s="2" t="inlineStr"/>
    </row>
    <row r="2001" ht="15" customHeight="1">
      <c r="A2001" t="inlineStr">
        <is>
          <t>A 9253-2025</t>
        </is>
      </c>
      <c r="B2001" s="1" t="n">
        <v>45714.59430555555</v>
      </c>
      <c r="C2001" s="1" t="n">
        <v>45908</v>
      </c>
      <c r="D2001" t="inlineStr">
        <is>
          <t>VÄSTERNORRLANDS LÄN</t>
        </is>
      </c>
      <c r="E2001" t="inlineStr">
        <is>
          <t>SOLLEFTEÅ</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21924-2021</t>
        </is>
      </c>
      <c r="B2002" s="1" t="n">
        <v>44322.91836805556</v>
      </c>
      <c r="C2002" s="1" t="n">
        <v>45908</v>
      </c>
      <c r="D2002" t="inlineStr">
        <is>
          <t>VÄSTERNORRLANDS LÄN</t>
        </is>
      </c>
      <c r="E2002" t="inlineStr">
        <is>
          <t>SOLLEFTEÅ</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20799-2024</t>
        </is>
      </c>
      <c r="B2003" s="1" t="n">
        <v>45438</v>
      </c>
      <c r="C2003" s="1" t="n">
        <v>45908</v>
      </c>
      <c r="D2003" t="inlineStr">
        <is>
          <t>VÄSTERNORRLANDS LÄN</t>
        </is>
      </c>
      <c r="E2003" t="inlineStr">
        <is>
          <t>SOLLEFTEÅ</t>
        </is>
      </c>
      <c r="F2003" t="inlineStr">
        <is>
          <t>SCA</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2583-2025</t>
        </is>
      </c>
      <c r="B2004" s="1" t="n">
        <v>45674.67803240741</v>
      </c>
      <c r="C2004" s="1" t="n">
        <v>45908</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50674-2023</t>
        </is>
      </c>
      <c r="B2005" s="1" t="n">
        <v>45210</v>
      </c>
      <c r="C2005" s="1" t="n">
        <v>45908</v>
      </c>
      <c r="D2005" t="inlineStr">
        <is>
          <t>VÄSTERNORRLANDS LÄN</t>
        </is>
      </c>
      <c r="E2005" t="inlineStr">
        <is>
          <t>SOLLEFTEÅ</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14036-2025</t>
        </is>
      </c>
      <c r="B2006" s="1" t="n">
        <v>45740.36508101852</v>
      </c>
      <c r="C2006" s="1" t="n">
        <v>45908</v>
      </c>
      <c r="D2006" t="inlineStr">
        <is>
          <t>VÄSTERNORRLANDS LÄN</t>
        </is>
      </c>
      <c r="E2006" t="inlineStr">
        <is>
          <t>SOLLEFTEÅ</t>
        </is>
      </c>
      <c r="F2006" t="inlineStr">
        <is>
          <t>SCA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218-2025</t>
        </is>
      </c>
      <c r="B2007" s="1" t="n">
        <v>45660</v>
      </c>
      <c r="C2007" s="1" t="n">
        <v>45908</v>
      </c>
      <c r="D2007" t="inlineStr">
        <is>
          <t>VÄSTERNORRLANDS LÄN</t>
        </is>
      </c>
      <c r="E2007" t="inlineStr">
        <is>
          <t>SOLLEFTEÅ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59564-2024</t>
        </is>
      </c>
      <c r="B2008" s="1" t="n">
        <v>45638.6375</v>
      </c>
      <c r="C2008" s="1" t="n">
        <v>45908</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21344-2023</t>
        </is>
      </c>
      <c r="B2009" s="1" t="n">
        <v>45062</v>
      </c>
      <c r="C2009" s="1" t="n">
        <v>45908</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49036-2023</t>
        </is>
      </c>
      <c r="B2010" s="1" t="n">
        <v>45209.95693287037</v>
      </c>
      <c r="C2010" s="1" t="n">
        <v>45908</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7009-2023</t>
        </is>
      </c>
      <c r="B2011" s="1" t="n">
        <v>44967.92959490741</v>
      </c>
      <c r="C2011" s="1" t="n">
        <v>45908</v>
      </c>
      <c r="D2011" t="inlineStr">
        <is>
          <t>VÄSTERNORRLANDS LÄN</t>
        </is>
      </c>
      <c r="E2011" t="inlineStr">
        <is>
          <t>SOLLEFTEÅ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6736-2025</t>
        </is>
      </c>
      <c r="B2012" s="1" t="n">
        <v>45700.59442129629</v>
      </c>
      <c r="C2012" s="1" t="n">
        <v>45908</v>
      </c>
      <c r="D2012" t="inlineStr">
        <is>
          <t>VÄSTERNORRLANDS LÄN</t>
        </is>
      </c>
      <c r="E2012" t="inlineStr">
        <is>
          <t>SOLLEFTEÅ</t>
        </is>
      </c>
      <c r="F2012" t="inlineStr">
        <is>
          <t>SCA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49156-2024</t>
        </is>
      </c>
      <c r="B2013" s="1" t="n">
        <v>45594.834375</v>
      </c>
      <c r="C2013" s="1" t="n">
        <v>45908</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18100-2025</t>
        </is>
      </c>
      <c r="B2014" s="1" t="n">
        <v>45761.55240740741</v>
      </c>
      <c r="C2014" s="1" t="n">
        <v>45908</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6621-2025</t>
        </is>
      </c>
      <c r="B2015" s="1" t="n">
        <v>45700.36576388889</v>
      </c>
      <c r="C2015" s="1" t="n">
        <v>45908</v>
      </c>
      <c r="D2015" t="inlineStr">
        <is>
          <t>VÄSTERNORRLANDS LÄN</t>
        </is>
      </c>
      <c r="E2015" t="inlineStr">
        <is>
          <t>SOLLEFTEÅ</t>
        </is>
      </c>
      <c r="F2015" t="inlineStr">
        <is>
          <t>SCA</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17049-2022</t>
        </is>
      </c>
      <c r="B2016" s="1" t="n">
        <v>44676</v>
      </c>
      <c r="C2016" s="1" t="n">
        <v>45908</v>
      </c>
      <c r="D2016" t="inlineStr">
        <is>
          <t>VÄSTERNORRLANDS LÄN</t>
        </is>
      </c>
      <c r="E2016" t="inlineStr">
        <is>
          <t>SOLLEFTEÅ</t>
        </is>
      </c>
      <c r="F2016" t="inlineStr">
        <is>
          <t>SCA</t>
        </is>
      </c>
      <c r="G2016" t="n">
        <v>2.6</v>
      </c>
      <c r="H2016" t="n">
        <v>0</v>
      </c>
      <c r="I2016" t="n">
        <v>0</v>
      </c>
      <c r="J2016" t="n">
        <v>0</v>
      </c>
      <c r="K2016" t="n">
        <v>0</v>
      </c>
      <c r="L2016" t="n">
        <v>0</v>
      </c>
      <c r="M2016" t="n">
        <v>0</v>
      </c>
      <c r="N2016" t="n">
        <v>0</v>
      </c>
      <c r="O2016" t="n">
        <v>0</v>
      </c>
      <c r="P2016" t="n">
        <v>0</v>
      </c>
      <c r="Q2016" t="n">
        <v>0</v>
      </c>
      <c r="R2016" s="2" t="inlineStr"/>
      <c r="U2016">
        <f>HYPERLINK("https://klasma.github.io/Logging_2283/knärot/A 17049-2022 karta knärot.png", "A 17049-2022")</f>
        <v/>
      </c>
      <c r="V2016">
        <f>HYPERLINK("https://klasma.github.io/Logging_2283/klagomål/A 17049-2022 FSC-klagomål.docx", "A 17049-2022")</f>
        <v/>
      </c>
      <c r="W2016">
        <f>HYPERLINK("https://klasma.github.io/Logging_2283/klagomålsmail/A 17049-2022 FSC-klagomål mail.docx", "A 17049-2022")</f>
        <v/>
      </c>
      <c r="X2016">
        <f>HYPERLINK("https://klasma.github.io/Logging_2283/tillsyn/A 17049-2022 tillsynsbegäran.docx", "A 17049-2022")</f>
        <v/>
      </c>
      <c r="Y2016">
        <f>HYPERLINK("https://klasma.github.io/Logging_2283/tillsynsmail/A 17049-2022 tillsynsbegäran mail.docx", "A 17049-2022")</f>
        <v/>
      </c>
    </row>
    <row r="2017" ht="15" customHeight="1">
      <c r="A2017" t="inlineStr">
        <is>
          <t>A 2580-2025</t>
        </is>
      </c>
      <c r="B2017" s="1" t="n">
        <v>45674</v>
      </c>
      <c r="C2017" s="1" t="n">
        <v>45908</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3095-2025</t>
        </is>
      </c>
      <c r="B2018" s="1" t="n">
        <v>45678.66633101852</v>
      </c>
      <c r="C2018" s="1" t="n">
        <v>45908</v>
      </c>
      <c r="D2018" t="inlineStr">
        <is>
          <t>VÄSTERNORRLANDS LÄN</t>
        </is>
      </c>
      <c r="E2018" t="inlineStr">
        <is>
          <t>SOLLEFTEÅ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56134-2023</t>
        </is>
      </c>
      <c r="B2019" s="1" t="n">
        <v>45240</v>
      </c>
      <c r="C2019" s="1" t="n">
        <v>45908</v>
      </c>
      <c r="D2019" t="inlineStr">
        <is>
          <t>VÄSTERNORRLANDS LÄN</t>
        </is>
      </c>
      <c r="E2019" t="inlineStr">
        <is>
          <t>SOLLEFTEÅ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18648-2024</t>
        </is>
      </c>
      <c r="B2020" s="1" t="n">
        <v>45425.9678125</v>
      </c>
      <c r="C2020" s="1" t="n">
        <v>45908</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3323-2025</t>
        </is>
      </c>
      <c r="B2021" s="1" t="n">
        <v>45679.69921296297</v>
      </c>
      <c r="C2021" s="1" t="n">
        <v>45908</v>
      </c>
      <c r="D2021" t="inlineStr">
        <is>
          <t>VÄSTERNORRLANDS LÄN</t>
        </is>
      </c>
      <c r="E2021" t="inlineStr">
        <is>
          <t>SOLLEFTEÅ</t>
        </is>
      </c>
      <c r="F2021" t="inlineStr">
        <is>
          <t>SCA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17173-2024</t>
        </is>
      </c>
      <c r="B2022" s="1" t="n">
        <v>45412.97866898148</v>
      </c>
      <c r="C2022" s="1" t="n">
        <v>45908</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656-2024</t>
        </is>
      </c>
      <c r="B2023" s="1" t="n">
        <v>45299</v>
      </c>
      <c r="C2023" s="1" t="n">
        <v>45908</v>
      </c>
      <c r="D2023" t="inlineStr">
        <is>
          <t>VÄSTERNORRLANDS LÄN</t>
        </is>
      </c>
      <c r="E2023" t="inlineStr">
        <is>
          <t>SOLLEFTEÅ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27572-2022</t>
        </is>
      </c>
      <c r="B2024" s="1" t="n">
        <v>44742.94329861111</v>
      </c>
      <c r="C2024" s="1" t="n">
        <v>45908</v>
      </c>
      <c r="D2024" t="inlineStr">
        <is>
          <t>VÄSTERNORRLANDS LÄN</t>
        </is>
      </c>
      <c r="E2024" t="inlineStr">
        <is>
          <t>SOLLEFTEÅ</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11026-2025</t>
        </is>
      </c>
      <c r="B2025" s="1" t="n">
        <v>45723.46961805555</v>
      </c>
      <c r="C2025" s="1" t="n">
        <v>45908</v>
      </c>
      <c r="D2025" t="inlineStr">
        <is>
          <t>VÄSTERNORRLANDS LÄN</t>
        </is>
      </c>
      <c r="E2025" t="inlineStr">
        <is>
          <t>SOLLEFTEÅ</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57518-2023</t>
        </is>
      </c>
      <c r="B2026" s="1" t="n">
        <v>45242</v>
      </c>
      <c r="C2026" s="1" t="n">
        <v>45908</v>
      </c>
      <c r="D2026" t="inlineStr">
        <is>
          <t>VÄSTERNORRLANDS LÄN</t>
        </is>
      </c>
      <c r="E2026" t="inlineStr">
        <is>
          <t>SOLLEFTEÅ</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1480-2025</t>
        </is>
      </c>
      <c r="B2027" s="1" t="n">
        <v>45670.38575231482</v>
      </c>
      <c r="C2027" s="1" t="n">
        <v>45908</v>
      </c>
      <c r="D2027" t="inlineStr">
        <is>
          <t>VÄSTERNORRLANDS LÄN</t>
        </is>
      </c>
      <c r="E2027" t="inlineStr">
        <is>
          <t>SOLLEFTEÅ</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39495-2023</t>
        </is>
      </c>
      <c r="B2028" s="1" t="n">
        <v>45166.95712962963</v>
      </c>
      <c r="C2028" s="1" t="n">
        <v>45908</v>
      </c>
      <c r="D2028" t="inlineStr">
        <is>
          <t>VÄSTERNORRLANDS LÄN</t>
        </is>
      </c>
      <c r="E2028" t="inlineStr">
        <is>
          <t>SOLLEFTEÅ</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10140-2022</t>
        </is>
      </c>
      <c r="B2029" s="1" t="n">
        <v>44621</v>
      </c>
      <c r="C2029" s="1" t="n">
        <v>45908</v>
      </c>
      <c r="D2029" t="inlineStr">
        <is>
          <t>VÄSTERNORRLANDS LÄN</t>
        </is>
      </c>
      <c r="E2029" t="inlineStr">
        <is>
          <t>SOLLEFTEÅ</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2345-2025</t>
        </is>
      </c>
      <c r="B2030" s="1" t="n">
        <v>45673.67747685185</v>
      </c>
      <c r="C2030" s="1" t="n">
        <v>45908</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6735-2025</t>
        </is>
      </c>
      <c r="B2031" s="1" t="n">
        <v>45700.59434027778</v>
      </c>
      <c r="C2031" s="1" t="n">
        <v>45908</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6737-2025</t>
        </is>
      </c>
      <c r="B2032" s="1" t="n">
        <v>45700.59450231482</v>
      </c>
      <c r="C2032" s="1" t="n">
        <v>45908</v>
      </c>
      <c r="D2032" t="inlineStr">
        <is>
          <t>VÄSTERNORRLANDS LÄN</t>
        </is>
      </c>
      <c r="E2032" t="inlineStr">
        <is>
          <t>SOLLEFTEÅ</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58380-2020</t>
        </is>
      </c>
      <c r="B2033" s="1" t="n">
        <v>44145</v>
      </c>
      <c r="C2033" s="1" t="n">
        <v>45908</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46973-2024</t>
        </is>
      </c>
      <c r="B2034" s="1" t="n">
        <v>45586.34424768519</v>
      </c>
      <c r="C2034" s="1" t="n">
        <v>45908</v>
      </c>
      <c r="D2034" t="inlineStr">
        <is>
          <t>VÄSTERNORRLANDS LÄN</t>
        </is>
      </c>
      <c r="E2034" t="inlineStr">
        <is>
          <t>SOLLEFTEÅ</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31556-2024</t>
        </is>
      </c>
      <c r="B2035" s="1" t="n">
        <v>45505</v>
      </c>
      <c r="C2035" s="1" t="n">
        <v>45908</v>
      </c>
      <c r="D2035" t="inlineStr">
        <is>
          <t>VÄSTERNORRLANDS LÄN</t>
        </is>
      </c>
      <c r="E2035" t="inlineStr">
        <is>
          <t>SOLLEFTEÅ</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55756-2024</t>
        </is>
      </c>
      <c r="B2036" s="1" t="n">
        <v>45623</v>
      </c>
      <c r="C2036" s="1" t="n">
        <v>45908</v>
      </c>
      <c r="D2036" t="inlineStr">
        <is>
          <t>VÄSTERNORRLANDS LÄN</t>
        </is>
      </c>
      <c r="E2036" t="inlineStr">
        <is>
          <t>SOLLEFTEÅ</t>
        </is>
      </c>
      <c r="F2036" t="inlineStr">
        <is>
          <t>Holmen skog AB</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55769-2024</t>
        </is>
      </c>
      <c r="B2037" s="1" t="n">
        <v>45623.38574074074</v>
      </c>
      <c r="C2037" s="1" t="n">
        <v>45908</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55824-2024</t>
        </is>
      </c>
      <c r="B2038" s="1" t="n">
        <v>45623.47813657407</v>
      </c>
      <c r="C2038" s="1" t="n">
        <v>45908</v>
      </c>
      <c r="D2038" t="inlineStr">
        <is>
          <t>VÄSTERNORRLANDS LÄN</t>
        </is>
      </c>
      <c r="E2038" t="inlineStr">
        <is>
          <t>SOLLEFTEÅ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8038-2024</t>
        </is>
      </c>
      <c r="B2039" s="1" t="n">
        <v>45350</v>
      </c>
      <c r="C2039" s="1" t="n">
        <v>45908</v>
      </c>
      <c r="D2039" t="inlineStr">
        <is>
          <t>VÄSTERNORRLANDS LÄN</t>
        </is>
      </c>
      <c r="E2039" t="inlineStr">
        <is>
          <t>SOLLEFTEÅ</t>
        </is>
      </c>
      <c r="F2039" t="inlineStr">
        <is>
          <t>SCA</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8039-2024</t>
        </is>
      </c>
      <c r="B2040" s="1" t="n">
        <v>45350</v>
      </c>
      <c r="C2040" s="1" t="n">
        <v>45908</v>
      </c>
      <c r="D2040" t="inlineStr">
        <is>
          <t>VÄSTERNORRLANDS LÄN</t>
        </is>
      </c>
      <c r="E2040" t="inlineStr">
        <is>
          <t>SOLLEFTEÅ</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54978-2023</t>
        </is>
      </c>
      <c r="B2041" s="1" t="n">
        <v>45236.96600694444</v>
      </c>
      <c r="C2041" s="1" t="n">
        <v>45908</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55650-2023</t>
        </is>
      </c>
      <c r="B2042" s="1" t="n">
        <v>45238.96600694444</v>
      </c>
      <c r="C2042" s="1" t="n">
        <v>45908</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19489-2025</t>
        </is>
      </c>
      <c r="B2043" s="1" t="n">
        <v>45770.38847222222</v>
      </c>
      <c r="C2043" s="1" t="n">
        <v>45908</v>
      </c>
      <c r="D2043" t="inlineStr">
        <is>
          <t>VÄSTERNORRLANDS LÄN</t>
        </is>
      </c>
      <c r="E2043" t="inlineStr">
        <is>
          <t>SOLLEFTEÅ</t>
        </is>
      </c>
      <c r="F2043" t="inlineStr">
        <is>
          <t>SCA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9557-2024</t>
        </is>
      </c>
      <c r="B2044" s="1" t="n">
        <v>45360</v>
      </c>
      <c r="C2044" s="1" t="n">
        <v>45908</v>
      </c>
      <c r="D2044" t="inlineStr">
        <is>
          <t>VÄSTERNORRLANDS LÄN</t>
        </is>
      </c>
      <c r="E2044" t="inlineStr">
        <is>
          <t>SOLLEFTEÅ</t>
        </is>
      </c>
      <c r="F2044" t="inlineStr">
        <is>
          <t>SCA</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49665-2022</t>
        </is>
      </c>
      <c r="B2045" s="1" t="n">
        <v>44862</v>
      </c>
      <c r="C2045" s="1" t="n">
        <v>45908</v>
      </c>
      <c r="D2045" t="inlineStr">
        <is>
          <t>VÄSTERNORRLANDS LÄN</t>
        </is>
      </c>
      <c r="E2045" t="inlineStr">
        <is>
          <t>SOLLEFTEÅ</t>
        </is>
      </c>
      <c r="F2045" t="inlineStr">
        <is>
          <t>Holmen skog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56398-2024</t>
        </is>
      </c>
      <c r="B2046" s="1" t="n">
        <v>45625.35395833333</v>
      </c>
      <c r="C2046" s="1" t="n">
        <v>45908</v>
      </c>
      <c r="D2046" t="inlineStr">
        <is>
          <t>VÄSTERNORRLANDS LÄN</t>
        </is>
      </c>
      <c r="E2046" t="inlineStr">
        <is>
          <t>SOLLEFTEÅ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57655-2023</t>
        </is>
      </c>
      <c r="B2047" s="1" t="n">
        <v>45246</v>
      </c>
      <c r="C2047" s="1" t="n">
        <v>45908</v>
      </c>
      <c r="D2047" t="inlineStr">
        <is>
          <t>VÄSTERNORRLANDS LÄN</t>
        </is>
      </c>
      <c r="E2047" t="inlineStr">
        <is>
          <t>SOLLEFTEÅ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16564-2025</t>
        </is>
      </c>
      <c r="B2048" s="1" t="n">
        <v>45752</v>
      </c>
      <c r="C2048" s="1" t="n">
        <v>45908</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8712-2025</t>
        </is>
      </c>
      <c r="B2049" s="1" t="n">
        <v>45712.49872685185</v>
      </c>
      <c r="C2049" s="1" t="n">
        <v>45908</v>
      </c>
      <c r="D2049" t="inlineStr">
        <is>
          <t>VÄSTERNORRLANDS LÄN</t>
        </is>
      </c>
      <c r="E2049" t="inlineStr">
        <is>
          <t>SOLLEFTEÅ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61616-2024</t>
        </is>
      </c>
      <c r="B2050" s="1" t="n">
        <v>45645</v>
      </c>
      <c r="C2050" s="1" t="n">
        <v>45908</v>
      </c>
      <c r="D2050" t="inlineStr">
        <is>
          <t>VÄSTERNORRLANDS LÄN</t>
        </is>
      </c>
      <c r="E2050" t="inlineStr">
        <is>
          <t>SOLLEFTEÅ</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3548-2022</t>
        </is>
      </c>
      <c r="B2051" s="1" t="n">
        <v>44585.93784722222</v>
      </c>
      <c r="C2051" s="1" t="n">
        <v>45908</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19577-2024</t>
        </is>
      </c>
      <c r="B2052" s="1" t="n">
        <v>45429</v>
      </c>
      <c r="C2052" s="1" t="n">
        <v>45908</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7868-2025</t>
        </is>
      </c>
      <c r="B2053" s="1" t="n">
        <v>45706.69850694444</v>
      </c>
      <c r="C2053" s="1" t="n">
        <v>45908</v>
      </c>
      <c r="D2053" t="inlineStr">
        <is>
          <t>VÄSTERNORRLANDS LÄN</t>
        </is>
      </c>
      <c r="E2053" t="inlineStr">
        <is>
          <t>SOLLEFTEÅ</t>
        </is>
      </c>
      <c r="F2053" t="inlineStr">
        <is>
          <t>SCA</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7036-2025</t>
        </is>
      </c>
      <c r="B2054" s="1" t="n">
        <v>45701.63597222222</v>
      </c>
      <c r="C2054" s="1" t="n">
        <v>45908</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8653-2024</t>
        </is>
      </c>
      <c r="B2055" s="1" t="n">
        <v>45356</v>
      </c>
      <c r="C2055" s="1" t="n">
        <v>45908</v>
      </c>
      <c r="D2055" t="inlineStr">
        <is>
          <t>VÄSTERNORRLANDS LÄN</t>
        </is>
      </c>
      <c r="E2055" t="inlineStr">
        <is>
          <t>SOLLEFTEÅ</t>
        </is>
      </c>
      <c r="F2055" t="inlineStr">
        <is>
          <t>SCA</t>
        </is>
      </c>
      <c r="G2055" t="n">
        <v>67.8</v>
      </c>
      <c r="H2055" t="n">
        <v>0</v>
      </c>
      <c r="I2055" t="n">
        <v>0</v>
      </c>
      <c r="J2055" t="n">
        <v>0</v>
      </c>
      <c r="K2055" t="n">
        <v>0</v>
      </c>
      <c r="L2055" t="n">
        <v>0</v>
      </c>
      <c r="M2055" t="n">
        <v>0</v>
      </c>
      <c r="N2055" t="n">
        <v>0</v>
      </c>
      <c r="O2055" t="n">
        <v>0</v>
      </c>
      <c r="P2055" t="n">
        <v>0</v>
      </c>
      <c r="Q2055" t="n">
        <v>0</v>
      </c>
      <c r="R2055" s="2" t="inlineStr"/>
    </row>
    <row r="2056" ht="15" customHeight="1">
      <c r="A2056" t="inlineStr">
        <is>
          <t>A 44554-2024</t>
        </is>
      </c>
      <c r="B2056" s="1" t="n">
        <v>45574.46940972222</v>
      </c>
      <c r="C2056" s="1" t="n">
        <v>45908</v>
      </c>
      <c r="D2056" t="inlineStr">
        <is>
          <t>VÄSTERNORRLANDS LÄN</t>
        </is>
      </c>
      <c r="E2056" t="inlineStr">
        <is>
          <t>SOLLEFTEÅ</t>
        </is>
      </c>
      <c r="F2056" t="inlineStr">
        <is>
          <t>SCA</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34638-2024</t>
        </is>
      </c>
      <c r="B2057" s="1" t="n">
        <v>45526</v>
      </c>
      <c r="C2057" s="1" t="n">
        <v>45908</v>
      </c>
      <c r="D2057" t="inlineStr">
        <is>
          <t>VÄSTERNORRLANDS LÄN</t>
        </is>
      </c>
      <c r="E2057" t="inlineStr">
        <is>
          <t>SOLLEFTEÅ</t>
        </is>
      </c>
      <c r="F2057" t="inlineStr">
        <is>
          <t>SCA</t>
        </is>
      </c>
      <c r="G2057" t="n">
        <v>3.3</v>
      </c>
      <c r="H2057" t="n">
        <v>0</v>
      </c>
      <c r="I2057" t="n">
        <v>0</v>
      </c>
      <c r="J2057" t="n">
        <v>0</v>
      </c>
      <c r="K2057" t="n">
        <v>0</v>
      </c>
      <c r="L2057" t="n">
        <v>0</v>
      </c>
      <c r="M2057" t="n">
        <v>0</v>
      </c>
      <c r="N2057" t="n">
        <v>0</v>
      </c>
      <c r="O2057" t="n">
        <v>0</v>
      </c>
      <c r="P2057" t="n">
        <v>0</v>
      </c>
      <c r="Q2057" t="n">
        <v>0</v>
      </c>
      <c r="R2057" s="2" t="inlineStr"/>
      <c r="U2057">
        <f>HYPERLINK("https://klasma.github.io/Logging_2283/knärot/A 34638-2024 karta knärot.png", "A 34638-2024")</f>
        <v/>
      </c>
      <c r="V2057">
        <f>HYPERLINK("https://klasma.github.io/Logging_2283/klagomål/A 34638-2024 FSC-klagomål.docx", "A 34638-2024")</f>
        <v/>
      </c>
      <c r="W2057">
        <f>HYPERLINK("https://klasma.github.io/Logging_2283/klagomålsmail/A 34638-2024 FSC-klagomål mail.docx", "A 34638-2024")</f>
        <v/>
      </c>
      <c r="X2057">
        <f>HYPERLINK("https://klasma.github.io/Logging_2283/tillsyn/A 34638-2024 tillsynsbegäran.docx", "A 34638-2024")</f>
        <v/>
      </c>
      <c r="Y2057">
        <f>HYPERLINK("https://klasma.github.io/Logging_2283/tillsynsmail/A 34638-2024 tillsynsbegäran mail.docx", "A 34638-2024")</f>
        <v/>
      </c>
    </row>
    <row r="2058" ht="15" customHeight="1">
      <c r="A2058" t="inlineStr">
        <is>
          <t>A 64133-2023</t>
        </is>
      </c>
      <c r="B2058" s="1" t="n">
        <v>45279</v>
      </c>
      <c r="C2058" s="1" t="n">
        <v>45908</v>
      </c>
      <c r="D2058" t="inlineStr">
        <is>
          <t>VÄSTERNORRLANDS LÄN</t>
        </is>
      </c>
      <c r="E2058" t="inlineStr">
        <is>
          <t>SOLLEFTEÅ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29337-2023</t>
        </is>
      </c>
      <c r="B2059" s="1" t="n">
        <v>45105</v>
      </c>
      <c r="C2059" s="1" t="n">
        <v>45908</v>
      </c>
      <c r="D2059" t="inlineStr">
        <is>
          <t>VÄSTERNORRLANDS LÄN</t>
        </is>
      </c>
      <c r="E2059" t="inlineStr">
        <is>
          <t>SOLLEFTEÅ</t>
        </is>
      </c>
      <c r="F2059" t="inlineStr">
        <is>
          <t>SCA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17258-2025</t>
        </is>
      </c>
      <c r="B2060" s="1" t="n">
        <v>45756.53278935186</v>
      </c>
      <c r="C2060" s="1" t="n">
        <v>45908</v>
      </c>
      <c r="D2060" t="inlineStr">
        <is>
          <t>VÄSTERNORRLANDS LÄN</t>
        </is>
      </c>
      <c r="E2060" t="inlineStr">
        <is>
          <t>SOLLEFTEÅ</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8729-2024</t>
        </is>
      </c>
      <c r="B2061" s="1" t="n">
        <v>45356.43958333333</v>
      </c>
      <c r="C2061" s="1" t="n">
        <v>45908</v>
      </c>
      <c r="D2061" t="inlineStr">
        <is>
          <t>VÄSTERNORRLANDS LÄN</t>
        </is>
      </c>
      <c r="E2061" t="inlineStr">
        <is>
          <t>SOLLEFTEÅ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19051-2022</t>
        </is>
      </c>
      <c r="B2062" s="1" t="n">
        <v>44691.41167824074</v>
      </c>
      <c r="C2062" s="1" t="n">
        <v>45908</v>
      </c>
      <c r="D2062" t="inlineStr">
        <is>
          <t>VÄSTERNORRLANDS LÄN</t>
        </is>
      </c>
      <c r="E2062" t="inlineStr">
        <is>
          <t>SOLLEFTEÅ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36685-2024</t>
        </is>
      </c>
      <c r="B2063" s="1" t="n">
        <v>45537.66467592592</v>
      </c>
      <c r="C2063" s="1" t="n">
        <v>45908</v>
      </c>
      <c r="D2063" t="inlineStr">
        <is>
          <t>VÄSTERNORRLANDS LÄN</t>
        </is>
      </c>
      <c r="E2063" t="inlineStr">
        <is>
          <t>SOLLEFTEÅ</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9689-2024</t>
        </is>
      </c>
      <c r="B2064" s="1" t="n">
        <v>45362</v>
      </c>
      <c r="C2064" s="1" t="n">
        <v>45908</v>
      </c>
      <c r="D2064" t="inlineStr">
        <is>
          <t>VÄSTERNORRLANDS LÄN</t>
        </is>
      </c>
      <c r="E2064" t="inlineStr">
        <is>
          <t>SOLLEFTEÅ</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11539-2024</t>
        </is>
      </c>
      <c r="B2065" s="1" t="n">
        <v>45372.9560300926</v>
      </c>
      <c r="C2065" s="1" t="n">
        <v>45908</v>
      </c>
      <c r="D2065" t="inlineStr">
        <is>
          <t>VÄSTERNORRLANDS LÄN</t>
        </is>
      </c>
      <c r="E2065" t="inlineStr">
        <is>
          <t>SOLLEFTEÅ</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2481-2025</t>
        </is>
      </c>
      <c r="B2066" s="1" t="n">
        <v>45674.48996527777</v>
      </c>
      <c r="C2066" s="1" t="n">
        <v>45908</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22668-2024</t>
        </is>
      </c>
      <c r="B2067" s="1" t="n">
        <v>45447.94453703704</v>
      </c>
      <c r="C2067" s="1" t="n">
        <v>45908</v>
      </c>
      <c r="D2067" t="inlineStr">
        <is>
          <t>VÄSTERNORRLANDS LÄN</t>
        </is>
      </c>
      <c r="E2067" t="inlineStr">
        <is>
          <t>SOLLEFTEÅ</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49673-2024</t>
        </is>
      </c>
      <c r="B2068" s="1" t="n">
        <v>45596.65657407408</v>
      </c>
      <c r="C2068" s="1" t="n">
        <v>45908</v>
      </c>
      <c r="D2068" t="inlineStr">
        <is>
          <t>VÄSTERNORRLANDS LÄN</t>
        </is>
      </c>
      <c r="E2068" t="inlineStr">
        <is>
          <t>SOLLEFTEÅ</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25986-2023</t>
        </is>
      </c>
      <c r="B2069" s="1" t="n">
        <v>45090</v>
      </c>
      <c r="C2069" s="1" t="n">
        <v>45908</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8851-2025</t>
        </is>
      </c>
      <c r="B2070" s="1" t="n">
        <v>45713.34465277778</v>
      </c>
      <c r="C2070" s="1" t="n">
        <v>45908</v>
      </c>
      <c r="D2070" t="inlineStr">
        <is>
          <t>VÄSTERNORRLANDS LÄN</t>
        </is>
      </c>
      <c r="E2070" t="inlineStr">
        <is>
          <t>SOLLEFTEÅ</t>
        </is>
      </c>
      <c r="F2070" t="inlineStr">
        <is>
          <t>SCA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58463-2024</t>
        </is>
      </c>
      <c r="B2071" s="1" t="n">
        <v>45635.36650462963</v>
      </c>
      <c r="C2071" s="1" t="n">
        <v>45908</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55272-2024</t>
        </is>
      </c>
      <c r="B2072" s="1" t="n">
        <v>45621</v>
      </c>
      <c r="C2072" s="1" t="n">
        <v>45908</v>
      </c>
      <c r="D2072" t="inlineStr">
        <is>
          <t>VÄSTERNORRLANDS LÄN</t>
        </is>
      </c>
      <c r="E2072" t="inlineStr">
        <is>
          <t>SOLLEFTEÅ</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8476-2025</t>
        </is>
      </c>
      <c r="B2073" s="1" t="n">
        <v>45709.47894675926</v>
      </c>
      <c r="C2073" s="1" t="n">
        <v>45908</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21711-2022</t>
        </is>
      </c>
      <c r="B2074" s="1" t="n">
        <v>44707</v>
      </c>
      <c r="C2074" s="1" t="n">
        <v>45908</v>
      </c>
      <c r="D2074" t="inlineStr">
        <is>
          <t>VÄSTERNORRLANDS LÄN</t>
        </is>
      </c>
      <c r="E2074" t="inlineStr">
        <is>
          <t>SOLLEFTEÅ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64120-2023</t>
        </is>
      </c>
      <c r="B2075" s="1" t="n">
        <v>45279</v>
      </c>
      <c r="C2075" s="1" t="n">
        <v>45908</v>
      </c>
      <c r="D2075" t="inlineStr">
        <is>
          <t>VÄSTERNORRLANDS LÄN</t>
        </is>
      </c>
      <c r="E2075" t="inlineStr">
        <is>
          <t>SOLLEFTEÅ</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37726-2023</t>
        </is>
      </c>
      <c r="B2076" s="1" t="n">
        <v>45156</v>
      </c>
      <c r="C2076" s="1" t="n">
        <v>45908</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13008-2023</t>
        </is>
      </c>
      <c r="B2077" s="1" t="n">
        <v>45002</v>
      </c>
      <c r="C2077" s="1" t="n">
        <v>45908</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59339-2023</t>
        </is>
      </c>
      <c r="B2078" s="1" t="n">
        <v>45253</v>
      </c>
      <c r="C2078" s="1" t="n">
        <v>45908</v>
      </c>
      <c r="D2078" t="inlineStr">
        <is>
          <t>VÄSTERNORRLANDS LÄN</t>
        </is>
      </c>
      <c r="E2078" t="inlineStr">
        <is>
          <t>SOLLEFTEÅ</t>
        </is>
      </c>
      <c r="F2078" t="inlineStr">
        <is>
          <t>Holmen skog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61611-2024</t>
        </is>
      </c>
      <c r="B2079" s="1" t="n">
        <v>45645</v>
      </c>
      <c r="C2079" s="1" t="n">
        <v>45908</v>
      </c>
      <c r="D2079" t="inlineStr">
        <is>
          <t>VÄSTERNORRLANDS LÄN</t>
        </is>
      </c>
      <c r="E2079" t="inlineStr">
        <is>
          <t>SOLLEFTEÅ</t>
        </is>
      </c>
      <c r="G2079" t="n">
        <v>13.9</v>
      </c>
      <c r="H2079" t="n">
        <v>0</v>
      </c>
      <c r="I2079" t="n">
        <v>0</v>
      </c>
      <c r="J2079" t="n">
        <v>0</v>
      </c>
      <c r="K2079" t="n">
        <v>0</v>
      </c>
      <c r="L2079" t="n">
        <v>0</v>
      </c>
      <c r="M2079" t="n">
        <v>0</v>
      </c>
      <c r="N2079" t="n">
        <v>0</v>
      </c>
      <c r="O2079" t="n">
        <v>0</v>
      </c>
      <c r="P2079" t="n">
        <v>0</v>
      </c>
      <c r="Q2079" t="n">
        <v>0</v>
      </c>
      <c r="R2079" s="2" t="inlineStr"/>
    </row>
    <row r="2080" ht="15" customHeight="1">
      <c r="A2080" t="inlineStr">
        <is>
          <t>A 15859-2024</t>
        </is>
      </c>
      <c r="B2080" s="1" t="n">
        <v>45404.99732638889</v>
      </c>
      <c r="C2080" s="1" t="n">
        <v>45908</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42228-2021</t>
        </is>
      </c>
      <c r="B2081" s="1" t="n">
        <v>44426</v>
      </c>
      <c r="C2081" s="1" t="n">
        <v>45908</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51440-2021</t>
        </is>
      </c>
      <c r="B2082" s="1" t="n">
        <v>44461</v>
      </c>
      <c r="C2082" s="1" t="n">
        <v>45908</v>
      </c>
      <c r="D2082" t="inlineStr">
        <is>
          <t>VÄSTERNORRLANDS LÄN</t>
        </is>
      </c>
      <c r="E2082" t="inlineStr">
        <is>
          <t>SOLLEFTEÅ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5989-2021</t>
        </is>
      </c>
      <c r="B2083" s="1" t="n">
        <v>44231</v>
      </c>
      <c r="C2083" s="1" t="n">
        <v>45908</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50008-2024</t>
        </is>
      </c>
      <c r="B2084" s="1" t="n">
        <v>45598.57908564815</v>
      </c>
      <c r="C2084" s="1" t="n">
        <v>45908</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55692-2024</t>
        </is>
      </c>
      <c r="B2085" s="1" t="n">
        <v>45622</v>
      </c>
      <c r="C2085" s="1" t="n">
        <v>45908</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55759-2024</t>
        </is>
      </c>
      <c r="B2086" s="1" t="n">
        <v>45623.3647337963</v>
      </c>
      <c r="C2086" s="1" t="n">
        <v>45908</v>
      </c>
      <c r="D2086" t="inlineStr">
        <is>
          <t>VÄSTERNORRLANDS LÄN</t>
        </is>
      </c>
      <c r="E2086" t="inlineStr">
        <is>
          <t>SOLLEFTEÅ</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55792-2024</t>
        </is>
      </c>
      <c r="B2087" s="1" t="n">
        <v>45623</v>
      </c>
      <c r="C2087" s="1" t="n">
        <v>45908</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17481-2025</t>
        </is>
      </c>
      <c r="B2088" s="1" t="n">
        <v>45757.48979166667</v>
      </c>
      <c r="C2088" s="1" t="n">
        <v>45908</v>
      </c>
      <c r="D2088" t="inlineStr">
        <is>
          <t>VÄSTERNORRLANDS LÄN</t>
        </is>
      </c>
      <c r="E2088" t="inlineStr">
        <is>
          <t>SOLLEFTEÅ</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44172-2024</t>
        </is>
      </c>
      <c r="B2089" s="1" t="n">
        <v>45572.74454861111</v>
      </c>
      <c r="C2089" s="1" t="n">
        <v>45908</v>
      </c>
      <c r="D2089" t="inlineStr">
        <is>
          <t>VÄSTERNORRLANDS LÄN</t>
        </is>
      </c>
      <c r="E2089" t="inlineStr">
        <is>
          <t>SOLLEFTEÅ</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59647-2022</t>
        </is>
      </c>
      <c r="B2090" s="1" t="n">
        <v>44907.96577546297</v>
      </c>
      <c r="C2090" s="1" t="n">
        <v>45908</v>
      </c>
      <c r="D2090" t="inlineStr">
        <is>
          <t>VÄSTERNORRLANDS LÄN</t>
        </is>
      </c>
      <c r="E2090" t="inlineStr">
        <is>
          <t>SOLLEFTEÅ</t>
        </is>
      </c>
      <c r="F2090" t="inlineStr">
        <is>
          <t>SCA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49829-2024</t>
        </is>
      </c>
      <c r="B2091" s="1" t="n">
        <v>45597</v>
      </c>
      <c r="C2091" s="1" t="n">
        <v>45908</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49567-2024</t>
        </is>
      </c>
      <c r="B2092" s="1" t="n">
        <v>45596.49003472222</v>
      </c>
      <c r="C2092" s="1" t="n">
        <v>45908</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c r="U2092">
        <f>HYPERLINK("https://klasma.github.io/Logging_2283/knärot/A 49567-2024 karta knärot.png", "A 49567-2024")</f>
        <v/>
      </c>
      <c r="V2092">
        <f>HYPERLINK("https://klasma.github.io/Logging_2283/klagomål/A 49567-2024 FSC-klagomål.docx", "A 49567-2024")</f>
        <v/>
      </c>
      <c r="W2092">
        <f>HYPERLINK("https://klasma.github.io/Logging_2283/klagomålsmail/A 49567-2024 FSC-klagomål mail.docx", "A 49567-2024")</f>
        <v/>
      </c>
      <c r="X2092">
        <f>HYPERLINK("https://klasma.github.io/Logging_2283/tillsyn/A 49567-2024 tillsynsbegäran.docx", "A 49567-2024")</f>
        <v/>
      </c>
      <c r="Y2092">
        <f>HYPERLINK("https://klasma.github.io/Logging_2283/tillsynsmail/A 49567-2024 tillsynsbegäran mail.docx", "A 49567-2024")</f>
        <v/>
      </c>
    </row>
    <row r="2093" ht="15" customHeight="1">
      <c r="A2093" t="inlineStr">
        <is>
          <t>A 38231-2024</t>
        </is>
      </c>
      <c r="B2093" s="1" t="n">
        <v>45545.55601851852</v>
      </c>
      <c r="C2093" s="1" t="n">
        <v>45908</v>
      </c>
      <c r="D2093" t="inlineStr">
        <is>
          <t>VÄSTERNORRLANDS LÄN</t>
        </is>
      </c>
      <c r="E2093" t="inlineStr">
        <is>
          <t>SOLLEFTEÅ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21095-2024</t>
        </is>
      </c>
      <c r="B2094" s="1" t="n">
        <v>45439.95034722222</v>
      </c>
      <c r="C2094" s="1" t="n">
        <v>45908</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58172-2022</t>
        </is>
      </c>
      <c r="B2095" s="1" t="n">
        <v>44900.95525462963</v>
      </c>
      <c r="C2095" s="1" t="n">
        <v>45908</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34328-2023</t>
        </is>
      </c>
      <c r="B2096" s="1" t="n">
        <v>45138.9499074074</v>
      </c>
      <c r="C2096" s="1" t="n">
        <v>45908</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34330-2023</t>
        </is>
      </c>
      <c r="B2097" s="1" t="n">
        <v>45138</v>
      </c>
      <c r="C2097" s="1" t="n">
        <v>45908</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3234-2024</t>
        </is>
      </c>
      <c r="B2098" s="1" t="n">
        <v>45316.94708333333</v>
      </c>
      <c r="C2098" s="1" t="n">
        <v>45908</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3231-2024</t>
        </is>
      </c>
      <c r="B2099" s="1" t="n">
        <v>45316</v>
      </c>
      <c r="C2099" s="1" t="n">
        <v>45908</v>
      </c>
      <c r="D2099" t="inlineStr">
        <is>
          <t>VÄSTERNORRLANDS LÄN</t>
        </is>
      </c>
      <c r="E2099" t="inlineStr">
        <is>
          <t>SOLLEFTEÅ</t>
        </is>
      </c>
      <c r="F2099" t="inlineStr">
        <is>
          <t>SCA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3252-2024</t>
        </is>
      </c>
      <c r="B2100" s="1" t="n">
        <v>45316</v>
      </c>
      <c r="C2100" s="1" t="n">
        <v>45908</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35793-2024</t>
        </is>
      </c>
      <c r="B2101" s="1" t="n">
        <v>45532</v>
      </c>
      <c r="C2101" s="1" t="n">
        <v>45908</v>
      </c>
      <c r="D2101" t="inlineStr">
        <is>
          <t>VÄSTERNORRLANDS LÄN</t>
        </is>
      </c>
      <c r="E2101" t="inlineStr">
        <is>
          <t>SOLLEFTEÅ</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35794-2024</t>
        </is>
      </c>
      <c r="B2102" s="1" t="n">
        <v>45532.62974537037</v>
      </c>
      <c r="C2102" s="1" t="n">
        <v>45908</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15875-2024</t>
        </is>
      </c>
      <c r="B2103" s="1" t="n">
        <v>45405.32438657407</v>
      </c>
      <c r="C2103" s="1" t="n">
        <v>45908</v>
      </c>
      <c r="D2103" t="inlineStr">
        <is>
          <t>VÄSTERNORRLANDS LÄN</t>
        </is>
      </c>
      <c r="E2103" t="inlineStr">
        <is>
          <t>SOLLEFTEÅ</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14134-2023</t>
        </is>
      </c>
      <c r="B2104" s="1" t="n">
        <v>45008</v>
      </c>
      <c r="C2104" s="1" t="n">
        <v>45908</v>
      </c>
      <c r="D2104" t="inlineStr">
        <is>
          <t>VÄSTERNORRLANDS LÄN</t>
        </is>
      </c>
      <c r="E2104" t="inlineStr">
        <is>
          <t>SOLLEFTEÅ</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7463-2024</t>
        </is>
      </c>
      <c r="B2105" s="1" t="n">
        <v>45345.94887731481</v>
      </c>
      <c r="C2105" s="1" t="n">
        <v>45908</v>
      </c>
      <c r="D2105" t="inlineStr">
        <is>
          <t>VÄSTERNORRLANDS LÄN</t>
        </is>
      </c>
      <c r="E2105" t="inlineStr">
        <is>
          <t>SOLLEFTEÅ</t>
        </is>
      </c>
      <c r="F2105" t="inlineStr">
        <is>
          <t>SCA</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43525-2021</t>
        </is>
      </c>
      <c r="B2106" s="1" t="n">
        <v>44433</v>
      </c>
      <c r="C2106" s="1" t="n">
        <v>45908</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21589-2021</t>
        </is>
      </c>
      <c r="B2107" s="1" t="n">
        <v>44321.66534722222</v>
      </c>
      <c r="C2107" s="1" t="n">
        <v>45908</v>
      </c>
      <c r="D2107" t="inlineStr">
        <is>
          <t>VÄSTERNORRLANDS LÄN</t>
        </is>
      </c>
      <c r="E2107" t="inlineStr">
        <is>
          <t>SOLLEFTEÅ</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33591-2023</t>
        </is>
      </c>
      <c r="B2108" s="1" t="n">
        <v>45131</v>
      </c>
      <c r="C2108" s="1" t="n">
        <v>45908</v>
      </c>
      <c r="D2108" t="inlineStr">
        <is>
          <t>VÄSTERNORRLANDS LÄN</t>
        </is>
      </c>
      <c r="E2108" t="inlineStr">
        <is>
          <t>SOLLEFTEÅ</t>
        </is>
      </c>
      <c r="F2108" t="inlineStr">
        <is>
          <t>SCA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50007-2024</t>
        </is>
      </c>
      <c r="B2109" s="1" t="n">
        <v>45598.57574074074</v>
      </c>
      <c r="C2109" s="1" t="n">
        <v>45908</v>
      </c>
      <c r="D2109" t="inlineStr">
        <is>
          <t>VÄSTERNORRLANDS LÄN</t>
        </is>
      </c>
      <c r="E2109" t="inlineStr">
        <is>
          <t>SOLLEFTEÅ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11338-2025</t>
        </is>
      </c>
      <c r="B2110" s="1" t="n">
        <v>45726.48987268518</v>
      </c>
      <c r="C2110" s="1" t="n">
        <v>45908</v>
      </c>
      <c r="D2110" t="inlineStr">
        <is>
          <t>VÄSTERNORRLANDS LÄN</t>
        </is>
      </c>
      <c r="E2110" t="inlineStr">
        <is>
          <t>SOLLEFTEÅ</t>
        </is>
      </c>
      <c r="F2110" t="inlineStr">
        <is>
          <t>SCA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5447-2025</t>
        </is>
      </c>
      <c r="B2111" s="1" t="n">
        <v>45692</v>
      </c>
      <c r="C2111" s="1" t="n">
        <v>45908</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59473-2024</t>
        </is>
      </c>
      <c r="B2112" s="1" t="n">
        <v>45638.50436342593</v>
      </c>
      <c r="C2112" s="1" t="n">
        <v>45908</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3750-2025</t>
        </is>
      </c>
      <c r="B2113" s="1" t="n">
        <v>45681.580625</v>
      </c>
      <c r="C2113" s="1" t="n">
        <v>45908</v>
      </c>
      <c r="D2113" t="inlineStr">
        <is>
          <t>VÄSTERNORRLANDS LÄN</t>
        </is>
      </c>
      <c r="E2113" t="inlineStr">
        <is>
          <t>SOLLEFTEÅ</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34388-2024</t>
        </is>
      </c>
      <c r="B2114" s="1" t="n">
        <v>45525</v>
      </c>
      <c r="C2114" s="1" t="n">
        <v>45908</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42755-2022</t>
        </is>
      </c>
      <c r="B2115" s="1" t="n">
        <v>44832</v>
      </c>
      <c r="C2115" s="1" t="n">
        <v>45908</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12734-2023</t>
        </is>
      </c>
      <c r="B2116" s="1" t="n">
        <v>45000.92436342593</v>
      </c>
      <c r="C2116" s="1" t="n">
        <v>45908</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55338-2023</t>
        </is>
      </c>
      <c r="B2117" s="1" t="n">
        <v>45237.97476851852</v>
      </c>
      <c r="C2117" s="1" t="n">
        <v>45908</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52266-2023</t>
        </is>
      </c>
      <c r="B2118" s="1" t="n">
        <v>45217</v>
      </c>
      <c r="C2118" s="1" t="n">
        <v>45908</v>
      </c>
      <c r="D2118" t="inlineStr">
        <is>
          <t>VÄSTERNORRLANDS LÄN</t>
        </is>
      </c>
      <c r="E2118" t="inlineStr">
        <is>
          <t>SOLLEFTEÅ</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51107-2023</t>
        </is>
      </c>
      <c r="B2119" s="1" t="n">
        <v>45218.92530092593</v>
      </c>
      <c r="C2119" s="1" t="n">
        <v>45908</v>
      </c>
      <c r="D2119" t="inlineStr">
        <is>
          <t>VÄSTERNORRLANDS LÄN</t>
        </is>
      </c>
      <c r="E2119" t="inlineStr">
        <is>
          <t>SOLLEFTEÅ</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17889-2025</t>
        </is>
      </c>
      <c r="B2120" s="1" t="n">
        <v>45758.67746527777</v>
      </c>
      <c r="C2120" s="1" t="n">
        <v>45908</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32754-2024</t>
        </is>
      </c>
      <c r="B2121" s="1" t="n">
        <v>45516.46685185185</v>
      </c>
      <c r="C2121" s="1" t="n">
        <v>45908</v>
      </c>
      <c r="D2121" t="inlineStr">
        <is>
          <t>VÄSTERNORRLANDS LÄN</t>
        </is>
      </c>
      <c r="E2121" t="inlineStr">
        <is>
          <t>SOLLEFTEÅ</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21362-2021</t>
        </is>
      </c>
      <c r="B2122" s="1" t="n">
        <v>44320.95611111111</v>
      </c>
      <c r="C2122" s="1" t="n">
        <v>45908</v>
      </c>
      <c r="D2122" t="inlineStr">
        <is>
          <t>VÄSTERNORRLANDS LÄN</t>
        </is>
      </c>
      <c r="E2122" t="inlineStr">
        <is>
          <t>SOLLEFTEÅ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60077-2024</t>
        </is>
      </c>
      <c r="B2123" s="1" t="n">
        <v>45642</v>
      </c>
      <c r="C2123" s="1" t="n">
        <v>45908</v>
      </c>
      <c r="D2123" t="inlineStr">
        <is>
          <t>VÄSTERNORRLANDS LÄN</t>
        </is>
      </c>
      <c r="E2123" t="inlineStr">
        <is>
          <t>SOLLEFTEÅ</t>
        </is>
      </c>
      <c r="F2123" t="inlineStr">
        <is>
          <t>SCA</t>
        </is>
      </c>
      <c r="G2123" t="n">
        <v>21.5</v>
      </c>
      <c r="H2123" t="n">
        <v>0</v>
      </c>
      <c r="I2123" t="n">
        <v>0</v>
      </c>
      <c r="J2123" t="n">
        <v>0</v>
      </c>
      <c r="K2123" t="n">
        <v>0</v>
      </c>
      <c r="L2123" t="n">
        <v>0</v>
      </c>
      <c r="M2123" t="n">
        <v>0</v>
      </c>
      <c r="N2123" t="n">
        <v>0</v>
      </c>
      <c r="O2123" t="n">
        <v>0</v>
      </c>
      <c r="P2123" t="n">
        <v>0</v>
      </c>
      <c r="Q2123" t="n">
        <v>0</v>
      </c>
      <c r="R2123" s="2" t="inlineStr"/>
    </row>
    <row r="2124" ht="15" customHeight="1">
      <c r="A2124" t="inlineStr">
        <is>
          <t>A 50615-2023</t>
        </is>
      </c>
      <c r="B2124" s="1" t="n">
        <v>45217</v>
      </c>
      <c r="C2124" s="1" t="n">
        <v>45908</v>
      </c>
      <c r="D2124" t="inlineStr">
        <is>
          <t>VÄSTERNORRLANDS LÄN</t>
        </is>
      </c>
      <c r="E2124" t="inlineStr">
        <is>
          <t>SOLLEFTEÅ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11711-2025</t>
        </is>
      </c>
      <c r="B2125" s="1" t="n">
        <v>45727.59398148148</v>
      </c>
      <c r="C2125" s="1" t="n">
        <v>45908</v>
      </c>
      <c r="D2125" t="inlineStr">
        <is>
          <t>VÄSTERNORRLANDS LÄN</t>
        </is>
      </c>
      <c r="E2125" t="inlineStr">
        <is>
          <t>SOLLEFTEÅ</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27936-2024</t>
        </is>
      </c>
      <c r="B2126" s="1" t="n">
        <v>45475.95054398148</v>
      </c>
      <c r="C2126" s="1" t="n">
        <v>45908</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6733-2025</t>
        </is>
      </c>
      <c r="B2127" s="1" t="n">
        <v>45700.59425925926</v>
      </c>
      <c r="C2127" s="1" t="n">
        <v>45908</v>
      </c>
      <c r="D2127" t="inlineStr">
        <is>
          <t>VÄSTERNORRLANDS LÄN</t>
        </is>
      </c>
      <c r="E2127" t="inlineStr">
        <is>
          <t>SOLLEFTEÅ</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60360-2024</t>
        </is>
      </c>
      <c r="B2128" s="1" t="n">
        <v>45643.44837962963</v>
      </c>
      <c r="C2128" s="1" t="n">
        <v>45908</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4857-2024</t>
        </is>
      </c>
      <c r="B2129" s="1" t="n">
        <v>45329</v>
      </c>
      <c r="C2129" s="1" t="n">
        <v>45908</v>
      </c>
      <c r="D2129" t="inlineStr">
        <is>
          <t>VÄSTERNORRLANDS LÄN</t>
        </is>
      </c>
      <c r="E2129" t="inlineStr">
        <is>
          <t>SOLLEFTEÅ</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53278-2021</t>
        </is>
      </c>
      <c r="B2130" s="1" t="n">
        <v>44467</v>
      </c>
      <c r="C2130" s="1" t="n">
        <v>45908</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59583-2023</t>
        </is>
      </c>
      <c r="B2131" s="1" t="n">
        <v>45254.60587962963</v>
      </c>
      <c r="C2131" s="1" t="n">
        <v>45908</v>
      </c>
      <c r="D2131" t="inlineStr">
        <is>
          <t>VÄSTERNORRLANDS LÄN</t>
        </is>
      </c>
      <c r="E2131" t="inlineStr">
        <is>
          <t>SOLLEFTEÅ</t>
        </is>
      </c>
      <c r="F2131" t="inlineStr">
        <is>
          <t>Holmen skog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56408-2024</t>
        </is>
      </c>
      <c r="B2132" s="1" t="n">
        <v>45625</v>
      </c>
      <c r="C2132" s="1" t="n">
        <v>45908</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55726-2024</t>
        </is>
      </c>
      <c r="B2133" s="1" t="n">
        <v>45622.84653935185</v>
      </c>
      <c r="C2133" s="1" t="n">
        <v>45908</v>
      </c>
      <c r="D2133" t="inlineStr">
        <is>
          <t>VÄSTERNORRLANDS LÄN</t>
        </is>
      </c>
      <c r="E2133" t="inlineStr">
        <is>
          <t>SOLLEFTEÅ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12590-2024</t>
        </is>
      </c>
      <c r="B2134" s="1" t="n">
        <v>45379.93686342592</v>
      </c>
      <c r="C2134" s="1" t="n">
        <v>45908</v>
      </c>
      <c r="D2134" t="inlineStr">
        <is>
          <t>VÄSTERNORRLANDS LÄN</t>
        </is>
      </c>
      <c r="E2134" t="inlineStr">
        <is>
          <t>SOLLEFTEÅ</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45138.94997685185</v>
      </c>
      <c r="C2135" s="1" t="n">
        <v>45908</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21852-2024</t>
        </is>
      </c>
      <c r="B2136" s="1" t="n">
        <v>45442.9628125</v>
      </c>
      <c r="C2136" s="1" t="n">
        <v>45908</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60831-2024</t>
        </is>
      </c>
      <c r="B2137" s="1" t="n">
        <v>45644</v>
      </c>
      <c r="C2137" s="1" t="n">
        <v>45908</v>
      </c>
      <c r="D2137" t="inlineStr">
        <is>
          <t>VÄSTERNORRLANDS LÄN</t>
        </is>
      </c>
      <c r="E2137" t="inlineStr">
        <is>
          <t>SOLLEFTEÅ</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42631-2024</t>
        </is>
      </c>
      <c r="B2138" s="1" t="n">
        <v>45565</v>
      </c>
      <c r="C2138" s="1" t="n">
        <v>45908</v>
      </c>
      <c r="D2138" t="inlineStr">
        <is>
          <t>VÄSTERNORRLANDS LÄN</t>
        </is>
      </c>
      <c r="E2138" t="inlineStr">
        <is>
          <t>SOLLEFTEÅ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22672-2024</t>
        </is>
      </c>
      <c r="B2139" s="1" t="n">
        <v>45447.94486111111</v>
      </c>
      <c r="C2139" s="1" t="n">
        <v>45908</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13860-2025</t>
        </is>
      </c>
      <c r="B2140" s="1" t="n">
        <v>45737.57387731481</v>
      </c>
      <c r="C2140" s="1" t="n">
        <v>45908</v>
      </c>
      <c r="D2140" t="inlineStr">
        <is>
          <t>VÄSTERNORRLANDS LÄN</t>
        </is>
      </c>
      <c r="E2140" t="inlineStr">
        <is>
          <t>SOLLEFTEÅ</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31965-2022</t>
        </is>
      </c>
      <c r="B2141" s="1" t="n">
        <v>44777.95460648148</v>
      </c>
      <c r="C2141" s="1" t="n">
        <v>45908</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28366-2023</t>
        </is>
      </c>
      <c r="B2142" s="1" t="n">
        <v>45099</v>
      </c>
      <c r="C2142" s="1" t="n">
        <v>45908</v>
      </c>
      <c r="D2142" t="inlineStr">
        <is>
          <t>VÄSTERNORRLANDS LÄN</t>
        </is>
      </c>
      <c r="E2142" t="inlineStr">
        <is>
          <t>SOLLEFTEÅ</t>
        </is>
      </c>
      <c r="F2142" t="inlineStr">
        <is>
          <t>SCA</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52461-2024</t>
        </is>
      </c>
      <c r="B2143" s="1" t="n">
        <v>45609.51947916667</v>
      </c>
      <c r="C2143" s="1" t="n">
        <v>45908</v>
      </c>
      <c r="D2143" t="inlineStr">
        <is>
          <t>VÄSTERNORRLANDS LÄN</t>
        </is>
      </c>
      <c r="E2143" t="inlineStr">
        <is>
          <t>SOLLEFTEÅ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58276-2021</t>
        </is>
      </c>
      <c r="B2144" s="1" t="n">
        <v>44487.94453703704</v>
      </c>
      <c r="C2144" s="1" t="n">
        <v>45908</v>
      </c>
      <c r="D2144" t="inlineStr">
        <is>
          <t>VÄSTERNORRLANDS LÄN</t>
        </is>
      </c>
      <c r="E2144" t="inlineStr">
        <is>
          <t>SOLLEFTEÅ</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22666-2024</t>
        </is>
      </c>
      <c r="B2145" s="1" t="n">
        <v>45447</v>
      </c>
      <c r="C2145" s="1" t="n">
        <v>45908</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22675-2024</t>
        </is>
      </c>
      <c r="B2146" s="1" t="n">
        <v>45447.94508101852</v>
      </c>
      <c r="C2146" s="1" t="n">
        <v>45908</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14353-2025</t>
        </is>
      </c>
      <c r="B2147" s="1" t="n">
        <v>45741.36502314815</v>
      </c>
      <c r="C2147" s="1" t="n">
        <v>45908</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16463-2024</t>
        </is>
      </c>
      <c r="B2148" s="1" t="n">
        <v>45408.05027777778</v>
      </c>
      <c r="C2148" s="1" t="n">
        <v>45908</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16467-2024</t>
        </is>
      </c>
      <c r="B2149" s="1" t="n">
        <v>45408</v>
      </c>
      <c r="C2149" s="1" t="n">
        <v>45908</v>
      </c>
      <c r="D2149" t="inlineStr">
        <is>
          <t>VÄSTERNORRLANDS LÄN</t>
        </is>
      </c>
      <c r="E2149" t="inlineStr">
        <is>
          <t>SOLLEFTEÅ</t>
        </is>
      </c>
      <c r="F2149" t="inlineStr">
        <is>
          <t>SCA</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57273-2022</t>
        </is>
      </c>
      <c r="B2150" s="1" t="n">
        <v>44895.9487962963</v>
      </c>
      <c r="C2150" s="1" t="n">
        <v>45908</v>
      </c>
      <c r="D2150" t="inlineStr">
        <is>
          <t>VÄSTERNORRLANDS LÄN</t>
        </is>
      </c>
      <c r="E2150" t="inlineStr">
        <is>
          <t>SOLLEFTEÅ</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54806-2024</t>
        </is>
      </c>
      <c r="B2151" s="1" t="n">
        <v>45618.51133101852</v>
      </c>
      <c r="C2151" s="1" t="n">
        <v>45908</v>
      </c>
      <c r="D2151" t="inlineStr">
        <is>
          <t>VÄSTERNORRLANDS LÄN</t>
        </is>
      </c>
      <c r="E2151" t="inlineStr">
        <is>
          <t>SOLLEFTEÅ</t>
        </is>
      </c>
      <c r="F2151" t="inlineStr">
        <is>
          <t>SCA</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38053-2024</t>
        </is>
      </c>
      <c r="B2152" s="1" t="n">
        <v>45544.71903935185</v>
      </c>
      <c r="C2152" s="1" t="n">
        <v>45908</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12972-2023</t>
        </is>
      </c>
      <c r="B2153" s="1" t="n">
        <v>45001</v>
      </c>
      <c r="C2153" s="1" t="n">
        <v>45908</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43487-2023</t>
        </is>
      </c>
      <c r="B2154" s="1" t="n">
        <v>45181</v>
      </c>
      <c r="C2154" s="1" t="n">
        <v>45908</v>
      </c>
      <c r="D2154" t="inlineStr">
        <is>
          <t>VÄSTERNORRLANDS LÄN</t>
        </is>
      </c>
      <c r="E2154" t="inlineStr">
        <is>
          <t>SOLLEFTEÅ</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20437-2025</t>
        </is>
      </c>
      <c r="B2155" s="1" t="n">
        <v>45775</v>
      </c>
      <c r="C2155" s="1" t="n">
        <v>45908</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12644-2025</t>
        </is>
      </c>
      <c r="B2156" s="1" t="n">
        <v>45733.38726851852</v>
      </c>
      <c r="C2156" s="1" t="n">
        <v>45908</v>
      </c>
      <c r="D2156" t="inlineStr">
        <is>
          <t>VÄSTERNORRLANDS LÄN</t>
        </is>
      </c>
      <c r="E2156" t="inlineStr">
        <is>
          <t>SOLLEFTEÅ</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17512-2024</t>
        </is>
      </c>
      <c r="B2157" s="1" t="n">
        <v>45415</v>
      </c>
      <c r="C2157" s="1" t="n">
        <v>45908</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50716-2023</t>
        </is>
      </c>
      <c r="B2158" s="1" t="n">
        <v>45210</v>
      </c>
      <c r="C2158" s="1" t="n">
        <v>45908</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44762-2022</t>
        </is>
      </c>
      <c r="B2159" s="1" t="n">
        <v>44840</v>
      </c>
      <c r="C2159" s="1" t="n">
        <v>45908</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61485-2024</t>
        </is>
      </c>
      <c r="B2160" s="1" t="n">
        <v>45646.53175925926</v>
      </c>
      <c r="C2160" s="1" t="n">
        <v>45908</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56311-2023</t>
        </is>
      </c>
      <c r="B2161" s="1" t="n">
        <v>45242.94203703704</v>
      </c>
      <c r="C2161" s="1" t="n">
        <v>45908</v>
      </c>
      <c r="D2161" t="inlineStr">
        <is>
          <t>VÄSTERNORRLANDS LÄN</t>
        </is>
      </c>
      <c r="E2161" t="inlineStr">
        <is>
          <t>SOLLEFTEÅ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40098-2023</t>
        </is>
      </c>
      <c r="B2162" s="1" t="n">
        <v>45168.93726851852</v>
      </c>
      <c r="C2162" s="1" t="n">
        <v>45908</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20335-2025</t>
        </is>
      </c>
      <c r="B2163" s="1" t="n">
        <v>45775.36510416667</v>
      </c>
      <c r="C2163" s="1" t="n">
        <v>45908</v>
      </c>
      <c r="D2163" t="inlineStr">
        <is>
          <t>VÄSTERNORRLANDS LÄN</t>
        </is>
      </c>
      <c r="E2163" t="inlineStr">
        <is>
          <t>SOLLEFTEÅ</t>
        </is>
      </c>
      <c r="F2163" t="inlineStr">
        <is>
          <t>SCA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60170-2022</t>
        </is>
      </c>
      <c r="B2164" s="1" t="n">
        <v>44909</v>
      </c>
      <c r="C2164" s="1" t="n">
        <v>45908</v>
      </c>
      <c r="D2164" t="inlineStr">
        <is>
          <t>VÄSTERNORRLANDS LÄN</t>
        </is>
      </c>
      <c r="E2164" t="inlineStr">
        <is>
          <t>SOLLEFTEÅ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774-2025</t>
        </is>
      </c>
      <c r="B2165" s="1" t="n">
        <v>45659</v>
      </c>
      <c r="C2165" s="1" t="n">
        <v>45908</v>
      </c>
      <c r="D2165" t="inlineStr">
        <is>
          <t>VÄSTERNORRLANDS LÄN</t>
        </is>
      </c>
      <c r="E2165" t="inlineStr">
        <is>
          <t>SOLLEFTEÅ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775-2025</t>
        </is>
      </c>
      <c r="B2166" s="1" t="n">
        <v>45659</v>
      </c>
      <c r="C2166" s="1" t="n">
        <v>45908</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14889-2025</t>
        </is>
      </c>
      <c r="B2167" s="1" t="n">
        <v>45743.46898148148</v>
      </c>
      <c r="C2167" s="1" t="n">
        <v>45908</v>
      </c>
      <c r="D2167" t="inlineStr">
        <is>
          <t>VÄSTERNORRLANDS LÄN</t>
        </is>
      </c>
      <c r="E2167" t="inlineStr">
        <is>
          <t>SOLLEFTEÅ</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20628-2023</t>
        </is>
      </c>
      <c r="B2168" s="1" t="n">
        <v>45057.94373842593</v>
      </c>
      <c r="C2168" s="1" t="n">
        <v>45908</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51006-2022</t>
        </is>
      </c>
      <c r="B2169" s="1" t="n">
        <v>44867</v>
      </c>
      <c r="C2169" s="1" t="n">
        <v>45908</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55440-2024</t>
        </is>
      </c>
      <c r="B2170" s="1" t="n">
        <v>45622.40679398148</v>
      </c>
      <c r="C2170" s="1" t="n">
        <v>45908</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5394-2025</t>
        </is>
      </c>
      <c r="B2171" s="1" t="n">
        <v>45692.63591435185</v>
      </c>
      <c r="C2171" s="1" t="n">
        <v>45908</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60861-2023</t>
        </is>
      </c>
      <c r="B2172" s="1" t="n">
        <v>45260</v>
      </c>
      <c r="C2172" s="1" t="n">
        <v>45908</v>
      </c>
      <c r="D2172" t="inlineStr">
        <is>
          <t>VÄSTERNORRLANDS LÄN</t>
        </is>
      </c>
      <c r="E2172" t="inlineStr">
        <is>
          <t>SOLLEFTEÅ</t>
        </is>
      </c>
      <c r="F2172" t="inlineStr">
        <is>
          <t>SCA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13252-2023</t>
        </is>
      </c>
      <c r="B2173" s="1" t="n">
        <v>45002</v>
      </c>
      <c r="C2173" s="1" t="n">
        <v>45908</v>
      </c>
      <c r="D2173" t="inlineStr">
        <is>
          <t>VÄSTERNORRLANDS LÄN</t>
        </is>
      </c>
      <c r="E2173" t="inlineStr">
        <is>
          <t>SOLLEFTEÅ</t>
        </is>
      </c>
      <c r="F2173" t="inlineStr">
        <is>
          <t>SCA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48001-2024</t>
        </is>
      </c>
      <c r="B2174" s="1" t="n">
        <v>45589.44826388889</v>
      </c>
      <c r="C2174" s="1" t="n">
        <v>45908</v>
      </c>
      <c r="D2174" t="inlineStr">
        <is>
          <t>VÄSTERNORRLANDS LÄN</t>
        </is>
      </c>
      <c r="E2174" t="inlineStr">
        <is>
          <t>SOLLEFTEÅ</t>
        </is>
      </c>
      <c r="F2174" t="inlineStr">
        <is>
          <t>SCA</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61997-2022</t>
        </is>
      </c>
      <c r="B2175" s="1" t="n">
        <v>44914</v>
      </c>
      <c r="C2175" s="1" t="n">
        <v>45908</v>
      </c>
      <c r="D2175" t="inlineStr">
        <is>
          <t>VÄSTERNORRLANDS LÄN</t>
        </is>
      </c>
      <c r="E2175" t="inlineStr">
        <is>
          <t>SOLLEFTEÅ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5108-2022</t>
        </is>
      </c>
      <c r="B2176" s="1" t="n">
        <v>44593.92135416667</v>
      </c>
      <c r="C2176" s="1" t="n">
        <v>45908</v>
      </c>
      <c r="D2176" t="inlineStr">
        <is>
          <t>VÄSTERNORRLANDS LÄN</t>
        </is>
      </c>
      <c r="E2176" t="inlineStr">
        <is>
          <t>SOLLEFTEÅ</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5134-2022</t>
        </is>
      </c>
      <c r="B2177" s="1" t="n">
        <v>44594</v>
      </c>
      <c r="C2177" s="1" t="n">
        <v>45908</v>
      </c>
      <c r="D2177" t="inlineStr">
        <is>
          <t>VÄSTERNORRLANDS LÄN</t>
        </is>
      </c>
      <c r="E2177" t="inlineStr">
        <is>
          <t>SOLLEFTEÅ</t>
        </is>
      </c>
      <c r="G2177" t="n">
        <v>20.4</v>
      </c>
      <c r="H2177" t="n">
        <v>0</v>
      </c>
      <c r="I2177" t="n">
        <v>0</v>
      </c>
      <c r="J2177" t="n">
        <v>0</v>
      </c>
      <c r="K2177" t="n">
        <v>0</v>
      </c>
      <c r="L2177" t="n">
        <v>0</v>
      </c>
      <c r="M2177" t="n">
        <v>0</v>
      </c>
      <c r="N2177" t="n">
        <v>0</v>
      </c>
      <c r="O2177" t="n">
        <v>0</v>
      </c>
      <c r="P2177" t="n">
        <v>0</v>
      </c>
      <c r="Q2177" t="n">
        <v>0</v>
      </c>
      <c r="R2177" s="2" t="inlineStr"/>
    </row>
    <row r="2178" ht="15" customHeight="1">
      <c r="A2178" t="inlineStr">
        <is>
          <t>A 55872-2024</t>
        </is>
      </c>
      <c r="B2178" s="1" t="n">
        <v>45623</v>
      </c>
      <c r="C2178" s="1" t="n">
        <v>45908</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35905-2024</t>
        </is>
      </c>
      <c r="B2179" s="1" t="n">
        <v>45533.40674768519</v>
      </c>
      <c r="C2179" s="1" t="n">
        <v>45908</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39429-2024</t>
        </is>
      </c>
      <c r="B2180" s="1" t="n">
        <v>45551.59427083333</v>
      </c>
      <c r="C2180" s="1" t="n">
        <v>45908</v>
      </c>
      <c r="D2180" t="inlineStr">
        <is>
          <t>VÄSTERNORRLANDS LÄN</t>
        </is>
      </c>
      <c r="E2180" t="inlineStr">
        <is>
          <t>SOLLEFTEÅ</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62750-2022</t>
        </is>
      </c>
      <c r="B2181" s="1" t="n">
        <v>44925.93922453704</v>
      </c>
      <c r="C2181" s="1" t="n">
        <v>45908</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47827-2020</t>
        </is>
      </c>
      <c r="B2182" s="1" t="n">
        <v>44098</v>
      </c>
      <c r="C2182" s="1" t="n">
        <v>45908</v>
      </c>
      <c r="D2182" t="inlineStr">
        <is>
          <t>VÄSTERNORRLANDS LÄN</t>
        </is>
      </c>
      <c r="E2182" t="inlineStr">
        <is>
          <t>SOLLEFTEÅ</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12627-2025</t>
        </is>
      </c>
      <c r="B2183" s="1" t="n">
        <v>45733.36728009259</v>
      </c>
      <c r="C2183" s="1" t="n">
        <v>45908</v>
      </c>
      <c r="D2183" t="inlineStr">
        <is>
          <t>VÄSTERNORRLANDS LÄN</t>
        </is>
      </c>
      <c r="E2183" t="inlineStr">
        <is>
          <t>SOLLEFTEÅ</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62827-2023</t>
        </is>
      </c>
      <c r="B2184" s="1" t="n">
        <v>45271.92690972222</v>
      </c>
      <c r="C2184" s="1" t="n">
        <v>45908</v>
      </c>
      <c r="D2184" t="inlineStr">
        <is>
          <t>VÄSTERNORRLANDS LÄN</t>
        </is>
      </c>
      <c r="E2184" t="inlineStr">
        <is>
          <t>SOLLEFTEÅ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31646-2022</t>
        </is>
      </c>
      <c r="B2185" s="1" t="n">
        <v>44775.94166666667</v>
      </c>
      <c r="C2185" s="1" t="n">
        <v>45908</v>
      </c>
      <c r="D2185" t="inlineStr">
        <is>
          <t>VÄSTERNORRLANDS LÄN</t>
        </is>
      </c>
      <c r="E2185" t="inlineStr">
        <is>
          <t>SOLLEFTEÅ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5548-2025</t>
        </is>
      </c>
      <c r="B2186" s="1" t="n">
        <v>45693.46940972222</v>
      </c>
      <c r="C2186" s="1" t="n">
        <v>45908</v>
      </c>
      <c r="D2186" t="inlineStr">
        <is>
          <t>VÄSTERNORRLANDS LÄN</t>
        </is>
      </c>
      <c r="E2186" t="inlineStr">
        <is>
          <t>SOLLEFTEÅ</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44410-2023</t>
        </is>
      </c>
      <c r="B2187" s="1" t="n">
        <v>45188.94677083333</v>
      </c>
      <c r="C2187" s="1" t="n">
        <v>45908</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13138-2024</t>
        </is>
      </c>
      <c r="B2188" s="1" t="n">
        <v>45386</v>
      </c>
      <c r="C2188" s="1" t="n">
        <v>45908</v>
      </c>
      <c r="D2188" t="inlineStr">
        <is>
          <t>VÄSTERNORRLANDS LÄN</t>
        </is>
      </c>
      <c r="E2188" t="inlineStr">
        <is>
          <t>SOLLEFTEÅ</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11551-2023</t>
        </is>
      </c>
      <c r="B2189" s="1" t="n">
        <v>44993</v>
      </c>
      <c r="C2189" s="1" t="n">
        <v>45908</v>
      </c>
      <c r="D2189" t="inlineStr">
        <is>
          <t>VÄSTERNORRLANDS LÄN</t>
        </is>
      </c>
      <c r="E2189" t="inlineStr">
        <is>
          <t>SOLLEFTEÅ</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14730-2025</t>
        </is>
      </c>
      <c r="B2190" s="1" t="n">
        <v>45742.63587962963</v>
      </c>
      <c r="C2190" s="1" t="n">
        <v>45908</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9072-2025</t>
        </is>
      </c>
      <c r="B2191" s="1" t="n">
        <v>45713.65673611111</v>
      </c>
      <c r="C2191" s="1" t="n">
        <v>45908</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62507-2022</t>
        </is>
      </c>
      <c r="B2192" s="1" t="n">
        <v>44924</v>
      </c>
      <c r="C2192" s="1" t="n">
        <v>45908</v>
      </c>
      <c r="D2192" t="inlineStr">
        <is>
          <t>VÄSTERNORRLANDS LÄN</t>
        </is>
      </c>
      <c r="E2192" t="inlineStr">
        <is>
          <t>SOLLEFTEÅ</t>
        </is>
      </c>
      <c r="F2192" t="inlineStr">
        <is>
          <t>Holmen skog AB</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30822-2023</t>
        </is>
      </c>
      <c r="B2193" s="1" t="n">
        <v>45112.94289351852</v>
      </c>
      <c r="C2193" s="1" t="n">
        <v>45908</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51872-2024</t>
        </is>
      </c>
      <c r="B2194" s="1" t="n">
        <v>45607.55359953704</v>
      </c>
      <c r="C2194" s="1" t="n">
        <v>45908</v>
      </c>
      <c r="D2194" t="inlineStr">
        <is>
          <t>VÄSTERNORRLANDS LÄN</t>
        </is>
      </c>
      <c r="E2194" t="inlineStr">
        <is>
          <t>SOLLEFTEÅ</t>
        </is>
      </c>
      <c r="F2194" t="inlineStr">
        <is>
          <t>SCA</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8895-2025</t>
        </is>
      </c>
      <c r="B2195" s="1" t="n">
        <v>45713.40670138889</v>
      </c>
      <c r="C2195" s="1" t="n">
        <v>45908</v>
      </c>
      <c r="D2195" t="inlineStr">
        <is>
          <t>VÄSTERNORRLANDS LÄN</t>
        </is>
      </c>
      <c r="E2195" t="inlineStr">
        <is>
          <t>SOLLEFTEÅ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8914-2025</t>
        </is>
      </c>
      <c r="B2196" s="1" t="n">
        <v>45713.42743055556</v>
      </c>
      <c r="C2196" s="1" t="n">
        <v>45908</v>
      </c>
      <c r="D2196" t="inlineStr">
        <is>
          <t>VÄSTERNORRLANDS LÄN</t>
        </is>
      </c>
      <c r="E2196" t="inlineStr">
        <is>
          <t>SOLLEFTEÅ</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10737-2025</t>
        </is>
      </c>
      <c r="B2197" s="1" t="n">
        <v>45722</v>
      </c>
      <c r="C2197" s="1" t="n">
        <v>45908</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61778-2024</t>
        </is>
      </c>
      <c r="B2198" s="1" t="n">
        <v>45649.46961805555</v>
      </c>
      <c r="C2198" s="1" t="n">
        <v>45908</v>
      </c>
      <c r="D2198" t="inlineStr">
        <is>
          <t>VÄSTERNORRLANDS LÄN</t>
        </is>
      </c>
      <c r="E2198" t="inlineStr">
        <is>
          <t>SOLLEFTEÅ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11117-2022</t>
        </is>
      </c>
      <c r="B2199" s="1" t="n">
        <v>44628.94248842593</v>
      </c>
      <c r="C2199" s="1" t="n">
        <v>45908</v>
      </c>
      <c r="D2199" t="inlineStr">
        <is>
          <t>VÄSTERNORRLANDS LÄN</t>
        </is>
      </c>
      <c r="E2199" t="inlineStr">
        <is>
          <t>SOLLEFTEÅ</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18621-2024</t>
        </is>
      </c>
      <c r="B2200" s="1" t="n">
        <v>45425</v>
      </c>
      <c r="C2200" s="1" t="n">
        <v>45908</v>
      </c>
      <c r="D2200" t="inlineStr">
        <is>
          <t>VÄSTERNORRLANDS LÄN</t>
        </is>
      </c>
      <c r="E2200" t="inlineStr">
        <is>
          <t>SOLLEFTEÅ</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18622-2024</t>
        </is>
      </c>
      <c r="B2201" s="1" t="n">
        <v>45425.96364583333</v>
      </c>
      <c r="C2201" s="1" t="n">
        <v>45908</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40569-2024</t>
        </is>
      </c>
      <c r="B2202" s="1" t="n">
        <v>45555.67744212963</v>
      </c>
      <c r="C2202" s="1" t="n">
        <v>45908</v>
      </c>
      <c r="D2202" t="inlineStr">
        <is>
          <t>VÄSTERNORRLANDS LÄN</t>
        </is>
      </c>
      <c r="E2202" t="inlineStr">
        <is>
          <t>SOLLEFTEÅ</t>
        </is>
      </c>
      <c r="F2202" t="inlineStr">
        <is>
          <t>SCA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13539-2024</t>
        </is>
      </c>
      <c r="B2203" s="1" t="n">
        <v>45387.92583333333</v>
      </c>
      <c r="C2203" s="1" t="n">
        <v>45908</v>
      </c>
      <c r="D2203" t="inlineStr">
        <is>
          <t>VÄSTERNORRLANDS LÄN</t>
        </is>
      </c>
      <c r="E2203" t="inlineStr">
        <is>
          <t>SOLLEFTEÅ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34543-2022</t>
        </is>
      </c>
      <c r="B2204" s="1" t="n">
        <v>44793</v>
      </c>
      <c r="C2204" s="1" t="n">
        <v>45908</v>
      </c>
      <c r="D2204" t="inlineStr">
        <is>
          <t>VÄSTERNORRLANDS LÄN</t>
        </is>
      </c>
      <c r="E2204" t="inlineStr">
        <is>
          <t>SOLLEFTEÅ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42115-2024</t>
        </is>
      </c>
      <c r="B2205" s="1" t="n">
        <v>45562.38615740741</v>
      </c>
      <c r="C2205" s="1" t="n">
        <v>45908</v>
      </c>
      <c r="D2205" t="inlineStr">
        <is>
          <t>VÄSTERNORRLANDS LÄN</t>
        </is>
      </c>
      <c r="E2205" t="inlineStr">
        <is>
          <t>SOLLEFTEÅ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67702-2021</t>
        </is>
      </c>
      <c r="B2206" s="1" t="n">
        <v>44524.94660879629</v>
      </c>
      <c r="C2206" s="1" t="n">
        <v>45908</v>
      </c>
      <c r="D2206" t="inlineStr">
        <is>
          <t>VÄSTERNORRLANDS LÄN</t>
        </is>
      </c>
      <c r="E2206" t="inlineStr">
        <is>
          <t>SOLLEFTEÅ</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3633-2024</t>
        </is>
      </c>
      <c r="B2207" s="1" t="n">
        <v>45320</v>
      </c>
      <c r="C2207" s="1" t="n">
        <v>45908</v>
      </c>
      <c r="D2207" t="inlineStr">
        <is>
          <t>VÄSTERNORRLANDS LÄN</t>
        </is>
      </c>
      <c r="E2207" t="inlineStr">
        <is>
          <t>SOLLEFTEÅ</t>
        </is>
      </c>
      <c r="F2207" t="inlineStr">
        <is>
          <t>SCA</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51573-2024</t>
        </is>
      </c>
      <c r="B2208" s="1" t="n">
        <v>45604</v>
      </c>
      <c r="C2208" s="1" t="n">
        <v>45908</v>
      </c>
      <c r="D2208" t="inlineStr">
        <is>
          <t>VÄSTERNORRLANDS LÄN</t>
        </is>
      </c>
      <c r="E2208" t="inlineStr">
        <is>
          <t>SOLLEFTEÅ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18459-2021</t>
        </is>
      </c>
      <c r="B2209" s="1" t="n">
        <v>44305.93701388889</v>
      </c>
      <c r="C2209" s="1" t="n">
        <v>45908</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9254-2025</t>
        </is>
      </c>
      <c r="B2210" s="1" t="n">
        <v>45714.59442129629</v>
      </c>
      <c r="C2210" s="1" t="n">
        <v>45908</v>
      </c>
      <c r="D2210" t="inlineStr">
        <is>
          <t>VÄSTERNORRLANDS LÄN</t>
        </is>
      </c>
      <c r="E2210" t="inlineStr">
        <is>
          <t>SOLLEFTEÅ</t>
        </is>
      </c>
      <c r="F2210" t="inlineStr">
        <is>
          <t>SCA</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42164-2023</t>
        </is>
      </c>
      <c r="B2211" s="1" t="n">
        <v>45177.93747685185</v>
      </c>
      <c r="C2211" s="1" t="n">
        <v>45908</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42514-2023</t>
        </is>
      </c>
      <c r="B2212" s="1" t="n">
        <v>45180.95969907408</v>
      </c>
      <c r="C2212" s="1" t="n">
        <v>45908</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49238-2024</t>
        </is>
      </c>
      <c r="B2213" s="1" t="n">
        <v>45595.44827546296</v>
      </c>
      <c r="C2213" s="1" t="n">
        <v>45908</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45908</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34878-2024</t>
        </is>
      </c>
      <c r="B2215" s="1" t="n">
        <v>45527</v>
      </c>
      <c r="C2215" s="1" t="n">
        <v>45908</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31681-2024</t>
        </is>
      </c>
      <c r="B2216" s="1" t="n">
        <v>45506.94902777778</v>
      </c>
      <c r="C2216" s="1" t="n">
        <v>45908</v>
      </c>
      <c r="D2216" t="inlineStr">
        <is>
          <t>VÄSTERNORRLANDS LÄN</t>
        </is>
      </c>
      <c r="E2216" t="inlineStr">
        <is>
          <t>SOLLEFTEÅ</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54233-2024</t>
        </is>
      </c>
      <c r="B2217" s="1" t="n">
        <v>45616.67791666667</v>
      </c>
      <c r="C2217" s="1" t="n">
        <v>45908</v>
      </c>
      <c r="D2217" t="inlineStr">
        <is>
          <t>VÄSTERNORRLANDS LÄN</t>
        </is>
      </c>
      <c r="E2217" t="inlineStr">
        <is>
          <t>SOLLEFTEÅ</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38100-2023</t>
        </is>
      </c>
      <c r="B2218" s="1" t="n">
        <v>45160.9647800926</v>
      </c>
      <c r="C2218" s="1" t="n">
        <v>45908</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25877-2021</t>
        </is>
      </c>
      <c r="B2219" s="1" t="n">
        <v>44344</v>
      </c>
      <c r="C2219" s="1" t="n">
        <v>45908</v>
      </c>
      <c r="D2219" t="inlineStr">
        <is>
          <t>VÄSTERNORRLANDS LÄN</t>
        </is>
      </c>
      <c r="E2219" t="inlineStr">
        <is>
          <t>SOLLEFTEÅ</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23542-2024</t>
        </is>
      </c>
      <c r="B2220" s="1" t="n">
        <v>45453.95262731481</v>
      </c>
      <c r="C2220" s="1" t="n">
        <v>45908</v>
      </c>
      <c r="D2220" t="inlineStr">
        <is>
          <t>VÄSTERNORRLANDS LÄN</t>
        </is>
      </c>
      <c r="E2220" t="inlineStr">
        <is>
          <t>SOLLEFTEÅ</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18861-2023</t>
        </is>
      </c>
      <c r="B2221" s="1" t="n">
        <v>45042</v>
      </c>
      <c r="C2221" s="1" t="n">
        <v>45908</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c r="A2222" t="inlineStr">
        <is>
          <t>A 17993-2025</t>
        </is>
      </c>
      <c r="B2222" s="1" t="n">
        <v>45761.40673611111</v>
      </c>
      <c r="C2222" s="1" t="n">
        <v>45908</v>
      </c>
      <c r="D2222" t="inlineStr">
        <is>
          <t>VÄSTERNORRLANDS LÄN</t>
        </is>
      </c>
      <c r="E2222" t="inlineStr">
        <is>
          <t>SOLLEFTEÅ</t>
        </is>
      </c>
      <c r="F2222" t="inlineStr">
        <is>
          <t>SCA</t>
        </is>
      </c>
      <c r="G2222" t="n">
        <v>2.6</v>
      </c>
      <c r="H2222" t="n">
        <v>0</v>
      </c>
      <c r="I2222" t="n">
        <v>0</v>
      </c>
      <c r="J2222" t="n">
        <v>0</v>
      </c>
      <c r="K2222" t="n">
        <v>0</v>
      </c>
      <c r="L2222" t="n">
        <v>0</v>
      </c>
      <c r="M2222" t="n">
        <v>0</v>
      </c>
      <c r="N2222" t="n">
        <v>0</v>
      </c>
      <c r="O2222" t="n">
        <v>0</v>
      </c>
      <c r="P2222" t="n">
        <v>0</v>
      </c>
      <c r="Q2222" t="n">
        <v>0</v>
      </c>
      <c r="R2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2025-09-08T09:00:32Z</dcterms:created>
  <dcterms:modified xmlns:dcterms="http://purl.org/dc/terms/" xmlns:xsi="http://www.w3.org/2001/XMLSchema-instance" xsi:type="dcterms:W3CDTF">2025-09-08T09:00:34Z</dcterms:modified>
</cp:coreProperties>
</file>