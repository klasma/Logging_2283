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45511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45511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45511</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45511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45511</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45511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45511</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45511</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45511</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45511</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45511</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45511</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45511</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45511</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45511</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45511</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45511</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45511</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45511</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45511</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45511</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45511</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45511</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45511</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45511</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45511</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45511</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45511</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45511</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45511</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45511</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45511</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45511</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45511</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45511</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45511</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45511</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45511</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45511</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45511</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45511</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45511</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45511</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45511</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45511</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45511</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45511</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45511</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45511</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45511</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45511</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45511</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45511</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45511</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45511</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45511</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45511</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45511</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45511</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45511</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45511</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45511</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45511</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45511</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45511</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45511</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45511</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45511</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45511</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45511</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45511</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45511</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45511</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45511</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45511</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45511</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45511</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45511</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45511</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45511</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45511</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45511</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45511</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45511</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45511</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45511</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45511</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45511</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45511</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45511</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45511</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45511</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45511</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45511</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45511</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45511</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45511</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45511</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45511</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45511</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45511</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45511</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45511</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45511</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45511</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45511</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45511</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45511</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45511</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45511</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45511</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45511</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45511</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45511</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45511</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45511</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45511</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45511</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45511</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45511</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45511</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45511</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45511</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45511</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45511</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45511</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45511</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45511</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45511</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45511</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45511</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45511</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45511</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45511</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45511</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45511</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45511</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45511</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45511</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45511</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45511</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45511</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45511</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45511</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45511</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45511</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45511</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45511</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45511</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45511</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45511</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45511</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45511</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45511</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45511</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45511</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45511</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45511</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45511</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45511</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45511</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45511</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45511</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45511</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45511</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45511</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45511</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45511</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45511</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45511</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45511</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45511</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45511</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45511</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45511</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45511</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45511</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35071-2021</t>
        </is>
      </c>
      <c r="B179" s="1" t="n">
        <v>44383</v>
      </c>
      <c r="C179" s="1" t="n">
        <v>45511</v>
      </c>
      <c r="D179" t="inlineStr">
        <is>
          <t>VÄSTERNORRLANDS LÄN</t>
        </is>
      </c>
      <c r="E179" t="inlineStr">
        <is>
          <t>SOLLEFTEÅ</t>
        </is>
      </c>
      <c r="F179" t="inlineStr">
        <is>
          <t>SCA</t>
        </is>
      </c>
      <c r="G179" t="n">
        <v>1.8</v>
      </c>
      <c r="H179" t="n">
        <v>0</v>
      </c>
      <c r="I179" t="n">
        <v>2</v>
      </c>
      <c r="J179" t="n">
        <v>0</v>
      </c>
      <c r="K179" t="n">
        <v>0</v>
      </c>
      <c r="L179" t="n">
        <v>0</v>
      </c>
      <c r="M179" t="n">
        <v>0</v>
      </c>
      <c r="N179" t="n">
        <v>0</v>
      </c>
      <c r="O179" t="n">
        <v>0</v>
      </c>
      <c r="P179" t="n">
        <v>0</v>
      </c>
      <c r="Q179" t="n">
        <v>2</v>
      </c>
      <c r="R179" s="2" t="inlineStr">
        <is>
          <t>Norrlandslav
Vedticka</t>
        </is>
      </c>
      <c r="S179">
        <f>HYPERLINK("https://klasma.github.io/Logging_2283/artfynd/A 35071-2021 artfynd.xlsx", "A 35071-2021")</f>
        <v/>
      </c>
      <c r="T179">
        <f>HYPERLINK("https://klasma.github.io/Logging_2283/kartor/A 35071-2021 karta.png", "A 35071-2021")</f>
        <v/>
      </c>
      <c r="V179">
        <f>HYPERLINK("https://klasma.github.io/Logging_2283/klagomål/A 35071-2021 FSC-klagomål.docx", "A 35071-2021")</f>
        <v/>
      </c>
      <c r="W179">
        <f>HYPERLINK("https://klasma.github.io/Logging_2283/klagomålsmail/A 35071-2021 FSC-klagomål mail.docx", "A 35071-2021")</f>
        <v/>
      </c>
      <c r="X179">
        <f>HYPERLINK("https://klasma.github.io/Logging_2283/tillsyn/A 35071-2021 tillsynsbegäran.docx", "A 35071-2021")</f>
        <v/>
      </c>
      <c r="Y179">
        <f>HYPERLINK("https://klasma.github.io/Logging_2283/tillsynsmail/A 35071-2021 tillsynsbegäran mail.docx", "A 35071-2021")</f>
        <v/>
      </c>
    </row>
    <row r="180" ht="15" customHeight="1">
      <c r="A180" t="inlineStr">
        <is>
          <t>A 39329-2021</t>
        </is>
      </c>
      <c r="B180" s="1" t="n">
        <v>44414</v>
      </c>
      <c r="C180" s="1" t="n">
        <v>45511</v>
      </c>
      <c r="D180" t="inlineStr">
        <is>
          <t>VÄSTERNORRLANDS LÄN</t>
        </is>
      </c>
      <c r="E180" t="inlineStr">
        <is>
          <t>SOLLEFTEÅ</t>
        </is>
      </c>
      <c r="F180" t="inlineStr">
        <is>
          <t>SCA</t>
        </is>
      </c>
      <c r="G180" t="n">
        <v>2.7</v>
      </c>
      <c r="H180" t="n">
        <v>0</v>
      </c>
      <c r="I180" t="n">
        <v>1</v>
      </c>
      <c r="J180" t="n">
        <v>1</v>
      </c>
      <c r="K180" t="n">
        <v>0</v>
      </c>
      <c r="L180" t="n">
        <v>0</v>
      </c>
      <c r="M180" t="n">
        <v>0</v>
      </c>
      <c r="N180" t="n">
        <v>0</v>
      </c>
      <c r="O180" t="n">
        <v>1</v>
      </c>
      <c r="P180" t="n">
        <v>0</v>
      </c>
      <c r="Q180" t="n">
        <v>2</v>
      </c>
      <c r="R180" s="2" t="inlineStr">
        <is>
          <t>Mörk kolflarnlav
Bollvitmossa</t>
        </is>
      </c>
      <c r="S180">
        <f>HYPERLINK("https://klasma.github.io/Logging_2283/artfynd/A 39329-2021 artfynd.xlsx", "A 39329-2021")</f>
        <v/>
      </c>
      <c r="T180">
        <f>HYPERLINK("https://klasma.github.io/Logging_2283/kartor/A 39329-2021 karta.png", "A 39329-2021")</f>
        <v/>
      </c>
      <c r="V180">
        <f>HYPERLINK("https://klasma.github.io/Logging_2283/klagomål/A 39329-2021 FSC-klagomål.docx", "A 39329-2021")</f>
        <v/>
      </c>
      <c r="W180">
        <f>HYPERLINK("https://klasma.github.io/Logging_2283/klagomålsmail/A 39329-2021 FSC-klagomål mail.docx", "A 39329-2021")</f>
        <v/>
      </c>
      <c r="X180">
        <f>HYPERLINK("https://klasma.github.io/Logging_2283/tillsyn/A 39329-2021 tillsynsbegäran.docx", "A 39329-2021")</f>
        <v/>
      </c>
      <c r="Y180">
        <f>HYPERLINK("https://klasma.github.io/Logging_2283/tillsynsmail/A 39329-2021 tillsynsbegäran mail.docx", "A 39329-2021")</f>
        <v/>
      </c>
    </row>
    <row r="181" ht="15" customHeight="1">
      <c r="A181" t="inlineStr">
        <is>
          <t>A 47858-2021</t>
        </is>
      </c>
      <c r="B181" s="1" t="n">
        <v>44448</v>
      </c>
      <c r="C181" s="1" t="n">
        <v>45511</v>
      </c>
      <c r="D181" t="inlineStr">
        <is>
          <t>VÄSTERNORRLANDS LÄN</t>
        </is>
      </c>
      <c r="E181" t="inlineStr">
        <is>
          <t>SOLLEFTEÅ</t>
        </is>
      </c>
      <c r="G181" t="n">
        <v>7.7</v>
      </c>
      <c r="H181" t="n">
        <v>0</v>
      </c>
      <c r="I181" t="n">
        <v>0</v>
      </c>
      <c r="J181" t="n">
        <v>2</v>
      </c>
      <c r="K181" t="n">
        <v>0</v>
      </c>
      <c r="L181" t="n">
        <v>0</v>
      </c>
      <c r="M181" t="n">
        <v>0</v>
      </c>
      <c r="N181" t="n">
        <v>0</v>
      </c>
      <c r="O181" t="n">
        <v>2</v>
      </c>
      <c r="P181" t="n">
        <v>0</v>
      </c>
      <c r="Q181" t="n">
        <v>2</v>
      </c>
      <c r="R181" s="2" t="inlineStr">
        <is>
          <t>Rosenticka
Ullticka</t>
        </is>
      </c>
      <c r="S181">
        <f>HYPERLINK("https://klasma.github.io/Logging_2283/artfynd/A 47858-2021 artfynd.xlsx", "A 47858-2021")</f>
        <v/>
      </c>
      <c r="T181">
        <f>HYPERLINK("https://klasma.github.io/Logging_2283/kartor/A 47858-2021 karta.png", "A 47858-2021")</f>
        <v/>
      </c>
      <c r="V181">
        <f>HYPERLINK("https://klasma.github.io/Logging_2283/klagomål/A 47858-2021 FSC-klagomål.docx", "A 47858-2021")</f>
        <v/>
      </c>
      <c r="W181">
        <f>HYPERLINK("https://klasma.github.io/Logging_2283/klagomålsmail/A 47858-2021 FSC-klagomål mail.docx", "A 47858-2021")</f>
        <v/>
      </c>
      <c r="X181">
        <f>HYPERLINK("https://klasma.github.io/Logging_2283/tillsyn/A 47858-2021 tillsynsbegäran.docx", "A 47858-2021")</f>
        <v/>
      </c>
      <c r="Y181">
        <f>HYPERLINK("https://klasma.github.io/Logging_2283/tillsynsmail/A 47858-2021 tillsynsbegäran mail.docx", "A 47858-2021")</f>
        <v/>
      </c>
    </row>
    <row r="182" ht="15" customHeight="1">
      <c r="A182" t="inlineStr">
        <is>
          <t>A 51024-2021</t>
        </is>
      </c>
      <c r="B182" s="1" t="n">
        <v>44461</v>
      </c>
      <c r="C182" s="1" t="n">
        <v>45511</v>
      </c>
      <c r="D182" t="inlineStr">
        <is>
          <t>VÄSTERNORRLANDS LÄN</t>
        </is>
      </c>
      <c r="E182" t="inlineStr">
        <is>
          <t>SOLLEFTEÅ</t>
        </is>
      </c>
      <c r="F182" t="inlineStr">
        <is>
          <t>SCA</t>
        </is>
      </c>
      <c r="G182" t="n">
        <v>7.1</v>
      </c>
      <c r="H182" t="n">
        <v>0</v>
      </c>
      <c r="I182" t="n">
        <v>0</v>
      </c>
      <c r="J182" t="n">
        <v>2</v>
      </c>
      <c r="K182" t="n">
        <v>0</v>
      </c>
      <c r="L182" t="n">
        <v>0</v>
      </c>
      <c r="M182" t="n">
        <v>0</v>
      </c>
      <c r="N182" t="n">
        <v>0</v>
      </c>
      <c r="O182" t="n">
        <v>2</v>
      </c>
      <c r="P182" t="n">
        <v>0</v>
      </c>
      <c r="Q182" t="n">
        <v>2</v>
      </c>
      <c r="R182" s="2" t="inlineStr">
        <is>
          <t>Tallticka
Ullticka</t>
        </is>
      </c>
      <c r="S182">
        <f>HYPERLINK("https://klasma.github.io/Logging_2283/artfynd/A 51024-2021 artfynd.xlsx", "A 51024-2021")</f>
        <v/>
      </c>
      <c r="T182">
        <f>HYPERLINK("https://klasma.github.io/Logging_2283/kartor/A 51024-2021 karta.png", "A 51024-2021")</f>
        <v/>
      </c>
      <c r="V182">
        <f>HYPERLINK("https://klasma.github.io/Logging_2283/klagomål/A 51024-2021 FSC-klagomål.docx", "A 51024-2021")</f>
        <v/>
      </c>
      <c r="W182">
        <f>HYPERLINK("https://klasma.github.io/Logging_2283/klagomålsmail/A 51024-2021 FSC-klagomål mail.docx", "A 51024-2021")</f>
        <v/>
      </c>
      <c r="X182">
        <f>HYPERLINK("https://klasma.github.io/Logging_2283/tillsyn/A 51024-2021 tillsynsbegäran.docx", "A 51024-2021")</f>
        <v/>
      </c>
      <c r="Y182">
        <f>HYPERLINK("https://klasma.github.io/Logging_2283/tillsynsmail/A 51024-2021 tillsynsbegäran mail.docx", "A 51024-2021")</f>
        <v/>
      </c>
    </row>
    <row r="183" ht="15" customHeight="1">
      <c r="A183" t="inlineStr">
        <is>
          <t>A 54153-2021</t>
        </is>
      </c>
      <c r="B183" s="1" t="n">
        <v>44469</v>
      </c>
      <c r="C183" s="1" t="n">
        <v>45511</v>
      </c>
      <c r="D183" t="inlineStr">
        <is>
          <t>VÄSTERNORRLANDS LÄN</t>
        </is>
      </c>
      <c r="E183" t="inlineStr">
        <is>
          <t>SOLLEFTEÅ</t>
        </is>
      </c>
      <c r="G183" t="n">
        <v>1.4</v>
      </c>
      <c r="H183" t="n">
        <v>0</v>
      </c>
      <c r="I183" t="n">
        <v>0</v>
      </c>
      <c r="J183" t="n">
        <v>2</v>
      </c>
      <c r="K183" t="n">
        <v>0</v>
      </c>
      <c r="L183" t="n">
        <v>0</v>
      </c>
      <c r="M183" t="n">
        <v>0</v>
      </c>
      <c r="N183" t="n">
        <v>0</v>
      </c>
      <c r="O183" t="n">
        <v>2</v>
      </c>
      <c r="P183" t="n">
        <v>0</v>
      </c>
      <c r="Q183" t="n">
        <v>2</v>
      </c>
      <c r="R183" s="2" t="inlineStr">
        <is>
          <t>Garnlav
Rosenticka</t>
        </is>
      </c>
      <c r="S183">
        <f>HYPERLINK("https://klasma.github.io/Logging_2283/artfynd/A 54153-2021 artfynd.xlsx", "A 54153-2021")</f>
        <v/>
      </c>
      <c r="T183">
        <f>HYPERLINK("https://klasma.github.io/Logging_2283/kartor/A 54153-2021 karta.png", "A 54153-2021")</f>
        <v/>
      </c>
      <c r="V183">
        <f>HYPERLINK("https://klasma.github.io/Logging_2283/klagomål/A 54153-2021 FSC-klagomål.docx", "A 54153-2021")</f>
        <v/>
      </c>
      <c r="W183">
        <f>HYPERLINK("https://klasma.github.io/Logging_2283/klagomålsmail/A 54153-2021 FSC-klagomål mail.docx", "A 54153-2021")</f>
        <v/>
      </c>
      <c r="X183">
        <f>HYPERLINK("https://klasma.github.io/Logging_2283/tillsyn/A 54153-2021 tillsynsbegäran.docx", "A 54153-2021")</f>
        <v/>
      </c>
      <c r="Y183">
        <f>HYPERLINK("https://klasma.github.io/Logging_2283/tillsynsmail/A 54153-2021 tillsynsbegäran mail.docx", "A 54153-2021")</f>
        <v/>
      </c>
    </row>
    <row r="184" ht="15" customHeight="1">
      <c r="A184" t="inlineStr">
        <is>
          <t>A 9583-2022</t>
        </is>
      </c>
      <c r="B184" s="1" t="n">
        <v>44617</v>
      </c>
      <c r="C184" s="1" t="n">
        <v>45511</v>
      </c>
      <c r="D184" t="inlineStr">
        <is>
          <t>VÄSTERNORRLANDS LÄN</t>
        </is>
      </c>
      <c r="E184" t="inlineStr">
        <is>
          <t>SOLLEFTEÅ</t>
        </is>
      </c>
      <c r="F184" t="inlineStr">
        <is>
          <t>Övriga Aktiebolag</t>
        </is>
      </c>
      <c r="G184" t="n">
        <v>2.3</v>
      </c>
      <c r="H184" t="n">
        <v>0</v>
      </c>
      <c r="I184" t="n">
        <v>0</v>
      </c>
      <c r="J184" t="n">
        <v>2</v>
      </c>
      <c r="K184" t="n">
        <v>0</v>
      </c>
      <c r="L184" t="n">
        <v>0</v>
      </c>
      <c r="M184" t="n">
        <v>0</v>
      </c>
      <c r="N184" t="n">
        <v>0</v>
      </c>
      <c r="O184" t="n">
        <v>2</v>
      </c>
      <c r="P184" t="n">
        <v>0</v>
      </c>
      <c r="Q184" t="n">
        <v>2</v>
      </c>
      <c r="R184" s="2" t="inlineStr">
        <is>
          <t>Garnlav
Lunglav</t>
        </is>
      </c>
      <c r="S184">
        <f>HYPERLINK("https://klasma.github.io/Logging_2283/artfynd/A 9583-2022 artfynd.xlsx", "A 9583-2022")</f>
        <v/>
      </c>
      <c r="T184">
        <f>HYPERLINK("https://klasma.github.io/Logging_2283/kartor/A 9583-2022 karta.png", "A 9583-2022")</f>
        <v/>
      </c>
      <c r="V184">
        <f>HYPERLINK("https://klasma.github.io/Logging_2283/klagomål/A 9583-2022 FSC-klagomål.docx", "A 9583-2022")</f>
        <v/>
      </c>
      <c r="W184">
        <f>HYPERLINK("https://klasma.github.io/Logging_2283/klagomålsmail/A 9583-2022 FSC-klagomål mail.docx", "A 9583-2022")</f>
        <v/>
      </c>
      <c r="X184">
        <f>HYPERLINK("https://klasma.github.io/Logging_2283/tillsyn/A 9583-2022 tillsynsbegäran.docx", "A 9583-2022")</f>
        <v/>
      </c>
      <c r="Y184">
        <f>HYPERLINK("https://klasma.github.io/Logging_2283/tillsynsmail/A 9583-2022 tillsynsbegäran mail.docx", "A 9583-2022")</f>
        <v/>
      </c>
    </row>
    <row r="185" ht="15" customHeight="1">
      <c r="A185" t="inlineStr">
        <is>
          <t>A 13059-2022</t>
        </is>
      </c>
      <c r="B185" s="1" t="n">
        <v>44643</v>
      </c>
      <c r="C185" s="1" t="n">
        <v>45511</v>
      </c>
      <c r="D185" t="inlineStr">
        <is>
          <t>VÄSTERNORRLANDS LÄN</t>
        </is>
      </c>
      <c r="E185" t="inlineStr">
        <is>
          <t>SOLLEFTEÅ</t>
        </is>
      </c>
      <c r="G185" t="n">
        <v>9.9</v>
      </c>
      <c r="H185" t="n">
        <v>0</v>
      </c>
      <c r="I185" t="n">
        <v>0</v>
      </c>
      <c r="J185" t="n">
        <v>2</v>
      </c>
      <c r="K185" t="n">
        <v>0</v>
      </c>
      <c r="L185" t="n">
        <v>0</v>
      </c>
      <c r="M185" t="n">
        <v>0</v>
      </c>
      <c r="N185" t="n">
        <v>0</v>
      </c>
      <c r="O185" t="n">
        <v>2</v>
      </c>
      <c r="P185" t="n">
        <v>0</v>
      </c>
      <c r="Q185" t="n">
        <v>2</v>
      </c>
      <c r="R185" s="2" t="inlineStr">
        <is>
          <t>Garnlav
Ullticka</t>
        </is>
      </c>
      <c r="S185">
        <f>HYPERLINK("https://klasma.github.io/Logging_2283/artfynd/A 13059-2022 artfynd.xlsx", "A 13059-2022")</f>
        <v/>
      </c>
      <c r="T185">
        <f>HYPERLINK("https://klasma.github.io/Logging_2283/kartor/A 13059-2022 karta.png", "A 13059-2022")</f>
        <v/>
      </c>
      <c r="V185">
        <f>HYPERLINK("https://klasma.github.io/Logging_2283/klagomål/A 13059-2022 FSC-klagomål.docx", "A 13059-2022")</f>
        <v/>
      </c>
      <c r="W185">
        <f>HYPERLINK("https://klasma.github.io/Logging_2283/klagomålsmail/A 13059-2022 FSC-klagomål mail.docx", "A 13059-2022")</f>
        <v/>
      </c>
      <c r="X185">
        <f>HYPERLINK("https://klasma.github.io/Logging_2283/tillsyn/A 13059-2022 tillsynsbegäran.docx", "A 13059-2022")</f>
        <v/>
      </c>
      <c r="Y185">
        <f>HYPERLINK("https://klasma.github.io/Logging_2283/tillsynsmail/A 13059-2022 tillsynsbegäran mail.docx", "A 13059-2022")</f>
        <v/>
      </c>
    </row>
    <row r="186" ht="15" customHeight="1">
      <c r="A186" t="inlineStr">
        <is>
          <t>A 18019-2022</t>
        </is>
      </c>
      <c r="B186" s="1" t="n">
        <v>44684</v>
      </c>
      <c r="C186" s="1" t="n">
        <v>45511</v>
      </c>
      <c r="D186" t="inlineStr">
        <is>
          <t>VÄSTERNORRLANDS LÄN</t>
        </is>
      </c>
      <c r="E186" t="inlineStr">
        <is>
          <t>SOLLEFTEÅ</t>
        </is>
      </c>
      <c r="F186" t="inlineStr">
        <is>
          <t>SCA</t>
        </is>
      </c>
      <c r="G186" t="n">
        <v>2.6</v>
      </c>
      <c r="H186" t="n">
        <v>0</v>
      </c>
      <c r="I186" t="n">
        <v>0</v>
      </c>
      <c r="J186" t="n">
        <v>2</v>
      </c>
      <c r="K186" t="n">
        <v>0</v>
      </c>
      <c r="L186" t="n">
        <v>0</v>
      </c>
      <c r="M186" t="n">
        <v>0</v>
      </c>
      <c r="N186" t="n">
        <v>0</v>
      </c>
      <c r="O186" t="n">
        <v>2</v>
      </c>
      <c r="P186" t="n">
        <v>0</v>
      </c>
      <c r="Q186" t="n">
        <v>2</v>
      </c>
      <c r="R186" s="2" t="inlineStr">
        <is>
          <t>Gammelgransskål
Ullticka</t>
        </is>
      </c>
      <c r="S186">
        <f>HYPERLINK("https://klasma.github.io/Logging_2283/artfynd/A 18019-2022 artfynd.xlsx", "A 18019-2022")</f>
        <v/>
      </c>
      <c r="T186">
        <f>HYPERLINK("https://klasma.github.io/Logging_2283/kartor/A 18019-2022 karta.png", "A 18019-2022")</f>
        <v/>
      </c>
      <c r="V186">
        <f>HYPERLINK("https://klasma.github.io/Logging_2283/klagomål/A 18019-2022 FSC-klagomål.docx", "A 18019-2022")</f>
        <v/>
      </c>
      <c r="W186">
        <f>HYPERLINK("https://klasma.github.io/Logging_2283/klagomålsmail/A 18019-2022 FSC-klagomål mail.docx", "A 18019-2022")</f>
        <v/>
      </c>
      <c r="X186">
        <f>HYPERLINK("https://klasma.github.io/Logging_2283/tillsyn/A 18019-2022 tillsynsbegäran.docx", "A 18019-2022")</f>
        <v/>
      </c>
      <c r="Y186">
        <f>HYPERLINK("https://klasma.github.io/Logging_2283/tillsynsmail/A 18019-2022 tillsynsbegäran mail.docx", "A 18019-2022")</f>
        <v/>
      </c>
    </row>
    <row r="187" ht="15" customHeight="1">
      <c r="A187" t="inlineStr">
        <is>
          <t>A 20956-2022</t>
        </is>
      </c>
      <c r="B187" s="1" t="n">
        <v>44701</v>
      </c>
      <c r="C187" s="1" t="n">
        <v>45511</v>
      </c>
      <c r="D187" t="inlineStr">
        <is>
          <t>VÄSTERNORRLANDS LÄN</t>
        </is>
      </c>
      <c r="E187" t="inlineStr">
        <is>
          <t>SOLLEFTEÅ</t>
        </is>
      </c>
      <c r="F187" t="inlineStr">
        <is>
          <t>SCA</t>
        </is>
      </c>
      <c r="G187" t="n">
        <v>2.5</v>
      </c>
      <c r="H187" t="n">
        <v>0</v>
      </c>
      <c r="I187" t="n">
        <v>0</v>
      </c>
      <c r="J187" t="n">
        <v>2</v>
      </c>
      <c r="K187" t="n">
        <v>0</v>
      </c>
      <c r="L187" t="n">
        <v>0</v>
      </c>
      <c r="M187" t="n">
        <v>0</v>
      </c>
      <c r="N187" t="n">
        <v>0</v>
      </c>
      <c r="O187" t="n">
        <v>2</v>
      </c>
      <c r="P187" t="n">
        <v>0</v>
      </c>
      <c r="Q187" t="n">
        <v>2</v>
      </c>
      <c r="R187" s="2" t="inlineStr">
        <is>
          <t>Kandelabersvamp
Stiftgelélav</t>
        </is>
      </c>
      <c r="S187">
        <f>HYPERLINK("https://klasma.github.io/Logging_2283/artfynd/A 20956-2022 artfynd.xlsx", "A 20956-2022")</f>
        <v/>
      </c>
      <c r="T187">
        <f>HYPERLINK("https://klasma.github.io/Logging_2283/kartor/A 20956-2022 karta.png", "A 20956-2022")</f>
        <v/>
      </c>
      <c r="V187">
        <f>HYPERLINK("https://klasma.github.io/Logging_2283/klagomål/A 20956-2022 FSC-klagomål.docx", "A 20956-2022")</f>
        <v/>
      </c>
      <c r="W187">
        <f>HYPERLINK("https://klasma.github.io/Logging_2283/klagomålsmail/A 20956-2022 FSC-klagomål mail.docx", "A 20956-2022")</f>
        <v/>
      </c>
      <c r="X187">
        <f>HYPERLINK("https://klasma.github.io/Logging_2283/tillsyn/A 20956-2022 tillsynsbegäran.docx", "A 20956-2022")</f>
        <v/>
      </c>
      <c r="Y187">
        <f>HYPERLINK("https://klasma.github.io/Logging_2283/tillsynsmail/A 20956-2022 tillsynsbegäran mail.docx", "A 20956-2022")</f>
        <v/>
      </c>
    </row>
    <row r="188" ht="15" customHeight="1">
      <c r="A188" t="inlineStr">
        <is>
          <t>A 24321-2022</t>
        </is>
      </c>
      <c r="B188" s="1" t="n">
        <v>44725</v>
      </c>
      <c r="C188" s="1" t="n">
        <v>45511</v>
      </c>
      <c r="D188" t="inlineStr">
        <is>
          <t>VÄSTERNORRLANDS LÄN</t>
        </is>
      </c>
      <c r="E188" t="inlineStr">
        <is>
          <t>SOLLEFTEÅ</t>
        </is>
      </c>
      <c r="F188" t="inlineStr">
        <is>
          <t>SCA</t>
        </is>
      </c>
      <c r="G188" t="n">
        <v>1.1</v>
      </c>
      <c r="H188" t="n">
        <v>1</v>
      </c>
      <c r="I188" t="n">
        <v>0</v>
      </c>
      <c r="J188" t="n">
        <v>1</v>
      </c>
      <c r="K188" t="n">
        <v>1</v>
      </c>
      <c r="L188" t="n">
        <v>0</v>
      </c>
      <c r="M188" t="n">
        <v>0</v>
      </c>
      <c r="N188" t="n">
        <v>0</v>
      </c>
      <c r="O188" t="n">
        <v>2</v>
      </c>
      <c r="P188" t="n">
        <v>1</v>
      </c>
      <c r="Q188" t="n">
        <v>2</v>
      </c>
      <c r="R188" s="2" t="inlineStr">
        <is>
          <t>Knärot
Garnlav</t>
        </is>
      </c>
      <c r="S188">
        <f>HYPERLINK("https://klasma.github.io/Logging_2283/artfynd/A 24321-2022 artfynd.xlsx", "A 24321-2022")</f>
        <v/>
      </c>
      <c r="T188">
        <f>HYPERLINK("https://klasma.github.io/Logging_2283/kartor/A 24321-2022 karta.png", "A 24321-2022")</f>
        <v/>
      </c>
      <c r="U188">
        <f>HYPERLINK("https://klasma.github.io/Logging_2283/knärot/A 24321-2022 karta knärot.png", "A 24321-2022")</f>
        <v/>
      </c>
      <c r="V188">
        <f>HYPERLINK("https://klasma.github.io/Logging_2283/klagomål/A 24321-2022 FSC-klagomål.docx", "A 24321-2022")</f>
        <v/>
      </c>
      <c r="W188">
        <f>HYPERLINK("https://klasma.github.io/Logging_2283/klagomålsmail/A 24321-2022 FSC-klagomål mail.docx", "A 24321-2022")</f>
        <v/>
      </c>
      <c r="X188">
        <f>HYPERLINK("https://klasma.github.io/Logging_2283/tillsyn/A 24321-2022 tillsynsbegäran.docx", "A 24321-2022")</f>
        <v/>
      </c>
      <c r="Y188">
        <f>HYPERLINK("https://klasma.github.io/Logging_2283/tillsynsmail/A 24321-2022 tillsynsbegäran mail.docx", "A 24321-2022")</f>
        <v/>
      </c>
    </row>
    <row r="189" ht="15" customHeight="1">
      <c r="A189" t="inlineStr">
        <is>
          <t>A 29549-2022</t>
        </is>
      </c>
      <c r="B189" s="1" t="n">
        <v>44753</v>
      </c>
      <c r="C189" s="1" t="n">
        <v>45511</v>
      </c>
      <c r="D189" t="inlineStr">
        <is>
          <t>VÄSTERNORRLANDS LÄN</t>
        </is>
      </c>
      <c r="E189" t="inlineStr">
        <is>
          <t>SOLLEFTEÅ</t>
        </is>
      </c>
      <c r="F189" t="inlineStr">
        <is>
          <t>SCA</t>
        </is>
      </c>
      <c r="G189" t="n">
        <v>36.7</v>
      </c>
      <c r="H189" t="n">
        <v>0</v>
      </c>
      <c r="I189" t="n">
        <v>0</v>
      </c>
      <c r="J189" t="n">
        <v>2</v>
      </c>
      <c r="K189" t="n">
        <v>0</v>
      </c>
      <c r="L189" t="n">
        <v>0</v>
      </c>
      <c r="M189" t="n">
        <v>0</v>
      </c>
      <c r="N189" t="n">
        <v>0</v>
      </c>
      <c r="O189" t="n">
        <v>2</v>
      </c>
      <c r="P189" t="n">
        <v>0</v>
      </c>
      <c r="Q189" t="n">
        <v>2</v>
      </c>
      <c r="R189" s="2" t="inlineStr">
        <is>
          <t>Kolflarnlav
Skrovlig taggsvamp</t>
        </is>
      </c>
      <c r="S189">
        <f>HYPERLINK("https://klasma.github.io/Logging_2283/artfynd/A 29549-2022 artfynd.xlsx", "A 29549-2022")</f>
        <v/>
      </c>
      <c r="T189">
        <f>HYPERLINK("https://klasma.github.io/Logging_2283/kartor/A 29549-2022 karta.png", "A 29549-2022")</f>
        <v/>
      </c>
      <c r="V189">
        <f>HYPERLINK("https://klasma.github.io/Logging_2283/klagomål/A 29549-2022 FSC-klagomål.docx", "A 29549-2022")</f>
        <v/>
      </c>
      <c r="W189">
        <f>HYPERLINK("https://klasma.github.io/Logging_2283/klagomålsmail/A 29549-2022 FSC-klagomål mail.docx", "A 29549-2022")</f>
        <v/>
      </c>
      <c r="X189">
        <f>HYPERLINK("https://klasma.github.io/Logging_2283/tillsyn/A 29549-2022 tillsynsbegäran.docx", "A 29549-2022")</f>
        <v/>
      </c>
      <c r="Y189">
        <f>HYPERLINK("https://klasma.github.io/Logging_2283/tillsynsmail/A 29549-2022 tillsynsbegäran mail.docx", "A 29549-2022")</f>
        <v/>
      </c>
    </row>
    <row r="190" ht="15" customHeight="1">
      <c r="A190" t="inlineStr">
        <is>
          <t>A 30235-2022</t>
        </is>
      </c>
      <c r="B190" s="1" t="n">
        <v>44757</v>
      </c>
      <c r="C190" s="1" t="n">
        <v>45511</v>
      </c>
      <c r="D190" t="inlineStr">
        <is>
          <t>VÄSTERNORRLANDS LÄN</t>
        </is>
      </c>
      <c r="E190" t="inlineStr">
        <is>
          <t>SOLLEFTEÅ</t>
        </is>
      </c>
      <c r="F190" t="inlineStr">
        <is>
          <t>SCA</t>
        </is>
      </c>
      <c r="G190" t="n">
        <v>4.7</v>
      </c>
      <c r="H190" t="n">
        <v>2</v>
      </c>
      <c r="I190" t="n">
        <v>0</v>
      </c>
      <c r="J190" t="n">
        <v>0</v>
      </c>
      <c r="K190" t="n">
        <v>2</v>
      </c>
      <c r="L190" t="n">
        <v>0</v>
      </c>
      <c r="M190" t="n">
        <v>0</v>
      </c>
      <c r="N190" t="n">
        <v>0</v>
      </c>
      <c r="O190" t="n">
        <v>2</v>
      </c>
      <c r="P190" t="n">
        <v>2</v>
      </c>
      <c r="Q190" t="n">
        <v>2</v>
      </c>
      <c r="R190" s="2" t="inlineStr">
        <is>
          <t>Doftticka
Knärot</t>
        </is>
      </c>
      <c r="S190">
        <f>HYPERLINK("https://klasma.github.io/Logging_2283/artfynd/A 30235-2022 artfynd.xlsx", "A 30235-2022")</f>
        <v/>
      </c>
      <c r="T190">
        <f>HYPERLINK("https://klasma.github.io/Logging_2283/kartor/A 30235-2022 karta.png", "A 30235-2022")</f>
        <v/>
      </c>
      <c r="U190">
        <f>HYPERLINK("https://klasma.github.io/Logging_2283/knärot/A 30235-2022 karta knärot.png", "A 30235-2022")</f>
        <v/>
      </c>
      <c r="V190">
        <f>HYPERLINK("https://klasma.github.io/Logging_2283/klagomål/A 30235-2022 FSC-klagomål.docx", "A 30235-2022")</f>
        <v/>
      </c>
      <c r="W190">
        <f>HYPERLINK("https://klasma.github.io/Logging_2283/klagomålsmail/A 30235-2022 FSC-klagomål mail.docx", "A 30235-2022")</f>
        <v/>
      </c>
      <c r="X190">
        <f>HYPERLINK("https://klasma.github.io/Logging_2283/tillsyn/A 30235-2022 tillsynsbegäran.docx", "A 30235-2022")</f>
        <v/>
      </c>
      <c r="Y190">
        <f>HYPERLINK("https://klasma.github.io/Logging_2283/tillsynsmail/A 30235-2022 tillsynsbegäran mail.docx", "A 30235-2022")</f>
        <v/>
      </c>
    </row>
    <row r="191" ht="15" customHeight="1">
      <c r="A191" t="inlineStr">
        <is>
          <t>A 33087-2022</t>
        </is>
      </c>
      <c r="B191" s="1" t="n">
        <v>44785</v>
      </c>
      <c r="C191" s="1" t="n">
        <v>45511</v>
      </c>
      <c r="D191" t="inlineStr">
        <is>
          <t>VÄSTERNORRLANDS LÄN</t>
        </is>
      </c>
      <c r="E191" t="inlineStr">
        <is>
          <t>SOLLEFTEÅ</t>
        </is>
      </c>
      <c r="G191" t="n">
        <v>0.5</v>
      </c>
      <c r="H191" t="n">
        <v>0</v>
      </c>
      <c r="I191" t="n">
        <v>0</v>
      </c>
      <c r="J191" t="n">
        <v>2</v>
      </c>
      <c r="K191" t="n">
        <v>0</v>
      </c>
      <c r="L191" t="n">
        <v>0</v>
      </c>
      <c r="M191" t="n">
        <v>0</v>
      </c>
      <c r="N191" t="n">
        <v>0</v>
      </c>
      <c r="O191" t="n">
        <v>2</v>
      </c>
      <c r="P191" t="n">
        <v>0</v>
      </c>
      <c r="Q191" t="n">
        <v>2</v>
      </c>
      <c r="R191" s="2" t="inlineStr">
        <is>
          <t>Garnlav
Lunglav</t>
        </is>
      </c>
      <c r="S191">
        <f>HYPERLINK("https://klasma.github.io/Logging_2283/artfynd/A 33087-2022 artfynd.xlsx", "A 33087-2022")</f>
        <v/>
      </c>
      <c r="T191">
        <f>HYPERLINK("https://klasma.github.io/Logging_2283/kartor/A 33087-2022 karta.png", "A 33087-2022")</f>
        <v/>
      </c>
      <c r="V191">
        <f>HYPERLINK("https://klasma.github.io/Logging_2283/klagomål/A 33087-2022 FSC-klagomål.docx", "A 33087-2022")</f>
        <v/>
      </c>
      <c r="W191">
        <f>HYPERLINK("https://klasma.github.io/Logging_2283/klagomålsmail/A 33087-2022 FSC-klagomål mail.docx", "A 33087-2022")</f>
        <v/>
      </c>
      <c r="X191">
        <f>HYPERLINK("https://klasma.github.io/Logging_2283/tillsyn/A 33087-2022 tillsynsbegäran.docx", "A 33087-2022")</f>
        <v/>
      </c>
      <c r="Y191">
        <f>HYPERLINK("https://klasma.github.io/Logging_2283/tillsynsmail/A 33087-2022 tillsynsbegäran mail.docx", "A 33087-2022")</f>
        <v/>
      </c>
    </row>
    <row r="192" ht="15" customHeight="1">
      <c r="A192" t="inlineStr">
        <is>
          <t>A 34526-2022</t>
        </is>
      </c>
      <c r="B192" s="1" t="n">
        <v>44792</v>
      </c>
      <c r="C192" s="1" t="n">
        <v>45511</v>
      </c>
      <c r="D192" t="inlineStr">
        <is>
          <t>VÄSTERNORRLANDS LÄN</t>
        </is>
      </c>
      <c r="E192" t="inlineStr">
        <is>
          <t>SOLLEFTEÅ</t>
        </is>
      </c>
      <c r="F192" t="inlineStr">
        <is>
          <t>SCA</t>
        </is>
      </c>
      <c r="G192" t="n">
        <v>1.4</v>
      </c>
      <c r="H192" t="n">
        <v>0</v>
      </c>
      <c r="I192" t="n">
        <v>0</v>
      </c>
      <c r="J192" t="n">
        <v>2</v>
      </c>
      <c r="K192" t="n">
        <v>0</v>
      </c>
      <c r="L192" t="n">
        <v>0</v>
      </c>
      <c r="M192" t="n">
        <v>0</v>
      </c>
      <c r="N192" t="n">
        <v>0</v>
      </c>
      <c r="O192" t="n">
        <v>2</v>
      </c>
      <c r="P192" t="n">
        <v>0</v>
      </c>
      <c r="Q192" t="n">
        <v>2</v>
      </c>
      <c r="R192" s="2" t="inlineStr">
        <is>
          <t>Garnlav
Mörk kolflarnlav</t>
        </is>
      </c>
      <c r="S192">
        <f>HYPERLINK("https://klasma.github.io/Logging_2283/artfynd/A 34526-2022 artfynd.xlsx", "A 34526-2022")</f>
        <v/>
      </c>
      <c r="T192">
        <f>HYPERLINK("https://klasma.github.io/Logging_2283/kartor/A 34526-2022 karta.png", "A 34526-2022")</f>
        <v/>
      </c>
      <c r="V192">
        <f>HYPERLINK("https://klasma.github.io/Logging_2283/klagomål/A 34526-2022 FSC-klagomål.docx", "A 34526-2022")</f>
        <v/>
      </c>
      <c r="W192">
        <f>HYPERLINK("https://klasma.github.io/Logging_2283/klagomålsmail/A 34526-2022 FSC-klagomål mail.docx", "A 34526-2022")</f>
        <v/>
      </c>
      <c r="X192">
        <f>HYPERLINK("https://klasma.github.io/Logging_2283/tillsyn/A 34526-2022 tillsynsbegäran.docx", "A 34526-2022")</f>
        <v/>
      </c>
      <c r="Y192">
        <f>HYPERLINK("https://klasma.github.io/Logging_2283/tillsynsmail/A 34526-2022 tillsynsbegäran mail.docx", "A 34526-2022")</f>
        <v/>
      </c>
    </row>
    <row r="193" ht="15" customHeight="1">
      <c r="A193" t="inlineStr">
        <is>
          <t>A 37243-2022</t>
        </is>
      </c>
      <c r="B193" s="1" t="n">
        <v>44806</v>
      </c>
      <c r="C193" s="1" t="n">
        <v>45511</v>
      </c>
      <c r="D193" t="inlineStr">
        <is>
          <t>VÄSTERNORRLANDS LÄN</t>
        </is>
      </c>
      <c r="E193" t="inlineStr">
        <is>
          <t>SOLLEFTEÅ</t>
        </is>
      </c>
      <c r="F193" t="inlineStr">
        <is>
          <t>SCA</t>
        </is>
      </c>
      <c r="G193" t="n">
        <v>7.1</v>
      </c>
      <c r="H193" t="n">
        <v>0</v>
      </c>
      <c r="I193" t="n">
        <v>1</v>
      </c>
      <c r="J193" t="n">
        <v>1</v>
      </c>
      <c r="K193" t="n">
        <v>0</v>
      </c>
      <c r="L193" t="n">
        <v>0</v>
      </c>
      <c r="M193" t="n">
        <v>0</v>
      </c>
      <c r="N193" t="n">
        <v>0</v>
      </c>
      <c r="O193" t="n">
        <v>1</v>
      </c>
      <c r="P193" t="n">
        <v>0</v>
      </c>
      <c r="Q193" t="n">
        <v>2</v>
      </c>
      <c r="R193" s="2" t="inlineStr">
        <is>
          <t>Violettgrå tagellav
Dropptaggsvamp</t>
        </is>
      </c>
      <c r="S193">
        <f>HYPERLINK("https://klasma.github.io/Logging_2283/artfynd/A 37243-2022 artfynd.xlsx", "A 37243-2022")</f>
        <v/>
      </c>
      <c r="T193">
        <f>HYPERLINK("https://klasma.github.io/Logging_2283/kartor/A 37243-2022 karta.png", "A 37243-2022")</f>
        <v/>
      </c>
      <c r="V193">
        <f>HYPERLINK("https://klasma.github.io/Logging_2283/klagomål/A 37243-2022 FSC-klagomål.docx", "A 37243-2022")</f>
        <v/>
      </c>
      <c r="W193">
        <f>HYPERLINK("https://klasma.github.io/Logging_2283/klagomålsmail/A 37243-2022 FSC-klagomål mail.docx", "A 37243-2022")</f>
        <v/>
      </c>
      <c r="X193">
        <f>HYPERLINK("https://klasma.github.io/Logging_2283/tillsyn/A 37243-2022 tillsynsbegäran.docx", "A 37243-2022")</f>
        <v/>
      </c>
      <c r="Y193">
        <f>HYPERLINK("https://klasma.github.io/Logging_2283/tillsynsmail/A 37243-2022 tillsynsbegäran mail.docx", "A 37243-2022")</f>
        <v/>
      </c>
    </row>
    <row r="194" ht="15" customHeight="1">
      <c r="A194" t="inlineStr">
        <is>
          <t>A 45083-2022</t>
        </is>
      </c>
      <c r="B194" s="1" t="n">
        <v>44841</v>
      </c>
      <c r="C194" s="1" t="n">
        <v>45511</v>
      </c>
      <c r="D194" t="inlineStr">
        <is>
          <t>VÄSTERNORRLANDS LÄN</t>
        </is>
      </c>
      <c r="E194" t="inlineStr">
        <is>
          <t>SOLLEFTEÅ</t>
        </is>
      </c>
      <c r="F194" t="inlineStr">
        <is>
          <t>SCA</t>
        </is>
      </c>
      <c r="G194" t="n">
        <v>4.3</v>
      </c>
      <c r="H194" t="n">
        <v>2</v>
      </c>
      <c r="I194" t="n">
        <v>0</v>
      </c>
      <c r="J194" t="n">
        <v>1</v>
      </c>
      <c r="K194" t="n">
        <v>0</v>
      </c>
      <c r="L194" t="n">
        <v>0</v>
      </c>
      <c r="M194" t="n">
        <v>0</v>
      </c>
      <c r="N194" t="n">
        <v>0</v>
      </c>
      <c r="O194" t="n">
        <v>1</v>
      </c>
      <c r="P194" t="n">
        <v>0</v>
      </c>
      <c r="Q194" t="n">
        <v>2</v>
      </c>
      <c r="R194" s="2" t="inlineStr">
        <is>
          <t>Talltita
Blåsippa</t>
        </is>
      </c>
      <c r="S194">
        <f>HYPERLINK("https://klasma.github.io/Logging_2283/artfynd/A 45083-2022 artfynd.xlsx", "A 45083-2022")</f>
        <v/>
      </c>
      <c r="T194">
        <f>HYPERLINK("https://klasma.github.io/Logging_2283/kartor/A 45083-2022 karta.png", "A 45083-2022")</f>
        <v/>
      </c>
      <c r="V194">
        <f>HYPERLINK("https://klasma.github.io/Logging_2283/klagomål/A 45083-2022 FSC-klagomål.docx", "A 45083-2022")</f>
        <v/>
      </c>
      <c r="W194">
        <f>HYPERLINK("https://klasma.github.io/Logging_2283/klagomålsmail/A 45083-2022 FSC-klagomål mail.docx", "A 45083-2022")</f>
        <v/>
      </c>
      <c r="X194">
        <f>HYPERLINK("https://klasma.github.io/Logging_2283/tillsyn/A 45083-2022 tillsynsbegäran.docx", "A 45083-2022")</f>
        <v/>
      </c>
      <c r="Y194">
        <f>HYPERLINK("https://klasma.github.io/Logging_2283/tillsynsmail/A 45083-2022 tillsynsbegäran mail.docx", "A 45083-2022")</f>
        <v/>
      </c>
      <c r="Z194">
        <f>HYPERLINK("https://klasma.github.io/Logging_2283/fåglar/A 45083-2022 prioriterade fågelarter.docx", "A 45083-2022")</f>
        <v/>
      </c>
    </row>
    <row r="195" ht="15" customHeight="1">
      <c r="A195" t="inlineStr">
        <is>
          <t>A 45084-2022</t>
        </is>
      </c>
      <c r="B195" s="1" t="n">
        <v>44841</v>
      </c>
      <c r="C195" s="1" t="n">
        <v>45511</v>
      </c>
      <c r="D195" t="inlineStr">
        <is>
          <t>VÄSTERNORRLANDS LÄN</t>
        </is>
      </c>
      <c r="E195" t="inlineStr">
        <is>
          <t>SOLLEFTEÅ</t>
        </is>
      </c>
      <c r="F195" t="inlineStr">
        <is>
          <t>SCA</t>
        </is>
      </c>
      <c r="G195" t="n">
        <v>5.5</v>
      </c>
      <c r="H195" t="n">
        <v>0</v>
      </c>
      <c r="I195" t="n">
        <v>0</v>
      </c>
      <c r="J195" t="n">
        <v>2</v>
      </c>
      <c r="K195" t="n">
        <v>0</v>
      </c>
      <c r="L195" t="n">
        <v>0</v>
      </c>
      <c r="M195" t="n">
        <v>0</v>
      </c>
      <c r="N195" t="n">
        <v>0</v>
      </c>
      <c r="O195" t="n">
        <v>2</v>
      </c>
      <c r="P195" t="n">
        <v>0</v>
      </c>
      <c r="Q195" t="n">
        <v>2</v>
      </c>
      <c r="R195" s="2" t="inlineStr">
        <is>
          <t>Garnlav
Lunglav</t>
        </is>
      </c>
      <c r="S195">
        <f>HYPERLINK("https://klasma.github.io/Logging_2283/artfynd/A 45084-2022 artfynd.xlsx", "A 45084-2022")</f>
        <v/>
      </c>
      <c r="T195">
        <f>HYPERLINK("https://klasma.github.io/Logging_2283/kartor/A 45084-2022 karta.png", "A 45084-2022")</f>
        <v/>
      </c>
      <c r="V195">
        <f>HYPERLINK("https://klasma.github.io/Logging_2283/klagomål/A 45084-2022 FSC-klagomål.docx", "A 45084-2022")</f>
        <v/>
      </c>
      <c r="W195">
        <f>HYPERLINK("https://klasma.github.io/Logging_2283/klagomålsmail/A 45084-2022 FSC-klagomål mail.docx", "A 45084-2022")</f>
        <v/>
      </c>
      <c r="X195">
        <f>HYPERLINK("https://klasma.github.io/Logging_2283/tillsyn/A 45084-2022 tillsynsbegäran.docx", "A 45084-2022")</f>
        <v/>
      </c>
      <c r="Y195">
        <f>HYPERLINK("https://klasma.github.io/Logging_2283/tillsynsmail/A 45084-2022 tillsynsbegäran mail.docx", "A 45084-2022")</f>
        <v/>
      </c>
    </row>
    <row r="196" ht="15" customHeight="1">
      <c r="A196" t="inlineStr">
        <is>
          <t>A 48073-2022</t>
        </is>
      </c>
      <c r="B196" s="1" t="n">
        <v>44855</v>
      </c>
      <c r="C196" s="1" t="n">
        <v>45511</v>
      </c>
      <c r="D196" t="inlineStr">
        <is>
          <t>VÄSTERNORRLANDS LÄN</t>
        </is>
      </c>
      <c r="E196" t="inlineStr">
        <is>
          <t>SOLLEFTEÅ</t>
        </is>
      </c>
      <c r="F196" t="inlineStr">
        <is>
          <t>SCA</t>
        </is>
      </c>
      <c r="G196" t="n">
        <v>4.3</v>
      </c>
      <c r="H196" t="n">
        <v>2</v>
      </c>
      <c r="I196" t="n">
        <v>0</v>
      </c>
      <c r="J196" t="n">
        <v>1</v>
      </c>
      <c r="K196" t="n">
        <v>0</v>
      </c>
      <c r="L196" t="n">
        <v>0</v>
      </c>
      <c r="M196" t="n">
        <v>0</v>
      </c>
      <c r="N196" t="n">
        <v>0</v>
      </c>
      <c r="O196" t="n">
        <v>1</v>
      </c>
      <c r="P196" t="n">
        <v>0</v>
      </c>
      <c r="Q196" t="n">
        <v>2</v>
      </c>
      <c r="R196" s="2" t="inlineStr">
        <is>
          <t>Talltita
Blåsippa</t>
        </is>
      </c>
      <c r="S196">
        <f>HYPERLINK("https://klasma.github.io/Logging_2283/artfynd/A 48073-2022 artfynd.xlsx", "A 48073-2022")</f>
        <v/>
      </c>
      <c r="T196">
        <f>HYPERLINK("https://klasma.github.io/Logging_2283/kartor/A 48073-2022 karta.png", "A 48073-2022")</f>
        <v/>
      </c>
      <c r="V196">
        <f>HYPERLINK("https://klasma.github.io/Logging_2283/klagomål/A 48073-2022 FSC-klagomål.docx", "A 48073-2022")</f>
        <v/>
      </c>
      <c r="W196">
        <f>HYPERLINK("https://klasma.github.io/Logging_2283/klagomålsmail/A 48073-2022 FSC-klagomål mail.docx", "A 48073-2022")</f>
        <v/>
      </c>
      <c r="X196">
        <f>HYPERLINK("https://klasma.github.io/Logging_2283/tillsyn/A 48073-2022 tillsynsbegäran.docx", "A 48073-2022")</f>
        <v/>
      </c>
      <c r="Y196">
        <f>HYPERLINK("https://klasma.github.io/Logging_2283/tillsynsmail/A 48073-2022 tillsynsbegäran mail.docx", "A 48073-2022")</f>
        <v/>
      </c>
      <c r="Z196">
        <f>HYPERLINK("https://klasma.github.io/Logging_2283/fåglar/A 48073-2022 prioriterade fågelarter.docx", "A 48073-2022")</f>
        <v/>
      </c>
    </row>
    <row r="197" ht="15" customHeight="1">
      <c r="A197" t="inlineStr">
        <is>
          <t>A 53130-2022</t>
        </is>
      </c>
      <c r="B197" s="1" t="n">
        <v>44873</v>
      </c>
      <c r="C197" s="1" t="n">
        <v>45511</v>
      </c>
      <c r="D197" t="inlineStr">
        <is>
          <t>VÄSTERNORRLANDS LÄN</t>
        </is>
      </c>
      <c r="E197" t="inlineStr">
        <is>
          <t>SOLLEFTEÅ</t>
        </is>
      </c>
      <c r="G197" t="n">
        <v>19.8</v>
      </c>
      <c r="H197" t="n">
        <v>2</v>
      </c>
      <c r="I197" t="n">
        <v>0</v>
      </c>
      <c r="J197" t="n">
        <v>1</v>
      </c>
      <c r="K197" t="n">
        <v>0</v>
      </c>
      <c r="L197" t="n">
        <v>0</v>
      </c>
      <c r="M197" t="n">
        <v>0</v>
      </c>
      <c r="N197" t="n">
        <v>0</v>
      </c>
      <c r="O197" t="n">
        <v>1</v>
      </c>
      <c r="P197" t="n">
        <v>0</v>
      </c>
      <c r="Q197" t="n">
        <v>2</v>
      </c>
      <c r="R197" s="2" t="inlineStr">
        <is>
          <t>Myrbräcka
Fläcknycklar</t>
        </is>
      </c>
      <c r="S197">
        <f>HYPERLINK("https://klasma.github.io/Logging_2283/artfynd/A 53130-2022 artfynd.xlsx", "A 53130-2022")</f>
        <v/>
      </c>
      <c r="T197">
        <f>HYPERLINK("https://klasma.github.io/Logging_2283/kartor/A 53130-2022 karta.png", "A 53130-2022")</f>
        <v/>
      </c>
      <c r="V197">
        <f>HYPERLINK("https://klasma.github.io/Logging_2283/klagomål/A 53130-2022 FSC-klagomål.docx", "A 53130-2022")</f>
        <v/>
      </c>
      <c r="W197">
        <f>HYPERLINK("https://klasma.github.io/Logging_2283/klagomålsmail/A 53130-2022 FSC-klagomål mail.docx", "A 53130-2022")</f>
        <v/>
      </c>
      <c r="X197">
        <f>HYPERLINK("https://klasma.github.io/Logging_2283/tillsyn/A 53130-2022 tillsynsbegäran.docx", "A 53130-2022")</f>
        <v/>
      </c>
      <c r="Y197">
        <f>HYPERLINK("https://klasma.github.io/Logging_2283/tillsynsmail/A 53130-2022 tillsynsbegäran mail.docx", "A 53130-2022")</f>
        <v/>
      </c>
    </row>
    <row r="198" ht="15" customHeight="1">
      <c r="A198" t="inlineStr">
        <is>
          <t>A 55727-2022</t>
        </is>
      </c>
      <c r="B198" s="1" t="n">
        <v>44883</v>
      </c>
      <c r="C198" s="1" t="n">
        <v>45511</v>
      </c>
      <c r="D198" t="inlineStr">
        <is>
          <t>VÄSTERNORRLANDS LÄN</t>
        </is>
      </c>
      <c r="E198" t="inlineStr">
        <is>
          <t>SOLLEFTEÅ</t>
        </is>
      </c>
      <c r="G198" t="n">
        <v>16.7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HYPERLINK("https://klasma.github.io/Logging_2283/artfynd/A 55727-2022 artfynd.xlsx", "A 55727-2022")</f>
        <v/>
      </c>
      <c r="T198">
        <f>HYPERLINK("https://klasma.github.io/Logging_2283/kartor/A 55727-2022 karta.png", "A 55727-2022")</f>
        <v/>
      </c>
      <c r="V198">
        <f>HYPERLINK("https://klasma.github.io/Logging_2283/klagomål/A 55727-2022 FSC-klagomål.docx", "A 55727-2022")</f>
        <v/>
      </c>
      <c r="W198">
        <f>HYPERLINK("https://klasma.github.io/Logging_2283/klagomålsmail/A 55727-2022 FSC-klagomål mail.docx", "A 55727-2022")</f>
        <v/>
      </c>
      <c r="X198">
        <f>HYPERLINK("https://klasma.github.io/Logging_2283/tillsyn/A 55727-2022 tillsynsbegäran.docx", "A 55727-2022")</f>
        <v/>
      </c>
      <c r="Y198">
        <f>HYPERLINK("https://klasma.github.io/Logging_2283/tillsynsmail/A 55727-2022 tillsynsbegäran mail.docx", "A 55727-2022")</f>
        <v/>
      </c>
      <c r="Z198">
        <f>HYPERLINK("https://klasma.github.io/Logging_2283/fåglar/A 55727-2022 prioriterade fågelarter.docx", "A 55727-2022")</f>
        <v/>
      </c>
    </row>
    <row r="199" ht="15" customHeight="1">
      <c r="A199" t="inlineStr">
        <is>
          <t>A 59046-2022</t>
        </is>
      </c>
      <c r="B199" s="1" t="n">
        <v>44903</v>
      </c>
      <c r="C199" s="1" t="n">
        <v>45511</v>
      </c>
      <c r="D199" t="inlineStr">
        <is>
          <t>VÄSTERNORRLANDS LÄN</t>
        </is>
      </c>
      <c r="E199" t="inlineStr">
        <is>
          <t>SOLLEFTEÅ</t>
        </is>
      </c>
      <c r="F199" t="inlineStr">
        <is>
          <t>SCA</t>
        </is>
      </c>
      <c r="G199" t="n">
        <v>10.3</v>
      </c>
      <c r="H199" t="n">
        <v>1</v>
      </c>
      <c r="I199" t="n">
        <v>0</v>
      </c>
      <c r="J199" t="n">
        <v>2</v>
      </c>
      <c r="K199" t="n">
        <v>0</v>
      </c>
      <c r="L199" t="n">
        <v>0</v>
      </c>
      <c r="M199" t="n">
        <v>0</v>
      </c>
      <c r="N199" t="n">
        <v>0</v>
      </c>
      <c r="O199" t="n">
        <v>2</v>
      </c>
      <c r="P199" t="n">
        <v>0</v>
      </c>
      <c r="Q199" t="n">
        <v>2</v>
      </c>
      <c r="R199" s="2" t="inlineStr">
        <is>
          <t>Lunglav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3017-2023</t>
        </is>
      </c>
      <c r="B200" s="1" t="n">
        <v>44945</v>
      </c>
      <c r="C200" s="1" t="n">
        <v>45511</v>
      </c>
      <c r="D200" t="inlineStr">
        <is>
          <t>VÄSTERNORRLANDS LÄN</t>
        </is>
      </c>
      <c r="E200" t="inlineStr">
        <is>
          <t>SOLLEFTEÅ</t>
        </is>
      </c>
      <c r="G200" t="n">
        <v>3.6</v>
      </c>
      <c r="H200" t="n">
        <v>0</v>
      </c>
      <c r="I200" t="n">
        <v>0</v>
      </c>
      <c r="J200" t="n">
        <v>2</v>
      </c>
      <c r="K200" t="n">
        <v>0</v>
      </c>
      <c r="L200" t="n">
        <v>0</v>
      </c>
      <c r="M200" t="n">
        <v>0</v>
      </c>
      <c r="N200" t="n">
        <v>0</v>
      </c>
      <c r="O200" t="n">
        <v>2</v>
      </c>
      <c r="P200" t="n">
        <v>0</v>
      </c>
      <c r="Q200" t="n">
        <v>2</v>
      </c>
      <c r="R200" s="2" t="inlineStr">
        <is>
          <t>Harticka
Ullticka</t>
        </is>
      </c>
      <c r="S200">
        <f>HYPERLINK("https://klasma.github.io/Logging_2283/artfynd/A 3017-2023 artfynd.xlsx", "A 3017-2023")</f>
        <v/>
      </c>
      <c r="T200">
        <f>HYPERLINK("https://klasma.github.io/Logging_2283/kartor/A 3017-2023 karta.png", "A 3017-2023")</f>
        <v/>
      </c>
      <c r="V200">
        <f>HYPERLINK("https://klasma.github.io/Logging_2283/klagomål/A 3017-2023 FSC-klagomål.docx", "A 3017-2023")</f>
        <v/>
      </c>
      <c r="W200">
        <f>HYPERLINK("https://klasma.github.io/Logging_2283/klagomålsmail/A 3017-2023 FSC-klagomål mail.docx", "A 3017-2023")</f>
        <v/>
      </c>
      <c r="X200">
        <f>HYPERLINK("https://klasma.github.io/Logging_2283/tillsyn/A 3017-2023 tillsynsbegäran.docx", "A 3017-2023")</f>
        <v/>
      </c>
      <c r="Y200">
        <f>HYPERLINK("https://klasma.github.io/Logging_2283/tillsynsmail/A 3017-2023 tillsynsbegäran mail.docx", "A 3017-2023")</f>
        <v/>
      </c>
    </row>
    <row r="201" ht="15" customHeight="1">
      <c r="A201" t="inlineStr">
        <is>
          <t>A 8669-2023</t>
        </is>
      </c>
      <c r="B201" s="1" t="n">
        <v>44977</v>
      </c>
      <c r="C201" s="1" t="n">
        <v>45511</v>
      </c>
      <c r="D201" t="inlineStr">
        <is>
          <t>VÄSTERNORRLANDS LÄN</t>
        </is>
      </c>
      <c r="E201" t="inlineStr">
        <is>
          <t>SOLLEFTEÅ</t>
        </is>
      </c>
      <c r="F201" t="inlineStr">
        <is>
          <t>SCA</t>
        </is>
      </c>
      <c r="G201" t="n">
        <v>2.3</v>
      </c>
      <c r="H201" t="n">
        <v>1</v>
      </c>
      <c r="I201" t="n">
        <v>1</v>
      </c>
      <c r="J201" t="n">
        <v>1</v>
      </c>
      <c r="K201" t="n">
        <v>0</v>
      </c>
      <c r="L201" t="n">
        <v>0</v>
      </c>
      <c r="M201" t="n">
        <v>0</v>
      </c>
      <c r="N201" t="n">
        <v>0</v>
      </c>
      <c r="O201" t="n">
        <v>1</v>
      </c>
      <c r="P201" t="n">
        <v>0</v>
      </c>
      <c r="Q201" t="n">
        <v>2</v>
      </c>
      <c r="R201" s="2" t="inlineStr">
        <is>
          <t>Garnlav
Lappranunkel</t>
        </is>
      </c>
      <c r="S201">
        <f>HYPERLINK("https://klasma.github.io/Logging_2283/artfynd/A 8669-2023 artfynd.xlsx", "A 8669-2023")</f>
        <v/>
      </c>
      <c r="T201">
        <f>HYPERLINK("https://klasma.github.io/Logging_2283/kartor/A 8669-2023 karta.png", "A 8669-2023")</f>
        <v/>
      </c>
      <c r="V201">
        <f>HYPERLINK("https://klasma.github.io/Logging_2283/klagomål/A 8669-2023 FSC-klagomål.docx", "A 8669-2023")</f>
        <v/>
      </c>
      <c r="W201">
        <f>HYPERLINK("https://klasma.github.io/Logging_2283/klagomålsmail/A 8669-2023 FSC-klagomål mail.docx", "A 8669-2023")</f>
        <v/>
      </c>
      <c r="X201">
        <f>HYPERLINK("https://klasma.github.io/Logging_2283/tillsyn/A 8669-2023 tillsynsbegäran.docx", "A 8669-2023")</f>
        <v/>
      </c>
      <c r="Y201">
        <f>HYPERLINK("https://klasma.github.io/Logging_2283/tillsynsmail/A 8669-2023 tillsynsbegäran mail.docx", "A 8669-2023")</f>
        <v/>
      </c>
    </row>
    <row r="202" ht="15" customHeight="1">
      <c r="A202" t="inlineStr">
        <is>
          <t>A 9363-2023</t>
        </is>
      </c>
      <c r="B202" s="1" t="n">
        <v>44980</v>
      </c>
      <c r="C202" s="1" t="n">
        <v>45511</v>
      </c>
      <c r="D202" t="inlineStr">
        <is>
          <t>VÄSTERNORRLANDS LÄN</t>
        </is>
      </c>
      <c r="E202" t="inlineStr">
        <is>
          <t>SOLLEFTEÅ</t>
        </is>
      </c>
      <c r="F202" t="inlineStr">
        <is>
          <t>SCA</t>
        </is>
      </c>
      <c r="G202" t="n">
        <v>4.7</v>
      </c>
      <c r="H202" t="n">
        <v>0</v>
      </c>
      <c r="I202" t="n">
        <v>0</v>
      </c>
      <c r="J202" t="n">
        <v>2</v>
      </c>
      <c r="K202" t="n">
        <v>0</v>
      </c>
      <c r="L202" t="n">
        <v>0</v>
      </c>
      <c r="M202" t="n">
        <v>0</v>
      </c>
      <c r="N202" t="n">
        <v>0</v>
      </c>
      <c r="O202" t="n">
        <v>2</v>
      </c>
      <c r="P202" t="n">
        <v>0</v>
      </c>
      <c r="Q202" t="n">
        <v>2</v>
      </c>
      <c r="R202" s="2" t="inlineStr">
        <is>
          <t>Garnlav
Vedskivlav</t>
        </is>
      </c>
      <c r="S202">
        <f>HYPERLINK("https://klasma.github.io/Logging_2283/artfynd/A 9363-2023 artfynd.xlsx", "A 9363-2023")</f>
        <v/>
      </c>
      <c r="T202">
        <f>HYPERLINK("https://klasma.github.io/Logging_2283/kartor/A 9363-2023 karta.png", "A 9363-2023")</f>
        <v/>
      </c>
      <c r="V202">
        <f>HYPERLINK("https://klasma.github.io/Logging_2283/klagomål/A 9363-2023 FSC-klagomål.docx", "A 9363-2023")</f>
        <v/>
      </c>
      <c r="W202">
        <f>HYPERLINK("https://klasma.github.io/Logging_2283/klagomålsmail/A 9363-2023 FSC-klagomål mail.docx", "A 9363-2023")</f>
        <v/>
      </c>
      <c r="X202">
        <f>HYPERLINK("https://klasma.github.io/Logging_2283/tillsyn/A 9363-2023 tillsynsbegäran.docx", "A 9363-2023")</f>
        <v/>
      </c>
      <c r="Y202">
        <f>HYPERLINK("https://klasma.github.io/Logging_2283/tillsynsmail/A 9363-2023 tillsynsbegäran mail.docx", "A 9363-2023")</f>
        <v/>
      </c>
    </row>
    <row r="203" ht="15" customHeight="1">
      <c r="A203" t="inlineStr">
        <is>
          <t>A 13000-2023</t>
        </is>
      </c>
      <c r="B203" s="1" t="n">
        <v>45002</v>
      </c>
      <c r="C203" s="1" t="n">
        <v>45511</v>
      </c>
      <c r="D203" t="inlineStr">
        <is>
          <t>VÄSTERNORRLANDS LÄN</t>
        </is>
      </c>
      <c r="E203" t="inlineStr">
        <is>
          <t>SOLLEFTEÅ</t>
        </is>
      </c>
      <c r="F203" t="inlineStr">
        <is>
          <t>SCA</t>
        </is>
      </c>
      <c r="G203" t="n">
        <v>93.5</v>
      </c>
      <c r="H203" t="n">
        <v>1</v>
      </c>
      <c r="I203" t="n">
        <v>0</v>
      </c>
      <c r="J203" t="n">
        <v>1</v>
      </c>
      <c r="K203" t="n">
        <v>0</v>
      </c>
      <c r="L203" t="n">
        <v>0</v>
      </c>
      <c r="M203" t="n">
        <v>0</v>
      </c>
      <c r="N203" t="n">
        <v>0</v>
      </c>
      <c r="O203" t="n">
        <v>1</v>
      </c>
      <c r="P203" t="n">
        <v>0</v>
      </c>
      <c r="Q203" t="n">
        <v>2</v>
      </c>
      <c r="R203" s="2" t="inlineStr">
        <is>
          <t>Månlåsbräken
Fläcknycklar</t>
        </is>
      </c>
      <c r="S203">
        <f>HYPERLINK("https://klasma.github.io/Logging_2283/artfynd/A 13000-2023 artfynd.xlsx", "A 13000-2023")</f>
        <v/>
      </c>
      <c r="T203">
        <f>HYPERLINK("https://klasma.github.io/Logging_2283/kartor/A 13000-2023 karta.png", "A 13000-2023")</f>
        <v/>
      </c>
      <c r="V203">
        <f>HYPERLINK("https://klasma.github.io/Logging_2283/klagomål/A 13000-2023 FSC-klagomål.docx", "A 13000-2023")</f>
        <v/>
      </c>
      <c r="W203">
        <f>HYPERLINK("https://klasma.github.io/Logging_2283/klagomålsmail/A 13000-2023 FSC-klagomål mail.docx", "A 13000-2023")</f>
        <v/>
      </c>
      <c r="X203">
        <f>HYPERLINK("https://klasma.github.io/Logging_2283/tillsyn/A 13000-2023 tillsynsbegäran.docx", "A 13000-2023")</f>
        <v/>
      </c>
      <c r="Y203">
        <f>HYPERLINK("https://klasma.github.io/Logging_2283/tillsynsmail/A 13000-2023 tillsynsbegäran mail.docx", "A 13000-2023")</f>
        <v/>
      </c>
    </row>
    <row r="204" ht="15" customHeight="1">
      <c r="A204" t="inlineStr">
        <is>
          <t>A 33036-2023</t>
        </is>
      </c>
      <c r="B204" s="1" t="n">
        <v>45125</v>
      </c>
      <c r="C204" s="1" t="n">
        <v>45511</v>
      </c>
      <c r="D204" t="inlineStr">
        <is>
          <t>VÄSTERNORRLANDS LÄN</t>
        </is>
      </c>
      <c r="E204" t="inlineStr">
        <is>
          <t>SOLLEFTEÅ</t>
        </is>
      </c>
      <c r="F204" t="inlineStr">
        <is>
          <t>SCA</t>
        </is>
      </c>
      <c r="G204" t="n">
        <v>12</v>
      </c>
      <c r="H204" t="n">
        <v>0</v>
      </c>
      <c r="I204" t="n">
        <v>1</v>
      </c>
      <c r="J204" t="n">
        <v>1</v>
      </c>
      <c r="K204" t="n">
        <v>0</v>
      </c>
      <c r="L204" t="n">
        <v>0</v>
      </c>
      <c r="M204" t="n">
        <v>0</v>
      </c>
      <c r="N204" t="n">
        <v>0</v>
      </c>
      <c r="O204" t="n">
        <v>1</v>
      </c>
      <c r="P204" t="n">
        <v>0</v>
      </c>
      <c r="Q204" t="n">
        <v>2</v>
      </c>
      <c r="R204" s="2" t="inlineStr">
        <is>
          <t>Småflikig brosklav
Stuplav</t>
        </is>
      </c>
      <c r="S204">
        <f>HYPERLINK("https://klasma.github.io/Logging_2283/artfynd/A 33036-2023 artfynd.xlsx", "A 33036-2023")</f>
        <v/>
      </c>
      <c r="T204">
        <f>HYPERLINK("https://klasma.github.io/Logging_2283/kartor/A 33036-2023 karta.png", "A 33036-2023")</f>
        <v/>
      </c>
      <c r="V204">
        <f>HYPERLINK("https://klasma.github.io/Logging_2283/klagomål/A 33036-2023 FSC-klagomål.docx", "A 33036-2023")</f>
        <v/>
      </c>
      <c r="W204">
        <f>HYPERLINK("https://klasma.github.io/Logging_2283/klagomålsmail/A 33036-2023 FSC-klagomål mail.docx", "A 33036-2023")</f>
        <v/>
      </c>
      <c r="X204">
        <f>HYPERLINK("https://klasma.github.io/Logging_2283/tillsyn/A 33036-2023 tillsynsbegäran.docx", "A 33036-2023")</f>
        <v/>
      </c>
      <c r="Y204">
        <f>HYPERLINK("https://klasma.github.io/Logging_2283/tillsynsmail/A 33036-2023 tillsynsbegäran mail.docx", "A 33036-2023")</f>
        <v/>
      </c>
    </row>
    <row r="205" ht="15" customHeight="1">
      <c r="A205" t="inlineStr">
        <is>
          <t>A 35587-2023</t>
        </is>
      </c>
      <c r="B205" s="1" t="n">
        <v>45147</v>
      </c>
      <c r="C205" s="1" t="n">
        <v>45511</v>
      </c>
      <c r="D205" t="inlineStr">
        <is>
          <t>VÄSTERNORRLANDS LÄN</t>
        </is>
      </c>
      <c r="E205" t="inlineStr">
        <is>
          <t>SOLLEFTEÅ</t>
        </is>
      </c>
      <c r="F205" t="inlineStr">
        <is>
          <t>Holmen skog AB</t>
        </is>
      </c>
      <c r="G205" t="n">
        <v>5.1</v>
      </c>
      <c r="H205" t="n">
        <v>0</v>
      </c>
      <c r="I205" t="n">
        <v>1</v>
      </c>
      <c r="J205" t="n">
        <v>0</v>
      </c>
      <c r="K205" t="n">
        <v>1</v>
      </c>
      <c r="L205" t="n">
        <v>0</v>
      </c>
      <c r="M205" t="n">
        <v>0</v>
      </c>
      <c r="N205" t="n">
        <v>0</v>
      </c>
      <c r="O205" t="n">
        <v>1</v>
      </c>
      <c r="P205" t="n">
        <v>1</v>
      </c>
      <c r="Q205" t="n">
        <v>2</v>
      </c>
      <c r="R205" s="2" t="inlineStr">
        <is>
          <t>Fläckporing
Dropptaggsvamp</t>
        </is>
      </c>
      <c r="S205">
        <f>HYPERLINK("https://klasma.github.io/Logging_2283/artfynd/A 35587-2023 artfynd.xlsx", "A 35587-2023")</f>
        <v/>
      </c>
      <c r="T205">
        <f>HYPERLINK("https://klasma.github.io/Logging_2283/kartor/A 35587-2023 karta.png", "A 35587-2023")</f>
        <v/>
      </c>
      <c r="V205">
        <f>HYPERLINK("https://klasma.github.io/Logging_2283/klagomål/A 35587-2023 FSC-klagomål.docx", "A 35587-2023")</f>
        <v/>
      </c>
      <c r="W205">
        <f>HYPERLINK("https://klasma.github.io/Logging_2283/klagomålsmail/A 35587-2023 FSC-klagomål mail.docx", "A 35587-2023")</f>
        <v/>
      </c>
      <c r="X205">
        <f>HYPERLINK("https://klasma.github.io/Logging_2283/tillsyn/A 35587-2023 tillsynsbegäran.docx", "A 35587-2023")</f>
        <v/>
      </c>
      <c r="Y205">
        <f>HYPERLINK("https://klasma.github.io/Logging_2283/tillsynsmail/A 35587-2023 tillsynsbegäran mail.docx", "A 35587-2023")</f>
        <v/>
      </c>
    </row>
    <row r="206" ht="15" customHeight="1">
      <c r="A206" t="inlineStr">
        <is>
          <t>A 37270-2023</t>
        </is>
      </c>
      <c r="B206" s="1" t="n">
        <v>45155</v>
      </c>
      <c r="C206" s="1" t="n">
        <v>45511</v>
      </c>
      <c r="D206" t="inlineStr">
        <is>
          <t>VÄSTERNORRLANDS LÄN</t>
        </is>
      </c>
      <c r="E206" t="inlineStr">
        <is>
          <t>SOLLEFTEÅ</t>
        </is>
      </c>
      <c r="F206" t="inlineStr">
        <is>
          <t>SCA</t>
        </is>
      </c>
      <c r="G206" t="n">
        <v>2.3</v>
      </c>
      <c r="H206" t="n">
        <v>1</v>
      </c>
      <c r="I206" t="n">
        <v>0</v>
      </c>
      <c r="J206" t="n">
        <v>2</v>
      </c>
      <c r="K206" t="n">
        <v>0</v>
      </c>
      <c r="L206" t="n">
        <v>0</v>
      </c>
      <c r="M206" t="n">
        <v>0</v>
      </c>
      <c r="N206" t="n">
        <v>0</v>
      </c>
      <c r="O206" t="n">
        <v>2</v>
      </c>
      <c r="P206" t="n">
        <v>0</v>
      </c>
      <c r="Q206" t="n">
        <v>2</v>
      </c>
      <c r="R206" s="2" t="inlineStr">
        <is>
          <t>Tallticka
Tretåig hackspett</t>
        </is>
      </c>
      <c r="S206">
        <f>HYPERLINK("https://klasma.github.io/Logging_2283/artfynd/A 37270-2023 artfynd.xlsx", "A 37270-2023")</f>
        <v/>
      </c>
      <c r="T206">
        <f>HYPERLINK("https://klasma.github.io/Logging_2283/kartor/A 37270-2023 karta.png", "A 37270-2023")</f>
        <v/>
      </c>
      <c r="V206">
        <f>HYPERLINK("https://klasma.github.io/Logging_2283/klagomål/A 37270-2023 FSC-klagomål.docx", "A 37270-2023")</f>
        <v/>
      </c>
      <c r="W206">
        <f>HYPERLINK("https://klasma.github.io/Logging_2283/klagomålsmail/A 37270-2023 FSC-klagomål mail.docx", "A 37270-2023")</f>
        <v/>
      </c>
      <c r="X206">
        <f>HYPERLINK("https://klasma.github.io/Logging_2283/tillsyn/A 37270-2023 tillsynsbegäran.docx", "A 37270-2023")</f>
        <v/>
      </c>
      <c r="Y206">
        <f>HYPERLINK("https://klasma.github.io/Logging_2283/tillsynsmail/A 37270-2023 tillsynsbegäran mail.docx", "A 37270-2023")</f>
        <v/>
      </c>
      <c r="Z206">
        <f>HYPERLINK("https://klasma.github.io/Logging_2283/fåglar/A 37270-2023 prioriterade fågelarter.docx", "A 37270-2023")</f>
        <v/>
      </c>
    </row>
    <row r="207" ht="15" customHeight="1">
      <c r="A207" t="inlineStr">
        <is>
          <t>A 40419-2023</t>
        </is>
      </c>
      <c r="B207" s="1" t="n">
        <v>45169</v>
      </c>
      <c r="C207" s="1" t="n">
        <v>45511</v>
      </c>
      <c r="D207" t="inlineStr">
        <is>
          <t>VÄSTERNORRLANDS LÄN</t>
        </is>
      </c>
      <c r="E207" t="inlineStr">
        <is>
          <t>SOLLEFTEÅ</t>
        </is>
      </c>
      <c r="F207" t="inlineStr">
        <is>
          <t>SCA</t>
        </is>
      </c>
      <c r="G207" t="n">
        <v>7.9</v>
      </c>
      <c r="H207" t="n">
        <v>1</v>
      </c>
      <c r="I207" t="n">
        <v>0</v>
      </c>
      <c r="J207" t="n">
        <v>1</v>
      </c>
      <c r="K207" t="n">
        <v>1</v>
      </c>
      <c r="L207" t="n">
        <v>0</v>
      </c>
      <c r="M207" t="n">
        <v>0</v>
      </c>
      <c r="N207" t="n">
        <v>0</v>
      </c>
      <c r="O207" t="n">
        <v>2</v>
      </c>
      <c r="P207" t="n">
        <v>1</v>
      </c>
      <c r="Q207" t="n">
        <v>2</v>
      </c>
      <c r="R207" s="2" t="inlineStr">
        <is>
          <t>Knärot
Lunglav</t>
        </is>
      </c>
      <c r="S207">
        <f>HYPERLINK("https://klasma.github.io/Logging_2283/artfynd/A 40419-2023 artfynd.xlsx", "A 40419-2023")</f>
        <v/>
      </c>
      <c r="T207">
        <f>HYPERLINK("https://klasma.github.io/Logging_2283/kartor/A 40419-2023 karta.png", "A 40419-2023")</f>
        <v/>
      </c>
      <c r="U207">
        <f>HYPERLINK("https://klasma.github.io/Logging_2283/knärot/A 40419-2023 karta knärot.png", "A 40419-2023")</f>
        <v/>
      </c>
      <c r="V207">
        <f>HYPERLINK("https://klasma.github.io/Logging_2283/klagomål/A 40419-2023 FSC-klagomål.docx", "A 40419-2023")</f>
        <v/>
      </c>
      <c r="W207">
        <f>HYPERLINK("https://klasma.github.io/Logging_2283/klagomålsmail/A 40419-2023 FSC-klagomål mail.docx", "A 40419-2023")</f>
        <v/>
      </c>
      <c r="X207">
        <f>HYPERLINK("https://klasma.github.io/Logging_2283/tillsyn/A 40419-2023 tillsynsbegäran.docx", "A 40419-2023")</f>
        <v/>
      </c>
      <c r="Y207">
        <f>HYPERLINK("https://klasma.github.io/Logging_2283/tillsynsmail/A 40419-2023 tillsynsbegäran mail.docx", "A 40419-2023")</f>
        <v/>
      </c>
    </row>
    <row r="208" ht="15" customHeight="1">
      <c r="A208" t="inlineStr">
        <is>
          <t>A 40866-2023</t>
        </is>
      </c>
      <c r="B208" s="1" t="n">
        <v>45173</v>
      </c>
      <c r="C208" s="1" t="n">
        <v>45511</v>
      </c>
      <c r="D208" t="inlineStr">
        <is>
          <t>VÄSTERNORRLANDS LÄN</t>
        </is>
      </c>
      <c r="E208" t="inlineStr">
        <is>
          <t>SOLLEFTEÅ</t>
        </is>
      </c>
      <c r="G208" t="n">
        <v>1.7</v>
      </c>
      <c r="H208" t="n">
        <v>1</v>
      </c>
      <c r="I208" t="n">
        <v>1</v>
      </c>
      <c r="J208" t="n">
        <v>0</v>
      </c>
      <c r="K208" t="n">
        <v>0</v>
      </c>
      <c r="L208" t="n">
        <v>0</v>
      </c>
      <c r="M208" t="n">
        <v>0</v>
      </c>
      <c r="N208" t="n">
        <v>0</v>
      </c>
      <c r="O208" t="n">
        <v>0</v>
      </c>
      <c r="P208" t="n">
        <v>0</v>
      </c>
      <c r="Q208" t="n">
        <v>2</v>
      </c>
      <c r="R208" s="2" t="inlineStr">
        <is>
          <t>Tibast
Skogsödla</t>
        </is>
      </c>
      <c r="S208">
        <f>HYPERLINK("https://klasma.github.io/Logging_2283/artfynd/A 40866-2023 artfynd.xlsx", "A 40866-2023")</f>
        <v/>
      </c>
      <c r="T208">
        <f>HYPERLINK("https://klasma.github.io/Logging_2283/kartor/A 40866-2023 karta.png", "A 40866-2023")</f>
        <v/>
      </c>
      <c r="V208">
        <f>HYPERLINK("https://klasma.github.io/Logging_2283/klagomål/A 40866-2023 FSC-klagomål.docx", "A 40866-2023")</f>
        <v/>
      </c>
      <c r="W208">
        <f>HYPERLINK("https://klasma.github.io/Logging_2283/klagomålsmail/A 40866-2023 FSC-klagomål mail.docx", "A 40866-2023")</f>
        <v/>
      </c>
      <c r="X208">
        <f>HYPERLINK("https://klasma.github.io/Logging_2283/tillsyn/A 40866-2023 tillsynsbegäran.docx", "A 40866-2023")</f>
        <v/>
      </c>
      <c r="Y208">
        <f>HYPERLINK("https://klasma.github.io/Logging_2283/tillsynsmail/A 40866-2023 tillsynsbegäran mail.docx", "A 40866-2023")</f>
        <v/>
      </c>
    </row>
    <row r="209" ht="15" customHeight="1">
      <c r="A209" t="inlineStr">
        <is>
          <t>A 48489-2023</t>
        </is>
      </c>
      <c r="B209" s="1" t="n">
        <v>45206</v>
      </c>
      <c r="C209" s="1" t="n">
        <v>45511</v>
      </c>
      <c r="D209" t="inlineStr">
        <is>
          <t>VÄSTERNORRLANDS LÄN</t>
        </is>
      </c>
      <c r="E209" t="inlineStr">
        <is>
          <t>SOLLEFTEÅ</t>
        </is>
      </c>
      <c r="F209" t="inlineStr">
        <is>
          <t>SCA</t>
        </is>
      </c>
      <c r="G209" t="n">
        <v>51.8</v>
      </c>
      <c r="H209" t="n">
        <v>2</v>
      </c>
      <c r="I209" t="n">
        <v>0</v>
      </c>
      <c r="J209" t="n">
        <v>2</v>
      </c>
      <c r="K209" t="n">
        <v>0</v>
      </c>
      <c r="L209" t="n">
        <v>0</v>
      </c>
      <c r="M209" t="n">
        <v>0</v>
      </c>
      <c r="N209" t="n">
        <v>0</v>
      </c>
      <c r="O209" t="n">
        <v>2</v>
      </c>
      <c r="P209" t="n">
        <v>0</v>
      </c>
      <c r="Q209" t="n">
        <v>2</v>
      </c>
      <c r="R209" s="2" t="inlineStr">
        <is>
          <t>Spillkråka
Talltita</t>
        </is>
      </c>
      <c r="S209">
        <f>HYPERLINK("https://klasma.github.io/Logging_2283/artfynd/A 48489-2023 artfynd.xlsx", "A 48489-2023")</f>
        <v/>
      </c>
      <c r="T209">
        <f>HYPERLINK("https://klasma.github.io/Logging_2283/kartor/A 48489-2023 karta.png", "A 48489-2023")</f>
        <v/>
      </c>
      <c r="V209">
        <f>HYPERLINK("https://klasma.github.io/Logging_2283/klagomål/A 48489-2023 FSC-klagomål.docx", "A 48489-2023")</f>
        <v/>
      </c>
      <c r="W209">
        <f>HYPERLINK("https://klasma.github.io/Logging_2283/klagomålsmail/A 48489-2023 FSC-klagomål mail.docx", "A 48489-2023")</f>
        <v/>
      </c>
      <c r="X209">
        <f>HYPERLINK("https://klasma.github.io/Logging_2283/tillsyn/A 48489-2023 tillsynsbegäran.docx", "A 48489-2023")</f>
        <v/>
      </c>
      <c r="Y209">
        <f>HYPERLINK("https://klasma.github.io/Logging_2283/tillsynsmail/A 48489-2023 tillsynsbegäran mail.docx", "A 48489-2023")</f>
        <v/>
      </c>
      <c r="Z209">
        <f>HYPERLINK("https://klasma.github.io/Logging_2283/fåglar/A 48489-2023 prioriterade fågelarter.docx", "A 48489-2023")</f>
        <v/>
      </c>
    </row>
    <row r="210" ht="15" customHeight="1">
      <c r="A210" t="inlineStr">
        <is>
          <t>A 53949-2023</t>
        </is>
      </c>
      <c r="B210" s="1" t="n">
        <v>45224</v>
      </c>
      <c r="C210" s="1" t="n">
        <v>45511</v>
      </c>
      <c r="D210" t="inlineStr">
        <is>
          <t>VÄSTERNORRLANDS LÄN</t>
        </is>
      </c>
      <c r="E210" t="inlineStr">
        <is>
          <t>SOLLEFTEÅ</t>
        </is>
      </c>
      <c r="G210" t="n">
        <v>4</v>
      </c>
      <c r="H210" t="n">
        <v>1</v>
      </c>
      <c r="I210" t="n">
        <v>0</v>
      </c>
      <c r="J210" t="n">
        <v>1</v>
      </c>
      <c r="K210" t="n">
        <v>0</v>
      </c>
      <c r="L210" t="n">
        <v>0</v>
      </c>
      <c r="M210" t="n">
        <v>0</v>
      </c>
      <c r="N210" t="n">
        <v>0</v>
      </c>
      <c r="O210" t="n">
        <v>1</v>
      </c>
      <c r="P210" t="n">
        <v>0</v>
      </c>
      <c r="Q210" t="n">
        <v>2</v>
      </c>
      <c r="R210" s="2" t="inlineStr">
        <is>
          <t>Granticka
Fläcknycklar</t>
        </is>
      </c>
      <c r="S210">
        <f>HYPERLINK("https://klasma.github.io/Logging_2283/artfynd/A 53949-2023 artfynd.xlsx", "A 53949-2023")</f>
        <v/>
      </c>
      <c r="T210">
        <f>HYPERLINK("https://klasma.github.io/Logging_2283/kartor/A 53949-2023 karta.png", "A 53949-2023")</f>
        <v/>
      </c>
      <c r="V210">
        <f>HYPERLINK("https://klasma.github.io/Logging_2283/klagomål/A 53949-2023 FSC-klagomål.docx", "A 53949-2023")</f>
        <v/>
      </c>
      <c r="W210">
        <f>HYPERLINK("https://klasma.github.io/Logging_2283/klagomålsmail/A 53949-2023 FSC-klagomål mail.docx", "A 53949-2023")</f>
        <v/>
      </c>
      <c r="X210">
        <f>HYPERLINK("https://klasma.github.io/Logging_2283/tillsyn/A 53949-2023 tillsynsbegäran.docx", "A 53949-2023")</f>
        <v/>
      </c>
      <c r="Y210">
        <f>HYPERLINK("https://klasma.github.io/Logging_2283/tillsynsmail/A 53949-2023 tillsynsbegäran mail.docx", "A 53949-2023")</f>
        <v/>
      </c>
    </row>
    <row r="211" ht="15" customHeight="1">
      <c r="A211" t="inlineStr">
        <is>
          <t>A 58827-2023</t>
        </is>
      </c>
      <c r="B211" s="1" t="n">
        <v>45247</v>
      </c>
      <c r="C211" s="1" t="n">
        <v>45511</v>
      </c>
      <c r="D211" t="inlineStr">
        <is>
          <t>VÄSTERNORRLANDS LÄN</t>
        </is>
      </c>
      <c r="E211" t="inlineStr">
        <is>
          <t>SOLLEFTEÅ</t>
        </is>
      </c>
      <c r="G211" t="n">
        <v>2.2</v>
      </c>
      <c r="H211" t="n">
        <v>1</v>
      </c>
      <c r="I211" t="n">
        <v>0</v>
      </c>
      <c r="J211" t="n">
        <v>1</v>
      </c>
      <c r="K211" t="n">
        <v>0</v>
      </c>
      <c r="L211" t="n">
        <v>0</v>
      </c>
      <c r="M211" t="n">
        <v>0</v>
      </c>
      <c r="N211" t="n">
        <v>0</v>
      </c>
      <c r="O211" t="n">
        <v>1</v>
      </c>
      <c r="P211" t="n">
        <v>0</v>
      </c>
      <c r="Q211" t="n">
        <v>2</v>
      </c>
      <c r="R211" s="2" t="inlineStr">
        <is>
          <t>Garnlav
Mattlummer</t>
        </is>
      </c>
      <c r="S211">
        <f>HYPERLINK("https://klasma.github.io/Logging_2283/artfynd/A 58827-2023 artfynd.xlsx", "A 58827-2023")</f>
        <v/>
      </c>
      <c r="T211">
        <f>HYPERLINK("https://klasma.github.io/Logging_2283/kartor/A 58827-2023 karta.png", "A 58827-2023")</f>
        <v/>
      </c>
      <c r="V211">
        <f>HYPERLINK("https://klasma.github.io/Logging_2283/klagomål/A 58827-2023 FSC-klagomål.docx", "A 58827-2023")</f>
        <v/>
      </c>
      <c r="W211">
        <f>HYPERLINK("https://klasma.github.io/Logging_2283/klagomålsmail/A 58827-2023 FSC-klagomål mail.docx", "A 58827-2023")</f>
        <v/>
      </c>
      <c r="X211">
        <f>HYPERLINK("https://klasma.github.io/Logging_2283/tillsyn/A 58827-2023 tillsynsbegäran.docx", "A 58827-2023")</f>
        <v/>
      </c>
      <c r="Y211">
        <f>HYPERLINK("https://klasma.github.io/Logging_2283/tillsynsmail/A 58827-2023 tillsynsbegäran mail.docx", "A 58827-2023")</f>
        <v/>
      </c>
    </row>
    <row r="212" ht="15" customHeight="1">
      <c r="A212" t="inlineStr">
        <is>
          <t>A 59662-2023</t>
        </is>
      </c>
      <c r="B212" s="1" t="n">
        <v>45255</v>
      </c>
      <c r="C212" s="1" t="n">
        <v>45511</v>
      </c>
      <c r="D212" t="inlineStr">
        <is>
          <t>VÄSTERNORRLANDS LÄN</t>
        </is>
      </c>
      <c r="E212" t="inlineStr">
        <is>
          <t>SOLLEFTEÅ</t>
        </is>
      </c>
      <c r="F212" t="inlineStr">
        <is>
          <t>SCA</t>
        </is>
      </c>
      <c r="G212" t="n">
        <v>4.8</v>
      </c>
      <c r="H212" t="n">
        <v>1</v>
      </c>
      <c r="I212" t="n">
        <v>0</v>
      </c>
      <c r="J212" t="n">
        <v>1</v>
      </c>
      <c r="K212" t="n">
        <v>1</v>
      </c>
      <c r="L212" t="n">
        <v>0</v>
      </c>
      <c r="M212" t="n">
        <v>0</v>
      </c>
      <c r="N212" t="n">
        <v>0</v>
      </c>
      <c r="O212" t="n">
        <v>2</v>
      </c>
      <c r="P212" t="n">
        <v>1</v>
      </c>
      <c r="Q212" t="n">
        <v>2</v>
      </c>
      <c r="R212" s="2" t="inlineStr">
        <is>
          <t>Knärot
Tallticka</t>
        </is>
      </c>
      <c r="S212">
        <f>HYPERLINK("https://klasma.github.io/Logging_2283/artfynd/A 59662-2023 artfynd.xlsx", "A 59662-2023")</f>
        <v/>
      </c>
      <c r="T212">
        <f>HYPERLINK("https://klasma.github.io/Logging_2283/kartor/A 59662-2023 karta.png", "A 59662-2023")</f>
        <v/>
      </c>
      <c r="U212">
        <f>HYPERLINK("https://klasma.github.io/Logging_2283/knärot/A 59662-2023 karta knärot.png", "A 59662-2023")</f>
        <v/>
      </c>
      <c r="V212">
        <f>HYPERLINK("https://klasma.github.io/Logging_2283/klagomål/A 59662-2023 FSC-klagomål.docx", "A 59662-2023")</f>
        <v/>
      </c>
      <c r="W212">
        <f>HYPERLINK("https://klasma.github.io/Logging_2283/klagomålsmail/A 59662-2023 FSC-klagomål mail.docx", "A 59662-2023")</f>
        <v/>
      </c>
      <c r="X212">
        <f>HYPERLINK("https://klasma.github.io/Logging_2283/tillsyn/A 59662-2023 tillsynsbegäran.docx", "A 59662-2023")</f>
        <v/>
      </c>
      <c r="Y212">
        <f>HYPERLINK("https://klasma.github.io/Logging_2283/tillsynsmail/A 59662-2023 tillsynsbegäran mail.docx", "A 59662-2023")</f>
        <v/>
      </c>
    </row>
    <row r="213" ht="15" customHeight="1">
      <c r="A213" t="inlineStr">
        <is>
          <t>A 2515-2024</t>
        </is>
      </c>
      <c r="B213" s="1" t="n">
        <v>45313</v>
      </c>
      <c r="C213" s="1" t="n">
        <v>45511</v>
      </c>
      <c r="D213" t="inlineStr">
        <is>
          <t>VÄSTERNORRLANDS LÄN</t>
        </is>
      </c>
      <c r="E213" t="inlineStr">
        <is>
          <t>SOLLEFTEÅ</t>
        </is>
      </c>
      <c r="F213" t="inlineStr">
        <is>
          <t>Kommuner</t>
        </is>
      </c>
      <c r="G213" t="n">
        <v>8.699999999999999</v>
      </c>
      <c r="H213" t="n">
        <v>1</v>
      </c>
      <c r="I213" t="n">
        <v>0</v>
      </c>
      <c r="J213" t="n">
        <v>2</v>
      </c>
      <c r="K213" t="n">
        <v>0</v>
      </c>
      <c r="L213" t="n">
        <v>0</v>
      </c>
      <c r="M213" t="n">
        <v>0</v>
      </c>
      <c r="N213" t="n">
        <v>0</v>
      </c>
      <c r="O213" t="n">
        <v>2</v>
      </c>
      <c r="P213" t="n">
        <v>0</v>
      </c>
      <c r="Q213" t="n">
        <v>2</v>
      </c>
      <c r="R213" s="2" t="inlineStr">
        <is>
          <t>Granticka
Talltita</t>
        </is>
      </c>
      <c r="S213">
        <f>HYPERLINK("https://klasma.github.io/Logging_2283/artfynd/A 2515-2024 artfynd.xlsx", "A 2515-2024")</f>
        <v/>
      </c>
      <c r="T213">
        <f>HYPERLINK("https://klasma.github.io/Logging_2283/kartor/A 2515-2024 karta.png", "A 2515-2024")</f>
        <v/>
      </c>
      <c r="V213">
        <f>HYPERLINK("https://klasma.github.io/Logging_2283/klagomål/A 2515-2024 FSC-klagomål.docx", "A 2515-2024")</f>
        <v/>
      </c>
      <c r="W213">
        <f>HYPERLINK("https://klasma.github.io/Logging_2283/klagomålsmail/A 2515-2024 FSC-klagomål mail.docx", "A 2515-2024")</f>
        <v/>
      </c>
      <c r="X213">
        <f>HYPERLINK("https://klasma.github.io/Logging_2283/tillsyn/A 2515-2024 tillsynsbegäran.docx", "A 2515-2024")</f>
        <v/>
      </c>
      <c r="Y213">
        <f>HYPERLINK("https://klasma.github.io/Logging_2283/tillsynsmail/A 2515-2024 tillsynsbegäran mail.docx", "A 2515-2024")</f>
        <v/>
      </c>
      <c r="Z213">
        <f>HYPERLINK("https://klasma.github.io/Logging_2283/fåglar/A 2515-2024 prioriterade fågelarter.docx", "A 2515-2024")</f>
        <v/>
      </c>
    </row>
    <row r="214" ht="15" customHeight="1">
      <c r="A214" t="inlineStr">
        <is>
          <t>A 6698-2024</t>
        </is>
      </c>
      <c r="B214" s="1" t="n">
        <v>45341</v>
      </c>
      <c r="C214" s="1" t="n">
        <v>45511</v>
      </c>
      <c r="D214" t="inlineStr">
        <is>
          <t>VÄSTERNORRLANDS LÄN</t>
        </is>
      </c>
      <c r="E214" t="inlineStr">
        <is>
          <t>SOLLEFTEÅ</t>
        </is>
      </c>
      <c r="F214" t="inlineStr">
        <is>
          <t>SCA</t>
        </is>
      </c>
      <c r="G214" t="n">
        <v>3</v>
      </c>
      <c r="H214" t="n">
        <v>0</v>
      </c>
      <c r="I214" t="n">
        <v>0</v>
      </c>
      <c r="J214" t="n">
        <v>2</v>
      </c>
      <c r="K214" t="n">
        <v>0</v>
      </c>
      <c r="L214" t="n">
        <v>0</v>
      </c>
      <c r="M214" t="n">
        <v>0</v>
      </c>
      <c r="N214" t="n">
        <v>0</v>
      </c>
      <c r="O214" t="n">
        <v>2</v>
      </c>
      <c r="P214" t="n">
        <v>0</v>
      </c>
      <c r="Q214" t="n">
        <v>2</v>
      </c>
      <c r="R214" s="2" t="inlineStr">
        <is>
          <t>Granticka
Harticka</t>
        </is>
      </c>
      <c r="S214">
        <f>HYPERLINK("https://klasma.github.io/Logging_2283/artfynd/A 6698-2024 artfynd.xlsx", "A 6698-2024")</f>
        <v/>
      </c>
      <c r="T214">
        <f>HYPERLINK("https://klasma.github.io/Logging_2283/kartor/A 6698-2024 karta.png", "A 6698-2024")</f>
        <v/>
      </c>
      <c r="V214">
        <f>HYPERLINK("https://klasma.github.io/Logging_2283/klagomål/A 6698-2024 FSC-klagomål.docx", "A 6698-2024")</f>
        <v/>
      </c>
      <c r="W214">
        <f>HYPERLINK("https://klasma.github.io/Logging_2283/klagomålsmail/A 6698-2024 FSC-klagomål mail.docx", "A 6698-2024")</f>
        <v/>
      </c>
      <c r="X214">
        <f>HYPERLINK("https://klasma.github.io/Logging_2283/tillsyn/A 6698-2024 tillsynsbegäran.docx", "A 6698-2024")</f>
        <v/>
      </c>
      <c r="Y214">
        <f>HYPERLINK("https://klasma.github.io/Logging_2283/tillsynsmail/A 6698-2024 tillsynsbegäran mail.docx", "A 6698-2024")</f>
        <v/>
      </c>
    </row>
    <row r="215" ht="15" customHeight="1">
      <c r="A215" t="inlineStr">
        <is>
          <t>A 7108-2024</t>
        </is>
      </c>
      <c r="B215" s="1" t="n">
        <v>45343</v>
      </c>
      <c r="C215" s="1" t="n">
        <v>45511</v>
      </c>
      <c r="D215" t="inlineStr">
        <is>
          <t>VÄSTERNORRLANDS LÄN</t>
        </is>
      </c>
      <c r="E215" t="inlineStr">
        <is>
          <t>SOLLEFTEÅ</t>
        </is>
      </c>
      <c r="F215" t="inlineStr">
        <is>
          <t>SCA</t>
        </is>
      </c>
      <c r="G215" t="n">
        <v>3.8</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HYPERLINK("https://klasma.github.io/Logging_2283/artfynd/A 7108-2024 artfynd.xlsx", "A 7108-2024")</f>
        <v/>
      </c>
      <c r="T215">
        <f>HYPERLINK("https://klasma.github.io/Logging_2283/kartor/A 7108-2024 karta.png", "A 7108-2024")</f>
        <v/>
      </c>
      <c r="V215">
        <f>HYPERLINK("https://klasma.github.io/Logging_2283/klagomål/A 7108-2024 FSC-klagomål.docx", "A 7108-2024")</f>
        <v/>
      </c>
      <c r="W215">
        <f>HYPERLINK("https://klasma.github.io/Logging_2283/klagomålsmail/A 7108-2024 FSC-klagomål mail.docx", "A 7108-2024")</f>
        <v/>
      </c>
      <c r="X215">
        <f>HYPERLINK("https://klasma.github.io/Logging_2283/tillsyn/A 7108-2024 tillsynsbegäran.docx", "A 7108-2024")</f>
        <v/>
      </c>
      <c r="Y215">
        <f>HYPERLINK("https://klasma.github.io/Logging_2283/tillsynsmail/A 7108-2024 tillsynsbegäran mail.docx", "A 7108-2024")</f>
        <v/>
      </c>
    </row>
    <row r="216" ht="15" customHeight="1">
      <c r="A216" t="inlineStr">
        <is>
          <t>A 7109-2024</t>
        </is>
      </c>
      <c r="B216" s="1" t="n">
        <v>45343</v>
      </c>
      <c r="C216" s="1" t="n">
        <v>45511</v>
      </c>
      <c r="D216" t="inlineStr">
        <is>
          <t>VÄSTERNORRLANDS LÄN</t>
        </is>
      </c>
      <c r="E216" t="inlineStr">
        <is>
          <t>SOLLEFTEÅ</t>
        </is>
      </c>
      <c r="F216" t="inlineStr">
        <is>
          <t>SCA</t>
        </is>
      </c>
      <c r="G216" t="n">
        <v>11</v>
      </c>
      <c r="H216" t="n">
        <v>1</v>
      </c>
      <c r="I216" t="n">
        <v>0</v>
      </c>
      <c r="J216" t="n">
        <v>2</v>
      </c>
      <c r="K216" t="n">
        <v>0</v>
      </c>
      <c r="L216" t="n">
        <v>0</v>
      </c>
      <c r="M216" t="n">
        <v>0</v>
      </c>
      <c r="N216" t="n">
        <v>0</v>
      </c>
      <c r="O216" t="n">
        <v>2</v>
      </c>
      <c r="P216" t="n">
        <v>0</v>
      </c>
      <c r="Q216" t="n">
        <v>2</v>
      </c>
      <c r="R216" s="2" t="inlineStr">
        <is>
          <t>Garnlav
Tretåig hackspett</t>
        </is>
      </c>
      <c r="S216">
        <f>HYPERLINK("https://klasma.github.io/Logging_2283/artfynd/A 7109-2024 artfynd.xlsx", "A 7109-2024")</f>
        <v/>
      </c>
      <c r="T216">
        <f>HYPERLINK("https://klasma.github.io/Logging_2283/kartor/A 7109-2024 karta.png", "A 7109-2024")</f>
        <v/>
      </c>
      <c r="V216">
        <f>HYPERLINK("https://klasma.github.io/Logging_2283/klagomål/A 7109-2024 FSC-klagomål.docx", "A 7109-2024")</f>
        <v/>
      </c>
      <c r="W216">
        <f>HYPERLINK("https://klasma.github.io/Logging_2283/klagomålsmail/A 7109-2024 FSC-klagomål mail.docx", "A 7109-2024")</f>
        <v/>
      </c>
      <c r="X216">
        <f>HYPERLINK("https://klasma.github.io/Logging_2283/tillsyn/A 7109-2024 tillsynsbegäran.docx", "A 7109-2024")</f>
        <v/>
      </c>
      <c r="Y216">
        <f>HYPERLINK("https://klasma.github.io/Logging_2283/tillsynsmail/A 7109-2024 tillsynsbegäran mail.docx", "A 7109-2024")</f>
        <v/>
      </c>
      <c r="Z216">
        <f>HYPERLINK("https://klasma.github.io/Logging_2283/fåglar/A 7109-2024 prioriterade fågelarter.docx", "A 7109-2024")</f>
        <v/>
      </c>
    </row>
    <row r="217" ht="15" customHeight="1">
      <c r="A217" t="inlineStr">
        <is>
          <t>A 9554-2024</t>
        </is>
      </c>
      <c r="B217" s="1" t="n">
        <v>45360</v>
      </c>
      <c r="C217" s="1" t="n">
        <v>45511</v>
      </c>
      <c r="D217" t="inlineStr">
        <is>
          <t>VÄSTERNORRLANDS LÄN</t>
        </is>
      </c>
      <c r="E217" t="inlineStr">
        <is>
          <t>SOLLEFTEÅ</t>
        </is>
      </c>
      <c r="F217" t="inlineStr">
        <is>
          <t>SCA</t>
        </is>
      </c>
      <c r="G217" t="n">
        <v>7.3</v>
      </c>
      <c r="H217" t="n">
        <v>2</v>
      </c>
      <c r="I217" t="n">
        <v>0</v>
      </c>
      <c r="J217" t="n">
        <v>0</v>
      </c>
      <c r="K217" t="n">
        <v>1</v>
      </c>
      <c r="L217" t="n">
        <v>0</v>
      </c>
      <c r="M217" t="n">
        <v>0</v>
      </c>
      <c r="N217" t="n">
        <v>0</v>
      </c>
      <c r="O217" t="n">
        <v>1</v>
      </c>
      <c r="P217" t="n">
        <v>1</v>
      </c>
      <c r="Q217" t="n">
        <v>2</v>
      </c>
      <c r="R217" s="2" t="inlineStr">
        <is>
          <t>Knärot
Revlummer</t>
        </is>
      </c>
      <c r="S217">
        <f>HYPERLINK("https://klasma.github.io/Logging_2283/artfynd/A 9554-2024 artfynd.xlsx", "A 9554-2024")</f>
        <v/>
      </c>
      <c r="T217">
        <f>HYPERLINK("https://klasma.github.io/Logging_2283/kartor/A 9554-2024 karta.png", "A 9554-2024")</f>
        <v/>
      </c>
      <c r="U217">
        <f>HYPERLINK("https://klasma.github.io/Logging_2283/knärot/A 9554-2024 karta knärot.png", "A 9554-2024")</f>
        <v/>
      </c>
      <c r="V217">
        <f>HYPERLINK("https://klasma.github.io/Logging_2283/klagomål/A 9554-2024 FSC-klagomål.docx", "A 9554-2024")</f>
        <v/>
      </c>
      <c r="W217">
        <f>HYPERLINK("https://klasma.github.io/Logging_2283/klagomålsmail/A 9554-2024 FSC-klagomål mail.docx", "A 9554-2024")</f>
        <v/>
      </c>
      <c r="X217">
        <f>HYPERLINK("https://klasma.github.io/Logging_2283/tillsyn/A 9554-2024 tillsynsbegäran.docx", "A 9554-2024")</f>
        <v/>
      </c>
      <c r="Y217">
        <f>HYPERLINK("https://klasma.github.io/Logging_2283/tillsynsmail/A 9554-2024 tillsynsbegäran mail.docx", "A 9554-2024")</f>
        <v/>
      </c>
    </row>
    <row r="218" ht="15" customHeight="1">
      <c r="A218" t="inlineStr">
        <is>
          <t>A 19080-2024</t>
        </is>
      </c>
      <c r="B218" s="1" t="n">
        <v>45428</v>
      </c>
      <c r="C218" s="1" t="n">
        <v>45511</v>
      </c>
      <c r="D218" t="inlineStr">
        <is>
          <t>VÄSTERNORRLANDS LÄN</t>
        </is>
      </c>
      <c r="E218" t="inlineStr">
        <is>
          <t>SOLLEFTEÅ</t>
        </is>
      </c>
      <c r="F218" t="inlineStr">
        <is>
          <t>SCA</t>
        </is>
      </c>
      <c r="G218" t="n">
        <v>1.2</v>
      </c>
      <c r="H218" t="n">
        <v>0</v>
      </c>
      <c r="I218" t="n">
        <v>1</v>
      </c>
      <c r="J218" t="n">
        <v>1</v>
      </c>
      <c r="K218" t="n">
        <v>0</v>
      </c>
      <c r="L218" t="n">
        <v>0</v>
      </c>
      <c r="M218" t="n">
        <v>0</v>
      </c>
      <c r="N218" t="n">
        <v>0</v>
      </c>
      <c r="O218" t="n">
        <v>1</v>
      </c>
      <c r="P218" t="n">
        <v>0</v>
      </c>
      <c r="Q218" t="n">
        <v>2</v>
      </c>
      <c r="R218" s="2" t="inlineStr">
        <is>
          <t>Garnlav
Stor aspticka</t>
        </is>
      </c>
      <c r="S218">
        <f>HYPERLINK("https://klasma.github.io/Logging_2283/artfynd/A 19080-2024 artfynd.xlsx", "A 19080-2024")</f>
        <v/>
      </c>
      <c r="T218">
        <f>HYPERLINK("https://klasma.github.io/Logging_2283/kartor/A 19080-2024 karta.png", "A 19080-2024")</f>
        <v/>
      </c>
      <c r="V218">
        <f>HYPERLINK("https://klasma.github.io/Logging_2283/klagomål/A 19080-2024 FSC-klagomål.docx", "A 19080-2024")</f>
        <v/>
      </c>
      <c r="W218">
        <f>HYPERLINK("https://klasma.github.io/Logging_2283/klagomålsmail/A 19080-2024 FSC-klagomål mail.docx", "A 19080-2024")</f>
        <v/>
      </c>
      <c r="X218">
        <f>HYPERLINK("https://klasma.github.io/Logging_2283/tillsyn/A 19080-2024 tillsynsbegäran.docx", "A 19080-2024")</f>
        <v/>
      </c>
      <c r="Y218">
        <f>HYPERLINK("https://klasma.github.io/Logging_2283/tillsynsmail/A 19080-2024 tillsynsbegäran mail.docx", "A 19080-2024")</f>
        <v/>
      </c>
    </row>
    <row r="219" ht="15" customHeight="1">
      <c r="A219" t="inlineStr">
        <is>
          <t>A 22449-2024</t>
        </is>
      </c>
      <c r="B219" s="1" t="n">
        <v>45446</v>
      </c>
      <c r="C219" s="1" t="n">
        <v>45511</v>
      </c>
      <c r="D219" t="inlineStr">
        <is>
          <t>VÄSTERNORRLANDS LÄN</t>
        </is>
      </c>
      <c r="E219" t="inlineStr">
        <is>
          <t>SOLLEFTEÅ</t>
        </is>
      </c>
      <c r="F219" t="inlineStr">
        <is>
          <t>SCA</t>
        </is>
      </c>
      <c r="G219" t="n">
        <v>7.2</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HYPERLINK("https://klasma.github.io/Logging_2283/artfynd/A 22449-2024 artfynd.xlsx", "A 22449-2024")</f>
        <v/>
      </c>
      <c r="T219">
        <f>HYPERLINK("https://klasma.github.io/Logging_2283/kartor/A 22449-2024 karta.png", "A 22449-2024")</f>
        <v/>
      </c>
      <c r="V219">
        <f>HYPERLINK("https://klasma.github.io/Logging_2283/klagomål/A 22449-2024 FSC-klagomål.docx", "A 22449-2024")</f>
        <v/>
      </c>
      <c r="W219">
        <f>HYPERLINK("https://klasma.github.io/Logging_2283/klagomålsmail/A 22449-2024 FSC-klagomål mail.docx", "A 22449-2024")</f>
        <v/>
      </c>
      <c r="X219">
        <f>HYPERLINK("https://klasma.github.io/Logging_2283/tillsyn/A 22449-2024 tillsynsbegäran.docx", "A 22449-2024")</f>
        <v/>
      </c>
      <c r="Y219">
        <f>HYPERLINK("https://klasma.github.io/Logging_2283/tillsynsmail/A 22449-2024 tillsynsbegäran mail.docx", "A 22449-2024")</f>
        <v/>
      </c>
    </row>
    <row r="220" ht="15" customHeight="1">
      <c r="A220" t="inlineStr">
        <is>
          <t>A 27644-2024</t>
        </is>
      </c>
      <c r="B220" s="1" t="n">
        <v>45474</v>
      </c>
      <c r="C220" s="1" t="n">
        <v>45511</v>
      </c>
      <c r="D220" t="inlineStr">
        <is>
          <t>VÄSTERNORRLANDS LÄN</t>
        </is>
      </c>
      <c r="E220" t="inlineStr">
        <is>
          <t>SOLLEFTEÅ</t>
        </is>
      </c>
      <c r="F220" t="inlineStr">
        <is>
          <t>SCA</t>
        </is>
      </c>
      <c r="G220" t="n">
        <v>2.8</v>
      </c>
      <c r="H220" t="n">
        <v>1</v>
      </c>
      <c r="I220" t="n">
        <v>0</v>
      </c>
      <c r="J220" t="n">
        <v>1</v>
      </c>
      <c r="K220" t="n">
        <v>0</v>
      </c>
      <c r="L220" t="n">
        <v>0</v>
      </c>
      <c r="M220" t="n">
        <v>0</v>
      </c>
      <c r="N220" t="n">
        <v>0</v>
      </c>
      <c r="O220" t="n">
        <v>1</v>
      </c>
      <c r="P220" t="n">
        <v>0</v>
      </c>
      <c r="Q220" t="n">
        <v>2</v>
      </c>
      <c r="R220" s="2" t="inlineStr">
        <is>
          <t>Granticka
Fläcknycklar</t>
        </is>
      </c>
      <c r="S220">
        <f>HYPERLINK("https://klasma.github.io/Logging_2283/artfynd/A 27644-2024 artfynd.xlsx", "A 27644-2024")</f>
        <v/>
      </c>
      <c r="T220">
        <f>HYPERLINK("https://klasma.github.io/Logging_2283/kartor/A 27644-2024 karta.png", "A 27644-2024")</f>
        <v/>
      </c>
      <c r="V220">
        <f>HYPERLINK("https://klasma.github.io/Logging_2283/klagomål/A 27644-2024 FSC-klagomål.docx", "A 27644-2024")</f>
        <v/>
      </c>
      <c r="W220">
        <f>HYPERLINK("https://klasma.github.io/Logging_2283/klagomålsmail/A 27644-2024 FSC-klagomål mail.docx", "A 27644-2024")</f>
        <v/>
      </c>
      <c r="X220">
        <f>HYPERLINK("https://klasma.github.io/Logging_2283/tillsyn/A 27644-2024 tillsynsbegäran.docx", "A 27644-2024")</f>
        <v/>
      </c>
      <c r="Y220">
        <f>HYPERLINK("https://klasma.github.io/Logging_2283/tillsynsmail/A 27644-2024 tillsynsbegäran mail.docx", "A 27644-2024")</f>
        <v/>
      </c>
    </row>
    <row r="221" ht="15" customHeight="1">
      <c r="A221" t="inlineStr">
        <is>
          <t>A 29264-2024</t>
        </is>
      </c>
      <c r="B221" s="1" t="n">
        <v>45482</v>
      </c>
      <c r="C221" s="1" t="n">
        <v>45511</v>
      </c>
      <c r="D221" t="inlineStr">
        <is>
          <t>VÄSTERNORRLANDS LÄN</t>
        </is>
      </c>
      <c r="E221" t="inlineStr">
        <is>
          <t>SOLLEFTEÅ</t>
        </is>
      </c>
      <c r="F221" t="inlineStr">
        <is>
          <t>SCA</t>
        </is>
      </c>
      <c r="G221" t="n">
        <v>3</v>
      </c>
      <c r="H221" t="n">
        <v>2</v>
      </c>
      <c r="I221" t="n">
        <v>0</v>
      </c>
      <c r="J221" t="n">
        <v>1</v>
      </c>
      <c r="K221" t="n">
        <v>0</v>
      </c>
      <c r="L221" t="n">
        <v>0</v>
      </c>
      <c r="M221" t="n">
        <v>0</v>
      </c>
      <c r="N221" t="n">
        <v>0</v>
      </c>
      <c r="O221" t="n">
        <v>1</v>
      </c>
      <c r="P221" t="n">
        <v>0</v>
      </c>
      <c r="Q221" t="n">
        <v>2</v>
      </c>
      <c r="R221" s="2" t="inlineStr">
        <is>
          <t>Tretåig hackspett
Fläcknycklar</t>
        </is>
      </c>
      <c r="S221">
        <f>HYPERLINK("https://klasma.github.io/Logging_2283/artfynd/A 29264-2024 artfynd.xlsx", "A 29264-2024")</f>
        <v/>
      </c>
      <c r="T221">
        <f>HYPERLINK("https://klasma.github.io/Logging_2283/kartor/A 29264-2024 karta.png", "A 29264-2024")</f>
        <v/>
      </c>
      <c r="V221">
        <f>HYPERLINK("https://klasma.github.io/Logging_2283/klagomål/A 29264-2024 FSC-klagomål.docx", "A 29264-2024")</f>
        <v/>
      </c>
      <c r="W221">
        <f>HYPERLINK("https://klasma.github.io/Logging_2283/klagomålsmail/A 29264-2024 FSC-klagomål mail.docx", "A 29264-2024")</f>
        <v/>
      </c>
      <c r="X221">
        <f>HYPERLINK("https://klasma.github.io/Logging_2283/tillsyn/A 29264-2024 tillsynsbegäran.docx", "A 29264-2024")</f>
        <v/>
      </c>
      <c r="Y221">
        <f>HYPERLINK("https://klasma.github.io/Logging_2283/tillsynsmail/A 29264-2024 tillsynsbegäran mail.docx", "A 29264-2024")</f>
        <v/>
      </c>
      <c r="Z221">
        <f>HYPERLINK("https://klasma.github.io/Logging_2283/fåglar/A 29264-2024 prioriterade fågelarter.docx", "A 29264-2024")</f>
        <v/>
      </c>
    </row>
    <row r="222" ht="15" customHeight="1">
      <c r="A222" t="inlineStr">
        <is>
          <t>A 31491-2024</t>
        </is>
      </c>
      <c r="B222" s="1" t="n">
        <v>45506</v>
      </c>
      <c r="C222" s="1" t="n">
        <v>45511</v>
      </c>
      <c r="D222" t="inlineStr">
        <is>
          <t>VÄSTERNORRLANDS LÄN</t>
        </is>
      </c>
      <c r="E222" t="inlineStr">
        <is>
          <t>SOLLEFTEÅ</t>
        </is>
      </c>
      <c r="F222" t="inlineStr">
        <is>
          <t>SCA</t>
        </is>
      </c>
      <c r="G222" t="n">
        <v>17.2</v>
      </c>
      <c r="H222" t="n">
        <v>1</v>
      </c>
      <c r="I222" t="n">
        <v>0</v>
      </c>
      <c r="J222" t="n">
        <v>2</v>
      </c>
      <c r="K222" t="n">
        <v>0</v>
      </c>
      <c r="L222" t="n">
        <v>0</v>
      </c>
      <c r="M222" t="n">
        <v>0</v>
      </c>
      <c r="N222" t="n">
        <v>0</v>
      </c>
      <c r="O222" t="n">
        <v>2</v>
      </c>
      <c r="P222" t="n">
        <v>0</v>
      </c>
      <c r="Q222" t="n">
        <v>2</v>
      </c>
      <c r="R222" s="2" t="inlineStr">
        <is>
          <t>Lunglav
Tretåig hackspett</t>
        </is>
      </c>
      <c r="S222">
        <f>HYPERLINK("https://klasma.github.io/Logging_2283/artfynd/A 31491-2024 artfynd.xlsx", "A 31491-2024")</f>
        <v/>
      </c>
      <c r="T222">
        <f>HYPERLINK("https://klasma.github.io/Logging_2283/kartor/A 31491-2024 karta.png", "A 31491-2024")</f>
        <v/>
      </c>
      <c r="V222">
        <f>HYPERLINK("https://klasma.github.io/Logging_2283/klagomål/A 31491-2024 FSC-klagomål.docx", "A 31491-2024")</f>
        <v/>
      </c>
      <c r="W222">
        <f>HYPERLINK("https://klasma.github.io/Logging_2283/klagomålsmail/A 31491-2024 FSC-klagomål mail.docx", "A 31491-2024")</f>
        <v/>
      </c>
      <c r="X222">
        <f>HYPERLINK("https://klasma.github.io/Logging_2283/tillsyn/A 31491-2024 tillsynsbegäran.docx", "A 31491-2024")</f>
        <v/>
      </c>
      <c r="Y222">
        <f>HYPERLINK("https://klasma.github.io/Logging_2283/tillsynsmail/A 31491-2024 tillsynsbegäran mail.docx", "A 31491-2024")</f>
        <v/>
      </c>
      <c r="Z222">
        <f>HYPERLINK("https://klasma.github.io/Logging_2283/fåglar/A 31491-2024 prioriterade fågelarter.docx", "A 31491-2024")</f>
        <v/>
      </c>
    </row>
    <row r="223" ht="15" customHeight="1">
      <c r="A223" t="inlineStr">
        <is>
          <t>A 21120-2019</t>
        </is>
      </c>
      <c r="B223" s="1" t="n">
        <v>43578</v>
      </c>
      <c r="C223" s="1" t="n">
        <v>45511</v>
      </c>
      <c r="D223" t="inlineStr">
        <is>
          <t>VÄSTERNORRLANDS LÄN</t>
        </is>
      </c>
      <c r="E223" t="inlineStr">
        <is>
          <t>SOLLEFTEÅ</t>
        </is>
      </c>
      <c r="F223" t="inlineStr">
        <is>
          <t>SCA</t>
        </is>
      </c>
      <c r="G223" t="n">
        <v>54.4</v>
      </c>
      <c r="H223" t="n">
        <v>1</v>
      </c>
      <c r="I223" t="n">
        <v>0</v>
      </c>
      <c r="J223" t="n">
        <v>0</v>
      </c>
      <c r="K223" t="n">
        <v>0</v>
      </c>
      <c r="L223" t="n">
        <v>0</v>
      </c>
      <c r="M223" t="n">
        <v>0</v>
      </c>
      <c r="N223" t="n">
        <v>0</v>
      </c>
      <c r="O223" t="n">
        <v>0</v>
      </c>
      <c r="P223" t="n">
        <v>0</v>
      </c>
      <c r="Q223" t="n">
        <v>1</v>
      </c>
      <c r="R223" s="2" t="inlineStr">
        <is>
          <t>Revlummer</t>
        </is>
      </c>
      <c r="S223">
        <f>HYPERLINK("https://klasma.github.io/Logging_2283/artfynd/A 21120-2019 artfynd.xlsx", "A 21120-2019")</f>
        <v/>
      </c>
      <c r="T223">
        <f>HYPERLINK("https://klasma.github.io/Logging_2283/kartor/A 21120-2019 karta.png", "A 21120-2019")</f>
        <v/>
      </c>
      <c r="V223">
        <f>HYPERLINK("https://klasma.github.io/Logging_2283/klagomål/A 21120-2019 FSC-klagomål.docx", "A 21120-2019")</f>
        <v/>
      </c>
      <c r="W223">
        <f>HYPERLINK("https://klasma.github.io/Logging_2283/klagomålsmail/A 21120-2019 FSC-klagomål mail.docx", "A 21120-2019")</f>
        <v/>
      </c>
      <c r="X223">
        <f>HYPERLINK("https://klasma.github.io/Logging_2283/tillsyn/A 21120-2019 tillsynsbegäran.docx", "A 21120-2019")</f>
        <v/>
      </c>
      <c r="Y223">
        <f>HYPERLINK("https://klasma.github.io/Logging_2283/tillsynsmail/A 21120-2019 tillsynsbegäran mail.docx", "A 21120-2019")</f>
        <v/>
      </c>
    </row>
    <row r="224" ht="15" customHeight="1">
      <c r="A224" t="inlineStr">
        <is>
          <t>A 28600-2019</t>
        </is>
      </c>
      <c r="B224" s="1" t="n">
        <v>43626</v>
      </c>
      <c r="C224" s="1" t="n">
        <v>45511</v>
      </c>
      <c r="D224" t="inlineStr">
        <is>
          <t>VÄSTERNORRLANDS LÄN</t>
        </is>
      </c>
      <c r="E224" t="inlineStr">
        <is>
          <t>SOLLEFTEÅ</t>
        </is>
      </c>
      <c r="F224" t="inlineStr">
        <is>
          <t>SCA</t>
        </is>
      </c>
      <c r="G224" t="n">
        <v>5.9</v>
      </c>
      <c r="H224" t="n">
        <v>0</v>
      </c>
      <c r="I224" t="n">
        <v>0</v>
      </c>
      <c r="J224" t="n">
        <v>1</v>
      </c>
      <c r="K224" t="n">
        <v>0</v>
      </c>
      <c r="L224" t="n">
        <v>0</v>
      </c>
      <c r="M224" t="n">
        <v>0</v>
      </c>
      <c r="N224" t="n">
        <v>0</v>
      </c>
      <c r="O224" t="n">
        <v>1</v>
      </c>
      <c r="P224" t="n">
        <v>0</v>
      </c>
      <c r="Q224" t="n">
        <v>1</v>
      </c>
      <c r="R224" s="2" t="inlineStr">
        <is>
          <t>Tallriska</t>
        </is>
      </c>
      <c r="S224">
        <f>HYPERLINK("https://klasma.github.io/Logging_2283/artfynd/A 28600-2019 artfynd.xlsx", "A 28600-2019")</f>
        <v/>
      </c>
      <c r="T224">
        <f>HYPERLINK("https://klasma.github.io/Logging_2283/kartor/A 28600-2019 karta.png", "A 28600-2019")</f>
        <v/>
      </c>
      <c r="V224">
        <f>HYPERLINK("https://klasma.github.io/Logging_2283/klagomål/A 28600-2019 FSC-klagomål.docx", "A 28600-2019")</f>
        <v/>
      </c>
      <c r="W224">
        <f>HYPERLINK("https://klasma.github.io/Logging_2283/klagomålsmail/A 28600-2019 FSC-klagomål mail.docx", "A 28600-2019")</f>
        <v/>
      </c>
      <c r="X224">
        <f>HYPERLINK("https://klasma.github.io/Logging_2283/tillsyn/A 28600-2019 tillsynsbegäran.docx", "A 28600-2019")</f>
        <v/>
      </c>
      <c r="Y224">
        <f>HYPERLINK("https://klasma.github.io/Logging_2283/tillsynsmail/A 28600-2019 tillsynsbegäran mail.docx", "A 28600-2019")</f>
        <v/>
      </c>
    </row>
    <row r="225" ht="15" customHeight="1">
      <c r="A225" t="inlineStr">
        <is>
          <t>A 36982-2019</t>
        </is>
      </c>
      <c r="B225" s="1" t="n">
        <v>43676</v>
      </c>
      <c r="C225" s="1" t="n">
        <v>45511</v>
      </c>
      <c r="D225" t="inlineStr">
        <is>
          <t>VÄSTERNORRLANDS LÄN</t>
        </is>
      </c>
      <c r="E225" t="inlineStr">
        <is>
          <t>SOLLEFTEÅ</t>
        </is>
      </c>
      <c r="G225" t="n">
        <v>1.2</v>
      </c>
      <c r="H225" t="n">
        <v>0</v>
      </c>
      <c r="I225" t="n">
        <v>1</v>
      </c>
      <c r="J225" t="n">
        <v>0</v>
      </c>
      <c r="K225" t="n">
        <v>0</v>
      </c>
      <c r="L225" t="n">
        <v>0</v>
      </c>
      <c r="M225" t="n">
        <v>0</v>
      </c>
      <c r="N225" t="n">
        <v>0</v>
      </c>
      <c r="O225" t="n">
        <v>0</v>
      </c>
      <c r="P225" t="n">
        <v>0</v>
      </c>
      <c r="Q225" t="n">
        <v>1</v>
      </c>
      <c r="R225" s="2" t="inlineStr">
        <is>
          <t>Trådticka</t>
        </is>
      </c>
      <c r="S225">
        <f>HYPERLINK("https://klasma.github.io/Logging_2283/artfynd/A 36982-2019 artfynd.xlsx", "A 36982-2019")</f>
        <v/>
      </c>
      <c r="T225">
        <f>HYPERLINK("https://klasma.github.io/Logging_2283/kartor/A 36982-2019 karta.png", "A 36982-2019")</f>
        <v/>
      </c>
      <c r="V225">
        <f>HYPERLINK("https://klasma.github.io/Logging_2283/klagomål/A 36982-2019 FSC-klagomål.docx", "A 36982-2019")</f>
        <v/>
      </c>
      <c r="W225">
        <f>HYPERLINK("https://klasma.github.io/Logging_2283/klagomålsmail/A 36982-2019 FSC-klagomål mail.docx", "A 36982-2019")</f>
        <v/>
      </c>
      <c r="X225">
        <f>HYPERLINK("https://klasma.github.io/Logging_2283/tillsyn/A 36982-2019 tillsynsbegäran.docx", "A 36982-2019")</f>
        <v/>
      </c>
      <c r="Y225">
        <f>HYPERLINK("https://klasma.github.io/Logging_2283/tillsynsmail/A 36982-2019 tillsynsbegäran mail.docx", "A 36982-2019")</f>
        <v/>
      </c>
    </row>
    <row r="226" ht="15" customHeight="1">
      <c r="A226" t="inlineStr">
        <is>
          <t>A 38091-2019</t>
        </is>
      </c>
      <c r="B226" s="1" t="n">
        <v>43682</v>
      </c>
      <c r="C226" s="1" t="n">
        <v>45511</v>
      </c>
      <c r="D226" t="inlineStr">
        <is>
          <t>VÄSTERNORRLANDS LÄN</t>
        </is>
      </c>
      <c r="E226" t="inlineStr">
        <is>
          <t>SOLLEFTEÅ</t>
        </is>
      </c>
      <c r="F226" t="inlineStr">
        <is>
          <t>Holmen skog AB</t>
        </is>
      </c>
      <c r="G226" t="n">
        <v>4.7</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38091-2019 artfynd.xlsx", "A 38091-2019")</f>
        <v/>
      </c>
      <c r="T226">
        <f>HYPERLINK("https://klasma.github.io/Logging_2283/kartor/A 38091-2019 karta.png", "A 38091-2019")</f>
        <v/>
      </c>
      <c r="V226">
        <f>HYPERLINK("https://klasma.github.io/Logging_2283/klagomål/A 38091-2019 FSC-klagomål.docx", "A 38091-2019")</f>
        <v/>
      </c>
      <c r="W226">
        <f>HYPERLINK("https://klasma.github.io/Logging_2283/klagomålsmail/A 38091-2019 FSC-klagomål mail.docx", "A 38091-2019")</f>
        <v/>
      </c>
      <c r="X226">
        <f>HYPERLINK("https://klasma.github.io/Logging_2283/tillsyn/A 38091-2019 tillsynsbegäran.docx", "A 38091-2019")</f>
        <v/>
      </c>
      <c r="Y226">
        <f>HYPERLINK("https://klasma.github.io/Logging_2283/tillsynsmail/A 38091-2019 tillsynsbegäran mail.docx", "A 38091-2019")</f>
        <v/>
      </c>
      <c r="Z226">
        <f>HYPERLINK("https://klasma.github.io/Logging_2283/fåglar/A 38091-2019 prioriterade fågelarter.docx", "A 38091-2019")</f>
        <v/>
      </c>
    </row>
    <row r="227" ht="15" customHeight="1">
      <c r="A227" t="inlineStr">
        <is>
          <t>A 51669-2019</t>
        </is>
      </c>
      <c r="B227" s="1" t="n">
        <v>43740</v>
      </c>
      <c r="C227" s="1" t="n">
        <v>45511</v>
      </c>
      <c r="D227" t="inlineStr">
        <is>
          <t>VÄSTERNORRLANDS LÄN</t>
        </is>
      </c>
      <c r="E227" t="inlineStr">
        <is>
          <t>SOLLEFTEÅ</t>
        </is>
      </c>
      <c r="F227" t="inlineStr">
        <is>
          <t>SCA</t>
        </is>
      </c>
      <c r="G227" t="n">
        <v>3.6</v>
      </c>
      <c r="H227" t="n">
        <v>0</v>
      </c>
      <c r="I227" t="n">
        <v>0</v>
      </c>
      <c r="J227" t="n">
        <v>1</v>
      </c>
      <c r="K227" t="n">
        <v>0</v>
      </c>
      <c r="L227" t="n">
        <v>0</v>
      </c>
      <c r="M227" t="n">
        <v>0</v>
      </c>
      <c r="N227" t="n">
        <v>0</v>
      </c>
      <c r="O227" t="n">
        <v>1</v>
      </c>
      <c r="P227" t="n">
        <v>0</v>
      </c>
      <c r="Q227" t="n">
        <v>1</v>
      </c>
      <c r="R227" s="2" t="inlineStr">
        <is>
          <t>Rosenticka</t>
        </is>
      </c>
      <c r="S227">
        <f>HYPERLINK("https://klasma.github.io/Logging_2283/artfynd/A 51669-2019 artfynd.xlsx", "A 51669-2019")</f>
        <v/>
      </c>
      <c r="T227">
        <f>HYPERLINK("https://klasma.github.io/Logging_2283/kartor/A 51669-2019 karta.png", "A 51669-2019")</f>
        <v/>
      </c>
      <c r="V227">
        <f>HYPERLINK("https://klasma.github.io/Logging_2283/klagomål/A 51669-2019 FSC-klagomål.docx", "A 51669-2019")</f>
        <v/>
      </c>
      <c r="W227">
        <f>HYPERLINK("https://klasma.github.io/Logging_2283/klagomålsmail/A 51669-2019 FSC-klagomål mail.docx", "A 51669-2019")</f>
        <v/>
      </c>
      <c r="X227">
        <f>HYPERLINK("https://klasma.github.io/Logging_2283/tillsyn/A 51669-2019 tillsynsbegäran.docx", "A 51669-2019")</f>
        <v/>
      </c>
      <c r="Y227">
        <f>HYPERLINK("https://klasma.github.io/Logging_2283/tillsynsmail/A 51669-2019 tillsynsbegäran mail.docx", "A 51669-2019")</f>
        <v/>
      </c>
    </row>
    <row r="228" ht="15" customHeight="1">
      <c r="A228" t="inlineStr">
        <is>
          <t>A 59511-2019</t>
        </is>
      </c>
      <c r="B228" s="1" t="n">
        <v>43773</v>
      </c>
      <c r="C228" s="1" t="n">
        <v>45511</v>
      </c>
      <c r="D228" t="inlineStr">
        <is>
          <t>VÄSTERNORRLANDS LÄN</t>
        </is>
      </c>
      <c r="E228" t="inlineStr">
        <is>
          <t>SOLLEFTEÅ</t>
        </is>
      </c>
      <c r="F228" t="inlineStr">
        <is>
          <t>Holmen skog AB</t>
        </is>
      </c>
      <c r="G228" t="n">
        <v>4.8</v>
      </c>
      <c r="H228" t="n">
        <v>0</v>
      </c>
      <c r="I228" t="n">
        <v>0</v>
      </c>
      <c r="J228" t="n">
        <v>1</v>
      </c>
      <c r="K228" t="n">
        <v>0</v>
      </c>
      <c r="L228" t="n">
        <v>0</v>
      </c>
      <c r="M228" t="n">
        <v>0</v>
      </c>
      <c r="N228" t="n">
        <v>0</v>
      </c>
      <c r="O228" t="n">
        <v>1</v>
      </c>
      <c r="P228" t="n">
        <v>0</v>
      </c>
      <c r="Q228" t="n">
        <v>1</v>
      </c>
      <c r="R228" s="2" t="inlineStr">
        <is>
          <t>Lunglav</t>
        </is>
      </c>
      <c r="S228">
        <f>HYPERLINK("https://klasma.github.io/Logging_2283/artfynd/A 59511-2019 artfynd.xlsx", "A 59511-2019")</f>
        <v/>
      </c>
      <c r="T228">
        <f>HYPERLINK("https://klasma.github.io/Logging_2283/kartor/A 59511-2019 karta.png", "A 59511-2019")</f>
        <v/>
      </c>
      <c r="V228">
        <f>HYPERLINK("https://klasma.github.io/Logging_2283/klagomål/A 59511-2019 FSC-klagomål.docx", "A 59511-2019")</f>
        <v/>
      </c>
      <c r="W228">
        <f>HYPERLINK("https://klasma.github.io/Logging_2283/klagomålsmail/A 59511-2019 FSC-klagomål mail.docx", "A 59511-2019")</f>
        <v/>
      </c>
      <c r="X228">
        <f>HYPERLINK("https://klasma.github.io/Logging_2283/tillsyn/A 59511-2019 tillsynsbegäran.docx", "A 59511-2019")</f>
        <v/>
      </c>
      <c r="Y228">
        <f>HYPERLINK("https://klasma.github.io/Logging_2283/tillsynsmail/A 59511-2019 tillsynsbegäran mail.docx", "A 59511-2019")</f>
        <v/>
      </c>
    </row>
    <row r="229" ht="15" customHeight="1">
      <c r="A229" t="inlineStr">
        <is>
          <t>A 9178-2020</t>
        </is>
      </c>
      <c r="B229" s="1" t="n">
        <v>43879</v>
      </c>
      <c r="C229" s="1" t="n">
        <v>45511</v>
      </c>
      <c r="D229" t="inlineStr">
        <is>
          <t>VÄSTERNORRLANDS LÄN</t>
        </is>
      </c>
      <c r="E229" t="inlineStr">
        <is>
          <t>SOLLEFTEÅ</t>
        </is>
      </c>
      <c r="G229" t="n">
        <v>5.3</v>
      </c>
      <c r="H229" t="n">
        <v>1</v>
      </c>
      <c r="I229" t="n">
        <v>0</v>
      </c>
      <c r="J229" t="n">
        <v>0</v>
      </c>
      <c r="K229" t="n">
        <v>0</v>
      </c>
      <c r="L229" t="n">
        <v>0</v>
      </c>
      <c r="M229" t="n">
        <v>0</v>
      </c>
      <c r="N229" t="n">
        <v>0</v>
      </c>
      <c r="O229" t="n">
        <v>0</v>
      </c>
      <c r="P229" t="n">
        <v>0</v>
      </c>
      <c r="Q229" t="n">
        <v>1</v>
      </c>
      <c r="R229" s="2" t="inlineStr">
        <is>
          <t>Fläcknycklar</t>
        </is>
      </c>
      <c r="S229">
        <f>HYPERLINK("https://klasma.github.io/Logging_2283/artfynd/A 9178-2020 artfynd.xlsx", "A 9178-2020")</f>
        <v/>
      </c>
      <c r="T229">
        <f>HYPERLINK("https://klasma.github.io/Logging_2283/kartor/A 9178-2020 karta.png", "A 9178-2020")</f>
        <v/>
      </c>
      <c r="V229">
        <f>HYPERLINK("https://klasma.github.io/Logging_2283/klagomål/A 9178-2020 FSC-klagomål.docx", "A 9178-2020")</f>
        <v/>
      </c>
      <c r="W229">
        <f>HYPERLINK("https://klasma.github.io/Logging_2283/klagomålsmail/A 9178-2020 FSC-klagomål mail.docx", "A 9178-2020")</f>
        <v/>
      </c>
      <c r="X229">
        <f>HYPERLINK("https://klasma.github.io/Logging_2283/tillsyn/A 9178-2020 tillsynsbegäran.docx", "A 9178-2020")</f>
        <v/>
      </c>
      <c r="Y229">
        <f>HYPERLINK("https://klasma.github.io/Logging_2283/tillsynsmail/A 9178-2020 tillsynsbegäran mail.docx", "A 9178-2020")</f>
        <v/>
      </c>
    </row>
    <row r="230" ht="15" customHeight="1">
      <c r="A230" t="inlineStr">
        <is>
          <t>A 19166-2020</t>
        </is>
      </c>
      <c r="B230" s="1" t="n">
        <v>43936</v>
      </c>
      <c r="C230" s="1" t="n">
        <v>45511</v>
      </c>
      <c r="D230" t="inlineStr">
        <is>
          <t>VÄSTERNORRLANDS LÄN</t>
        </is>
      </c>
      <c r="E230" t="inlineStr">
        <is>
          <t>SOLLEFTEÅ</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HYPERLINK("https://klasma.github.io/Logging_2283/artfynd/A 19166-2020 artfynd.xlsx", "A 19166-2020")</f>
        <v/>
      </c>
      <c r="T230">
        <f>HYPERLINK("https://klasma.github.io/Logging_2283/kartor/A 19166-2020 karta.png", "A 19166-2020")</f>
        <v/>
      </c>
      <c r="V230">
        <f>HYPERLINK("https://klasma.github.io/Logging_2283/klagomål/A 19166-2020 FSC-klagomål.docx", "A 19166-2020")</f>
        <v/>
      </c>
      <c r="W230">
        <f>HYPERLINK("https://klasma.github.io/Logging_2283/klagomålsmail/A 19166-2020 FSC-klagomål mail.docx", "A 19166-2020")</f>
        <v/>
      </c>
      <c r="X230">
        <f>HYPERLINK("https://klasma.github.io/Logging_2283/tillsyn/A 19166-2020 tillsynsbegäran.docx", "A 19166-2020")</f>
        <v/>
      </c>
      <c r="Y230">
        <f>HYPERLINK("https://klasma.github.io/Logging_2283/tillsynsmail/A 19166-2020 tillsynsbegäran mail.docx", "A 19166-2020")</f>
        <v/>
      </c>
    </row>
    <row r="231" ht="15" customHeight="1">
      <c r="A231" t="inlineStr">
        <is>
          <t>A 24641-2020</t>
        </is>
      </c>
      <c r="B231" s="1" t="n">
        <v>43977</v>
      </c>
      <c r="C231" s="1" t="n">
        <v>45511</v>
      </c>
      <c r="D231" t="inlineStr">
        <is>
          <t>VÄSTERNORRLANDS LÄN</t>
        </is>
      </c>
      <c r="E231" t="inlineStr">
        <is>
          <t>SOLLEFTEÅ</t>
        </is>
      </c>
      <c r="F231" t="inlineStr">
        <is>
          <t>SCA</t>
        </is>
      </c>
      <c r="G231" t="n">
        <v>3.9</v>
      </c>
      <c r="H231" t="n">
        <v>1</v>
      </c>
      <c r="I231" t="n">
        <v>0</v>
      </c>
      <c r="J231" t="n">
        <v>0</v>
      </c>
      <c r="K231" t="n">
        <v>1</v>
      </c>
      <c r="L231" t="n">
        <v>0</v>
      </c>
      <c r="M231" t="n">
        <v>0</v>
      </c>
      <c r="N231" t="n">
        <v>0</v>
      </c>
      <c r="O231" t="n">
        <v>1</v>
      </c>
      <c r="P231" t="n">
        <v>1</v>
      </c>
      <c r="Q231" t="n">
        <v>1</v>
      </c>
      <c r="R231" s="2" t="inlineStr">
        <is>
          <t>Knärot</t>
        </is>
      </c>
      <c r="S231">
        <f>HYPERLINK("https://klasma.github.io/Logging_2283/artfynd/A 24641-2020 artfynd.xlsx", "A 24641-2020")</f>
        <v/>
      </c>
      <c r="T231">
        <f>HYPERLINK("https://klasma.github.io/Logging_2283/kartor/A 24641-2020 karta.png", "A 24641-2020")</f>
        <v/>
      </c>
      <c r="U231">
        <f>HYPERLINK("https://klasma.github.io/Logging_2283/knärot/A 24641-2020 karta knärot.png", "A 24641-2020")</f>
        <v/>
      </c>
      <c r="V231">
        <f>HYPERLINK("https://klasma.github.io/Logging_2283/klagomål/A 24641-2020 FSC-klagomål.docx", "A 24641-2020")</f>
        <v/>
      </c>
      <c r="W231">
        <f>HYPERLINK("https://klasma.github.io/Logging_2283/klagomålsmail/A 24641-2020 FSC-klagomål mail.docx", "A 24641-2020")</f>
        <v/>
      </c>
      <c r="X231">
        <f>HYPERLINK("https://klasma.github.io/Logging_2283/tillsyn/A 24641-2020 tillsynsbegäran.docx", "A 24641-2020")</f>
        <v/>
      </c>
      <c r="Y231">
        <f>HYPERLINK("https://klasma.github.io/Logging_2283/tillsynsmail/A 24641-2020 tillsynsbegäran mail.docx", "A 24641-2020")</f>
        <v/>
      </c>
    </row>
    <row r="232" ht="15" customHeight="1">
      <c r="A232" t="inlineStr">
        <is>
          <t>A 47840-2020</t>
        </is>
      </c>
      <c r="B232" s="1" t="n">
        <v>44098</v>
      </c>
      <c r="C232" s="1" t="n">
        <v>45511</v>
      </c>
      <c r="D232" t="inlineStr">
        <is>
          <t>VÄSTERNORRLANDS LÄN</t>
        </is>
      </c>
      <c r="E232" t="inlineStr">
        <is>
          <t>SOLLEFTEÅ</t>
        </is>
      </c>
      <c r="F232" t="inlineStr">
        <is>
          <t>SCA</t>
        </is>
      </c>
      <c r="G232" t="n">
        <v>9.699999999999999</v>
      </c>
      <c r="H232" t="n">
        <v>1</v>
      </c>
      <c r="I232" t="n">
        <v>0</v>
      </c>
      <c r="J232" t="n">
        <v>0</v>
      </c>
      <c r="K232" t="n">
        <v>1</v>
      </c>
      <c r="L232" t="n">
        <v>0</v>
      </c>
      <c r="M232" t="n">
        <v>0</v>
      </c>
      <c r="N232" t="n">
        <v>0</v>
      </c>
      <c r="O232" t="n">
        <v>1</v>
      </c>
      <c r="P232" t="n">
        <v>1</v>
      </c>
      <c r="Q232" t="n">
        <v>1</v>
      </c>
      <c r="R232" s="2" t="inlineStr">
        <is>
          <t>Knärot</t>
        </is>
      </c>
      <c r="S232">
        <f>HYPERLINK("https://klasma.github.io/Logging_2283/artfynd/A 47840-2020 artfynd.xlsx", "A 47840-2020")</f>
        <v/>
      </c>
      <c r="T232">
        <f>HYPERLINK("https://klasma.github.io/Logging_2283/kartor/A 47840-2020 karta.png", "A 47840-2020")</f>
        <v/>
      </c>
      <c r="U232">
        <f>HYPERLINK("https://klasma.github.io/Logging_2283/knärot/A 47840-2020 karta knärot.png", "A 47840-2020")</f>
        <v/>
      </c>
      <c r="V232">
        <f>HYPERLINK("https://klasma.github.io/Logging_2283/klagomål/A 47840-2020 FSC-klagomål.docx", "A 47840-2020")</f>
        <v/>
      </c>
      <c r="W232">
        <f>HYPERLINK("https://klasma.github.io/Logging_2283/klagomålsmail/A 47840-2020 FSC-klagomål mail.docx", "A 47840-2020")</f>
        <v/>
      </c>
      <c r="X232">
        <f>HYPERLINK("https://klasma.github.io/Logging_2283/tillsyn/A 47840-2020 tillsynsbegäran.docx", "A 47840-2020")</f>
        <v/>
      </c>
      <c r="Y232">
        <f>HYPERLINK("https://klasma.github.io/Logging_2283/tillsynsmail/A 47840-2020 tillsynsbegäran mail.docx", "A 47840-2020")</f>
        <v/>
      </c>
    </row>
    <row r="233" ht="15" customHeight="1">
      <c r="A233" t="inlineStr">
        <is>
          <t>A 68651-2020</t>
        </is>
      </c>
      <c r="B233" s="1" t="n">
        <v>44186</v>
      </c>
      <c r="C233" s="1" t="n">
        <v>45511</v>
      </c>
      <c r="D233" t="inlineStr">
        <is>
          <t>VÄSTERNORRLANDS LÄN</t>
        </is>
      </c>
      <c r="E233" t="inlineStr">
        <is>
          <t>SOLLEFTEÅ</t>
        </is>
      </c>
      <c r="F233" t="inlineStr">
        <is>
          <t>SCA</t>
        </is>
      </c>
      <c r="G233" t="n">
        <v>1.5</v>
      </c>
      <c r="H233" t="n">
        <v>0</v>
      </c>
      <c r="I233" t="n">
        <v>0</v>
      </c>
      <c r="J233" t="n">
        <v>1</v>
      </c>
      <c r="K233" t="n">
        <v>0</v>
      </c>
      <c r="L233" t="n">
        <v>0</v>
      </c>
      <c r="M233" t="n">
        <v>0</v>
      </c>
      <c r="N233" t="n">
        <v>0</v>
      </c>
      <c r="O233" t="n">
        <v>1</v>
      </c>
      <c r="P233" t="n">
        <v>0</v>
      </c>
      <c r="Q233" t="n">
        <v>1</v>
      </c>
      <c r="R233" s="2" t="inlineStr">
        <is>
          <t>Harticka</t>
        </is>
      </c>
      <c r="S233">
        <f>HYPERLINK("https://klasma.github.io/Logging_2283/artfynd/A 68651-2020 artfynd.xlsx", "A 68651-2020")</f>
        <v/>
      </c>
      <c r="T233">
        <f>HYPERLINK("https://klasma.github.io/Logging_2283/kartor/A 68651-2020 karta.png", "A 68651-2020")</f>
        <v/>
      </c>
      <c r="V233">
        <f>HYPERLINK("https://klasma.github.io/Logging_2283/klagomål/A 68651-2020 FSC-klagomål.docx", "A 68651-2020")</f>
        <v/>
      </c>
      <c r="W233">
        <f>HYPERLINK("https://klasma.github.io/Logging_2283/klagomålsmail/A 68651-2020 FSC-klagomål mail.docx", "A 68651-2020")</f>
        <v/>
      </c>
      <c r="X233">
        <f>HYPERLINK("https://klasma.github.io/Logging_2283/tillsyn/A 68651-2020 tillsynsbegäran.docx", "A 68651-2020")</f>
        <v/>
      </c>
      <c r="Y233">
        <f>HYPERLINK("https://klasma.github.io/Logging_2283/tillsynsmail/A 68651-2020 tillsynsbegäran mail.docx", "A 68651-2020")</f>
        <v/>
      </c>
    </row>
    <row r="234" ht="15" customHeight="1">
      <c r="A234" t="inlineStr">
        <is>
          <t>A 68789-2020</t>
        </is>
      </c>
      <c r="B234" s="1" t="n">
        <v>44186</v>
      </c>
      <c r="C234" s="1" t="n">
        <v>45511</v>
      </c>
      <c r="D234" t="inlineStr">
        <is>
          <t>VÄSTERNORRLANDS LÄN</t>
        </is>
      </c>
      <c r="E234" t="inlineStr">
        <is>
          <t>SOLLEFTEÅ</t>
        </is>
      </c>
      <c r="G234" t="n">
        <v>2.1</v>
      </c>
      <c r="H234" t="n">
        <v>0</v>
      </c>
      <c r="I234" t="n">
        <v>1</v>
      </c>
      <c r="J234" t="n">
        <v>0</v>
      </c>
      <c r="K234" t="n">
        <v>0</v>
      </c>
      <c r="L234" t="n">
        <v>0</v>
      </c>
      <c r="M234" t="n">
        <v>0</v>
      </c>
      <c r="N234" t="n">
        <v>0</v>
      </c>
      <c r="O234" t="n">
        <v>0</v>
      </c>
      <c r="P234" t="n">
        <v>0</v>
      </c>
      <c r="Q234" t="n">
        <v>1</v>
      </c>
      <c r="R234" s="2" t="inlineStr">
        <is>
          <t>Svart trolldruva</t>
        </is>
      </c>
      <c r="S234">
        <f>HYPERLINK("https://klasma.github.io/Logging_2283/artfynd/A 68789-2020 artfynd.xlsx", "A 68789-2020")</f>
        <v/>
      </c>
      <c r="T234">
        <f>HYPERLINK("https://klasma.github.io/Logging_2283/kartor/A 68789-2020 karta.png", "A 68789-2020")</f>
        <v/>
      </c>
      <c r="U234">
        <f>HYPERLINK("https://klasma.github.io/Logging_2283/knärot/A 68789-2020 karta knärot.png", "A 68789-2020")</f>
        <v/>
      </c>
      <c r="V234">
        <f>HYPERLINK("https://klasma.github.io/Logging_2283/klagomål/A 68789-2020 FSC-klagomål.docx", "A 68789-2020")</f>
        <v/>
      </c>
      <c r="W234">
        <f>HYPERLINK("https://klasma.github.io/Logging_2283/klagomålsmail/A 68789-2020 FSC-klagomål mail.docx", "A 68789-2020")</f>
        <v/>
      </c>
      <c r="X234">
        <f>HYPERLINK("https://klasma.github.io/Logging_2283/tillsyn/A 68789-2020 tillsynsbegäran.docx", "A 68789-2020")</f>
        <v/>
      </c>
      <c r="Y234">
        <f>HYPERLINK("https://klasma.github.io/Logging_2283/tillsynsmail/A 68789-2020 tillsynsbegäran mail.docx", "A 68789-2020")</f>
        <v/>
      </c>
    </row>
    <row r="235" ht="15" customHeight="1">
      <c r="A235" t="inlineStr">
        <is>
          <t>A 17377-2021</t>
        </is>
      </c>
      <c r="B235" s="1" t="n">
        <v>44298</v>
      </c>
      <c r="C235" s="1" t="n">
        <v>45511</v>
      </c>
      <c r="D235" t="inlineStr">
        <is>
          <t>VÄSTERNORRLANDS LÄN</t>
        </is>
      </c>
      <c r="E235" t="inlineStr">
        <is>
          <t>SOLLEFTEÅ</t>
        </is>
      </c>
      <c r="G235" t="n">
        <v>5.1</v>
      </c>
      <c r="H235" t="n">
        <v>0</v>
      </c>
      <c r="I235" t="n">
        <v>0</v>
      </c>
      <c r="J235" t="n">
        <v>1</v>
      </c>
      <c r="K235" t="n">
        <v>0</v>
      </c>
      <c r="L235" t="n">
        <v>0</v>
      </c>
      <c r="M235" t="n">
        <v>0</v>
      </c>
      <c r="N235" t="n">
        <v>0</v>
      </c>
      <c r="O235" t="n">
        <v>1</v>
      </c>
      <c r="P235" t="n">
        <v>0</v>
      </c>
      <c r="Q235" t="n">
        <v>1</v>
      </c>
      <c r="R235" s="2" t="inlineStr">
        <is>
          <t>Ullticka</t>
        </is>
      </c>
      <c r="S235">
        <f>HYPERLINK("https://klasma.github.io/Logging_2283/artfynd/A 17377-2021 artfynd.xlsx", "A 17377-2021")</f>
        <v/>
      </c>
      <c r="T235">
        <f>HYPERLINK("https://klasma.github.io/Logging_2283/kartor/A 17377-2021 karta.png", "A 17377-2021")</f>
        <v/>
      </c>
      <c r="V235">
        <f>HYPERLINK("https://klasma.github.io/Logging_2283/klagomål/A 17377-2021 FSC-klagomål.docx", "A 17377-2021")</f>
        <v/>
      </c>
      <c r="W235">
        <f>HYPERLINK("https://klasma.github.io/Logging_2283/klagomålsmail/A 17377-2021 FSC-klagomål mail.docx", "A 17377-2021")</f>
        <v/>
      </c>
      <c r="X235">
        <f>HYPERLINK("https://klasma.github.io/Logging_2283/tillsyn/A 17377-2021 tillsynsbegäran.docx", "A 17377-2021")</f>
        <v/>
      </c>
      <c r="Y235">
        <f>HYPERLINK("https://klasma.github.io/Logging_2283/tillsynsmail/A 17377-2021 tillsynsbegäran mail.docx", "A 17377-2021")</f>
        <v/>
      </c>
    </row>
    <row r="236" ht="15" customHeight="1">
      <c r="A236" t="inlineStr">
        <is>
          <t>A 18461-2021</t>
        </is>
      </c>
      <c r="B236" s="1" t="n">
        <v>44305</v>
      </c>
      <c r="C236" s="1" t="n">
        <v>45511</v>
      </c>
      <c r="D236" t="inlineStr">
        <is>
          <t>VÄSTERNORRLANDS LÄN</t>
        </is>
      </c>
      <c r="E236" t="inlineStr">
        <is>
          <t>SOLLEFTEÅ</t>
        </is>
      </c>
      <c r="F236" t="inlineStr">
        <is>
          <t>SCA</t>
        </is>
      </c>
      <c r="G236" t="n">
        <v>1.7</v>
      </c>
      <c r="H236" t="n">
        <v>1</v>
      </c>
      <c r="I236" t="n">
        <v>0</v>
      </c>
      <c r="J236" t="n">
        <v>1</v>
      </c>
      <c r="K236" t="n">
        <v>0</v>
      </c>
      <c r="L236" t="n">
        <v>0</v>
      </c>
      <c r="M236" t="n">
        <v>0</v>
      </c>
      <c r="N236" t="n">
        <v>0</v>
      </c>
      <c r="O236" t="n">
        <v>1</v>
      </c>
      <c r="P236" t="n">
        <v>0</v>
      </c>
      <c r="Q236" t="n">
        <v>1</v>
      </c>
      <c r="R236" s="2" t="inlineStr">
        <is>
          <t>Nordfladdermus</t>
        </is>
      </c>
      <c r="S236">
        <f>HYPERLINK("https://klasma.github.io/Logging_2283/artfynd/A 18461-2021 artfynd.xlsx", "A 18461-2021")</f>
        <v/>
      </c>
      <c r="T236">
        <f>HYPERLINK("https://klasma.github.io/Logging_2283/kartor/A 18461-2021 karta.png", "A 18461-2021")</f>
        <v/>
      </c>
      <c r="V236">
        <f>HYPERLINK("https://klasma.github.io/Logging_2283/klagomål/A 18461-2021 FSC-klagomål.docx", "A 18461-2021")</f>
        <v/>
      </c>
      <c r="W236">
        <f>HYPERLINK("https://klasma.github.io/Logging_2283/klagomålsmail/A 18461-2021 FSC-klagomål mail.docx", "A 18461-2021")</f>
        <v/>
      </c>
      <c r="X236">
        <f>HYPERLINK("https://klasma.github.io/Logging_2283/tillsyn/A 18461-2021 tillsynsbegäran.docx", "A 18461-2021")</f>
        <v/>
      </c>
      <c r="Y236">
        <f>HYPERLINK("https://klasma.github.io/Logging_2283/tillsynsmail/A 18461-2021 tillsynsbegäran mail.docx", "A 18461-2021")</f>
        <v/>
      </c>
    </row>
    <row r="237" ht="15" customHeight="1">
      <c r="A237" t="inlineStr">
        <is>
          <t>A 21360-2021</t>
        </is>
      </c>
      <c r="B237" s="1" t="n">
        <v>44320</v>
      </c>
      <c r="C237" s="1" t="n">
        <v>45511</v>
      </c>
      <c r="D237" t="inlineStr">
        <is>
          <t>VÄSTERNORRLANDS LÄN</t>
        </is>
      </c>
      <c r="E237" t="inlineStr">
        <is>
          <t>SOLLEFTEÅ</t>
        </is>
      </c>
      <c r="G237" t="n">
        <v>6.8</v>
      </c>
      <c r="H237" t="n">
        <v>1</v>
      </c>
      <c r="I237" t="n">
        <v>0</v>
      </c>
      <c r="J237" t="n">
        <v>0</v>
      </c>
      <c r="K237" t="n">
        <v>1</v>
      </c>
      <c r="L237" t="n">
        <v>0</v>
      </c>
      <c r="M237" t="n">
        <v>0</v>
      </c>
      <c r="N237" t="n">
        <v>0</v>
      </c>
      <c r="O237" t="n">
        <v>1</v>
      </c>
      <c r="P237" t="n">
        <v>1</v>
      </c>
      <c r="Q237" t="n">
        <v>1</v>
      </c>
      <c r="R237" s="2" t="inlineStr">
        <is>
          <t>Knärot</t>
        </is>
      </c>
      <c r="S237">
        <f>HYPERLINK("https://klasma.github.io/Logging_2283/artfynd/A 21360-2021 artfynd.xlsx", "A 21360-2021")</f>
        <v/>
      </c>
      <c r="T237">
        <f>HYPERLINK("https://klasma.github.io/Logging_2283/kartor/A 21360-2021 karta.png", "A 21360-2021")</f>
        <v/>
      </c>
      <c r="U237">
        <f>HYPERLINK("https://klasma.github.io/Logging_2283/knärot/A 21360-2021 karta knärot.png", "A 21360-2021")</f>
        <v/>
      </c>
      <c r="V237">
        <f>HYPERLINK("https://klasma.github.io/Logging_2283/klagomål/A 21360-2021 FSC-klagomål.docx", "A 21360-2021")</f>
        <v/>
      </c>
      <c r="W237">
        <f>HYPERLINK("https://klasma.github.io/Logging_2283/klagomålsmail/A 21360-2021 FSC-klagomål mail.docx", "A 21360-2021")</f>
        <v/>
      </c>
      <c r="X237">
        <f>HYPERLINK("https://klasma.github.io/Logging_2283/tillsyn/A 21360-2021 tillsynsbegäran.docx", "A 21360-2021")</f>
        <v/>
      </c>
      <c r="Y237">
        <f>HYPERLINK("https://klasma.github.io/Logging_2283/tillsynsmail/A 21360-2021 tillsynsbegäran mail.docx", "A 21360-2021")</f>
        <v/>
      </c>
    </row>
    <row r="238" ht="15" customHeight="1">
      <c r="A238" t="inlineStr">
        <is>
          <t>A 22862-2021</t>
        </is>
      </c>
      <c r="B238" s="1" t="n">
        <v>44326</v>
      </c>
      <c r="C238" s="1" t="n">
        <v>45511</v>
      </c>
      <c r="D238" t="inlineStr">
        <is>
          <t>VÄSTERNORRLANDS LÄN</t>
        </is>
      </c>
      <c r="E238" t="inlineStr">
        <is>
          <t>SOLLEFTEÅ</t>
        </is>
      </c>
      <c r="F238" t="inlineStr">
        <is>
          <t>Kommuner</t>
        </is>
      </c>
      <c r="G238" t="n">
        <v>2</v>
      </c>
      <c r="H238" t="n">
        <v>1</v>
      </c>
      <c r="I238" t="n">
        <v>0</v>
      </c>
      <c r="J238" t="n">
        <v>0</v>
      </c>
      <c r="K238" t="n">
        <v>1</v>
      </c>
      <c r="L238" t="n">
        <v>0</v>
      </c>
      <c r="M238" t="n">
        <v>0</v>
      </c>
      <c r="N238" t="n">
        <v>0</v>
      </c>
      <c r="O238" t="n">
        <v>1</v>
      </c>
      <c r="P238" t="n">
        <v>1</v>
      </c>
      <c r="Q238" t="n">
        <v>1</v>
      </c>
      <c r="R238" s="2" t="inlineStr">
        <is>
          <t>Lappuggla</t>
        </is>
      </c>
      <c r="S238">
        <f>HYPERLINK("https://klasma.github.io/Logging_2283/artfynd/A 22862-2021 artfynd.xlsx", "A 22862-2021")</f>
        <v/>
      </c>
      <c r="T238">
        <f>HYPERLINK("https://klasma.github.io/Logging_2283/kartor/A 22862-2021 karta.png", "A 22862-2021")</f>
        <v/>
      </c>
      <c r="V238">
        <f>HYPERLINK("https://klasma.github.io/Logging_2283/klagomål/A 22862-2021 FSC-klagomål.docx", "A 22862-2021")</f>
        <v/>
      </c>
      <c r="W238">
        <f>HYPERLINK("https://klasma.github.io/Logging_2283/klagomålsmail/A 22862-2021 FSC-klagomål mail.docx", "A 22862-2021")</f>
        <v/>
      </c>
      <c r="X238">
        <f>HYPERLINK("https://klasma.github.io/Logging_2283/tillsyn/A 22862-2021 tillsynsbegäran.docx", "A 22862-2021")</f>
        <v/>
      </c>
      <c r="Y238">
        <f>HYPERLINK("https://klasma.github.io/Logging_2283/tillsynsmail/A 22862-2021 tillsynsbegäran mail.docx", "A 22862-2021")</f>
        <v/>
      </c>
      <c r="Z238">
        <f>HYPERLINK("https://klasma.github.io/Logging_2283/fåglar/A 22862-2021 prioriterade fågelarter.docx", "A 22862-2021")</f>
        <v/>
      </c>
    </row>
    <row r="239" ht="15" customHeight="1">
      <c r="A239" t="inlineStr">
        <is>
          <t>A 37043-2021</t>
        </is>
      </c>
      <c r="B239" s="1" t="n">
        <v>44393</v>
      </c>
      <c r="C239" s="1" t="n">
        <v>45511</v>
      </c>
      <c r="D239" t="inlineStr">
        <is>
          <t>VÄSTERNORRLANDS LÄN</t>
        </is>
      </c>
      <c r="E239" t="inlineStr">
        <is>
          <t>SOLLEFTEÅ</t>
        </is>
      </c>
      <c r="F239" t="inlineStr">
        <is>
          <t>SCA</t>
        </is>
      </c>
      <c r="G239" t="n">
        <v>2.9</v>
      </c>
      <c r="H239" t="n">
        <v>0</v>
      </c>
      <c r="I239" t="n">
        <v>0</v>
      </c>
      <c r="J239" t="n">
        <v>1</v>
      </c>
      <c r="K239" t="n">
        <v>0</v>
      </c>
      <c r="L239" t="n">
        <v>0</v>
      </c>
      <c r="M239" t="n">
        <v>0</v>
      </c>
      <c r="N239" t="n">
        <v>0</v>
      </c>
      <c r="O239" t="n">
        <v>1</v>
      </c>
      <c r="P239" t="n">
        <v>0</v>
      </c>
      <c r="Q239" t="n">
        <v>1</v>
      </c>
      <c r="R239" s="2" t="inlineStr">
        <is>
          <t>Garnlav</t>
        </is>
      </c>
      <c r="S239">
        <f>HYPERLINK("https://klasma.github.io/Logging_2283/artfynd/A 37043-2021 artfynd.xlsx", "A 37043-2021")</f>
        <v/>
      </c>
      <c r="T239">
        <f>HYPERLINK("https://klasma.github.io/Logging_2283/kartor/A 37043-2021 karta.png", "A 37043-2021")</f>
        <v/>
      </c>
      <c r="V239">
        <f>HYPERLINK("https://klasma.github.io/Logging_2283/klagomål/A 37043-2021 FSC-klagomål.docx", "A 37043-2021")</f>
        <v/>
      </c>
      <c r="W239">
        <f>HYPERLINK("https://klasma.github.io/Logging_2283/klagomålsmail/A 37043-2021 FSC-klagomål mail.docx", "A 37043-2021")</f>
        <v/>
      </c>
      <c r="X239">
        <f>HYPERLINK("https://klasma.github.io/Logging_2283/tillsyn/A 37043-2021 tillsynsbegäran.docx", "A 37043-2021")</f>
        <v/>
      </c>
      <c r="Y239">
        <f>HYPERLINK("https://klasma.github.io/Logging_2283/tillsynsmail/A 37043-2021 tillsynsbegäran mail.docx", "A 37043-2021")</f>
        <v/>
      </c>
    </row>
    <row r="240" ht="15" customHeight="1">
      <c r="A240" t="inlineStr">
        <is>
          <t>A 42224-2021</t>
        </is>
      </c>
      <c r="B240" s="1" t="n">
        <v>44426</v>
      </c>
      <c r="C240" s="1" t="n">
        <v>45511</v>
      </c>
      <c r="D240" t="inlineStr">
        <is>
          <t>VÄSTERNORRLANDS LÄN</t>
        </is>
      </c>
      <c r="E240" t="inlineStr">
        <is>
          <t>SOLLEFTEÅ</t>
        </is>
      </c>
      <c r="G240" t="n">
        <v>0.6</v>
      </c>
      <c r="H240" t="n">
        <v>0</v>
      </c>
      <c r="I240" t="n">
        <v>1</v>
      </c>
      <c r="J240" t="n">
        <v>0</v>
      </c>
      <c r="K240" t="n">
        <v>0</v>
      </c>
      <c r="L240" t="n">
        <v>0</v>
      </c>
      <c r="M240" t="n">
        <v>0</v>
      </c>
      <c r="N240" t="n">
        <v>0</v>
      </c>
      <c r="O240" t="n">
        <v>0</v>
      </c>
      <c r="P240" t="n">
        <v>0</v>
      </c>
      <c r="Q240" t="n">
        <v>1</v>
      </c>
      <c r="R240" s="2" t="inlineStr">
        <is>
          <t>Svart trolldruva</t>
        </is>
      </c>
      <c r="S240">
        <f>HYPERLINK("https://klasma.github.io/Logging_2283/artfynd/A 42224-2021 artfynd.xlsx", "A 42224-2021")</f>
        <v/>
      </c>
      <c r="T240">
        <f>HYPERLINK("https://klasma.github.io/Logging_2283/kartor/A 42224-2021 karta.png", "A 42224-2021")</f>
        <v/>
      </c>
      <c r="V240">
        <f>HYPERLINK("https://klasma.github.io/Logging_2283/klagomål/A 42224-2021 FSC-klagomål.docx", "A 42224-2021")</f>
        <v/>
      </c>
      <c r="W240">
        <f>HYPERLINK("https://klasma.github.io/Logging_2283/klagomålsmail/A 42224-2021 FSC-klagomål mail.docx", "A 42224-2021")</f>
        <v/>
      </c>
      <c r="X240">
        <f>HYPERLINK("https://klasma.github.io/Logging_2283/tillsyn/A 42224-2021 tillsynsbegäran.docx", "A 42224-2021")</f>
        <v/>
      </c>
      <c r="Y240">
        <f>HYPERLINK("https://klasma.github.io/Logging_2283/tillsynsmail/A 42224-2021 tillsynsbegäran mail.docx", "A 42224-2021")</f>
        <v/>
      </c>
    </row>
    <row r="241" ht="15" customHeight="1">
      <c r="A241" t="inlineStr">
        <is>
          <t>A 51019-2021</t>
        </is>
      </c>
      <c r="B241" s="1" t="n">
        <v>44460</v>
      </c>
      <c r="C241" s="1" t="n">
        <v>45511</v>
      </c>
      <c r="D241" t="inlineStr">
        <is>
          <t>VÄSTERNORRLANDS LÄN</t>
        </is>
      </c>
      <c r="E241" t="inlineStr">
        <is>
          <t>SOLLEFTEÅ</t>
        </is>
      </c>
      <c r="F241" t="inlineStr">
        <is>
          <t>SCA</t>
        </is>
      </c>
      <c r="G241" t="n">
        <v>2.1</v>
      </c>
      <c r="H241" t="n">
        <v>1</v>
      </c>
      <c r="I241" t="n">
        <v>0</v>
      </c>
      <c r="J241" t="n">
        <v>0</v>
      </c>
      <c r="K241" t="n">
        <v>0</v>
      </c>
      <c r="L241" t="n">
        <v>0</v>
      </c>
      <c r="M241" t="n">
        <v>0</v>
      </c>
      <c r="N241" t="n">
        <v>0</v>
      </c>
      <c r="O241" t="n">
        <v>0</v>
      </c>
      <c r="P241" t="n">
        <v>0</v>
      </c>
      <c r="Q241" t="n">
        <v>1</v>
      </c>
      <c r="R241" s="2" t="inlineStr">
        <is>
          <t>Fläcknycklar</t>
        </is>
      </c>
      <c r="S241">
        <f>HYPERLINK("https://klasma.github.io/Logging_2283/artfynd/A 51019-2021 artfynd.xlsx", "A 51019-2021")</f>
        <v/>
      </c>
      <c r="T241">
        <f>HYPERLINK("https://klasma.github.io/Logging_2283/kartor/A 51019-2021 karta.png", "A 51019-2021")</f>
        <v/>
      </c>
      <c r="V241">
        <f>HYPERLINK("https://klasma.github.io/Logging_2283/klagomål/A 51019-2021 FSC-klagomål.docx", "A 51019-2021")</f>
        <v/>
      </c>
      <c r="W241">
        <f>HYPERLINK("https://klasma.github.io/Logging_2283/klagomålsmail/A 51019-2021 FSC-klagomål mail.docx", "A 51019-2021")</f>
        <v/>
      </c>
      <c r="X241">
        <f>HYPERLINK("https://klasma.github.io/Logging_2283/tillsyn/A 51019-2021 tillsynsbegäran.docx", "A 51019-2021")</f>
        <v/>
      </c>
      <c r="Y241">
        <f>HYPERLINK("https://klasma.github.io/Logging_2283/tillsynsmail/A 51019-2021 tillsynsbegäran mail.docx", "A 51019-2021")</f>
        <v/>
      </c>
    </row>
    <row r="242" ht="15" customHeight="1">
      <c r="A242" t="inlineStr">
        <is>
          <t>A 67402-2021</t>
        </is>
      </c>
      <c r="B242" s="1" t="n">
        <v>44523</v>
      </c>
      <c r="C242" s="1" t="n">
        <v>45511</v>
      </c>
      <c r="D242" t="inlineStr">
        <is>
          <t>VÄSTERNORRLANDS LÄN</t>
        </is>
      </c>
      <c r="E242" t="inlineStr">
        <is>
          <t>SOLLEFTEÅ</t>
        </is>
      </c>
      <c r="F242" t="inlineStr">
        <is>
          <t>SCA</t>
        </is>
      </c>
      <c r="G242" t="n">
        <v>11</v>
      </c>
      <c r="H242" t="n">
        <v>1</v>
      </c>
      <c r="I242" t="n">
        <v>0</v>
      </c>
      <c r="J242" t="n">
        <v>0</v>
      </c>
      <c r="K242" t="n">
        <v>1</v>
      </c>
      <c r="L242" t="n">
        <v>0</v>
      </c>
      <c r="M242" t="n">
        <v>0</v>
      </c>
      <c r="N242" t="n">
        <v>0</v>
      </c>
      <c r="O242" t="n">
        <v>1</v>
      </c>
      <c r="P242" t="n">
        <v>1</v>
      </c>
      <c r="Q242" t="n">
        <v>1</v>
      </c>
      <c r="R242" s="2" t="inlineStr">
        <is>
          <t>Knärot</t>
        </is>
      </c>
      <c r="S242">
        <f>HYPERLINK("https://klasma.github.io/Logging_2283/artfynd/A 67402-2021 artfynd.xlsx", "A 67402-2021")</f>
        <v/>
      </c>
      <c r="T242">
        <f>HYPERLINK("https://klasma.github.io/Logging_2283/kartor/A 67402-2021 karta.png", "A 67402-2021")</f>
        <v/>
      </c>
      <c r="U242">
        <f>HYPERLINK("https://klasma.github.io/Logging_2283/knärot/A 67402-2021 karta knärot.png", "A 67402-2021")</f>
        <v/>
      </c>
      <c r="V242">
        <f>HYPERLINK("https://klasma.github.io/Logging_2283/klagomål/A 67402-2021 FSC-klagomål.docx", "A 67402-2021")</f>
        <v/>
      </c>
      <c r="W242">
        <f>HYPERLINK("https://klasma.github.io/Logging_2283/klagomålsmail/A 67402-2021 FSC-klagomål mail.docx", "A 67402-2021")</f>
        <v/>
      </c>
      <c r="X242">
        <f>HYPERLINK("https://klasma.github.io/Logging_2283/tillsyn/A 67402-2021 tillsynsbegäran.docx", "A 67402-2021")</f>
        <v/>
      </c>
      <c r="Y242">
        <f>HYPERLINK("https://klasma.github.io/Logging_2283/tillsynsmail/A 67402-2021 tillsynsbegäran mail.docx", "A 67402-2021")</f>
        <v/>
      </c>
    </row>
    <row r="243" ht="15" customHeight="1">
      <c r="A243" t="inlineStr">
        <is>
          <t>A 68781-2021</t>
        </is>
      </c>
      <c r="B243" s="1" t="n">
        <v>44529</v>
      </c>
      <c r="C243" s="1" t="n">
        <v>45511</v>
      </c>
      <c r="D243" t="inlineStr">
        <is>
          <t>VÄSTERNORRLANDS LÄN</t>
        </is>
      </c>
      <c r="E243" t="inlineStr">
        <is>
          <t>SOLLEFTEÅ</t>
        </is>
      </c>
      <c r="F243" t="inlineStr">
        <is>
          <t>SCA</t>
        </is>
      </c>
      <c r="G243" t="n">
        <v>1.9</v>
      </c>
      <c r="H243" t="n">
        <v>1</v>
      </c>
      <c r="I243" t="n">
        <v>0</v>
      </c>
      <c r="J243" t="n">
        <v>0</v>
      </c>
      <c r="K243" t="n">
        <v>1</v>
      </c>
      <c r="L243" t="n">
        <v>0</v>
      </c>
      <c r="M243" t="n">
        <v>0</v>
      </c>
      <c r="N243" t="n">
        <v>0</v>
      </c>
      <c r="O243" t="n">
        <v>1</v>
      </c>
      <c r="P243" t="n">
        <v>1</v>
      </c>
      <c r="Q243" t="n">
        <v>1</v>
      </c>
      <c r="R243" s="2" t="inlineStr">
        <is>
          <t>Doftticka</t>
        </is>
      </c>
      <c r="S243">
        <f>HYPERLINK("https://klasma.github.io/Logging_2283/artfynd/A 68781-2021 artfynd.xlsx", "A 68781-2021")</f>
        <v/>
      </c>
      <c r="T243">
        <f>HYPERLINK("https://klasma.github.io/Logging_2283/kartor/A 68781-2021 karta.png", "A 68781-2021")</f>
        <v/>
      </c>
      <c r="V243">
        <f>HYPERLINK("https://klasma.github.io/Logging_2283/klagomål/A 68781-2021 FSC-klagomål.docx", "A 68781-2021")</f>
        <v/>
      </c>
      <c r="W243">
        <f>HYPERLINK("https://klasma.github.io/Logging_2283/klagomålsmail/A 68781-2021 FSC-klagomål mail.docx", "A 68781-2021")</f>
        <v/>
      </c>
      <c r="X243">
        <f>HYPERLINK("https://klasma.github.io/Logging_2283/tillsyn/A 68781-2021 tillsynsbegäran.docx", "A 68781-2021")</f>
        <v/>
      </c>
      <c r="Y243">
        <f>HYPERLINK("https://klasma.github.io/Logging_2283/tillsynsmail/A 68781-2021 tillsynsbegäran mail.docx", "A 68781-2021")</f>
        <v/>
      </c>
    </row>
    <row r="244" ht="15" customHeight="1">
      <c r="A244" t="inlineStr">
        <is>
          <t>A 71349-2021</t>
        </is>
      </c>
      <c r="B244" s="1" t="n">
        <v>44539</v>
      </c>
      <c r="C244" s="1" t="n">
        <v>45511</v>
      </c>
      <c r="D244" t="inlineStr">
        <is>
          <t>VÄSTERNORRLANDS LÄN</t>
        </is>
      </c>
      <c r="E244" t="inlineStr">
        <is>
          <t>SOLLEFTEÅ</t>
        </is>
      </c>
      <c r="G244" t="n">
        <v>0.5</v>
      </c>
      <c r="H244" t="n">
        <v>1</v>
      </c>
      <c r="I244" t="n">
        <v>0</v>
      </c>
      <c r="J244" t="n">
        <v>1</v>
      </c>
      <c r="K244" t="n">
        <v>0</v>
      </c>
      <c r="L244" t="n">
        <v>0</v>
      </c>
      <c r="M244" t="n">
        <v>0</v>
      </c>
      <c r="N244" t="n">
        <v>0</v>
      </c>
      <c r="O244" t="n">
        <v>1</v>
      </c>
      <c r="P244" t="n">
        <v>0</v>
      </c>
      <c r="Q244" t="n">
        <v>1</v>
      </c>
      <c r="R244" s="2" t="inlineStr">
        <is>
          <t>Björktrast</t>
        </is>
      </c>
      <c r="S244">
        <f>HYPERLINK("https://klasma.github.io/Logging_2283/artfynd/A 71349-2021 artfynd.xlsx", "A 71349-2021")</f>
        <v/>
      </c>
      <c r="T244">
        <f>HYPERLINK("https://klasma.github.io/Logging_2283/kartor/A 71349-2021 karta.png", "A 71349-2021")</f>
        <v/>
      </c>
      <c r="V244">
        <f>HYPERLINK("https://klasma.github.io/Logging_2283/klagomål/A 71349-2021 FSC-klagomål.docx", "A 71349-2021")</f>
        <v/>
      </c>
      <c r="W244">
        <f>HYPERLINK("https://klasma.github.io/Logging_2283/klagomålsmail/A 71349-2021 FSC-klagomål mail.docx", "A 71349-2021")</f>
        <v/>
      </c>
      <c r="X244">
        <f>HYPERLINK("https://klasma.github.io/Logging_2283/tillsyn/A 71349-2021 tillsynsbegäran.docx", "A 71349-2021")</f>
        <v/>
      </c>
      <c r="Y244">
        <f>HYPERLINK("https://klasma.github.io/Logging_2283/tillsynsmail/A 71349-2021 tillsynsbegäran mail.docx", "A 71349-2021")</f>
        <v/>
      </c>
      <c r="Z244">
        <f>HYPERLINK("https://klasma.github.io/Logging_2283/fåglar/A 71349-2021 prioriterade fågelarter.docx", "A 71349-2021")</f>
        <v/>
      </c>
    </row>
    <row r="245" ht="15" customHeight="1">
      <c r="A245" t="inlineStr">
        <is>
          <t>A 15669-2022</t>
        </is>
      </c>
      <c r="B245" s="1" t="n">
        <v>44662</v>
      </c>
      <c r="C245" s="1" t="n">
        <v>45511</v>
      </c>
      <c r="D245" t="inlineStr">
        <is>
          <t>VÄSTERNORRLANDS LÄN</t>
        </is>
      </c>
      <c r="E245" t="inlineStr">
        <is>
          <t>SOLLEFTEÅ</t>
        </is>
      </c>
      <c r="G245" t="n">
        <v>12.1</v>
      </c>
      <c r="H245" t="n">
        <v>0</v>
      </c>
      <c r="I245" t="n">
        <v>1</v>
      </c>
      <c r="J245" t="n">
        <v>0</v>
      </c>
      <c r="K245" t="n">
        <v>0</v>
      </c>
      <c r="L245" t="n">
        <v>0</v>
      </c>
      <c r="M245" t="n">
        <v>0</v>
      </c>
      <c r="N245" t="n">
        <v>0</v>
      </c>
      <c r="O245" t="n">
        <v>0</v>
      </c>
      <c r="P245" t="n">
        <v>0</v>
      </c>
      <c r="Q245" t="n">
        <v>1</v>
      </c>
      <c r="R245" s="2" t="inlineStr">
        <is>
          <t>Skinnlav</t>
        </is>
      </c>
      <c r="S245">
        <f>HYPERLINK("https://klasma.github.io/Logging_2283/artfynd/A 15669-2022 artfynd.xlsx", "A 15669-2022")</f>
        <v/>
      </c>
      <c r="T245">
        <f>HYPERLINK("https://klasma.github.io/Logging_2283/kartor/A 15669-2022 karta.png", "A 15669-2022")</f>
        <v/>
      </c>
      <c r="V245">
        <f>HYPERLINK("https://klasma.github.io/Logging_2283/klagomål/A 15669-2022 FSC-klagomål.docx", "A 15669-2022")</f>
        <v/>
      </c>
      <c r="W245">
        <f>HYPERLINK("https://klasma.github.io/Logging_2283/klagomålsmail/A 15669-2022 FSC-klagomål mail.docx", "A 15669-2022")</f>
        <v/>
      </c>
      <c r="X245">
        <f>HYPERLINK("https://klasma.github.io/Logging_2283/tillsyn/A 15669-2022 tillsynsbegäran.docx", "A 15669-2022")</f>
        <v/>
      </c>
      <c r="Y245">
        <f>HYPERLINK("https://klasma.github.io/Logging_2283/tillsynsmail/A 15669-2022 tillsynsbegäran mail.docx", "A 15669-2022")</f>
        <v/>
      </c>
    </row>
    <row r="246" ht="15" customHeight="1">
      <c r="A246" t="inlineStr">
        <is>
          <t>A 16269-2022</t>
        </is>
      </c>
      <c r="B246" s="1" t="n">
        <v>44670</v>
      </c>
      <c r="C246" s="1" t="n">
        <v>45511</v>
      </c>
      <c r="D246" t="inlineStr">
        <is>
          <t>VÄSTERNORRLANDS LÄN</t>
        </is>
      </c>
      <c r="E246" t="inlineStr">
        <is>
          <t>SOLLEFTEÅ</t>
        </is>
      </c>
      <c r="F246" t="inlineStr">
        <is>
          <t>Holmen skog AB</t>
        </is>
      </c>
      <c r="G246" t="n">
        <v>4.6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16269-2022 artfynd.xlsx", "A 16269-2022")</f>
        <v/>
      </c>
      <c r="T246">
        <f>HYPERLINK("https://klasma.github.io/Logging_2283/kartor/A 16269-2022 karta.png", "A 16269-2022")</f>
        <v/>
      </c>
      <c r="V246">
        <f>HYPERLINK("https://klasma.github.io/Logging_2283/klagomål/A 16269-2022 FSC-klagomål.docx", "A 16269-2022")</f>
        <v/>
      </c>
      <c r="W246">
        <f>HYPERLINK("https://klasma.github.io/Logging_2283/klagomålsmail/A 16269-2022 FSC-klagomål mail.docx", "A 16269-2022")</f>
        <v/>
      </c>
      <c r="X246">
        <f>HYPERLINK("https://klasma.github.io/Logging_2283/tillsyn/A 16269-2022 tillsynsbegäran.docx", "A 16269-2022")</f>
        <v/>
      </c>
      <c r="Y246">
        <f>HYPERLINK("https://klasma.github.io/Logging_2283/tillsynsmail/A 16269-2022 tillsynsbegäran mail.docx", "A 16269-2022")</f>
        <v/>
      </c>
      <c r="Z246">
        <f>HYPERLINK("https://klasma.github.io/Logging_2283/fåglar/A 16269-2022 prioriterade fågelarter.docx", "A 16269-2022")</f>
        <v/>
      </c>
    </row>
    <row r="247" ht="15" customHeight="1">
      <c r="A247" t="inlineStr">
        <is>
          <t>A 21708-2022</t>
        </is>
      </c>
      <c r="B247" s="1" t="n">
        <v>44707</v>
      </c>
      <c r="C247" s="1" t="n">
        <v>45511</v>
      </c>
      <c r="D247" t="inlineStr">
        <is>
          <t>VÄSTERNORRLANDS LÄN</t>
        </is>
      </c>
      <c r="E247" t="inlineStr">
        <is>
          <t>SOLLEFTEÅ</t>
        </is>
      </c>
      <c r="F247" t="inlineStr">
        <is>
          <t>SCA</t>
        </is>
      </c>
      <c r="G247" t="n">
        <v>2.6</v>
      </c>
      <c r="H247" t="n">
        <v>0</v>
      </c>
      <c r="I247" t="n">
        <v>0</v>
      </c>
      <c r="J247" t="n">
        <v>1</v>
      </c>
      <c r="K247" t="n">
        <v>0</v>
      </c>
      <c r="L247" t="n">
        <v>0</v>
      </c>
      <c r="M247" t="n">
        <v>0</v>
      </c>
      <c r="N247" t="n">
        <v>0</v>
      </c>
      <c r="O247" t="n">
        <v>1</v>
      </c>
      <c r="P247" t="n">
        <v>0</v>
      </c>
      <c r="Q247" t="n">
        <v>1</v>
      </c>
      <c r="R247" s="2" t="inlineStr">
        <is>
          <t>Lunglav</t>
        </is>
      </c>
      <c r="S247">
        <f>HYPERLINK("https://klasma.github.io/Logging_2283/artfynd/A 21708-2022 artfynd.xlsx", "A 21708-2022")</f>
        <v/>
      </c>
      <c r="T247">
        <f>HYPERLINK("https://klasma.github.io/Logging_2283/kartor/A 21708-2022 karta.png", "A 21708-2022")</f>
        <v/>
      </c>
      <c r="V247">
        <f>HYPERLINK("https://klasma.github.io/Logging_2283/klagomål/A 21708-2022 FSC-klagomål.docx", "A 21708-2022")</f>
        <v/>
      </c>
      <c r="W247">
        <f>HYPERLINK("https://klasma.github.io/Logging_2283/klagomålsmail/A 21708-2022 FSC-klagomål mail.docx", "A 21708-2022")</f>
        <v/>
      </c>
      <c r="X247">
        <f>HYPERLINK("https://klasma.github.io/Logging_2283/tillsyn/A 21708-2022 tillsynsbegäran.docx", "A 21708-2022")</f>
        <v/>
      </c>
      <c r="Y247">
        <f>HYPERLINK("https://klasma.github.io/Logging_2283/tillsynsmail/A 21708-2022 tillsynsbegäran mail.docx", "A 21708-2022")</f>
        <v/>
      </c>
    </row>
    <row r="248" ht="15" customHeight="1">
      <c r="A248" t="inlineStr">
        <is>
          <t>A 26121-2022</t>
        </is>
      </c>
      <c r="B248" s="1" t="n">
        <v>44734</v>
      </c>
      <c r="C248" s="1" t="n">
        <v>45511</v>
      </c>
      <c r="D248" t="inlineStr">
        <is>
          <t>VÄSTERNORRLANDS LÄN</t>
        </is>
      </c>
      <c r="E248" t="inlineStr">
        <is>
          <t>SOLLEFTEÅ</t>
        </is>
      </c>
      <c r="F248" t="inlineStr">
        <is>
          <t>SCA</t>
        </is>
      </c>
      <c r="G248" t="n">
        <v>6.3</v>
      </c>
      <c r="H248" t="n">
        <v>0</v>
      </c>
      <c r="I248" t="n">
        <v>0</v>
      </c>
      <c r="J248" t="n">
        <v>1</v>
      </c>
      <c r="K248" t="n">
        <v>0</v>
      </c>
      <c r="L248" t="n">
        <v>0</v>
      </c>
      <c r="M248" t="n">
        <v>0</v>
      </c>
      <c r="N248" t="n">
        <v>0</v>
      </c>
      <c r="O248" t="n">
        <v>1</v>
      </c>
      <c r="P248" t="n">
        <v>0</v>
      </c>
      <c r="Q248" t="n">
        <v>1</v>
      </c>
      <c r="R248" s="2" t="inlineStr">
        <is>
          <t>Veckticka</t>
        </is>
      </c>
      <c r="S248">
        <f>HYPERLINK("https://klasma.github.io/Logging_2283/artfynd/A 26121-2022 artfynd.xlsx", "A 26121-2022")</f>
        <v/>
      </c>
      <c r="T248">
        <f>HYPERLINK("https://klasma.github.io/Logging_2283/kartor/A 26121-2022 karta.png", "A 26121-2022")</f>
        <v/>
      </c>
      <c r="V248">
        <f>HYPERLINK("https://klasma.github.io/Logging_2283/klagomål/A 26121-2022 FSC-klagomål.docx", "A 26121-2022")</f>
        <v/>
      </c>
      <c r="W248">
        <f>HYPERLINK("https://klasma.github.io/Logging_2283/klagomålsmail/A 26121-2022 FSC-klagomål mail.docx", "A 26121-2022")</f>
        <v/>
      </c>
      <c r="X248">
        <f>HYPERLINK("https://klasma.github.io/Logging_2283/tillsyn/A 26121-2022 tillsynsbegäran.docx", "A 26121-2022")</f>
        <v/>
      </c>
      <c r="Y248">
        <f>HYPERLINK("https://klasma.github.io/Logging_2283/tillsynsmail/A 26121-2022 tillsynsbegäran mail.docx", "A 26121-2022")</f>
        <v/>
      </c>
    </row>
    <row r="249" ht="15" customHeight="1">
      <c r="A249" t="inlineStr">
        <is>
          <t>A 27106-2022</t>
        </is>
      </c>
      <c r="B249" s="1" t="n">
        <v>44741</v>
      </c>
      <c r="C249" s="1" t="n">
        <v>45511</v>
      </c>
      <c r="D249" t="inlineStr">
        <is>
          <t>VÄSTERNORRLANDS LÄN</t>
        </is>
      </c>
      <c r="E249" t="inlineStr">
        <is>
          <t>SOLLEFTEÅ</t>
        </is>
      </c>
      <c r="G249" t="n">
        <v>1.3</v>
      </c>
      <c r="H249" t="n">
        <v>1</v>
      </c>
      <c r="I249" t="n">
        <v>0</v>
      </c>
      <c r="J249" t="n">
        <v>0</v>
      </c>
      <c r="K249" t="n">
        <v>0</v>
      </c>
      <c r="L249" t="n">
        <v>0</v>
      </c>
      <c r="M249" t="n">
        <v>0</v>
      </c>
      <c r="N249" t="n">
        <v>0</v>
      </c>
      <c r="O249" t="n">
        <v>0</v>
      </c>
      <c r="P249" t="n">
        <v>0</v>
      </c>
      <c r="Q249" t="n">
        <v>1</v>
      </c>
      <c r="R249" s="2" t="inlineStr">
        <is>
          <t>Revlummer</t>
        </is>
      </c>
      <c r="S249">
        <f>HYPERLINK("https://klasma.github.io/Logging_2283/artfynd/A 27106-2022 artfynd.xlsx", "A 27106-2022")</f>
        <v/>
      </c>
      <c r="T249">
        <f>HYPERLINK("https://klasma.github.io/Logging_2283/kartor/A 27106-2022 karta.png", "A 27106-2022")</f>
        <v/>
      </c>
      <c r="V249">
        <f>HYPERLINK("https://klasma.github.io/Logging_2283/klagomål/A 27106-2022 FSC-klagomål.docx", "A 27106-2022")</f>
        <v/>
      </c>
      <c r="W249">
        <f>HYPERLINK("https://klasma.github.io/Logging_2283/klagomålsmail/A 27106-2022 FSC-klagomål mail.docx", "A 27106-2022")</f>
        <v/>
      </c>
      <c r="X249">
        <f>HYPERLINK("https://klasma.github.io/Logging_2283/tillsyn/A 27106-2022 tillsynsbegäran.docx", "A 27106-2022")</f>
        <v/>
      </c>
      <c r="Y249">
        <f>HYPERLINK("https://klasma.github.io/Logging_2283/tillsynsmail/A 27106-2022 tillsynsbegäran mail.docx", "A 27106-2022")</f>
        <v/>
      </c>
    </row>
    <row r="250" ht="15" customHeight="1">
      <c r="A250" t="inlineStr">
        <is>
          <t>A 29037-2022</t>
        </is>
      </c>
      <c r="B250" s="1" t="n">
        <v>44749</v>
      </c>
      <c r="C250" s="1" t="n">
        <v>45511</v>
      </c>
      <c r="D250" t="inlineStr">
        <is>
          <t>VÄSTERNORRLANDS LÄN</t>
        </is>
      </c>
      <c r="E250" t="inlineStr">
        <is>
          <t>SOLLEFTEÅ</t>
        </is>
      </c>
      <c r="F250" t="inlineStr">
        <is>
          <t>SCA</t>
        </is>
      </c>
      <c r="G250" t="n">
        <v>1</v>
      </c>
      <c r="H250" t="n">
        <v>0</v>
      </c>
      <c r="I250" t="n">
        <v>1</v>
      </c>
      <c r="J250" t="n">
        <v>0</v>
      </c>
      <c r="K250" t="n">
        <v>0</v>
      </c>
      <c r="L250" t="n">
        <v>0</v>
      </c>
      <c r="M250" t="n">
        <v>0</v>
      </c>
      <c r="N250" t="n">
        <v>0</v>
      </c>
      <c r="O250" t="n">
        <v>0</v>
      </c>
      <c r="P250" t="n">
        <v>0</v>
      </c>
      <c r="Q250" t="n">
        <v>1</v>
      </c>
      <c r="R250" s="2" t="inlineStr">
        <is>
          <t>Vanlig flatbagge</t>
        </is>
      </c>
      <c r="S250">
        <f>HYPERLINK("https://klasma.github.io/Logging_2283/artfynd/A 29037-2022 artfynd.xlsx", "A 29037-2022")</f>
        <v/>
      </c>
      <c r="T250">
        <f>HYPERLINK("https://klasma.github.io/Logging_2283/kartor/A 29037-2022 karta.png", "A 29037-2022")</f>
        <v/>
      </c>
      <c r="V250">
        <f>HYPERLINK("https://klasma.github.io/Logging_2283/klagomål/A 29037-2022 FSC-klagomål.docx", "A 29037-2022")</f>
        <v/>
      </c>
      <c r="W250">
        <f>HYPERLINK("https://klasma.github.io/Logging_2283/klagomålsmail/A 29037-2022 FSC-klagomål mail.docx", "A 29037-2022")</f>
        <v/>
      </c>
      <c r="X250">
        <f>HYPERLINK("https://klasma.github.io/Logging_2283/tillsyn/A 29037-2022 tillsynsbegäran.docx", "A 29037-2022")</f>
        <v/>
      </c>
      <c r="Y250">
        <f>HYPERLINK("https://klasma.github.io/Logging_2283/tillsynsmail/A 29037-2022 tillsynsbegäran mail.docx", "A 29037-2022")</f>
        <v/>
      </c>
    </row>
    <row r="251" ht="15" customHeight="1">
      <c r="A251" t="inlineStr">
        <is>
          <t>A 33216-2022</t>
        </is>
      </c>
      <c r="B251" s="1" t="n">
        <v>44785</v>
      </c>
      <c r="C251" s="1" t="n">
        <v>45511</v>
      </c>
      <c r="D251" t="inlineStr">
        <is>
          <t>VÄSTERNORRLANDS LÄN</t>
        </is>
      </c>
      <c r="E251" t="inlineStr">
        <is>
          <t>SOLLEFTEÅ</t>
        </is>
      </c>
      <c r="F251" t="inlineStr">
        <is>
          <t>SCA</t>
        </is>
      </c>
      <c r="G251" t="n">
        <v>4.4</v>
      </c>
      <c r="H251" t="n">
        <v>0</v>
      </c>
      <c r="I251" t="n">
        <v>0</v>
      </c>
      <c r="J251" t="n">
        <v>0</v>
      </c>
      <c r="K251" t="n">
        <v>1</v>
      </c>
      <c r="L251" t="n">
        <v>0</v>
      </c>
      <c r="M251" t="n">
        <v>0</v>
      </c>
      <c r="N251" t="n">
        <v>0</v>
      </c>
      <c r="O251" t="n">
        <v>1</v>
      </c>
      <c r="P251" t="n">
        <v>1</v>
      </c>
      <c r="Q251" t="n">
        <v>1</v>
      </c>
      <c r="R251" s="2" t="inlineStr">
        <is>
          <t>Rynkskinn</t>
        </is>
      </c>
      <c r="S251">
        <f>HYPERLINK("https://klasma.github.io/Logging_2283/artfynd/A 33216-2022 artfynd.xlsx", "A 33216-2022")</f>
        <v/>
      </c>
      <c r="T251">
        <f>HYPERLINK("https://klasma.github.io/Logging_2283/kartor/A 33216-2022 karta.png", "A 33216-2022")</f>
        <v/>
      </c>
      <c r="V251">
        <f>HYPERLINK("https://klasma.github.io/Logging_2283/klagomål/A 33216-2022 FSC-klagomål.docx", "A 33216-2022")</f>
        <v/>
      </c>
      <c r="W251">
        <f>HYPERLINK("https://klasma.github.io/Logging_2283/klagomålsmail/A 33216-2022 FSC-klagomål mail.docx", "A 33216-2022")</f>
        <v/>
      </c>
      <c r="X251">
        <f>HYPERLINK("https://klasma.github.io/Logging_2283/tillsyn/A 33216-2022 tillsynsbegäran.docx", "A 33216-2022")</f>
        <v/>
      </c>
      <c r="Y251">
        <f>HYPERLINK("https://klasma.github.io/Logging_2283/tillsynsmail/A 33216-2022 tillsynsbegäran mail.docx", "A 33216-2022")</f>
        <v/>
      </c>
    </row>
    <row r="252" ht="15" customHeight="1">
      <c r="A252" t="inlineStr">
        <is>
          <t>A 33504-2022</t>
        </is>
      </c>
      <c r="B252" s="1" t="n">
        <v>44788</v>
      </c>
      <c r="C252" s="1" t="n">
        <v>45511</v>
      </c>
      <c r="D252" t="inlineStr">
        <is>
          <t>VÄSTERNORRLANDS LÄN</t>
        </is>
      </c>
      <c r="E252" t="inlineStr">
        <is>
          <t>SOLLEFTEÅ</t>
        </is>
      </c>
      <c r="F252" t="inlineStr">
        <is>
          <t>SCA</t>
        </is>
      </c>
      <c r="G252" t="n">
        <v>5.2</v>
      </c>
      <c r="H252" t="n">
        <v>1</v>
      </c>
      <c r="I252" t="n">
        <v>0</v>
      </c>
      <c r="J252" t="n">
        <v>0</v>
      </c>
      <c r="K252" t="n">
        <v>1</v>
      </c>
      <c r="L252" t="n">
        <v>0</v>
      </c>
      <c r="M252" t="n">
        <v>0</v>
      </c>
      <c r="N252" t="n">
        <v>0</v>
      </c>
      <c r="O252" t="n">
        <v>1</v>
      </c>
      <c r="P252" t="n">
        <v>1</v>
      </c>
      <c r="Q252" t="n">
        <v>1</v>
      </c>
      <c r="R252" s="2" t="inlineStr">
        <is>
          <t>Knärot</t>
        </is>
      </c>
      <c r="S252">
        <f>HYPERLINK("https://klasma.github.io/Logging_2283/artfynd/A 33504-2022 artfynd.xlsx", "A 33504-2022")</f>
        <v/>
      </c>
      <c r="T252">
        <f>HYPERLINK("https://klasma.github.io/Logging_2283/kartor/A 33504-2022 karta.png", "A 33504-2022")</f>
        <v/>
      </c>
      <c r="U252">
        <f>HYPERLINK("https://klasma.github.io/Logging_2283/knärot/A 33504-2022 karta knärot.png", "A 33504-2022")</f>
        <v/>
      </c>
      <c r="V252">
        <f>HYPERLINK("https://klasma.github.io/Logging_2283/klagomål/A 33504-2022 FSC-klagomål.docx", "A 33504-2022")</f>
        <v/>
      </c>
      <c r="W252">
        <f>HYPERLINK("https://klasma.github.io/Logging_2283/klagomålsmail/A 33504-2022 FSC-klagomål mail.docx", "A 33504-2022")</f>
        <v/>
      </c>
      <c r="X252">
        <f>HYPERLINK("https://klasma.github.io/Logging_2283/tillsyn/A 33504-2022 tillsynsbegäran.docx", "A 33504-2022")</f>
        <v/>
      </c>
      <c r="Y252">
        <f>HYPERLINK("https://klasma.github.io/Logging_2283/tillsynsmail/A 33504-2022 tillsynsbegäran mail.docx", "A 33504-2022")</f>
        <v/>
      </c>
    </row>
    <row r="253" ht="15" customHeight="1">
      <c r="A253" t="inlineStr">
        <is>
          <t>A 35013-2022</t>
        </is>
      </c>
      <c r="B253" s="1" t="n">
        <v>44796</v>
      </c>
      <c r="C253" s="1" t="n">
        <v>45511</v>
      </c>
      <c r="D253" t="inlineStr">
        <is>
          <t>VÄSTERNORRLANDS LÄN</t>
        </is>
      </c>
      <c r="E253" t="inlineStr">
        <is>
          <t>SOLLEFTEÅ</t>
        </is>
      </c>
      <c r="F253" t="inlineStr">
        <is>
          <t>SCA</t>
        </is>
      </c>
      <c r="G253" t="n">
        <v>2.1</v>
      </c>
      <c r="H253" t="n">
        <v>0</v>
      </c>
      <c r="I253" t="n">
        <v>0</v>
      </c>
      <c r="J253" t="n">
        <v>1</v>
      </c>
      <c r="K253" t="n">
        <v>0</v>
      </c>
      <c r="L253" t="n">
        <v>0</v>
      </c>
      <c r="M253" t="n">
        <v>0</v>
      </c>
      <c r="N253" t="n">
        <v>0</v>
      </c>
      <c r="O253" t="n">
        <v>1</v>
      </c>
      <c r="P253" t="n">
        <v>0</v>
      </c>
      <c r="Q253" t="n">
        <v>1</v>
      </c>
      <c r="R253" s="2" t="inlineStr">
        <is>
          <t>Rosenticka</t>
        </is>
      </c>
      <c r="S253">
        <f>HYPERLINK("https://klasma.github.io/Logging_2283/artfynd/A 35013-2022 artfynd.xlsx", "A 35013-2022")</f>
        <v/>
      </c>
      <c r="T253">
        <f>HYPERLINK("https://klasma.github.io/Logging_2283/kartor/A 35013-2022 karta.png", "A 35013-2022")</f>
        <v/>
      </c>
      <c r="V253">
        <f>HYPERLINK("https://klasma.github.io/Logging_2283/klagomål/A 35013-2022 FSC-klagomål.docx", "A 35013-2022")</f>
        <v/>
      </c>
      <c r="W253">
        <f>HYPERLINK("https://klasma.github.io/Logging_2283/klagomålsmail/A 35013-2022 FSC-klagomål mail.docx", "A 35013-2022")</f>
        <v/>
      </c>
      <c r="X253">
        <f>HYPERLINK("https://klasma.github.io/Logging_2283/tillsyn/A 35013-2022 tillsynsbegäran.docx", "A 35013-2022")</f>
        <v/>
      </c>
      <c r="Y253">
        <f>HYPERLINK("https://klasma.github.io/Logging_2283/tillsynsmail/A 35013-2022 tillsynsbegäran mail.docx", "A 35013-2022")</f>
        <v/>
      </c>
    </row>
    <row r="254" ht="15" customHeight="1">
      <c r="A254" t="inlineStr">
        <is>
          <t>A 38367-2022</t>
        </is>
      </c>
      <c r="B254" s="1" t="n">
        <v>44812</v>
      </c>
      <c r="C254" s="1" t="n">
        <v>45511</v>
      </c>
      <c r="D254" t="inlineStr">
        <is>
          <t>VÄSTERNORRLANDS LÄN</t>
        </is>
      </c>
      <c r="E254" t="inlineStr">
        <is>
          <t>SOLLEFTEÅ</t>
        </is>
      </c>
      <c r="F254" t="inlineStr">
        <is>
          <t>Kommuner</t>
        </is>
      </c>
      <c r="G254" t="n">
        <v>19.6</v>
      </c>
      <c r="H254" t="n">
        <v>0</v>
      </c>
      <c r="I254" t="n">
        <v>0</v>
      </c>
      <c r="J254" t="n">
        <v>1</v>
      </c>
      <c r="K254" t="n">
        <v>0</v>
      </c>
      <c r="L254" t="n">
        <v>0</v>
      </c>
      <c r="M254" t="n">
        <v>0</v>
      </c>
      <c r="N254" t="n">
        <v>0</v>
      </c>
      <c r="O254" t="n">
        <v>1</v>
      </c>
      <c r="P254" t="n">
        <v>0</v>
      </c>
      <c r="Q254" t="n">
        <v>1</v>
      </c>
      <c r="R254" s="2" t="inlineStr">
        <is>
          <t>Garnlav</t>
        </is>
      </c>
      <c r="S254">
        <f>HYPERLINK("https://klasma.github.io/Logging_2283/artfynd/A 38367-2022 artfynd.xlsx", "A 38367-2022")</f>
        <v/>
      </c>
      <c r="T254">
        <f>HYPERLINK("https://klasma.github.io/Logging_2283/kartor/A 38367-2022 karta.png", "A 38367-2022")</f>
        <v/>
      </c>
      <c r="V254">
        <f>HYPERLINK("https://klasma.github.io/Logging_2283/klagomål/A 38367-2022 FSC-klagomål.docx", "A 38367-2022")</f>
        <v/>
      </c>
      <c r="W254">
        <f>HYPERLINK("https://klasma.github.io/Logging_2283/klagomålsmail/A 38367-2022 FSC-klagomål mail.docx", "A 38367-2022")</f>
        <v/>
      </c>
      <c r="X254">
        <f>HYPERLINK("https://klasma.github.io/Logging_2283/tillsyn/A 38367-2022 tillsynsbegäran.docx", "A 38367-2022")</f>
        <v/>
      </c>
      <c r="Y254">
        <f>HYPERLINK("https://klasma.github.io/Logging_2283/tillsynsmail/A 38367-2022 tillsynsbegäran mail.docx", "A 38367-2022")</f>
        <v/>
      </c>
    </row>
    <row r="255" ht="15" customHeight="1">
      <c r="A255" t="inlineStr">
        <is>
          <t>A 38363-2022</t>
        </is>
      </c>
      <c r="B255" s="1" t="n">
        <v>44812</v>
      </c>
      <c r="C255" s="1" t="n">
        <v>45511</v>
      </c>
      <c r="D255" t="inlineStr">
        <is>
          <t>VÄSTERNORRLANDS LÄN</t>
        </is>
      </c>
      <c r="E255" t="inlineStr">
        <is>
          <t>SOLLEFTEÅ</t>
        </is>
      </c>
      <c r="F255" t="inlineStr">
        <is>
          <t>Kommuner</t>
        </is>
      </c>
      <c r="G255" t="n">
        <v>16</v>
      </c>
      <c r="H255" t="n">
        <v>0</v>
      </c>
      <c r="I255" t="n">
        <v>0</v>
      </c>
      <c r="J255" t="n">
        <v>1</v>
      </c>
      <c r="K255" t="n">
        <v>0</v>
      </c>
      <c r="L255" t="n">
        <v>0</v>
      </c>
      <c r="M255" t="n">
        <v>0</v>
      </c>
      <c r="N255" t="n">
        <v>0</v>
      </c>
      <c r="O255" t="n">
        <v>1</v>
      </c>
      <c r="P255" t="n">
        <v>0</v>
      </c>
      <c r="Q255" t="n">
        <v>1</v>
      </c>
      <c r="R255" s="2" t="inlineStr">
        <is>
          <t>Garnlav</t>
        </is>
      </c>
      <c r="S255">
        <f>HYPERLINK("https://klasma.github.io/Logging_2283/artfynd/A 38363-2022 artfynd.xlsx", "A 38363-2022")</f>
        <v/>
      </c>
      <c r="T255">
        <f>HYPERLINK("https://klasma.github.io/Logging_2283/kartor/A 38363-2022 karta.png", "A 38363-2022")</f>
        <v/>
      </c>
      <c r="V255">
        <f>HYPERLINK("https://klasma.github.io/Logging_2283/klagomål/A 38363-2022 FSC-klagomål.docx", "A 38363-2022")</f>
        <v/>
      </c>
      <c r="W255">
        <f>HYPERLINK("https://klasma.github.io/Logging_2283/klagomålsmail/A 38363-2022 FSC-klagomål mail.docx", "A 38363-2022")</f>
        <v/>
      </c>
      <c r="X255">
        <f>HYPERLINK("https://klasma.github.io/Logging_2283/tillsyn/A 38363-2022 tillsynsbegäran.docx", "A 38363-2022")</f>
        <v/>
      </c>
      <c r="Y255">
        <f>HYPERLINK("https://klasma.github.io/Logging_2283/tillsynsmail/A 38363-2022 tillsynsbegäran mail.docx", "A 38363-2022")</f>
        <v/>
      </c>
    </row>
    <row r="256" ht="15" customHeight="1">
      <c r="A256" t="inlineStr">
        <is>
          <t>A 40626-2022</t>
        </is>
      </c>
      <c r="B256" s="1" t="n">
        <v>44824</v>
      </c>
      <c r="C256" s="1" t="n">
        <v>45511</v>
      </c>
      <c r="D256" t="inlineStr">
        <is>
          <t>VÄSTERNORRLANDS LÄN</t>
        </is>
      </c>
      <c r="E256" t="inlineStr">
        <is>
          <t>SOLLEFTEÅ</t>
        </is>
      </c>
      <c r="F256" t="inlineStr">
        <is>
          <t>SCA</t>
        </is>
      </c>
      <c r="G256" t="n">
        <v>2.5</v>
      </c>
      <c r="H256" t="n">
        <v>1</v>
      </c>
      <c r="I256" t="n">
        <v>0</v>
      </c>
      <c r="J256" t="n">
        <v>1</v>
      </c>
      <c r="K256" t="n">
        <v>0</v>
      </c>
      <c r="L256" t="n">
        <v>0</v>
      </c>
      <c r="M256" t="n">
        <v>0</v>
      </c>
      <c r="N256" t="n">
        <v>0</v>
      </c>
      <c r="O256" t="n">
        <v>1</v>
      </c>
      <c r="P256" t="n">
        <v>0</v>
      </c>
      <c r="Q256" t="n">
        <v>1</v>
      </c>
      <c r="R256" s="2" t="inlineStr">
        <is>
          <t>Spillkråka</t>
        </is>
      </c>
      <c r="S256">
        <f>HYPERLINK("https://klasma.github.io/Logging_2283/artfynd/A 40626-2022 artfynd.xlsx", "A 40626-2022")</f>
        <v/>
      </c>
      <c r="T256">
        <f>HYPERLINK("https://klasma.github.io/Logging_2283/kartor/A 40626-2022 karta.png", "A 40626-2022")</f>
        <v/>
      </c>
      <c r="V256">
        <f>HYPERLINK("https://klasma.github.io/Logging_2283/klagomål/A 40626-2022 FSC-klagomål.docx", "A 40626-2022")</f>
        <v/>
      </c>
      <c r="W256">
        <f>HYPERLINK("https://klasma.github.io/Logging_2283/klagomålsmail/A 40626-2022 FSC-klagomål mail.docx", "A 40626-2022")</f>
        <v/>
      </c>
      <c r="X256">
        <f>HYPERLINK("https://klasma.github.io/Logging_2283/tillsyn/A 40626-2022 tillsynsbegäran.docx", "A 40626-2022")</f>
        <v/>
      </c>
      <c r="Y256">
        <f>HYPERLINK("https://klasma.github.io/Logging_2283/tillsynsmail/A 40626-2022 tillsynsbegäran mail.docx", "A 40626-2022")</f>
        <v/>
      </c>
      <c r="Z256">
        <f>HYPERLINK("https://klasma.github.io/Logging_2283/fåglar/A 40626-2022 prioriterade fågelarter.docx", "A 40626-2022")</f>
        <v/>
      </c>
    </row>
    <row r="257" ht="15" customHeight="1">
      <c r="A257" t="inlineStr">
        <is>
          <t>A 44763-2022</t>
        </is>
      </c>
      <c r="B257" s="1" t="n">
        <v>44840</v>
      </c>
      <c r="C257" s="1" t="n">
        <v>45511</v>
      </c>
      <c r="D257" t="inlineStr">
        <is>
          <t>VÄSTERNORRLANDS LÄN</t>
        </is>
      </c>
      <c r="E257" t="inlineStr">
        <is>
          <t>SOLLEFTEÅ</t>
        </is>
      </c>
      <c r="F257" t="inlineStr">
        <is>
          <t>SCA</t>
        </is>
      </c>
      <c r="G257" t="n">
        <v>1.2</v>
      </c>
      <c r="H257" t="n">
        <v>0</v>
      </c>
      <c r="I257" t="n">
        <v>0</v>
      </c>
      <c r="J257" t="n">
        <v>1</v>
      </c>
      <c r="K257" t="n">
        <v>0</v>
      </c>
      <c r="L257" t="n">
        <v>0</v>
      </c>
      <c r="M257" t="n">
        <v>0</v>
      </c>
      <c r="N257" t="n">
        <v>0</v>
      </c>
      <c r="O257" t="n">
        <v>1</v>
      </c>
      <c r="P257" t="n">
        <v>0</v>
      </c>
      <c r="Q257" t="n">
        <v>1</v>
      </c>
      <c r="R257" s="2" t="inlineStr">
        <is>
          <t>Rosenticka</t>
        </is>
      </c>
      <c r="S257">
        <f>HYPERLINK("https://klasma.github.io/Logging_2283/artfynd/A 44763-2022 artfynd.xlsx", "A 44763-2022")</f>
        <v/>
      </c>
      <c r="T257">
        <f>HYPERLINK("https://klasma.github.io/Logging_2283/kartor/A 44763-2022 karta.png", "A 44763-2022")</f>
        <v/>
      </c>
      <c r="V257">
        <f>HYPERLINK("https://klasma.github.io/Logging_2283/klagomål/A 44763-2022 FSC-klagomål.docx", "A 44763-2022")</f>
        <v/>
      </c>
      <c r="W257">
        <f>HYPERLINK("https://klasma.github.io/Logging_2283/klagomålsmail/A 44763-2022 FSC-klagomål mail.docx", "A 44763-2022")</f>
        <v/>
      </c>
      <c r="X257">
        <f>HYPERLINK("https://klasma.github.io/Logging_2283/tillsyn/A 44763-2022 tillsynsbegäran.docx", "A 44763-2022")</f>
        <v/>
      </c>
      <c r="Y257">
        <f>HYPERLINK("https://klasma.github.io/Logging_2283/tillsynsmail/A 44763-2022 tillsynsbegäran mail.docx", "A 44763-2022")</f>
        <v/>
      </c>
    </row>
    <row r="258" ht="15" customHeight="1">
      <c r="A258" t="inlineStr">
        <is>
          <t>A 46041-2022</t>
        </is>
      </c>
      <c r="B258" s="1" t="n">
        <v>44846</v>
      </c>
      <c r="C258" s="1" t="n">
        <v>45511</v>
      </c>
      <c r="D258" t="inlineStr">
        <is>
          <t>VÄSTERNORRLANDS LÄN</t>
        </is>
      </c>
      <c r="E258" t="inlineStr">
        <is>
          <t>SOLLEFTEÅ</t>
        </is>
      </c>
      <c r="F258" t="inlineStr">
        <is>
          <t>SCA</t>
        </is>
      </c>
      <c r="G258" t="n">
        <v>21.1</v>
      </c>
      <c r="H258" t="n">
        <v>0</v>
      </c>
      <c r="I258" t="n">
        <v>0</v>
      </c>
      <c r="J258" t="n">
        <v>1</v>
      </c>
      <c r="K258" t="n">
        <v>0</v>
      </c>
      <c r="L258" t="n">
        <v>0</v>
      </c>
      <c r="M258" t="n">
        <v>0</v>
      </c>
      <c r="N258" t="n">
        <v>0</v>
      </c>
      <c r="O258" t="n">
        <v>1</v>
      </c>
      <c r="P258" t="n">
        <v>0</v>
      </c>
      <c r="Q258" t="n">
        <v>1</v>
      </c>
      <c r="R258" s="2" t="inlineStr">
        <is>
          <t>Lunglav</t>
        </is>
      </c>
      <c r="S258">
        <f>HYPERLINK("https://klasma.github.io/Logging_2283/artfynd/A 46041-2022 artfynd.xlsx", "A 46041-2022")</f>
        <v/>
      </c>
      <c r="T258">
        <f>HYPERLINK("https://klasma.github.io/Logging_2283/kartor/A 46041-2022 karta.png", "A 46041-2022")</f>
        <v/>
      </c>
      <c r="V258">
        <f>HYPERLINK("https://klasma.github.io/Logging_2283/klagomål/A 46041-2022 FSC-klagomål.docx", "A 46041-2022")</f>
        <v/>
      </c>
      <c r="W258">
        <f>HYPERLINK("https://klasma.github.io/Logging_2283/klagomålsmail/A 46041-2022 FSC-klagomål mail.docx", "A 46041-2022")</f>
        <v/>
      </c>
      <c r="X258">
        <f>HYPERLINK("https://klasma.github.io/Logging_2283/tillsyn/A 46041-2022 tillsynsbegäran.docx", "A 46041-2022")</f>
        <v/>
      </c>
      <c r="Y258">
        <f>HYPERLINK("https://klasma.github.io/Logging_2283/tillsynsmail/A 46041-2022 tillsynsbegäran mail.docx", "A 46041-2022")</f>
        <v/>
      </c>
    </row>
    <row r="259" ht="15" customHeight="1">
      <c r="A259" t="inlineStr">
        <is>
          <t>A 46376-2022</t>
        </is>
      </c>
      <c r="B259" s="1" t="n">
        <v>44848</v>
      </c>
      <c r="C259" s="1" t="n">
        <v>45511</v>
      </c>
      <c r="D259" t="inlineStr">
        <is>
          <t>VÄSTERNORRLANDS LÄN</t>
        </is>
      </c>
      <c r="E259" t="inlineStr">
        <is>
          <t>SOLLEFTEÅ</t>
        </is>
      </c>
      <c r="F259" t="inlineStr">
        <is>
          <t>Holmen skog AB</t>
        </is>
      </c>
      <c r="G259" t="n">
        <v>23.9</v>
      </c>
      <c r="H259" t="n">
        <v>0</v>
      </c>
      <c r="I259" t="n">
        <v>1</v>
      </c>
      <c r="J259" t="n">
        <v>0</v>
      </c>
      <c r="K259" t="n">
        <v>0</v>
      </c>
      <c r="L259" t="n">
        <v>0</v>
      </c>
      <c r="M259" t="n">
        <v>0</v>
      </c>
      <c r="N259" t="n">
        <v>0</v>
      </c>
      <c r="O259" t="n">
        <v>0</v>
      </c>
      <c r="P259" t="n">
        <v>0</v>
      </c>
      <c r="Q259" t="n">
        <v>1</v>
      </c>
      <c r="R259" s="2" t="inlineStr">
        <is>
          <t>Skarp dropptaggsvamp</t>
        </is>
      </c>
      <c r="S259">
        <f>HYPERLINK("https://klasma.github.io/Logging_2283/artfynd/A 46376-2022 artfynd.xlsx", "A 46376-2022")</f>
        <v/>
      </c>
      <c r="T259">
        <f>HYPERLINK("https://klasma.github.io/Logging_2283/kartor/A 46376-2022 karta.png", "A 46376-2022")</f>
        <v/>
      </c>
      <c r="V259">
        <f>HYPERLINK("https://klasma.github.io/Logging_2283/klagomål/A 46376-2022 FSC-klagomål.docx", "A 46376-2022")</f>
        <v/>
      </c>
      <c r="W259">
        <f>HYPERLINK("https://klasma.github.io/Logging_2283/klagomålsmail/A 46376-2022 FSC-klagomål mail.docx", "A 46376-2022")</f>
        <v/>
      </c>
      <c r="X259">
        <f>HYPERLINK("https://klasma.github.io/Logging_2283/tillsyn/A 46376-2022 tillsynsbegäran.docx", "A 46376-2022")</f>
        <v/>
      </c>
      <c r="Y259">
        <f>HYPERLINK("https://klasma.github.io/Logging_2283/tillsynsmail/A 46376-2022 tillsynsbegäran mail.docx", "A 46376-2022")</f>
        <v/>
      </c>
    </row>
    <row r="260" ht="15" customHeight="1">
      <c r="A260" t="inlineStr">
        <is>
          <t>A 46629-2022</t>
        </is>
      </c>
      <c r="B260" s="1" t="n">
        <v>44848</v>
      </c>
      <c r="C260" s="1" t="n">
        <v>45511</v>
      </c>
      <c r="D260" t="inlineStr">
        <is>
          <t>VÄSTERNORRLANDS LÄN</t>
        </is>
      </c>
      <c r="E260" t="inlineStr">
        <is>
          <t>SOLLEFTEÅ</t>
        </is>
      </c>
      <c r="F260" t="inlineStr">
        <is>
          <t>SCA</t>
        </is>
      </c>
      <c r="G260" t="n">
        <v>4.5</v>
      </c>
      <c r="H260" t="n">
        <v>1</v>
      </c>
      <c r="I260" t="n">
        <v>0</v>
      </c>
      <c r="J260" t="n">
        <v>0</v>
      </c>
      <c r="K260" t="n">
        <v>1</v>
      </c>
      <c r="L260" t="n">
        <v>0</v>
      </c>
      <c r="M260" t="n">
        <v>0</v>
      </c>
      <c r="N260" t="n">
        <v>0</v>
      </c>
      <c r="O260" t="n">
        <v>1</v>
      </c>
      <c r="P260" t="n">
        <v>1</v>
      </c>
      <c r="Q260" t="n">
        <v>1</v>
      </c>
      <c r="R260" s="2" t="inlineStr">
        <is>
          <t>Knärot</t>
        </is>
      </c>
      <c r="S260">
        <f>HYPERLINK("https://klasma.github.io/Logging_2283/artfynd/A 46629-2022 artfynd.xlsx", "A 46629-2022")</f>
        <v/>
      </c>
      <c r="T260">
        <f>HYPERLINK("https://klasma.github.io/Logging_2283/kartor/A 46629-2022 karta.png", "A 46629-2022")</f>
        <v/>
      </c>
      <c r="U260">
        <f>HYPERLINK("https://klasma.github.io/Logging_2283/knärot/A 46629-2022 karta knärot.png", "A 46629-2022")</f>
        <v/>
      </c>
      <c r="V260">
        <f>HYPERLINK("https://klasma.github.io/Logging_2283/klagomål/A 46629-2022 FSC-klagomål.docx", "A 46629-2022")</f>
        <v/>
      </c>
      <c r="W260">
        <f>HYPERLINK("https://klasma.github.io/Logging_2283/klagomålsmail/A 46629-2022 FSC-klagomål mail.docx", "A 46629-2022")</f>
        <v/>
      </c>
      <c r="X260">
        <f>HYPERLINK("https://klasma.github.io/Logging_2283/tillsyn/A 46629-2022 tillsynsbegäran.docx", "A 46629-2022")</f>
        <v/>
      </c>
      <c r="Y260">
        <f>HYPERLINK("https://klasma.github.io/Logging_2283/tillsynsmail/A 46629-2022 tillsynsbegäran mail.docx", "A 46629-2022")</f>
        <v/>
      </c>
    </row>
    <row r="261" ht="15" customHeight="1">
      <c r="A261" t="inlineStr">
        <is>
          <t>A 46630-2022</t>
        </is>
      </c>
      <c r="B261" s="1" t="n">
        <v>44848</v>
      </c>
      <c r="C261" s="1" t="n">
        <v>45511</v>
      </c>
      <c r="D261" t="inlineStr">
        <is>
          <t>VÄSTERNORRLANDS LÄN</t>
        </is>
      </c>
      <c r="E261" t="inlineStr">
        <is>
          <t>SOLLEFTEÅ</t>
        </is>
      </c>
      <c r="F261" t="inlineStr">
        <is>
          <t>SCA</t>
        </is>
      </c>
      <c r="G261" t="n">
        <v>3.1</v>
      </c>
      <c r="H261" t="n">
        <v>1</v>
      </c>
      <c r="I261" t="n">
        <v>0</v>
      </c>
      <c r="J261" t="n">
        <v>0</v>
      </c>
      <c r="K261" t="n">
        <v>1</v>
      </c>
      <c r="L261" t="n">
        <v>0</v>
      </c>
      <c r="M261" t="n">
        <v>0</v>
      </c>
      <c r="N261" t="n">
        <v>0</v>
      </c>
      <c r="O261" t="n">
        <v>1</v>
      </c>
      <c r="P261" t="n">
        <v>1</v>
      </c>
      <c r="Q261" t="n">
        <v>1</v>
      </c>
      <c r="R261" s="2" t="inlineStr">
        <is>
          <t>Knärot</t>
        </is>
      </c>
      <c r="S261">
        <f>HYPERLINK("https://klasma.github.io/Logging_2283/artfynd/A 46630-2022 artfynd.xlsx", "A 46630-2022")</f>
        <v/>
      </c>
      <c r="T261">
        <f>HYPERLINK("https://klasma.github.io/Logging_2283/kartor/A 46630-2022 karta.png", "A 46630-2022")</f>
        <v/>
      </c>
      <c r="U261">
        <f>HYPERLINK("https://klasma.github.io/Logging_2283/knärot/A 46630-2022 karta knärot.png", "A 46630-2022")</f>
        <v/>
      </c>
      <c r="V261">
        <f>HYPERLINK("https://klasma.github.io/Logging_2283/klagomål/A 46630-2022 FSC-klagomål.docx", "A 46630-2022")</f>
        <v/>
      </c>
      <c r="W261">
        <f>HYPERLINK("https://klasma.github.io/Logging_2283/klagomålsmail/A 46630-2022 FSC-klagomål mail.docx", "A 46630-2022")</f>
        <v/>
      </c>
      <c r="X261">
        <f>HYPERLINK("https://klasma.github.io/Logging_2283/tillsyn/A 46630-2022 tillsynsbegäran.docx", "A 46630-2022")</f>
        <v/>
      </c>
      <c r="Y261">
        <f>HYPERLINK("https://klasma.github.io/Logging_2283/tillsynsmail/A 46630-2022 tillsynsbegäran mail.docx", "A 46630-2022")</f>
        <v/>
      </c>
    </row>
    <row r="262" ht="15" customHeight="1">
      <c r="A262" t="inlineStr">
        <is>
          <t>A 52736-2022</t>
        </is>
      </c>
      <c r="B262" s="1" t="n">
        <v>44874</v>
      </c>
      <c r="C262" s="1" t="n">
        <v>45511</v>
      </c>
      <c r="D262" t="inlineStr">
        <is>
          <t>VÄSTERNORRLANDS LÄN</t>
        </is>
      </c>
      <c r="E262" t="inlineStr">
        <is>
          <t>SOLLEFTEÅ</t>
        </is>
      </c>
      <c r="F262" t="inlineStr">
        <is>
          <t>SCA</t>
        </is>
      </c>
      <c r="G262" t="n">
        <v>15.1</v>
      </c>
      <c r="H262" t="n">
        <v>0</v>
      </c>
      <c r="I262" t="n">
        <v>0</v>
      </c>
      <c r="J262" t="n">
        <v>1</v>
      </c>
      <c r="K262" t="n">
        <v>0</v>
      </c>
      <c r="L262" t="n">
        <v>0</v>
      </c>
      <c r="M262" t="n">
        <v>0</v>
      </c>
      <c r="N262" t="n">
        <v>0</v>
      </c>
      <c r="O262" t="n">
        <v>1</v>
      </c>
      <c r="P262" t="n">
        <v>0</v>
      </c>
      <c r="Q262" t="n">
        <v>1</v>
      </c>
      <c r="R262" s="2" t="inlineStr">
        <is>
          <t>Orange taggsvamp</t>
        </is>
      </c>
      <c r="S262">
        <f>HYPERLINK("https://klasma.github.io/Logging_2283/artfynd/A 52736-2022 artfynd.xlsx", "A 52736-2022")</f>
        <v/>
      </c>
      <c r="T262">
        <f>HYPERLINK("https://klasma.github.io/Logging_2283/kartor/A 52736-2022 karta.png", "A 52736-2022")</f>
        <v/>
      </c>
      <c r="V262">
        <f>HYPERLINK("https://klasma.github.io/Logging_2283/klagomål/A 52736-2022 FSC-klagomål.docx", "A 52736-2022")</f>
        <v/>
      </c>
      <c r="W262">
        <f>HYPERLINK("https://klasma.github.io/Logging_2283/klagomålsmail/A 52736-2022 FSC-klagomål mail.docx", "A 52736-2022")</f>
        <v/>
      </c>
      <c r="X262">
        <f>HYPERLINK("https://klasma.github.io/Logging_2283/tillsyn/A 52736-2022 tillsynsbegäran.docx", "A 52736-2022")</f>
        <v/>
      </c>
      <c r="Y262">
        <f>HYPERLINK("https://klasma.github.io/Logging_2283/tillsynsmail/A 52736-2022 tillsynsbegäran mail.docx", "A 52736-2022")</f>
        <v/>
      </c>
    </row>
    <row r="263" ht="15" customHeight="1">
      <c r="A263" t="inlineStr">
        <is>
          <t>A 54558-2022</t>
        </is>
      </c>
      <c r="B263" s="1" t="n">
        <v>44882</v>
      </c>
      <c r="C263" s="1" t="n">
        <v>45511</v>
      </c>
      <c r="D263" t="inlineStr">
        <is>
          <t>VÄSTERNORRLANDS LÄN</t>
        </is>
      </c>
      <c r="E263" t="inlineStr">
        <is>
          <t>SOLLEFTEÅ</t>
        </is>
      </c>
      <c r="G263" t="n">
        <v>5.8</v>
      </c>
      <c r="H263" t="n">
        <v>0</v>
      </c>
      <c r="I263" t="n">
        <v>1</v>
      </c>
      <c r="J263" t="n">
        <v>0</v>
      </c>
      <c r="K263" t="n">
        <v>0</v>
      </c>
      <c r="L263" t="n">
        <v>0</v>
      </c>
      <c r="M263" t="n">
        <v>0</v>
      </c>
      <c r="N263" t="n">
        <v>0</v>
      </c>
      <c r="O263" t="n">
        <v>0</v>
      </c>
      <c r="P263" t="n">
        <v>0</v>
      </c>
      <c r="Q263" t="n">
        <v>1</v>
      </c>
      <c r="R263" s="2" t="inlineStr">
        <is>
          <t>Strutbräken</t>
        </is>
      </c>
      <c r="S263">
        <f>HYPERLINK("https://klasma.github.io/Logging_2283/artfynd/A 54558-2022 artfynd.xlsx", "A 54558-2022")</f>
        <v/>
      </c>
      <c r="T263">
        <f>HYPERLINK("https://klasma.github.io/Logging_2283/kartor/A 54558-2022 karta.png", "A 54558-2022")</f>
        <v/>
      </c>
      <c r="V263">
        <f>HYPERLINK("https://klasma.github.io/Logging_2283/klagomål/A 54558-2022 FSC-klagomål.docx", "A 54558-2022")</f>
        <v/>
      </c>
      <c r="W263">
        <f>HYPERLINK("https://klasma.github.io/Logging_2283/klagomålsmail/A 54558-2022 FSC-klagomål mail.docx", "A 54558-2022")</f>
        <v/>
      </c>
      <c r="X263">
        <f>HYPERLINK("https://klasma.github.io/Logging_2283/tillsyn/A 54558-2022 tillsynsbegäran.docx", "A 54558-2022")</f>
        <v/>
      </c>
      <c r="Y263">
        <f>HYPERLINK("https://klasma.github.io/Logging_2283/tillsynsmail/A 54558-2022 tillsynsbegäran mail.docx", "A 54558-2022")</f>
        <v/>
      </c>
    </row>
    <row r="264" ht="15" customHeight="1">
      <c r="A264" t="inlineStr">
        <is>
          <t>A 56932-2022</t>
        </is>
      </c>
      <c r="B264" s="1" t="n">
        <v>44894</v>
      </c>
      <c r="C264" s="1" t="n">
        <v>45511</v>
      </c>
      <c r="D264" t="inlineStr">
        <is>
          <t>VÄSTERNORRLANDS LÄN</t>
        </is>
      </c>
      <c r="E264" t="inlineStr">
        <is>
          <t>SOLLEFTEÅ</t>
        </is>
      </c>
      <c r="F264" t="inlineStr">
        <is>
          <t>Holmen skog AB</t>
        </is>
      </c>
      <c r="G264" t="n">
        <v>1.9</v>
      </c>
      <c r="H264" t="n">
        <v>0</v>
      </c>
      <c r="I264" t="n">
        <v>0</v>
      </c>
      <c r="J264" t="n">
        <v>1</v>
      </c>
      <c r="K264" t="n">
        <v>0</v>
      </c>
      <c r="L264" t="n">
        <v>0</v>
      </c>
      <c r="M264" t="n">
        <v>0</v>
      </c>
      <c r="N264" t="n">
        <v>0</v>
      </c>
      <c r="O264" t="n">
        <v>1</v>
      </c>
      <c r="P264" t="n">
        <v>0</v>
      </c>
      <c r="Q264" t="n">
        <v>1</v>
      </c>
      <c r="R264" s="2" t="inlineStr">
        <is>
          <t>Koralltaggsvamp</t>
        </is>
      </c>
      <c r="S264">
        <f>HYPERLINK("https://klasma.github.io/Logging_2283/artfynd/A 56932-2022 artfynd.xlsx", "A 56932-2022")</f>
        <v/>
      </c>
      <c r="T264">
        <f>HYPERLINK("https://klasma.github.io/Logging_2283/kartor/A 56932-2022 karta.png", "A 56932-2022")</f>
        <v/>
      </c>
      <c r="V264">
        <f>HYPERLINK("https://klasma.github.io/Logging_2283/klagomål/A 56932-2022 FSC-klagomål.docx", "A 56932-2022")</f>
        <v/>
      </c>
      <c r="W264">
        <f>HYPERLINK("https://klasma.github.io/Logging_2283/klagomålsmail/A 56932-2022 FSC-klagomål mail.docx", "A 56932-2022")</f>
        <v/>
      </c>
      <c r="X264">
        <f>HYPERLINK("https://klasma.github.io/Logging_2283/tillsyn/A 56932-2022 tillsynsbegäran.docx", "A 56932-2022")</f>
        <v/>
      </c>
      <c r="Y264">
        <f>HYPERLINK("https://klasma.github.io/Logging_2283/tillsynsmail/A 56932-2022 tillsynsbegäran mail.docx", "A 56932-2022")</f>
        <v/>
      </c>
    </row>
    <row r="265" ht="15" customHeight="1">
      <c r="A265" t="inlineStr">
        <is>
          <t>A 60833-2022</t>
        </is>
      </c>
      <c r="B265" s="1" t="n">
        <v>44907</v>
      </c>
      <c r="C265" s="1" t="n">
        <v>45511</v>
      </c>
      <c r="D265" t="inlineStr">
        <is>
          <t>VÄSTERNORRLANDS LÄN</t>
        </is>
      </c>
      <c r="E265" t="inlineStr">
        <is>
          <t>SOLLEFTEÅ</t>
        </is>
      </c>
      <c r="G265" t="n">
        <v>4.4</v>
      </c>
      <c r="H265" t="n">
        <v>0</v>
      </c>
      <c r="I265" t="n">
        <v>0</v>
      </c>
      <c r="J265" t="n">
        <v>1</v>
      </c>
      <c r="K265" t="n">
        <v>0</v>
      </c>
      <c r="L265" t="n">
        <v>0</v>
      </c>
      <c r="M265" t="n">
        <v>0</v>
      </c>
      <c r="N265" t="n">
        <v>0</v>
      </c>
      <c r="O265" t="n">
        <v>1</v>
      </c>
      <c r="P265" t="n">
        <v>0</v>
      </c>
      <c r="Q265" t="n">
        <v>1</v>
      </c>
      <c r="R265" s="2" t="inlineStr">
        <is>
          <t>Kolflarnlav</t>
        </is>
      </c>
      <c r="S265">
        <f>HYPERLINK("https://klasma.github.io/Logging_2283/artfynd/A 60833-2022 artfynd.xlsx", "A 60833-2022")</f>
        <v/>
      </c>
      <c r="T265">
        <f>HYPERLINK("https://klasma.github.io/Logging_2283/kartor/A 60833-2022 karta.png", "A 60833-2022")</f>
        <v/>
      </c>
      <c r="V265">
        <f>HYPERLINK("https://klasma.github.io/Logging_2283/klagomål/A 60833-2022 FSC-klagomål.docx", "A 60833-2022")</f>
        <v/>
      </c>
      <c r="W265">
        <f>HYPERLINK("https://klasma.github.io/Logging_2283/klagomålsmail/A 60833-2022 FSC-klagomål mail.docx", "A 60833-2022")</f>
        <v/>
      </c>
      <c r="X265">
        <f>HYPERLINK("https://klasma.github.io/Logging_2283/tillsyn/A 60833-2022 tillsynsbegäran.docx", "A 60833-2022")</f>
        <v/>
      </c>
      <c r="Y265">
        <f>HYPERLINK("https://klasma.github.io/Logging_2283/tillsynsmail/A 60833-2022 tillsynsbegäran mail.docx", "A 60833-2022")</f>
        <v/>
      </c>
    </row>
    <row r="266" ht="15" customHeight="1">
      <c r="A266" t="inlineStr">
        <is>
          <t>A 60939-2022</t>
        </is>
      </c>
      <c r="B266" s="1" t="n">
        <v>44908</v>
      </c>
      <c r="C266" s="1" t="n">
        <v>45511</v>
      </c>
      <c r="D266" t="inlineStr">
        <is>
          <t>VÄSTERNORRLANDS LÄN</t>
        </is>
      </c>
      <c r="E266" t="inlineStr">
        <is>
          <t>SOLLEFTEÅ</t>
        </is>
      </c>
      <c r="G266" t="n">
        <v>4.4</v>
      </c>
      <c r="H266" t="n">
        <v>0</v>
      </c>
      <c r="I266" t="n">
        <v>0</v>
      </c>
      <c r="J266" t="n">
        <v>1</v>
      </c>
      <c r="K266" t="n">
        <v>0</v>
      </c>
      <c r="L266" t="n">
        <v>0</v>
      </c>
      <c r="M266" t="n">
        <v>0</v>
      </c>
      <c r="N266" t="n">
        <v>0</v>
      </c>
      <c r="O266" t="n">
        <v>1</v>
      </c>
      <c r="P266" t="n">
        <v>0</v>
      </c>
      <c r="Q266" t="n">
        <v>1</v>
      </c>
      <c r="R266" s="2" t="inlineStr">
        <is>
          <t>Garnlav</t>
        </is>
      </c>
      <c r="S266">
        <f>HYPERLINK("https://klasma.github.io/Logging_2283/artfynd/A 60939-2022 artfynd.xlsx", "A 60939-2022")</f>
        <v/>
      </c>
      <c r="T266">
        <f>HYPERLINK("https://klasma.github.io/Logging_2283/kartor/A 60939-2022 karta.png", "A 60939-2022")</f>
        <v/>
      </c>
      <c r="V266">
        <f>HYPERLINK("https://klasma.github.io/Logging_2283/klagomål/A 60939-2022 FSC-klagomål.docx", "A 60939-2022")</f>
        <v/>
      </c>
      <c r="W266">
        <f>HYPERLINK("https://klasma.github.io/Logging_2283/klagomålsmail/A 60939-2022 FSC-klagomål mail.docx", "A 60939-2022")</f>
        <v/>
      </c>
      <c r="X266">
        <f>HYPERLINK("https://klasma.github.io/Logging_2283/tillsyn/A 60939-2022 tillsynsbegäran.docx", "A 60939-2022")</f>
        <v/>
      </c>
      <c r="Y266">
        <f>HYPERLINK("https://klasma.github.io/Logging_2283/tillsynsmail/A 60939-2022 tillsynsbegäran mail.docx", "A 60939-2022")</f>
        <v/>
      </c>
    </row>
    <row r="267" ht="15" customHeight="1">
      <c r="A267" t="inlineStr">
        <is>
          <t>A 986-2023</t>
        </is>
      </c>
      <c r="B267" s="1" t="n">
        <v>44935</v>
      </c>
      <c r="C267" s="1" t="n">
        <v>45511</v>
      </c>
      <c r="D267" t="inlineStr">
        <is>
          <t>VÄSTERNORRLANDS LÄN</t>
        </is>
      </c>
      <c r="E267" t="inlineStr">
        <is>
          <t>SOLLEFTEÅ</t>
        </is>
      </c>
      <c r="G267" t="n">
        <v>2.6</v>
      </c>
      <c r="H267" t="n">
        <v>1</v>
      </c>
      <c r="I267" t="n">
        <v>0</v>
      </c>
      <c r="J267" t="n">
        <v>0</v>
      </c>
      <c r="K267" t="n">
        <v>0</v>
      </c>
      <c r="L267" t="n">
        <v>0</v>
      </c>
      <c r="M267" t="n">
        <v>0</v>
      </c>
      <c r="N267" t="n">
        <v>0</v>
      </c>
      <c r="O267" t="n">
        <v>0</v>
      </c>
      <c r="P267" t="n">
        <v>0</v>
      </c>
      <c r="Q267" t="n">
        <v>1</v>
      </c>
      <c r="R267" s="2" t="inlineStr">
        <is>
          <t>Revlummer</t>
        </is>
      </c>
      <c r="S267">
        <f>HYPERLINK("https://klasma.github.io/Logging_2283/artfynd/A 986-2023 artfynd.xlsx", "A 986-2023")</f>
        <v/>
      </c>
      <c r="T267">
        <f>HYPERLINK("https://klasma.github.io/Logging_2283/kartor/A 986-2023 karta.png", "A 986-2023")</f>
        <v/>
      </c>
      <c r="V267">
        <f>HYPERLINK("https://klasma.github.io/Logging_2283/klagomål/A 986-2023 FSC-klagomål.docx", "A 986-2023")</f>
        <v/>
      </c>
      <c r="W267">
        <f>HYPERLINK("https://klasma.github.io/Logging_2283/klagomålsmail/A 986-2023 FSC-klagomål mail.docx", "A 986-2023")</f>
        <v/>
      </c>
      <c r="X267">
        <f>HYPERLINK("https://klasma.github.io/Logging_2283/tillsyn/A 986-2023 tillsynsbegäran.docx", "A 986-2023")</f>
        <v/>
      </c>
      <c r="Y267">
        <f>HYPERLINK("https://klasma.github.io/Logging_2283/tillsynsmail/A 986-2023 tillsynsbegäran mail.docx", "A 986-2023")</f>
        <v/>
      </c>
    </row>
    <row r="268" ht="15" customHeight="1">
      <c r="A268" t="inlineStr">
        <is>
          <t>A 12862-2023</t>
        </is>
      </c>
      <c r="B268" s="1" t="n">
        <v>45001</v>
      </c>
      <c r="C268" s="1" t="n">
        <v>45511</v>
      </c>
      <c r="D268" t="inlineStr">
        <is>
          <t>VÄSTERNORRLANDS LÄN</t>
        </is>
      </c>
      <c r="E268" t="inlineStr">
        <is>
          <t>SOLLEFTEÅ</t>
        </is>
      </c>
      <c r="F268" t="inlineStr">
        <is>
          <t>Övriga Aktiebolag</t>
        </is>
      </c>
      <c r="G268" t="n">
        <v>10.4</v>
      </c>
      <c r="H268" t="n">
        <v>0</v>
      </c>
      <c r="I268" t="n">
        <v>1</v>
      </c>
      <c r="J268" t="n">
        <v>0</v>
      </c>
      <c r="K268" t="n">
        <v>0</v>
      </c>
      <c r="L268" t="n">
        <v>0</v>
      </c>
      <c r="M268" t="n">
        <v>0</v>
      </c>
      <c r="N268" t="n">
        <v>0</v>
      </c>
      <c r="O268" t="n">
        <v>0</v>
      </c>
      <c r="P268" t="n">
        <v>0</v>
      </c>
      <c r="Q268" t="n">
        <v>1</v>
      </c>
      <c r="R268" s="2" t="inlineStr">
        <is>
          <t>Korallblylav</t>
        </is>
      </c>
      <c r="S268">
        <f>HYPERLINK("https://klasma.github.io/Logging_2283/artfynd/A 12862-2023 artfynd.xlsx", "A 12862-2023")</f>
        <v/>
      </c>
      <c r="T268">
        <f>HYPERLINK("https://klasma.github.io/Logging_2283/kartor/A 12862-2023 karta.png", "A 12862-2023")</f>
        <v/>
      </c>
      <c r="V268">
        <f>HYPERLINK("https://klasma.github.io/Logging_2283/klagomål/A 12862-2023 FSC-klagomål.docx", "A 12862-2023")</f>
        <v/>
      </c>
      <c r="W268">
        <f>HYPERLINK("https://klasma.github.io/Logging_2283/klagomålsmail/A 12862-2023 FSC-klagomål mail.docx", "A 12862-2023")</f>
        <v/>
      </c>
      <c r="X268">
        <f>HYPERLINK("https://klasma.github.io/Logging_2283/tillsyn/A 12862-2023 tillsynsbegäran.docx", "A 12862-2023")</f>
        <v/>
      </c>
      <c r="Y268">
        <f>HYPERLINK("https://klasma.github.io/Logging_2283/tillsynsmail/A 12862-2023 tillsynsbegäran mail.docx", "A 12862-2023")</f>
        <v/>
      </c>
    </row>
    <row r="269" ht="15" customHeight="1">
      <c r="A269" t="inlineStr">
        <is>
          <t>A 14674-2023</t>
        </is>
      </c>
      <c r="B269" s="1" t="n">
        <v>45013</v>
      </c>
      <c r="C269" s="1" t="n">
        <v>45511</v>
      </c>
      <c r="D269" t="inlineStr">
        <is>
          <t>VÄSTERNORRLANDS LÄN</t>
        </is>
      </c>
      <c r="E269" t="inlineStr">
        <is>
          <t>SOLLEFTEÅ</t>
        </is>
      </c>
      <c r="F269" t="inlineStr">
        <is>
          <t>Övriga statliga verk och myndigheter</t>
        </is>
      </c>
      <c r="G269" t="n">
        <v>11.7</v>
      </c>
      <c r="H269" t="n">
        <v>0</v>
      </c>
      <c r="I269" t="n">
        <v>0</v>
      </c>
      <c r="J269" t="n">
        <v>0</v>
      </c>
      <c r="K269" t="n">
        <v>1</v>
      </c>
      <c r="L269" t="n">
        <v>0</v>
      </c>
      <c r="M269" t="n">
        <v>0</v>
      </c>
      <c r="N269" t="n">
        <v>0</v>
      </c>
      <c r="O269" t="n">
        <v>1</v>
      </c>
      <c r="P269" t="n">
        <v>1</v>
      </c>
      <c r="Q269" t="n">
        <v>1</v>
      </c>
      <c r="R269" s="2" t="inlineStr">
        <is>
          <t>Rynkskinn</t>
        </is>
      </c>
      <c r="S269">
        <f>HYPERLINK("https://klasma.github.io/Logging_2283/artfynd/A 14674-2023 artfynd.xlsx", "A 14674-2023")</f>
        <v/>
      </c>
      <c r="T269">
        <f>HYPERLINK("https://klasma.github.io/Logging_2283/kartor/A 14674-2023 karta.png", "A 14674-2023")</f>
        <v/>
      </c>
      <c r="V269">
        <f>HYPERLINK("https://klasma.github.io/Logging_2283/klagomål/A 14674-2023 FSC-klagomål.docx", "A 14674-2023")</f>
        <v/>
      </c>
      <c r="W269">
        <f>HYPERLINK("https://klasma.github.io/Logging_2283/klagomålsmail/A 14674-2023 FSC-klagomål mail.docx", "A 14674-2023")</f>
        <v/>
      </c>
      <c r="X269">
        <f>HYPERLINK("https://klasma.github.io/Logging_2283/tillsyn/A 14674-2023 tillsynsbegäran.docx", "A 14674-2023")</f>
        <v/>
      </c>
      <c r="Y269">
        <f>HYPERLINK("https://klasma.github.io/Logging_2283/tillsynsmail/A 14674-2023 tillsynsbegäran mail.docx", "A 14674-2023")</f>
        <v/>
      </c>
    </row>
    <row r="270" ht="15" customHeight="1">
      <c r="A270" t="inlineStr">
        <is>
          <t>A 24548-2023</t>
        </is>
      </c>
      <c r="B270" s="1" t="n">
        <v>45082</v>
      </c>
      <c r="C270" s="1" t="n">
        <v>45511</v>
      </c>
      <c r="D270" t="inlineStr">
        <is>
          <t>VÄSTERNORRLANDS LÄN</t>
        </is>
      </c>
      <c r="E270" t="inlineStr">
        <is>
          <t>SOLLEFTEÅ</t>
        </is>
      </c>
      <c r="F270" t="inlineStr">
        <is>
          <t>SCA</t>
        </is>
      </c>
      <c r="G270" t="n">
        <v>3</v>
      </c>
      <c r="H270" t="n">
        <v>1</v>
      </c>
      <c r="I270" t="n">
        <v>0</v>
      </c>
      <c r="J270" t="n">
        <v>1</v>
      </c>
      <c r="K270" t="n">
        <v>0</v>
      </c>
      <c r="L270" t="n">
        <v>0</v>
      </c>
      <c r="M270" t="n">
        <v>0</v>
      </c>
      <c r="N270" t="n">
        <v>0</v>
      </c>
      <c r="O270" t="n">
        <v>1</v>
      </c>
      <c r="P270" t="n">
        <v>0</v>
      </c>
      <c r="Q270" t="n">
        <v>1</v>
      </c>
      <c r="R270" s="2" t="inlineStr">
        <is>
          <t>Tretåig hackspett</t>
        </is>
      </c>
      <c r="S270">
        <f>HYPERLINK("https://klasma.github.io/Logging_2283/artfynd/A 24548-2023 artfynd.xlsx", "A 24548-2023")</f>
        <v/>
      </c>
      <c r="T270">
        <f>HYPERLINK("https://klasma.github.io/Logging_2283/kartor/A 24548-2023 karta.png", "A 24548-2023")</f>
        <v/>
      </c>
      <c r="U270">
        <f>HYPERLINK("https://klasma.github.io/Logging_2283/knärot/A 24548-2023 karta knärot.png", "A 24548-2023")</f>
        <v/>
      </c>
      <c r="V270">
        <f>HYPERLINK("https://klasma.github.io/Logging_2283/klagomål/A 24548-2023 FSC-klagomål.docx", "A 24548-2023")</f>
        <v/>
      </c>
      <c r="W270">
        <f>HYPERLINK("https://klasma.github.io/Logging_2283/klagomålsmail/A 24548-2023 FSC-klagomål mail.docx", "A 24548-2023")</f>
        <v/>
      </c>
      <c r="X270">
        <f>HYPERLINK("https://klasma.github.io/Logging_2283/tillsyn/A 24548-2023 tillsynsbegäran.docx", "A 24548-2023")</f>
        <v/>
      </c>
      <c r="Y270">
        <f>HYPERLINK("https://klasma.github.io/Logging_2283/tillsynsmail/A 24548-2023 tillsynsbegäran mail.docx", "A 24548-2023")</f>
        <v/>
      </c>
      <c r="Z270">
        <f>HYPERLINK("https://klasma.github.io/Logging_2283/fåglar/A 24548-2023 prioriterade fågelarter.docx", "A 24548-2023")</f>
        <v/>
      </c>
    </row>
    <row r="271" ht="15" customHeight="1">
      <c r="A271" t="inlineStr">
        <is>
          <t>A 25310-2023</t>
        </is>
      </c>
      <c r="B271" s="1" t="n">
        <v>45087</v>
      </c>
      <c r="C271" s="1" t="n">
        <v>45511</v>
      </c>
      <c r="D271" t="inlineStr">
        <is>
          <t>VÄSTERNORRLANDS LÄN</t>
        </is>
      </c>
      <c r="E271" t="inlineStr">
        <is>
          <t>SOLLEFTEÅ</t>
        </is>
      </c>
      <c r="F271" t="inlineStr">
        <is>
          <t>SCA</t>
        </is>
      </c>
      <c r="G271" t="n">
        <v>1.1</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25310-2023 artfynd.xlsx", "A 25310-2023")</f>
        <v/>
      </c>
      <c r="T271">
        <f>HYPERLINK("https://klasma.github.io/Logging_2283/kartor/A 25310-2023 karta.png", "A 25310-2023")</f>
        <v/>
      </c>
      <c r="V271">
        <f>HYPERLINK("https://klasma.github.io/Logging_2283/klagomål/A 25310-2023 FSC-klagomål.docx", "A 25310-2023")</f>
        <v/>
      </c>
      <c r="W271">
        <f>HYPERLINK("https://klasma.github.io/Logging_2283/klagomålsmail/A 25310-2023 FSC-klagomål mail.docx", "A 25310-2023")</f>
        <v/>
      </c>
      <c r="X271">
        <f>HYPERLINK("https://klasma.github.io/Logging_2283/tillsyn/A 25310-2023 tillsynsbegäran.docx", "A 25310-2023")</f>
        <v/>
      </c>
      <c r="Y271">
        <f>HYPERLINK("https://klasma.github.io/Logging_2283/tillsynsmail/A 25310-2023 tillsynsbegäran mail.docx", "A 25310-2023")</f>
        <v/>
      </c>
      <c r="Z271">
        <f>HYPERLINK("https://klasma.github.io/Logging_2283/fåglar/A 25310-2023 prioriterade fågelarter.docx", "A 25310-2023")</f>
        <v/>
      </c>
    </row>
    <row r="272" ht="15" customHeight="1">
      <c r="A272" t="inlineStr">
        <is>
          <t>A 29958-2023</t>
        </is>
      </c>
      <c r="B272" s="1" t="n">
        <v>45107</v>
      </c>
      <c r="C272" s="1" t="n">
        <v>45511</v>
      </c>
      <c r="D272" t="inlineStr">
        <is>
          <t>VÄSTERNORRLANDS LÄN</t>
        </is>
      </c>
      <c r="E272" t="inlineStr">
        <is>
          <t>SOLLEFTEÅ</t>
        </is>
      </c>
      <c r="F272" t="inlineStr">
        <is>
          <t>SCA</t>
        </is>
      </c>
      <c r="G272" t="n">
        <v>7.5</v>
      </c>
      <c r="H272" t="n">
        <v>1</v>
      </c>
      <c r="I272" t="n">
        <v>0</v>
      </c>
      <c r="J272" t="n">
        <v>1</v>
      </c>
      <c r="K272" t="n">
        <v>0</v>
      </c>
      <c r="L272" t="n">
        <v>0</v>
      </c>
      <c r="M272" t="n">
        <v>0</v>
      </c>
      <c r="N272" t="n">
        <v>0</v>
      </c>
      <c r="O272" t="n">
        <v>1</v>
      </c>
      <c r="P272" t="n">
        <v>0</v>
      </c>
      <c r="Q272" t="n">
        <v>1</v>
      </c>
      <c r="R272" s="2" t="inlineStr">
        <is>
          <t>Tretåig hackspett</t>
        </is>
      </c>
      <c r="S272">
        <f>HYPERLINK("https://klasma.github.io/Logging_2283/artfynd/A 29958-2023 artfynd.xlsx", "A 29958-2023")</f>
        <v/>
      </c>
      <c r="T272">
        <f>HYPERLINK("https://klasma.github.io/Logging_2283/kartor/A 29958-2023 karta.png", "A 29958-2023")</f>
        <v/>
      </c>
      <c r="V272">
        <f>HYPERLINK("https://klasma.github.io/Logging_2283/klagomål/A 29958-2023 FSC-klagomål.docx", "A 29958-2023")</f>
        <v/>
      </c>
      <c r="W272">
        <f>HYPERLINK("https://klasma.github.io/Logging_2283/klagomålsmail/A 29958-2023 FSC-klagomål mail.docx", "A 29958-2023")</f>
        <v/>
      </c>
      <c r="X272">
        <f>HYPERLINK("https://klasma.github.io/Logging_2283/tillsyn/A 29958-2023 tillsynsbegäran.docx", "A 29958-2023")</f>
        <v/>
      </c>
      <c r="Y272">
        <f>HYPERLINK("https://klasma.github.io/Logging_2283/tillsynsmail/A 29958-2023 tillsynsbegäran mail.docx", "A 29958-2023")</f>
        <v/>
      </c>
      <c r="Z272">
        <f>HYPERLINK("https://klasma.github.io/Logging_2283/fåglar/A 29958-2023 prioriterade fågelarter.docx", "A 29958-2023")</f>
        <v/>
      </c>
    </row>
    <row r="273" ht="15" customHeight="1">
      <c r="A273" t="inlineStr">
        <is>
          <t>A 31912-2023</t>
        </is>
      </c>
      <c r="B273" s="1" t="n">
        <v>45118</v>
      </c>
      <c r="C273" s="1" t="n">
        <v>45511</v>
      </c>
      <c r="D273" t="inlineStr">
        <is>
          <t>VÄSTERNORRLANDS LÄN</t>
        </is>
      </c>
      <c r="E273" t="inlineStr">
        <is>
          <t>SOLLEFTEÅ</t>
        </is>
      </c>
      <c r="G273" t="n">
        <v>5.4</v>
      </c>
      <c r="H273" t="n">
        <v>0</v>
      </c>
      <c r="I273" t="n">
        <v>0</v>
      </c>
      <c r="J273" t="n">
        <v>1</v>
      </c>
      <c r="K273" t="n">
        <v>0</v>
      </c>
      <c r="L273" t="n">
        <v>0</v>
      </c>
      <c r="M273" t="n">
        <v>0</v>
      </c>
      <c r="N273" t="n">
        <v>0</v>
      </c>
      <c r="O273" t="n">
        <v>1</v>
      </c>
      <c r="P273" t="n">
        <v>0</v>
      </c>
      <c r="Q273" t="n">
        <v>1</v>
      </c>
      <c r="R273" s="2" t="inlineStr">
        <is>
          <t>Granticka</t>
        </is>
      </c>
      <c r="S273">
        <f>HYPERLINK("https://klasma.github.io/Logging_2283/artfynd/A 31912-2023 artfynd.xlsx", "A 31912-2023")</f>
        <v/>
      </c>
      <c r="T273">
        <f>HYPERLINK("https://klasma.github.io/Logging_2283/kartor/A 31912-2023 karta.png", "A 31912-2023")</f>
        <v/>
      </c>
      <c r="V273">
        <f>HYPERLINK("https://klasma.github.io/Logging_2283/klagomål/A 31912-2023 FSC-klagomål.docx", "A 31912-2023")</f>
        <v/>
      </c>
      <c r="W273">
        <f>HYPERLINK("https://klasma.github.io/Logging_2283/klagomålsmail/A 31912-2023 FSC-klagomål mail.docx", "A 31912-2023")</f>
        <v/>
      </c>
      <c r="X273">
        <f>HYPERLINK("https://klasma.github.io/Logging_2283/tillsyn/A 31912-2023 tillsynsbegäran.docx", "A 31912-2023")</f>
        <v/>
      </c>
      <c r="Y273">
        <f>HYPERLINK("https://klasma.github.io/Logging_2283/tillsynsmail/A 31912-2023 tillsynsbegäran mail.docx", "A 31912-2023")</f>
        <v/>
      </c>
    </row>
    <row r="274" ht="15" customHeight="1">
      <c r="A274" t="inlineStr">
        <is>
          <t>A 31920-2023</t>
        </is>
      </c>
      <c r="B274" s="1" t="n">
        <v>45118</v>
      </c>
      <c r="C274" s="1" t="n">
        <v>45511</v>
      </c>
      <c r="D274" t="inlineStr">
        <is>
          <t>VÄSTERNORRLANDS LÄN</t>
        </is>
      </c>
      <c r="E274" t="inlineStr">
        <is>
          <t>SOLLEFTEÅ</t>
        </is>
      </c>
      <c r="F274" t="inlineStr">
        <is>
          <t>SCA</t>
        </is>
      </c>
      <c r="G274" t="n">
        <v>2</v>
      </c>
      <c r="H274" t="n">
        <v>0</v>
      </c>
      <c r="I274" t="n">
        <v>0</v>
      </c>
      <c r="J274" t="n">
        <v>1</v>
      </c>
      <c r="K274" t="n">
        <v>0</v>
      </c>
      <c r="L274" t="n">
        <v>0</v>
      </c>
      <c r="M274" t="n">
        <v>0</v>
      </c>
      <c r="N274" t="n">
        <v>0</v>
      </c>
      <c r="O274" t="n">
        <v>1</v>
      </c>
      <c r="P274" t="n">
        <v>0</v>
      </c>
      <c r="Q274" t="n">
        <v>1</v>
      </c>
      <c r="R274" s="2" t="inlineStr">
        <is>
          <t>Ullticka</t>
        </is>
      </c>
      <c r="S274">
        <f>HYPERLINK("https://klasma.github.io/Logging_2283/artfynd/A 31920-2023 artfynd.xlsx", "A 31920-2023")</f>
        <v/>
      </c>
      <c r="T274">
        <f>HYPERLINK("https://klasma.github.io/Logging_2283/kartor/A 31920-2023 karta.png", "A 31920-2023")</f>
        <v/>
      </c>
      <c r="V274">
        <f>HYPERLINK("https://klasma.github.io/Logging_2283/klagomål/A 31920-2023 FSC-klagomål.docx", "A 31920-2023")</f>
        <v/>
      </c>
      <c r="W274">
        <f>HYPERLINK("https://klasma.github.io/Logging_2283/klagomålsmail/A 31920-2023 FSC-klagomål mail.docx", "A 31920-2023")</f>
        <v/>
      </c>
      <c r="X274">
        <f>HYPERLINK("https://klasma.github.io/Logging_2283/tillsyn/A 31920-2023 tillsynsbegäran.docx", "A 31920-2023")</f>
        <v/>
      </c>
      <c r="Y274">
        <f>HYPERLINK("https://klasma.github.io/Logging_2283/tillsynsmail/A 31920-2023 tillsynsbegäran mail.docx", "A 31920-2023")</f>
        <v/>
      </c>
    </row>
    <row r="275" ht="15" customHeight="1">
      <c r="A275" t="inlineStr">
        <is>
          <t>A 32734-2023</t>
        </is>
      </c>
      <c r="B275" s="1" t="n">
        <v>45121</v>
      </c>
      <c r="C275" s="1" t="n">
        <v>45511</v>
      </c>
      <c r="D275" t="inlineStr">
        <is>
          <t>VÄSTERNORRLANDS LÄN</t>
        </is>
      </c>
      <c r="E275" t="inlineStr">
        <is>
          <t>SOLLEFTEÅ</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HYPERLINK("https://klasma.github.io/Logging_2283/artfynd/A 32734-2023 artfynd.xlsx", "A 32734-2023")</f>
        <v/>
      </c>
      <c r="T275">
        <f>HYPERLINK("https://klasma.github.io/Logging_2283/kartor/A 32734-2023 karta.png", "A 32734-2023")</f>
        <v/>
      </c>
      <c r="V275">
        <f>HYPERLINK("https://klasma.github.io/Logging_2283/klagomål/A 32734-2023 FSC-klagomål.docx", "A 32734-2023")</f>
        <v/>
      </c>
      <c r="W275">
        <f>HYPERLINK("https://klasma.github.io/Logging_2283/klagomålsmail/A 32734-2023 FSC-klagomål mail.docx", "A 32734-2023")</f>
        <v/>
      </c>
      <c r="X275">
        <f>HYPERLINK("https://klasma.github.io/Logging_2283/tillsyn/A 32734-2023 tillsynsbegäran.docx", "A 32734-2023")</f>
        <v/>
      </c>
      <c r="Y275">
        <f>HYPERLINK("https://klasma.github.io/Logging_2283/tillsynsmail/A 32734-2023 tillsynsbegäran mail.docx", "A 32734-2023")</f>
        <v/>
      </c>
    </row>
    <row r="276" ht="15" customHeight="1">
      <c r="A276" t="inlineStr">
        <is>
          <t>A 38089-2023</t>
        </is>
      </c>
      <c r="B276" s="1" t="n">
        <v>45160</v>
      </c>
      <c r="C276" s="1" t="n">
        <v>45511</v>
      </c>
      <c r="D276" t="inlineStr">
        <is>
          <t>VÄSTERNORRLANDS LÄN</t>
        </is>
      </c>
      <c r="E276" t="inlineStr">
        <is>
          <t>SOLLEFTEÅ</t>
        </is>
      </c>
      <c r="F276" t="inlineStr">
        <is>
          <t>SCA</t>
        </is>
      </c>
      <c r="G276" t="n">
        <v>4.3</v>
      </c>
      <c r="H276" t="n">
        <v>0</v>
      </c>
      <c r="I276" t="n">
        <v>0</v>
      </c>
      <c r="J276" t="n">
        <v>1</v>
      </c>
      <c r="K276" t="n">
        <v>0</v>
      </c>
      <c r="L276" t="n">
        <v>0</v>
      </c>
      <c r="M276" t="n">
        <v>0</v>
      </c>
      <c r="N276" t="n">
        <v>0</v>
      </c>
      <c r="O276" t="n">
        <v>1</v>
      </c>
      <c r="P276" t="n">
        <v>0</v>
      </c>
      <c r="Q276" t="n">
        <v>1</v>
      </c>
      <c r="R276" s="2" t="inlineStr">
        <is>
          <t>Garnlav</t>
        </is>
      </c>
      <c r="S276">
        <f>HYPERLINK("https://klasma.github.io/Logging_2283/artfynd/A 38089-2023 artfynd.xlsx", "A 38089-2023")</f>
        <v/>
      </c>
      <c r="T276">
        <f>HYPERLINK("https://klasma.github.io/Logging_2283/kartor/A 38089-2023 karta.png", "A 38089-2023")</f>
        <v/>
      </c>
      <c r="V276">
        <f>HYPERLINK("https://klasma.github.io/Logging_2283/klagomål/A 38089-2023 FSC-klagomål.docx", "A 38089-2023")</f>
        <v/>
      </c>
      <c r="W276">
        <f>HYPERLINK("https://klasma.github.io/Logging_2283/klagomålsmail/A 38089-2023 FSC-klagomål mail.docx", "A 38089-2023")</f>
        <v/>
      </c>
      <c r="X276">
        <f>HYPERLINK("https://klasma.github.io/Logging_2283/tillsyn/A 38089-2023 tillsynsbegäran.docx", "A 38089-2023")</f>
        <v/>
      </c>
      <c r="Y276">
        <f>HYPERLINK("https://klasma.github.io/Logging_2283/tillsynsmail/A 38089-2023 tillsynsbegäran mail.docx", "A 38089-2023")</f>
        <v/>
      </c>
    </row>
    <row r="277" ht="15" customHeight="1">
      <c r="A277" t="inlineStr">
        <is>
          <t>A 39565-2023</t>
        </is>
      </c>
      <c r="B277" s="1" t="n">
        <v>45167</v>
      </c>
      <c r="C277" s="1" t="n">
        <v>45511</v>
      </c>
      <c r="D277" t="inlineStr">
        <is>
          <t>VÄSTERNORRLANDS LÄN</t>
        </is>
      </c>
      <c r="E277" t="inlineStr">
        <is>
          <t>SOLLEFTEÅ</t>
        </is>
      </c>
      <c r="G277" t="n">
        <v>3.2</v>
      </c>
      <c r="H277" t="n">
        <v>0</v>
      </c>
      <c r="I277" t="n">
        <v>0</v>
      </c>
      <c r="J277" t="n">
        <v>1</v>
      </c>
      <c r="K277" t="n">
        <v>0</v>
      </c>
      <c r="L277" t="n">
        <v>0</v>
      </c>
      <c r="M277" t="n">
        <v>0</v>
      </c>
      <c r="N277" t="n">
        <v>0</v>
      </c>
      <c r="O277" t="n">
        <v>1</v>
      </c>
      <c r="P277" t="n">
        <v>0</v>
      </c>
      <c r="Q277" t="n">
        <v>1</v>
      </c>
      <c r="R277" s="2" t="inlineStr">
        <is>
          <t>Ullticka</t>
        </is>
      </c>
      <c r="S277">
        <f>HYPERLINK("https://klasma.github.io/Logging_2283/artfynd/A 39565-2023 artfynd.xlsx", "A 39565-2023")</f>
        <v/>
      </c>
      <c r="T277">
        <f>HYPERLINK("https://klasma.github.io/Logging_2283/kartor/A 39565-2023 karta.png", "A 39565-2023")</f>
        <v/>
      </c>
      <c r="V277">
        <f>HYPERLINK("https://klasma.github.io/Logging_2283/klagomål/A 39565-2023 FSC-klagomål.docx", "A 39565-2023")</f>
        <v/>
      </c>
      <c r="W277">
        <f>HYPERLINK("https://klasma.github.io/Logging_2283/klagomålsmail/A 39565-2023 FSC-klagomål mail.docx", "A 39565-2023")</f>
        <v/>
      </c>
      <c r="X277">
        <f>HYPERLINK("https://klasma.github.io/Logging_2283/tillsyn/A 39565-2023 tillsynsbegäran.docx", "A 39565-2023")</f>
        <v/>
      </c>
      <c r="Y277">
        <f>HYPERLINK("https://klasma.github.io/Logging_2283/tillsynsmail/A 39565-2023 tillsynsbegäran mail.docx", "A 39565-2023")</f>
        <v/>
      </c>
    </row>
    <row r="278" ht="15" customHeight="1">
      <c r="A278" t="inlineStr">
        <is>
          <t>A 46203-2023</t>
        </is>
      </c>
      <c r="B278" s="1" t="n">
        <v>45190</v>
      </c>
      <c r="C278" s="1" t="n">
        <v>45511</v>
      </c>
      <c r="D278" t="inlineStr">
        <is>
          <t>VÄSTERNORRLANDS LÄN</t>
        </is>
      </c>
      <c r="E278" t="inlineStr">
        <is>
          <t>SOLLEFTEÅ</t>
        </is>
      </c>
      <c r="G278" t="n">
        <v>13</v>
      </c>
      <c r="H278" t="n">
        <v>0</v>
      </c>
      <c r="I278" t="n">
        <v>0</v>
      </c>
      <c r="J278" t="n">
        <v>1</v>
      </c>
      <c r="K278" t="n">
        <v>0</v>
      </c>
      <c r="L278" t="n">
        <v>0</v>
      </c>
      <c r="M278" t="n">
        <v>0</v>
      </c>
      <c r="N278" t="n">
        <v>0</v>
      </c>
      <c r="O278" t="n">
        <v>1</v>
      </c>
      <c r="P278" t="n">
        <v>0</v>
      </c>
      <c r="Q278" t="n">
        <v>1</v>
      </c>
      <c r="R278" s="2" t="inlineStr">
        <is>
          <t>Garnlav</t>
        </is>
      </c>
      <c r="S278">
        <f>HYPERLINK("https://klasma.github.io/Logging_2283/artfynd/A 46203-2023 artfynd.xlsx", "A 46203-2023")</f>
        <v/>
      </c>
      <c r="T278">
        <f>HYPERLINK("https://klasma.github.io/Logging_2283/kartor/A 46203-2023 karta.png", "A 46203-2023")</f>
        <v/>
      </c>
      <c r="V278">
        <f>HYPERLINK("https://klasma.github.io/Logging_2283/klagomål/A 46203-2023 FSC-klagomål.docx", "A 46203-2023")</f>
        <v/>
      </c>
      <c r="W278">
        <f>HYPERLINK("https://klasma.github.io/Logging_2283/klagomålsmail/A 46203-2023 FSC-klagomål mail.docx", "A 46203-2023")</f>
        <v/>
      </c>
      <c r="X278">
        <f>HYPERLINK("https://klasma.github.io/Logging_2283/tillsyn/A 46203-2023 tillsynsbegäran.docx", "A 46203-2023")</f>
        <v/>
      </c>
      <c r="Y278">
        <f>HYPERLINK("https://klasma.github.io/Logging_2283/tillsynsmail/A 46203-2023 tillsynsbegäran mail.docx", "A 46203-2023")</f>
        <v/>
      </c>
    </row>
    <row r="279" ht="15" customHeight="1">
      <c r="A279" t="inlineStr">
        <is>
          <t>A 48087-2023</t>
        </is>
      </c>
      <c r="B279" s="1" t="n">
        <v>45204</v>
      </c>
      <c r="C279" s="1" t="n">
        <v>45511</v>
      </c>
      <c r="D279" t="inlineStr">
        <is>
          <t>VÄSTERNORRLANDS LÄN</t>
        </is>
      </c>
      <c r="E279" t="inlineStr">
        <is>
          <t>SOLLEFTEÅ</t>
        </is>
      </c>
      <c r="F279" t="inlineStr">
        <is>
          <t>SCA</t>
        </is>
      </c>
      <c r="G279" t="n">
        <v>0.6</v>
      </c>
      <c r="H279" t="n">
        <v>0</v>
      </c>
      <c r="I279" t="n">
        <v>0</v>
      </c>
      <c r="J279" t="n">
        <v>1</v>
      </c>
      <c r="K279" t="n">
        <v>0</v>
      </c>
      <c r="L279" t="n">
        <v>0</v>
      </c>
      <c r="M279" t="n">
        <v>0</v>
      </c>
      <c r="N279" t="n">
        <v>0</v>
      </c>
      <c r="O279" t="n">
        <v>1</v>
      </c>
      <c r="P279" t="n">
        <v>0</v>
      </c>
      <c r="Q279" t="n">
        <v>1</v>
      </c>
      <c r="R279" s="2" t="inlineStr">
        <is>
          <t>Doftskinn</t>
        </is>
      </c>
      <c r="S279">
        <f>HYPERLINK("https://klasma.github.io/Logging_2283/artfynd/A 48087-2023 artfynd.xlsx", "A 48087-2023")</f>
        <v/>
      </c>
      <c r="T279">
        <f>HYPERLINK("https://klasma.github.io/Logging_2283/kartor/A 48087-2023 karta.png", "A 48087-2023")</f>
        <v/>
      </c>
      <c r="V279">
        <f>HYPERLINK("https://klasma.github.io/Logging_2283/klagomål/A 48087-2023 FSC-klagomål.docx", "A 48087-2023")</f>
        <v/>
      </c>
      <c r="W279">
        <f>HYPERLINK("https://klasma.github.io/Logging_2283/klagomålsmail/A 48087-2023 FSC-klagomål mail.docx", "A 48087-2023")</f>
        <v/>
      </c>
      <c r="X279">
        <f>HYPERLINK("https://klasma.github.io/Logging_2283/tillsyn/A 48087-2023 tillsynsbegäran.docx", "A 48087-2023")</f>
        <v/>
      </c>
      <c r="Y279">
        <f>HYPERLINK("https://klasma.github.io/Logging_2283/tillsynsmail/A 48087-2023 tillsynsbegäran mail.docx", "A 48087-2023")</f>
        <v/>
      </c>
    </row>
    <row r="280" ht="15" customHeight="1">
      <c r="A280" t="inlineStr">
        <is>
          <t>A 53059-2023</t>
        </is>
      </c>
      <c r="B280" s="1" t="n">
        <v>45226</v>
      </c>
      <c r="C280" s="1" t="n">
        <v>45511</v>
      </c>
      <c r="D280" t="inlineStr">
        <is>
          <t>VÄSTERNORRLANDS LÄN</t>
        </is>
      </c>
      <c r="E280" t="inlineStr">
        <is>
          <t>SOLLEFTEÅ</t>
        </is>
      </c>
      <c r="F280" t="inlineStr">
        <is>
          <t>SCA</t>
        </is>
      </c>
      <c r="G280" t="n">
        <v>1.3</v>
      </c>
      <c r="H280" t="n">
        <v>1</v>
      </c>
      <c r="I280" t="n">
        <v>0</v>
      </c>
      <c r="J280" t="n">
        <v>0</v>
      </c>
      <c r="K280" t="n">
        <v>1</v>
      </c>
      <c r="L280" t="n">
        <v>0</v>
      </c>
      <c r="M280" t="n">
        <v>0</v>
      </c>
      <c r="N280" t="n">
        <v>0</v>
      </c>
      <c r="O280" t="n">
        <v>1</v>
      </c>
      <c r="P280" t="n">
        <v>1</v>
      </c>
      <c r="Q280" t="n">
        <v>1</v>
      </c>
      <c r="R280" s="2" t="inlineStr">
        <is>
          <t>Knärot</t>
        </is>
      </c>
      <c r="S280">
        <f>HYPERLINK("https://klasma.github.io/Logging_2283/artfynd/A 53059-2023 artfynd.xlsx", "A 53059-2023")</f>
        <v/>
      </c>
      <c r="T280">
        <f>HYPERLINK("https://klasma.github.io/Logging_2283/kartor/A 53059-2023 karta.png", "A 53059-2023")</f>
        <v/>
      </c>
      <c r="U280">
        <f>HYPERLINK("https://klasma.github.io/Logging_2283/knärot/A 53059-2023 karta knärot.png", "A 53059-2023")</f>
        <v/>
      </c>
      <c r="V280">
        <f>HYPERLINK("https://klasma.github.io/Logging_2283/klagomål/A 53059-2023 FSC-klagomål.docx", "A 53059-2023")</f>
        <v/>
      </c>
      <c r="W280">
        <f>HYPERLINK("https://klasma.github.io/Logging_2283/klagomålsmail/A 53059-2023 FSC-klagomål mail.docx", "A 53059-2023")</f>
        <v/>
      </c>
      <c r="X280">
        <f>HYPERLINK("https://klasma.github.io/Logging_2283/tillsyn/A 53059-2023 tillsynsbegäran.docx", "A 53059-2023")</f>
        <v/>
      </c>
      <c r="Y280">
        <f>HYPERLINK("https://klasma.github.io/Logging_2283/tillsynsmail/A 53059-2023 tillsynsbegäran mail.docx", "A 53059-2023")</f>
        <v/>
      </c>
    </row>
    <row r="281" ht="15" customHeight="1">
      <c r="A281" t="inlineStr">
        <is>
          <t>A 53039-2023</t>
        </is>
      </c>
      <c r="B281" s="1" t="n">
        <v>45226</v>
      </c>
      <c r="C281" s="1" t="n">
        <v>45511</v>
      </c>
      <c r="D281" t="inlineStr">
        <is>
          <t>VÄSTERNORRLANDS LÄN</t>
        </is>
      </c>
      <c r="E281" t="inlineStr">
        <is>
          <t>SOLLEFTEÅ</t>
        </is>
      </c>
      <c r="F281" t="inlineStr">
        <is>
          <t>SCA</t>
        </is>
      </c>
      <c r="G281" t="n">
        <v>1.8</v>
      </c>
      <c r="H281" t="n">
        <v>1</v>
      </c>
      <c r="I281" t="n">
        <v>0</v>
      </c>
      <c r="J281" t="n">
        <v>1</v>
      </c>
      <c r="K281" t="n">
        <v>0</v>
      </c>
      <c r="L281" t="n">
        <v>0</v>
      </c>
      <c r="M281" t="n">
        <v>0</v>
      </c>
      <c r="N281" t="n">
        <v>0</v>
      </c>
      <c r="O281" t="n">
        <v>1</v>
      </c>
      <c r="P281" t="n">
        <v>0</v>
      </c>
      <c r="Q281" t="n">
        <v>1</v>
      </c>
      <c r="R281" s="2" t="inlineStr">
        <is>
          <t>Nordfladdermus</t>
        </is>
      </c>
      <c r="S281">
        <f>HYPERLINK("https://klasma.github.io/Logging_2283/artfynd/A 53039-2023 artfynd.xlsx", "A 53039-2023")</f>
        <v/>
      </c>
      <c r="T281">
        <f>HYPERLINK("https://klasma.github.io/Logging_2283/kartor/A 53039-2023 karta.png", "A 53039-2023")</f>
        <v/>
      </c>
      <c r="V281">
        <f>HYPERLINK("https://klasma.github.io/Logging_2283/klagomål/A 53039-2023 FSC-klagomål.docx", "A 53039-2023")</f>
        <v/>
      </c>
      <c r="W281">
        <f>HYPERLINK("https://klasma.github.io/Logging_2283/klagomålsmail/A 53039-2023 FSC-klagomål mail.docx", "A 53039-2023")</f>
        <v/>
      </c>
      <c r="X281">
        <f>HYPERLINK("https://klasma.github.io/Logging_2283/tillsyn/A 53039-2023 tillsynsbegäran.docx", "A 53039-2023")</f>
        <v/>
      </c>
      <c r="Y281">
        <f>HYPERLINK("https://klasma.github.io/Logging_2283/tillsynsmail/A 53039-2023 tillsynsbegäran mail.docx", "A 53039-2023")</f>
        <v/>
      </c>
    </row>
    <row r="282" ht="15" customHeight="1">
      <c r="A282" t="inlineStr">
        <is>
          <t>A 53446-2023</t>
        </is>
      </c>
      <c r="B282" s="1" t="n">
        <v>45229</v>
      </c>
      <c r="C282" s="1" t="n">
        <v>45511</v>
      </c>
      <c r="D282" t="inlineStr">
        <is>
          <t>VÄSTERNORRLANDS LÄN</t>
        </is>
      </c>
      <c r="E282" t="inlineStr">
        <is>
          <t>SOLLEFTEÅ</t>
        </is>
      </c>
      <c r="F282" t="inlineStr">
        <is>
          <t>SCA</t>
        </is>
      </c>
      <c r="G282" t="n">
        <v>2.2</v>
      </c>
      <c r="H282" t="n">
        <v>0</v>
      </c>
      <c r="I282" t="n">
        <v>0</v>
      </c>
      <c r="J282" t="n">
        <v>1</v>
      </c>
      <c r="K282" t="n">
        <v>0</v>
      </c>
      <c r="L282" t="n">
        <v>0</v>
      </c>
      <c r="M282" t="n">
        <v>0</v>
      </c>
      <c r="N282" t="n">
        <v>0</v>
      </c>
      <c r="O282" t="n">
        <v>1</v>
      </c>
      <c r="P282" t="n">
        <v>0</v>
      </c>
      <c r="Q282" t="n">
        <v>1</v>
      </c>
      <c r="R282" s="2" t="inlineStr">
        <is>
          <t>Kolflarnlav</t>
        </is>
      </c>
      <c r="S282">
        <f>HYPERLINK("https://klasma.github.io/Logging_2283/artfynd/A 53446-2023 artfynd.xlsx", "A 53446-2023")</f>
        <v/>
      </c>
      <c r="T282">
        <f>HYPERLINK("https://klasma.github.io/Logging_2283/kartor/A 53446-2023 karta.png", "A 53446-2023")</f>
        <v/>
      </c>
      <c r="V282">
        <f>HYPERLINK("https://klasma.github.io/Logging_2283/klagomål/A 53446-2023 FSC-klagomål.docx", "A 53446-2023")</f>
        <v/>
      </c>
      <c r="W282">
        <f>HYPERLINK("https://klasma.github.io/Logging_2283/klagomålsmail/A 53446-2023 FSC-klagomål mail.docx", "A 53446-2023")</f>
        <v/>
      </c>
      <c r="X282">
        <f>HYPERLINK("https://klasma.github.io/Logging_2283/tillsyn/A 53446-2023 tillsynsbegäran.docx", "A 53446-2023")</f>
        <v/>
      </c>
      <c r="Y282">
        <f>HYPERLINK("https://klasma.github.io/Logging_2283/tillsynsmail/A 53446-2023 tillsynsbegäran mail.docx", "A 53446-2023")</f>
        <v/>
      </c>
    </row>
    <row r="283" ht="15" customHeight="1">
      <c r="A283" t="inlineStr">
        <is>
          <t>A 56257-2023</t>
        </is>
      </c>
      <c r="B283" s="1" t="n">
        <v>45240</v>
      </c>
      <c r="C283" s="1" t="n">
        <v>45511</v>
      </c>
      <c r="D283" t="inlineStr">
        <is>
          <t>VÄSTERNORRLANDS LÄN</t>
        </is>
      </c>
      <c r="E283" t="inlineStr">
        <is>
          <t>SOLLEFTEÅ</t>
        </is>
      </c>
      <c r="F283" t="inlineStr">
        <is>
          <t>SCA</t>
        </is>
      </c>
      <c r="G283" t="n">
        <v>2.9</v>
      </c>
      <c r="H283" t="n">
        <v>0</v>
      </c>
      <c r="I283" t="n">
        <v>1</v>
      </c>
      <c r="J283" t="n">
        <v>0</v>
      </c>
      <c r="K283" t="n">
        <v>0</v>
      </c>
      <c r="L283" t="n">
        <v>0</v>
      </c>
      <c r="M283" t="n">
        <v>0</v>
      </c>
      <c r="N283" t="n">
        <v>0</v>
      </c>
      <c r="O283" t="n">
        <v>0</v>
      </c>
      <c r="P283" t="n">
        <v>0</v>
      </c>
      <c r="Q283" t="n">
        <v>1</v>
      </c>
      <c r="R283" s="2" t="inlineStr">
        <is>
          <t>Tibast</t>
        </is>
      </c>
      <c r="S283">
        <f>HYPERLINK("https://klasma.github.io/Logging_2283/artfynd/A 56257-2023 artfynd.xlsx", "A 56257-2023")</f>
        <v/>
      </c>
      <c r="T283">
        <f>HYPERLINK("https://klasma.github.io/Logging_2283/kartor/A 56257-2023 karta.png", "A 56257-2023")</f>
        <v/>
      </c>
      <c r="V283">
        <f>HYPERLINK("https://klasma.github.io/Logging_2283/klagomål/A 56257-2023 FSC-klagomål.docx", "A 56257-2023")</f>
        <v/>
      </c>
      <c r="W283">
        <f>HYPERLINK("https://klasma.github.io/Logging_2283/klagomålsmail/A 56257-2023 FSC-klagomål mail.docx", "A 56257-2023")</f>
        <v/>
      </c>
      <c r="X283">
        <f>HYPERLINK("https://klasma.github.io/Logging_2283/tillsyn/A 56257-2023 tillsynsbegäran.docx", "A 56257-2023")</f>
        <v/>
      </c>
      <c r="Y283">
        <f>HYPERLINK("https://klasma.github.io/Logging_2283/tillsynsmail/A 56257-2023 tillsynsbegäran mail.docx", "A 56257-2023")</f>
        <v/>
      </c>
    </row>
    <row r="284" ht="15" customHeight="1">
      <c r="A284" t="inlineStr">
        <is>
          <t>A 59100-2023</t>
        </is>
      </c>
      <c r="B284" s="1" t="n">
        <v>45252</v>
      </c>
      <c r="C284" s="1" t="n">
        <v>45511</v>
      </c>
      <c r="D284" t="inlineStr">
        <is>
          <t>VÄSTERNORRLANDS LÄN</t>
        </is>
      </c>
      <c r="E284" t="inlineStr">
        <is>
          <t>SOLLEFTEÅ</t>
        </is>
      </c>
      <c r="F284" t="inlineStr">
        <is>
          <t>SCA</t>
        </is>
      </c>
      <c r="G284" t="n">
        <v>4.2</v>
      </c>
      <c r="H284" t="n">
        <v>0</v>
      </c>
      <c r="I284" t="n">
        <v>0</v>
      </c>
      <c r="J284" t="n">
        <v>1</v>
      </c>
      <c r="K284" t="n">
        <v>0</v>
      </c>
      <c r="L284" t="n">
        <v>0</v>
      </c>
      <c r="M284" t="n">
        <v>0</v>
      </c>
      <c r="N284" t="n">
        <v>0</v>
      </c>
      <c r="O284" t="n">
        <v>1</v>
      </c>
      <c r="P284" t="n">
        <v>0</v>
      </c>
      <c r="Q284" t="n">
        <v>1</v>
      </c>
      <c r="R284" s="2" t="inlineStr">
        <is>
          <t>Skrovlig taggsvamp</t>
        </is>
      </c>
      <c r="S284">
        <f>HYPERLINK("https://klasma.github.io/Logging_2283/artfynd/A 59100-2023 artfynd.xlsx", "A 59100-2023")</f>
        <v/>
      </c>
      <c r="T284">
        <f>HYPERLINK("https://klasma.github.io/Logging_2283/kartor/A 59100-2023 karta.png", "A 59100-2023")</f>
        <v/>
      </c>
      <c r="V284">
        <f>HYPERLINK("https://klasma.github.io/Logging_2283/klagomål/A 59100-2023 FSC-klagomål.docx", "A 59100-2023")</f>
        <v/>
      </c>
      <c r="W284">
        <f>HYPERLINK("https://klasma.github.io/Logging_2283/klagomålsmail/A 59100-2023 FSC-klagomål mail.docx", "A 59100-2023")</f>
        <v/>
      </c>
      <c r="X284">
        <f>HYPERLINK("https://klasma.github.io/Logging_2283/tillsyn/A 59100-2023 tillsynsbegäran.docx", "A 59100-2023")</f>
        <v/>
      </c>
      <c r="Y284">
        <f>HYPERLINK("https://klasma.github.io/Logging_2283/tillsynsmail/A 59100-2023 tillsynsbegäran mail.docx", "A 59100-2023")</f>
        <v/>
      </c>
    </row>
    <row r="285" ht="15" customHeight="1">
      <c r="A285" t="inlineStr">
        <is>
          <t>A 386-2024</t>
        </is>
      </c>
      <c r="B285" s="1" t="n">
        <v>45296</v>
      </c>
      <c r="C285" s="1" t="n">
        <v>45511</v>
      </c>
      <c r="D285" t="inlineStr">
        <is>
          <t>VÄSTERNORRLANDS LÄN</t>
        </is>
      </c>
      <c r="E285" t="inlineStr">
        <is>
          <t>SOLLEFTEÅ</t>
        </is>
      </c>
      <c r="G285" t="n">
        <v>3.7</v>
      </c>
      <c r="H285" t="n">
        <v>0</v>
      </c>
      <c r="I285" t="n">
        <v>0</v>
      </c>
      <c r="J285" t="n">
        <v>1</v>
      </c>
      <c r="K285" t="n">
        <v>0</v>
      </c>
      <c r="L285" t="n">
        <v>0</v>
      </c>
      <c r="M285" t="n">
        <v>0</v>
      </c>
      <c r="N285" t="n">
        <v>0</v>
      </c>
      <c r="O285" t="n">
        <v>1</v>
      </c>
      <c r="P285" t="n">
        <v>0</v>
      </c>
      <c r="Q285" t="n">
        <v>1</v>
      </c>
      <c r="R285" s="2" t="inlineStr">
        <is>
          <t>Kolflarnlav</t>
        </is>
      </c>
      <c r="S285">
        <f>HYPERLINK("https://klasma.github.io/Logging_2283/artfynd/A 386-2024 artfynd.xlsx", "A 386-2024")</f>
        <v/>
      </c>
      <c r="T285">
        <f>HYPERLINK("https://klasma.github.io/Logging_2283/kartor/A 386-2024 karta.png", "A 386-2024")</f>
        <v/>
      </c>
      <c r="V285">
        <f>HYPERLINK("https://klasma.github.io/Logging_2283/klagomål/A 386-2024 FSC-klagomål.docx", "A 386-2024")</f>
        <v/>
      </c>
      <c r="W285">
        <f>HYPERLINK("https://klasma.github.io/Logging_2283/klagomålsmail/A 386-2024 FSC-klagomål mail.docx", "A 386-2024")</f>
        <v/>
      </c>
      <c r="X285">
        <f>HYPERLINK("https://klasma.github.io/Logging_2283/tillsyn/A 386-2024 tillsynsbegäran.docx", "A 386-2024")</f>
        <v/>
      </c>
      <c r="Y285">
        <f>HYPERLINK("https://klasma.github.io/Logging_2283/tillsynsmail/A 386-2024 tillsynsbegäran mail.docx", "A 386-2024")</f>
        <v/>
      </c>
    </row>
    <row r="286" ht="15" customHeight="1">
      <c r="A286" t="inlineStr">
        <is>
          <t>A 2423-2024</t>
        </is>
      </c>
      <c r="B286" s="1" t="n">
        <v>45310</v>
      </c>
      <c r="C286" s="1" t="n">
        <v>45511</v>
      </c>
      <c r="D286" t="inlineStr">
        <is>
          <t>VÄSTERNORRLANDS LÄN</t>
        </is>
      </c>
      <c r="E286" t="inlineStr">
        <is>
          <t>SOLLEFTEÅ</t>
        </is>
      </c>
      <c r="F286" t="inlineStr">
        <is>
          <t>SCA</t>
        </is>
      </c>
      <c r="G286" t="n">
        <v>3.2</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2423-2024 artfynd.xlsx", "A 2423-2024")</f>
        <v/>
      </c>
      <c r="T286">
        <f>HYPERLINK("https://klasma.github.io/Logging_2283/kartor/A 2423-2024 karta.png", "A 2423-2024")</f>
        <v/>
      </c>
      <c r="V286">
        <f>HYPERLINK("https://klasma.github.io/Logging_2283/klagomål/A 2423-2024 FSC-klagomål.docx", "A 2423-2024")</f>
        <v/>
      </c>
      <c r="W286">
        <f>HYPERLINK("https://klasma.github.io/Logging_2283/klagomålsmail/A 2423-2024 FSC-klagomål mail.docx", "A 2423-2024")</f>
        <v/>
      </c>
      <c r="X286">
        <f>HYPERLINK("https://klasma.github.io/Logging_2283/tillsyn/A 2423-2024 tillsynsbegäran.docx", "A 2423-2024")</f>
        <v/>
      </c>
      <c r="Y286">
        <f>HYPERLINK("https://klasma.github.io/Logging_2283/tillsynsmail/A 2423-2024 tillsynsbegäran mail.docx", "A 2423-2024")</f>
        <v/>
      </c>
      <c r="Z286">
        <f>HYPERLINK("https://klasma.github.io/Logging_2283/fåglar/A 2423-2024 prioriterade fågelarter.docx", "A 2423-2024")</f>
        <v/>
      </c>
    </row>
    <row r="287" ht="15" customHeight="1">
      <c r="A287" t="inlineStr">
        <is>
          <t>A 2570-2024</t>
        </is>
      </c>
      <c r="B287" s="1" t="n">
        <v>45313</v>
      </c>
      <c r="C287" s="1" t="n">
        <v>45511</v>
      </c>
      <c r="D287" t="inlineStr">
        <is>
          <t>VÄSTERNORRLANDS LÄN</t>
        </is>
      </c>
      <c r="E287" t="inlineStr">
        <is>
          <t>SOLLEFTEÅ</t>
        </is>
      </c>
      <c r="F287" t="inlineStr">
        <is>
          <t>Kommuner</t>
        </is>
      </c>
      <c r="G287" t="n">
        <v>6</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2570-2024 artfynd.xlsx", "A 2570-2024")</f>
        <v/>
      </c>
      <c r="T287">
        <f>HYPERLINK("https://klasma.github.io/Logging_2283/kartor/A 2570-2024 karta.png", "A 2570-2024")</f>
        <v/>
      </c>
      <c r="V287">
        <f>HYPERLINK("https://klasma.github.io/Logging_2283/klagomål/A 2570-2024 FSC-klagomål.docx", "A 2570-2024")</f>
        <v/>
      </c>
      <c r="W287">
        <f>HYPERLINK("https://klasma.github.io/Logging_2283/klagomålsmail/A 2570-2024 FSC-klagomål mail.docx", "A 2570-2024")</f>
        <v/>
      </c>
      <c r="X287">
        <f>HYPERLINK("https://klasma.github.io/Logging_2283/tillsyn/A 2570-2024 tillsynsbegäran.docx", "A 2570-2024")</f>
        <v/>
      </c>
      <c r="Y287">
        <f>HYPERLINK("https://klasma.github.io/Logging_2283/tillsynsmail/A 2570-2024 tillsynsbegäran mail.docx", "A 2570-2024")</f>
        <v/>
      </c>
      <c r="Z287">
        <f>HYPERLINK("https://klasma.github.io/Logging_2283/fåglar/A 2570-2024 prioriterade fågelarter.docx", "A 2570-2024")</f>
        <v/>
      </c>
    </row>
    <row r="288" ht="15" customHeight="1">
      <c r="A288" t="inlineStr">
        <is>
          <t>A 3959-2024</t>
        </is>
      </c>
      <c r="B288" s="1" t="n">
        <v>45322</v>
      </c>
      <c r="C288" s="1" t="n">
        <v>45511</v>
      </c>
      <c r="D288" t="inlineStr">
        <is>
          <t>VÄSTERNORRLANDS LÄN</t>
        </is>
      </c>
      <c r="E288" t="inlineStr">
        <is>
          <t>SOLLEFTEÅ</t>
        </is>
      </c>
      <c r="F288" t="inlineStr">
        <is>
          <t>Kommuner</t>
        </is>
      </c>
      <c r="G288" t="n">
        <v>1</v>
      </c>
      <c r="H288" t="n">
        <v>0</v>
      </c>
      <c r="I288" t="n">
        <v>0</v>
      </c>
      <c r="J288" t="n">
        <v>1</v>
      </c>
      <c r="K288" t="n">
        <v>0</v>
      </c>
      <c r="L288" t="n">
        <v>0</v>
      </c>
      <c r="M288" t="n">
        <v>0</v>
      </c>
      <c r="N288" t="n">
        <v>0</v>
      </c>
      <c r="O288" t="n">
        <v>1</v>
      </c>
      <c r="P288" t="n">
        <v>0</v>
      </c>
      <c r="Q288" t="n">
        <v>1</v>
      </c>
      <c r="R288" s="2" t="inlineStr">
        <is>
          <t>Garnlav</t>
        </is>
      </c>
      <c r="S288">
        <f>HYPERLINK("https://klasma.github.io/Logging_2283/artfynd/A 3959-2024 artfynd.xlsx", "A 3959-2024")</f>
        <v/>
      </c>
      <c r="T288">
        <f>HYPERLINK("https://klasma.github.io/Logging_2283/kartor/A 3959-2024 karta.png", "A 3959-2024")</f>
        <v/>
      </c>
      <c r="V288">
        <f>HYPERLINK("https://klasma.github.io/Logging_2283/klagomål/A 3959-2024 FSC-klagomål.docx", "A 3959-2024")</f>
        <v/>
      </c>
      <c r="W288">
        <f>HYPERLINK("https://klasma.github.io/Logging_2283/klagomålsmail/A 3959-2024 FSC-klagomål mail.docx", "A 3959-2024")</f>
        <v/>
      </c>
      <c r="X288">
        <f>HYPERLINK("https://klasma.github.io/Logging_2283/tillsyn/A 3959-2024 tillsynsbegäran.docx", "A 3959-2024")</f>
        <v/>
      </c>
      <c r="Y288">
        <f>HYPERLINK("https://klasma.github.io/Logging_2283/tillsynsmail/A 3959-2024 tillsynsbegäran mail.docx", "A 3959-2024")</f>
        <v/>
      </c>
    </row>
    <row r="289" ht="15" customHeight="1">
      <c r="A289" t="inlineStr">
        <is>
          <t>A 5033-2024</t>
        </is>
      </c>
      <c r="B289" s="1" t="n">
        <v>45329</v>
      </c>
      <c r="C289" s="1" t="n">
        <v>45511</v>
      </c>
      <c r="D289" t="inlineStr">
        <is>
          <t>VÄSTERNORRLANDS LÄN</t>
        </is>
      </c>
      <c r="E289" t="inlineStr">
        <is>
          <t>SOLLEFTEÅ</t>
        </is>
      </c>
      <c r="F289" t="inlineStr">
        <is>
          <t>Övriga Aktiebolag</t>
        </is>
      </c>
      <c r="G289" t="n">
        <v>3.2</v>
      </c>
      <c r="H289" t="n">
        <v>0</v>
      </c>
      <c r="I289" t="n">
        <v>1</v>
      </c>
      <c r="J289" t="n">
        <v>0</v>
      </c>
      <c r="K289" t="n">
        <v>0</v>
      </c>
      <c r="L289" t="n">
        <v>0</v>
      </c>
      <c r="M289" t="n">
        <v>0</v>
      </c>
      <c r="N289" t="n">
        <v>0</v>
      </c>
      <c r="O289" t="n">
        <v>0</v>
      </c>
      <c r="P289" t="n">
        <v>0</v>
      </c>
      <c r="Q289" t="n">
        <v>1</v>
      </c>
      <c r="R289" s="2" t="inlineStr">
        <is>
          <t>Kransrams</t>
        </is>
      </c>
      <c r="S289">
        <f>HYPERLINK("https://klasma.github.io/Logging_2283/artfynd/A 5033-2024 artfynd.xlsx", "A 5033-2024")</f>
        <v/>
      </c>
      <c r="T289">
        <f>HYPERLINK("https://klasma.github.io/Logging_2283/kartor/A 5033-2024 karta.png", "A 5033-2024")</f>
        <v/>
      </c>
      <c r="V289">
        <f>HYPERLINK("https://klasma.github.io/Logging_2283/klagomål/A 5033-2024 FSC-klagomål.docx", "A 5033-2024")</f>
        <v/>
      </c>
      <c r="W289">
        <f>HYPERLINK("https://klasma.github.io/Logging_2283/klagomålsmail/A 5033-2024 FSC-klagomål mail.docx", "A 5033-2024")</f>
        <v/>
      </c>
      <c r="X289">
        <f>HYPERLINK("https://klasma.github.io/Logging_2283/tillsyn/A 5033-2024 tillsynsbegäran.docx", "A 5033-2024")</f>
        <v/>
      </c>
      <c r="Y289">
        <f>HYPERLINK("https://klasma.github.io/Logging_2283/tillsynsmail/A 5033-2024 tillsynsbegäran mail.docx", "A 5033-2024")</f>
        <v/>
      </c>
    </row>
    <row r="290" ht="15" customHeight="1">
      <c r="A290" t="inlineStr">
        <is>
          <t>A 6889-2024</t>
        </is>
      </c>
      <c r="B290" s="1" t="n">
        <v>45342</v>
      </c>
      <c r="C290" s="1" t="n">
        <v>45511</v>
      </c>
      <c r="D290" t="inlineStr">
        <is>
          <t>VÄSTERNORRLANDS LÄN</t>
        </is>
      </c>
      <c r="E290" t="inlineStr">
        <is>
          <t>SOLLEFTEÅ</t>
        </is>
      </c>
      <c r="G290" t="n">
        <v>2.8</v>
      </c>
      <c r="H290" t="n">
        <v>0</v>
      </c>
      <c r="I290" t="n">
        <v>0</v>
      </c>
      <c r="J290" t="n">
        <v>1</v>
      </c>
      <c r="K290" t="n">
        <v>0</v>
      </c>
      <c r="L290" t="n">
        <v>0</v>
      </c>
      <c r="M290" t="n">
        <v>0</v>
      </c>
      <c r="N290" t="n">
        <v>0</v>
      </c>
      <c r="O290" t="n">
        <v>1</v>
      </c>
      <c r="P290" t="n">
        <v>0</v>
      </c>
      <c r="Q290" t="n">
        <v>1</v>
      </c>
      <c r="R290" s="2" t="inlineStr">
        <is>
          <t>Granticka</t>
        </is>
      </c>
      <c r="S290">
        <f>HYPERLINK("https://klasma.github.io/Logging_2283/artfynd/A 6889-2024 artfynd.xlsx", "A 6889-2024")</f>
        <v/>
      </c>
      <c r="T290">
        <f>HYPERLINK("https://klasma.github.io/Logging_2283/kartor/A 6889-2024 karta.png", "A 6889-2024")</f>
        <v/>
      </c>
      <c r="V290">
        <f>HYPERLINK("https://klasma.github.io/Logging_2283/klagomål/A 6889-2024 FSC-klagomål.docx", "A 6889-2024")</f>
        <v/>
      </c>
      <c r="W290">
        <f>HYPERLINK("https://klasma.github.io/Logging_2283/klagomålsmail/A 6889-2024 FSC-klagomål mail.docx", "A 6889-2024")</f>
        <v/>
      </c>
      <c r="X290">
        <f>HYPERLINK("https://klasma.github.io/Logging_2283/tillsyn/A 6889-2024 tillsynsbegäran.docx", "A 6889-2024")</f>
        <v/>
      </c>
      <c r="Y290">
        <f>HYPERLINK("https://klasma.github.io/Logging_2283/tillsynsmail/A 6889-2024 tillsynsbegäran mail.docx", "A 6889-2024")</f>
        <v/>
      </c>
    </row>
    <row r="291" ht="15" customHeight="1">
      <c r="A291" t="inlineStr">
        <is>
          <t>A 7468-2024</t>
        </is>
      </c>
      <c r="B291" s="1" t="n">
        <v>45345</v>
      </c>
      <c r="C291" s="1" t="n">
        <v>45511</v>
      </c>
      <c r="D291" t="inlineStr">
        <is>
          <t>VÄSTERNORRLANDS LÄN</t>
        </is>
      </c>
      <c r="E291" t="inlineStr">
        <is>
          <t>SOLLEFTEÅ</t>
        </is>
      </c>
      <c r="F291" t="inlineStr">
        <is>
          <t>SCA</t>
        </is>
      </c>
      <c r="G291" t="n">
        <v>55.2</v>
      </c>
      <c r="H291" t="n">
        <v>0</v>
      </c>
      <c r="I291" t="n">
        <v>0</v>
      </c>
      <c r="J291" t="n">
        <v>1</v>
      </c>
      <c r="K291" t="n">
        <v>0</v>
      </c>
      <c r="L291" t="n">
        <v>0</v>
      </c>
      <c r="M291" t="n">
        <v>0</v>
      </c>
      <c r="N291" t="n">
        <v>0</v>
      </c>
      <c r="O291" t="n">
        <v>1</v>
      </c>
      <c r="P291" t="n">
        <v>0</v>
      </c>
      <c r="Q291" t="n">
        <v>1</v>
      </c>
      <c r="R291" s="2" t="inlineStr">
        <is>
          <t>Granticka</t>
        </is>
      </c>
      <c r="S291">
        <f>HYPERLINK("https://klasma.github.io/Logging_2283/artfynd/A 7468-2024 artfynd.xlsx", "A 7468-2024")</f>
        <v/>
      </c>
      <c r="T291">
        <f>HYPERLINK("https://klasma.github.io/Logging_2283/kartor/A 7468-2024 karta.png", "A 7468-2024")</f>
        <v/>
      </c>
      <c r="V291">
        <f>HYPERLINK("https://klasma.github.io/Logging_2283/klagomål/A 7468-2024 FSC-klagomål.docx", "A 7468-2024")</f>
        <v/>
      </c>
      <c r="W291">
        <f>HYPERLINK("https://klasma.github.io/Logging_2283/klagomålsmail/A 7468-2024 FSC-klagomål mail.docx", "A 7468-2024")</f>
        <v/>
      </c>
      <c r="X291">
        <f>HYPERLINK("https://klasma.github.io/Logging_2283/tillsyn/A 7468-2024 tillsynsbegäran.docx", "A 7468-2024")</f>
        <v/>
      </c>
      <c r="Y291">
        <f>HYPERLINK("https://klasma.github.io/Logging_2283/tillsynsmail/A 7468-2024 tillsynsbegäran mail.docx", "A 7468-2024")</f>
        <v/>
      </c>
    </row>
    <row r="292" ht="15" customHeight="1">
      <c r="A292" t="inlineStr">
        <is>
          <t>A 7909-2024</t>
        </is>
      </c>
      <c r="B292" s="1" t="n">
        <v>45350</v>
      </c>
      <c r="C292" s="1" t="n">
        <v>45511</v>
      </c>
      <c r="D292" t="inlineStr">
        <is>
          <t>VÄSTERNORRLANDS LÄN</t>
        </is>
      </c>
      <c r="E292" t="inlineStr">
        <is>
          <t>SOLLEFTEÅ</t>
        </is>
      </c>
      <c r="G292" t="n">
        <v>7.2</v>
      </c>
      <c r="H292" t="n">
        <v>0</v>
      </c>
      <c r="I292" t="n">
        <v>0</v>
      </c>
      <c r="J292" t="n">
        <v>1</v>
      </c>
      <c r="K292" t="n">
        <v>0</v>
      </c>
      <c r="L292" t="n">
        <v>0</v>
      </c>
      <c r="M292" t="n">
        <v>0</v>
      </c>
      <c r="N292" t="n">
        <v>0</v>
      </c>
      <c r="O292" t="n">
        <v>1</v>
      </c>
      <c r="P292" t="n">
        <v>0</v>
      </c>
      <c r="Q292" t="n">
        <v>1</v>
      </c>
      <c r="R292" s="2" t="inlineStr">
        <is>
          <t>Lunglav</t>
        </is>
      </c>
      <c r="S292">
        <f>HYPERLINK("https://klasma.github.io/Logging_2283/artfynd/A 7909-2024 artfynd.xlsx", "A 7909-2024")</f>
        <v/>
      </c>
      <c r="T292">
        <f>HYPERLINK("https://klasma.github.io/Logging_2283/kartor/A 7909-2024 karta.png", "A 7909-2024")</f>
        <v/>
      </c>
      <c r="V292">
        <f>HYPERLINK("https://klasma.github.io/Logging_2283/klagomål/A 7909-2024 FSC-klagomål.docx", "A 7909-2024")</f>
        <v/>
      </c>
      <c r="W292">
        <f>HYPERLINK("https://klasma.github.io/Logging_2283/klagomålsmail/A 7909-2024 FSC-klagomål mail.docx", "A 7909-2024")</f>
        <v/>
      </c>
      <c r="X292">
        <f>HYPERLINK("https://klasma.github.io/Logging_2283/tillsyn/A 7909-2024 tillsynsbegäran.docx", "A 7909-2024")</f>
        <v/>
      </c>
      <c r="Y292">
        <f>HYPERLINK("https://klasma.github.io/Logging_2283/tillsynsmail/A 7909-2024 tillsynsbegäran mail.docx", "A 7909-2024")</f>
        <v/>
      </c>
    </row>
    <row r="293" ht="15" customHeight="1">
      <c r="A293" t="inlineStr">
        <is>
          <t>A 8541-2024</t>
        </is>
      </c>
      <c r="B293" s="1" t="n">
        <v>45351</v>
      </c>
      <c r="C293" s="1" t="n">
        <v>45511</v>
      </c>
      <c r="D293" t="inlineStr">
        <is>
          <t>VÄSTERNORRLANDS LÄN</t>
        </is>
      </c>
      <c r="E293" t="inlineStr">
        <is>
          <t>SOLLEFTEÅ</t>
        </is>
      </c>
      <c r="F293" t="inlineStr">
        <is>
          <t>Kommuner</t>
        </is>
      </c>
      <c r="G293" t="n">
        <v>0.6</v>
      </c>
      <c r="H293" t="n">
        <v>0</v>
      </c>
      <c r="I293" t="n">
        <v>0</v>
      </c>
      <c r="J293" t="n">
        <v>1</v>
      </c>
      <c r="K293" t="n">
        <v>0</v>
      </c>
      <c r="L293" t="n">
        <v>0</v>
      </c>
      <c r="M293" t="n">
        <v>0</v>
      </c>
      <c r="N293" t="n">
        <v>0</v>
      </c>
      <c r="O293" t="n">
        <v>1</v>
      </c>
      <c r="P293" t="n">
        <v>0</v>
      </c>
      <c r="Q293" t="n">
        <v>1</v>
      </c>
      <c r="R293" s="2" t="inlineStr">
        <is>
          <t>Granticka</t>
        </is>
      </c>
      <c r="S293">
        <f>HYPERLINK("https://klasma.github.io/Logging_2283/artfynd/A 8541-2024 artfynd.xlsx", "A 8541-2024")</f>
        <v/>
      </c>
      <c r="T293">
        <f>HYPERLINK("https://klasma.github.io/Logging_2283/kartor/A 8541-2024 karta.png", "A 8541-2024")</f>
        <v/>
      </c>
      <c r="V293">
        <f>HYPERLINK("https://klasma.github.io/Logging_2283/klagomål/A 8541-2024 FSC-klagomål.docx", "A 8541-2024")</f>
        <v/>
      </c>
      <c r="W293">
        <f>HYPERLINK("https://klasma.github.io/Logging_2283/klagomålsmail/A 8541-2024 FSC-klagomål mail.docx", "A 8541-2024")</f>
        <v/>
      </c>
      <c r="X293">
        <f>HYPERLINK("https://klasma.github.io/Logging_2283/tillsyn/A 8541-2024 tillsynsbegäran.docx", "A 8541-2024")</f>
        <v/>
      </c>
      <c r="Y293">
        <f>HYPERLINK("https://klasma.github.io/Logging_2283/tillsynsmail/A 8541-2024 tillsynsbegäran mail.docx", "A 8541-2024")</f>
        <v/>
      </c>
    </row>
    <row r="294" ht="15" customHeight="1">
      <c r="A294" t="inlineStr">
        <is>
          <t>A 8903-2024</t>
        </is>
      </c>
      <c r="B294" s="1" t="n">
        <v>45355</v>
      </c>
      <c r="C294" s="1" t="n">
        <v>45511</v>
      </c>
      <c r="D294" t="inlineStr">
        <is>
          <t>VÄSTERNORRLANDS LÄN</t>
        </is>
      </c>
      <c r="E294" t="inlineStr">
        <is>
          <t>SOLLEFTEÅ</t>
        </is>
      </c>
      <c r="G294" t="n">
        <v>1.7</v>
      </c>
      <c r="H294" t="n">
        <v>0</v>
      </c>
      <c r="I294" t="n">
        <v>1</v>
      </c>
      <c r="J294" t="n">
        <v>0</v>
      </c>
      <c r="K294" t="n">
        <v>0</v>
      </c>
      <c r="L294" t="n">
        <v>0</v>
      </c>
      <c r="M294" t="n">
        <v>0</v>
      </c>
      <c r="N294" t="n">
        <v>0</v>
      </c>
      <c r="O294" t="n">
        <v>0</v>
      </c>
      <c r="P294" t="n">
        <v>0</v>
      </c>
      <c r="Q294" t="n">
        <v>1</v>
      </c>
      <c r="R294" s="2" t="inlineStr">
        <is>
          <t>Strutbräken</t>
        </is>
      </c>
      <c r="S294">
        <f>HYPERLINK("https://klasma.github.io/Logging_2283/artfynd/A 8903-2024 artfynd.xlsx", "A 8903-2024")</f>
        <v/>
      </c>
      <c r="T294">
        <f>HYPERLINK("https://klasma.github.io/Logging_2283/kartor/A 8903-2024 karta.png", "A 8903-2024")</f>
        <v/>
      </c>
      <c r="V294">
        <f>HYPERLINK("https://klasma.github.io/Logging_2283/klagomål/A 8903-2024 FSC-klagomål.docx", "A 8903-2024")</f>
        <v/>
      </c>
      <c r="W294">
        <f>HYPERLINK("https://klasma.github.io/Logging_2283/klagomålsmail/A 8903-2024 FSC-klagomål mail.docx", "A 8903-2024")</f>
        <v/>
      </c>
      <c r="X294">
        <f>HYPERLINK("https://klasma.github.io/Logging_2283/tillsyn/A 8903-2024 tillsynsbegäran.docx", "A 8903-2024")</f>
        <v/>
      </c>
      <c r="Y294">
        <f>HYPERLINK("https://klasma.github.io/Logging_2283/tillsynsmail/A 8903-2024 tillsynsbegäran mail.docx", "A 8903-2024")</f>
        <v/>
      </c>
    </row>
    <row r="295" ht="15" customHeight="1">
      <c r="A295" t="inlineStr">
        <is>
          <t>A 9818-2024</t>
        </is>
      </c>
      <c r="B295" s="1" t="n">
        <v>45363</v>
      </c>
      <c r="C295" s="1" t="n">
        <v>45511</v>
      </c>
      <c r="D295" t="inlineStr">
        <is>
          <t>VÄSTERNORRLANDS LÄN</t>
        </is>
      </c>
      <c r="E295" t="inlineStr">
        <is>
          <t>SOLLEFTEÅ</t>
        </is>
      </c>
      <c r="F295" t="inlineStr">
        <is>
          <t>SCA</t>
        </is>
      </c>
      <c r="G295" t="n">
        <v>3.8</v>
      </c>
      <c r="H295" t="n">
        <v>0</v>
      </c>
      <c r="I295" t="n">
        <v>0</v>
      </c>
      <c r="J295" t="n">
        <v>1</v>
      </c>
      <c r="K295" t="n">
        <v>0</v>
      </c>
      <c r="L295" t="n">
        <v>0</v>
      </c>
      <c r="M295" t="n">
        <v>0</v>
      </c>
      <c r="N295" t="n">
        <v>0</v>
      </c>
      <c r="O295" t="n">
        <v>1</v>
      </c>
      <c r="P295" t="n">
        <v>0</v>
      </c>
      <c r="Q295" t="n">
        <v>1</v>
      </c>
      <c r="R295" s="2" t="inlineStr">
        <is>
          <t>Motaggsvamp</t>
        </is>
      </c>
      <c r="S295">
        <f>HYPERLINK("https://klasma.github.io/Logging_2283/artfynd/A 9818-2024 artfynd.xlsx", "A 9818-2024")</f>
        <v/>
      </c>
      <c r="T295">
        <f>HYPERLINK("https://klasma.github.io/Logging_2283/kartor/A 9818-2024 karta.png", "A 9818-2024")</f>
        <v/>
      </c>
      <c r="U295">
        <f>HYPERLINK("https://klasma.github.io/Logging_2283/knärot/A 9818-2024 karta knärot.png", "A 9818-2024")</f>
        <v/>
      </c>
      <c r="V295">
        <f>HYPERLINK("https://klasma.github.io/Logging_2283/klagomål/A 9818-2024 FSC-klagomål.docx", "A 9818-2024")</f>
        <v/>
      </c>
      <c r="W295">
        <f>HYPERLINK("https://klasma.github.io/Logging_2283/klagomålsmail/A 9818-2024 FSC-klagomål mail.docx", "A 9818-2024")</f>
        <v/>
      </c>
      <c r="X295">
        <f>HYPERLINK("https://klasma.github.io/Logging_2283/tillsyn/A 9818-2024 tillsynsbegäran.docx", "A 9818-2024")</f>
        <v/>
      </c>
      <c r="Y295">
        <f>HYPERLINK("https://klasma.github.io/Logging_2283/tillsynsmail/A 9818-2024 tillsynsbegäran mail.docx", "A 9818-2024")</f>
        <v/>
      </c>
    </row>
    <row r="296" ht="15" customHeight="1">
      <c r="A296" t="inlineStr">
        <is>
          <t>A 10854-2024</t>
        </is>
      </c>
      <c r="B296" s="1" t="n">
        <v>45370</v>
      </c>
      <c r="C296" s="1" t="n">
        <v>45511</v>
      </c>
      <c r="D296" t="inlineStr">
        <is>
          <t>VÄSTERNORRLANDS LÄN</t>
        </is>
      </c>
      <c r="E296" t="inlineStr">
        <is>
          <t>SOLLEFTEÅ</t>
        </is>
      </c>
      <c r="F296" t="inlineStr">
        <is>
          <t>SCA</t>
        </is>
      </c>
      <c r="G296" t="n">
        <v>2.8</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10854-2024 artfynd.xlsx", "A 10854-2024")</f>
        <v/>
      </c>
      <c r="T296">
        <f>HYPERLINK("https://klasma.github.io/Logging_2283/kartor/A 10854-2024 karta.png", "A 10854-2024")</f>
        <v/>
      </c>
      <c r="V296">
        <f>HYPERLINK("https://klasma.github.io/Logging_2283/klagomål/A 10854-2024 FSC-klagomål.docx", "A 10854-2024")</f>
        <v/>
      </c>
      <c r="W296">
        <f>HYPERLINK("https://klasma.github.io/Logging_2283/klagomålsmail/A 10854-2024 FSC-klagomål mail.docx", "A 10854-2024")</f>
        <v/>
      </c>
      <c r="X296">
        <f>HYPERLINK("https://klasma.github.io/Logging_2283/tillsyn/A 10854-2024 tillsynsbegäran.docx", "A 10854-2024")</f>
        <v/>
      </c>
      <c r="Y296">
        <f>HYPERLINK("https://klasma.github.io/Logging_2283/tillsynsmail/A 10854-2024 tillsynsbegäran mail.docx", "A 10854-2024")</f>
        <v/>
      </c>
      <c r="Z296">
        <f>HYPERLINK("https://klasma.github.io/Logging_2283/fåglar/A 10854-2024 prioriterade fågelarter.docx", "A 10854-2024")</f>
        <v/>
      </c>
    </row>
    <row r="297" ht="15" customHeight="1">
      <c r="A297" t="inlineStr">
        <is>
          <t>A 12371-2024</t>
        </is>
      </c>
      <c r="B297" s="1" t="n">
        <v>45378</v>
      </c>
      <c r="C297" s="1" t="n">
        <v>45511</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Rosenticka</t>
        </is>
      </c>
      <c r="S297">
        <f>HYPERLINK("https://klasma.github.io/Logging_2283/artfynd/A 12371-2024 artfynd.xlsx", "A 12371-2024")</f>
        <v/>
      </c>
      <c r="T297">
        <f>HYPERLINK("https://klasma.github.io/Logging_2283/kartor/A 12371-2024 karta.png", "A 12371-2024")</f>
        <v/>
      </c>
      <c r="V297">
        <f>HYPERLINK("https://klasma.github.io/Logging_2283/klagomål/A 12371-2024 FSC-klagomål.docx", "A 12371-2024")</f>
        <v/>
      </c>
      <c r="W297">
        <f>HYPERLINK("https://klasma.github.io/Logging_2283/klagomålsmail/A 12371-2024 FSC-klagomål mail.docx", "A 12371-2024")</f>
        <v/>
      </c>
      <c r="X297">
        <f>HYPERLINK("https://klasma.github.io/Logging_2283/tillsyn/A 12371-2024 tillsynsbegäran.docx", "A 12371-2024")</f>
        <v/>
      </c>
      <c r="Y297">
        <f>HYPERLINK("https://klasma.github.io/Logging_2283/tillsynsmail/A 12371-2024 tillsynsbegäran mail.docx", "A 12371-2024")</f>
        <v/>
      </c>
    </row>
    <row r="298" ht="15" customHeight="1">
      <c r="A298" t="inlineStr">
        <is>
          <t>A 14805-2024</t>
        </is>
      </c>
      <c r="B298" s="1" t="n">
        <v>45397</v>
      </c>
      <c r="C298" s="1" t="n">
        <v>45511</v>
      </c>
      <c r="D298" t="inlineStr">
        <is>
          <t>VÄSTERNORRLANDS LÄN</t>
        </is>
      </c>
      <c r="E298" t="inlineStr">
        <is>
          <t>SOLLEFTEÅ</t>
        </is>
      </c>
      <c r="F298" t="inlineStr">
        <is>
          <t>SCA</t>
        </is>
      </c>
      <c r="G298" t="n">
        <v>3.5</v>
      </c>
      <c r="H298" t="n">
        <v>0</v>
      </c>
      <c r="I298" t="n">
        <v>0</v>
      </c>
      <c r="J298" t="n">
        <v>1</v>
      </c>
      <c r="K298" t="n">
        <v>0</v>
      </c>
      <c r="L298" t="n">
        <v>0</v>
      </c>
      <c r="M298" t="n">
        <v>0</v>
      </c>
      <c r="N298" t="n">
        <v>0</v>
      </c>
      <c r="O298" t="n">
        <v>1</v>
      </c>
      <c r="P298" t="n">
        <v>0</v>
      </c>
      <c r="Q298" t="n">
        <v>1</v>
      </c>
      <c r="R298" s="2" t="inlineStr">
        <is>
          <t>Dvärgbägarlav</t>
        </is>
      </c>
      <c r="S298">
        <f>HYPERLINK("https://klasma.github.io/Logging_2283/artfynd/A 14805-2024 artfynd.xlsx", "A 14805-2024")</f>
        <v/>
      </c>
      <c r="T298">
        <f>HYPERLINK("https://klasma.github.io/Logging_2283/kartor/A 14805-2024 karta.png", "A 14805-2024")</f>
        <v/>
      </c>
      <c r="V298">
        <f>HYPERLINK("https://klasma.github.io/Logging_2283/klagomål/A 14805-2024 FSC-klagomål.docx", "A 14805-2024")</f>
        <v/>
      </c>
      <c r="W298">
        <f>HYPERLINK("https://klasma.github.io/Logging_2283/klagomålsmail/A 14805-2024 FSC-klagomål mail.docx", "A 14805-2024")</f>
        <v/>
      </c>
      <c r="X298">
        <f>HYPERLINK("https://klasma.github.io/Logging_2283/tillsyn/A 14805-2024 tillsynsbegäran.docx", "A 14805-2024")</f>
        <v/>
      </c>
      <c r="Y298">
        <f>HYPERLINK("https://klasma.github.io/Logging_2283/tillsynsmail/A 14805-2024 tillsynsbegäran mail.docx", "A 14805-2024")</f>
        <v/>
      </c>
    </row>
    <row r="299" ht="15" customHeight="1">
      <c r="A299" t="inlineStr">
        <is>
          <t>A 14885-2024</t>
        </is>
      </c>
      <c r="B299" s="1" t="n">
        <v>45398</v>
      </c>
      <c r="C299" s="1" t="n">
        <v>45511</v>
      </c>
      <c r="D299" t="inlineStr">
        <is>
          <t>VÄSTERNORRLANDS LÄN</t>
        </is>
      </c>
      <c r="E299" t="inlineStr">
        <is>
          <t>SOLLEFTEÅ</t>
        </is>
      </c>
      <c r="G299" t="n">
        <v>5.8</v>
      </c>
      <c r="H299" t="n">
        <v>1</v>
      </c>
      <c r="I299" t="n">
        <v>0</v>
      </c>
      <c r="J299" t="n">
        <v>0</v>
      </c>
      <c r="K299" t="n">
        <v>0</v>
      </c>
      <c r="L299" t="n">
        <v>0</v>
      </c>
      <c r="M299" t="n">
        <v>0</v>
      </c>
      <c r="N299" t="n">
        <v>0</v>
      </c>
      <c r="O299" t="n">
        <v>0</v>
      </c>
      <c r="P299" t="n">
        <v>0</v>
      </c>
      <c r="Q299" t="n">
        <v>1</v>
      </c>
      <c r="R299" s="2" t="inlineStr">
        <is>
          <t>Pärluggla</t>
        </is>
      </c>
      <c r="S299">
        <f>HYPERLINK("https://klasma.github.io/Logging_2283/artfynd/A 14885-2024 artfynd.xlsx", "A 14885-2024")</f>
        <v/>
      </c>
      <c r="T299">
        <f>HYPERLINK("https://klasma.github.io/Logging_2283/kartor/A 14885-2024 karta.png", "A 14885-2024")</f>
        <v/>
      </c>
      <c r="V299">
        <f>HYPERLINK("https://klasma.github.io/Logging_2283/klagomål/A 14885-2024 FSC-klagomål.docx", "A 14885-2024")</f>
        <v/>
      </c>
      <c r="W299">
        <f>HYPERLINK("https://klasma.github.io/Logging_2283/klagomålsmail/A 14885-2024 FSC-klagomål mail.docx", "A 14885-2024")</f>
        <v/>
      </c>
      <c r="X299">
        <f>HYPERLINK("https://klasma.github.io/Logging_2283/tillsyn/A 14885-2024 tillsynsbegäran.docx", "A 14885-2024")</f>
        <v/>
      </c>
      <c r="Y299">
        <f>HYPERLINK("https://klasma.github.io/Logging_2283/tillsynsmail/A 14885-2024 tillsynsbegäran mail.docx", "A 14885-2024")</f>
        <v/>
      </c>
      <c r="Z299">
        <f>HYPERLINK("https://klasma.github.io/Logging_2283/fåglar/A 14885-2024 prioriterade fågelarter.docx", "A 14885-2024")</f>
        <v/>
      </c>
    </row>
    <row r="300" ht="15" customHeight="1">
      <c r="A300" t="inlineStr">
        <is>
          <t>A 15862-2024</t>
        </is>
      </c>
      <c r="B300" s="1" t="n">
        <v>45404</v>
      </c>
      <c r="C300" s="1" t="n">
        <v>45511</v>
      </c>
      <c r="D300" t="inlineStr">
        <is>
          <t>VÄSTERNORRLANDS LÄN</t>
        </is>
      </c>
      <c r="E300" t="inlineStr">
        <is>
          <t>SOLLEFTEÅ</t>
        </is>
      </c>
      <c r="F300" t="inlineStr">
        <is>
          <t>SCA</t>
        </is>
      </c>
      <c r="G300" t="n">
        <v>10.1</v>
      </c>
      <c r="H300" t="n">
        <v>0</v>
      </c>
      <c r="I300" t="n">
        <v>0</v>
      </c>
      <c r="J300" t="n">
        <v>1</v>
      </c>
      <c r="K300" t="n">
        <v>0</v>
      </c>
      <c r="L300" t="n">
        <v>0</v>
      </c>
      <c r="M300" t="n">
        <v>0</v>
      </c>
      <c r="N300" t="n">
        <v>0</v>
      </c>
      <c r="O300" t="n">
        <v>1</v>
      </c>
      <c r="P300" t="n">
        <v>0</v>
      </c>
      <c r="Q300" t="n">
        <v>1</v>
      </c>
      <c r="R300" s="2" t="inlineStr">
        <is>
          <t>Lunglav</t>
        </is>
      </c>
      <c r="S300">
        <f>HYPERLINK("https://klasma.github.io/Logging_2283/artfynd/A 15862-2024 artfynd.xlsx", "A 15862-2024")</f>
        <v/>
      </c>
      <c r="T300">
        <f>HYPERLINK("https://klasma.github.io/Logging_2283/kartor/A 15862-2024 karta.png", "A 15862-2024")</f>
        <v/>
      </c>
      <c r="V300">
        <f>HYPERLINK("https://klasma.github.io/Logging_2283/klagomål/A 15862-2024 FSC-klagomål.docx", "A 15862-2024")</f>
        <v/>
      </c>
      <c r="W300">
        <f>HYPERLINK("https://klasma.github.io/Logging_2283/klagomålsmail/A 15862-2024 FSC-klagomål mail.docx", "A 15862-2024")</f>
        <v/>
      </c>
      <c r="X300">
        <f>HYPERLINK("https://klasma.github.io/Logging_2283/tillsyn/A 15862-2024 tillsynsbegäran.docx", "A 15862-2024")</f>
        <v/>
      </c>
      <c r="Y300">
        <f>HYPERLINK("https://klasma.github.io/Logging_2283/tillsynsmail/A 15862-2024 tillsynsbegäran mail.docx", "A 15862-2024")</f>
        <v/>
      </c>
    </row>
    <row r="301" ht="15" customHeight="1">
      <c r="A301" t="inlineStr">
        <is>
          <t>A 18613-2024</t>
        </is>
      </c>
      <c r="B301" s="1" t="n">
        <v>45425</v>
      </c>
      <c r="C301" s="1" t="n">
        <v>45511</v>
      </c>
      <c r="D301" t="inlineStr">
        <is>
          <t>VÄSTERNORRLANDS LÄN</t>
        </is>
      </c>
      <c r="E301" t="inlineStr">
        <is>
          <t>SOLLEFTEÅ</t>
        </is>
      </c>
      <c r="F301" t="inlineStr">
        <is>
          <t>SCA</t>
        </is>
      </c>
      <c r="G301" t="n">
        <v>4.9</v>
      </c>
      <c r="H301" t="n">
        <v>0</v>
      </c>
      <c r="I301" t="n">
        <v>0</v>
      </c>
      <c r="J301" t="n">
        <v>1</v>
      </c>
      <c r="K301" t="n">
        <v>0</v>
      </c>
      <c r="L301" t="n">
        <v>0</v>
      </c>
      <c r="M301" t="n">
        <v>0</v>
      </c>
      <c r="N301" t="n">
        <v>0</v>
      </c>
      <c r="O301" t="n">
        <v>1</v>
      </c>
      <c r="P301" t="n">
        <v>0</v>
      </c>
      <c r="Q301" t="n">
        <v>1</v>
      </c>
      <c r="R301" s="2" t="inlineStr">
        <is>
          <t>Lunglav</t>
        </is>
      </c>
      <c r="S301">
        <f>HYPERLINK("https://klasma.github.io/Logging_2283/artfynd/A 18613-2024 artfynd.xlsx", "A 18613-2024")</f>
        <v/>
      </c>
      <c r="T301">
        <f>HYPERLINK("https://klasma.github.io/Logging_2283/kartor/A 18613-2024 karta.png", "A 18613-2024")</f>
        <v/>
      </c>
      <c r="V301">
        <f>HYPERLINK("https://klasma.github.io/Logging_2283/klagomål/A 18613-2024 FSC-klagomål.docx", "A 18613-2024")</f>
        <v/>
      </c>
      <c r="W301">
        <f>HYPERLINK("https://klasma.github.io/Logging_2283/klagomålsmail/A 18613-2024 FSC-klagomål mail.docx", "A 18613-2024")</f>
        <v/>
      </c>
      <c r="X301">
        <f>HYPERLINK("https://klasma.github.io/Logging_2283/tillsyn/A 18613-2024 tillsynsbegäran.docx", "A 18613-2024")</f>
        <v/>
      </c>
      <c r="Y301">
        <f>HYPERLINK("https://klasma.github.io/Logging_2283/tillsynsmail/A 18613-2024 tillsynsbegäran mail.docx", "A 18613-2024")</f>
        <v/>
      </c>
    </row>
    <row r="302" ht="15" customHeight="1">
      <c r="A302" t="inlineStr">
        <is>
          <t>A 23552-2024</t>
        </is>
      </c>
      <c r="B302" s="1" t="n">
        <v>45454</v>
      </c>
      <c r="C302" s="1" t="n">
        <v>45511</v>
      </c>
      <c r="D302" t="inlineStr">
        <is>
          <t>VÄSTERNORRLANDS LÄN</t>
        </is>
      </c>
      <c r="E302" t="inlineStr">
        <is>
          <t>SOLLEFTEÅ</t>
        </is>
      </c>
      <c r="F302" t="inlineStr">
        <is>
          <t>SCA</t>
        </is>
      </c>
      <c r="G302" t="n">
        <v>1.2</v>
      </c>
      <c r="H302" t="n">
        <v>0</v>
      </c>
      <c r="I302" t="n">
        <v>0</v>
      </c>
      <c r="J302" t="n">
        <v>1</v>
      </c>
      <c r="K302" t="n">
        <v>0</v>
      </c>
      <c r="L302" t="n">
        <v>0</v>
      </c>
      <c r="M302" t="n">
        <v>0</v>
      </c>
      <c r="N302" t="n">
        <v>0</v>
      </c>
      <c r="O302" t="n">
        <v>1</v>
      </c>
      <c r="P302" t="n">
        <v>0</v>
      </c>
      <c r="Q302" t="n">
        <v>1</v>
      </c>
      <c r="R302" s="2" t="inlineStr">
        <is>
          <t>Lunglav</t>
        </is>
      </c>
      <c r="S302">
        <f>HYPERLINK("https://klasma.github.io/Logging_2283/artfynd/A 23552-2024 artfynd.xlsx", "A 23552-2024")</f>
        <v/>
      </c>
      <c r="T302">
        <f>HYPERLINK("https://klasma.github.io/Logging_2283/kartor/A 23552-2024 karta.png", "A 23552-2024")</f>
        <v/>
      </c>
      <c r="V302">
        <f>HYPERLINK("https://klasma.github.io/Logging_2283/klagomål/A 23552-2024 FSC-klagomål.docx", "A 23552-2024")</f>
        <v/>
      </c>
      <c r="W302">
        <f>HYPERLINK("https://klasma.github.io/Logging_2283/klagomålsmail/A 23552-2024 FSC-klagomål mail.docx", "A 23552-2024")</f>
        <v/>
      </c>
      <c r="X302">
        <f>HYPERLINK("https://klasma.github.io/Logging_2283/tillsyn/A 23552-2024 tillsynsbegäran.docx", "A 23552-2024")</f>
        <v/>
      </c>
      <c r="Y302">
        <f>HYPERLINK("https://klasma.github.io/Logging_2283/tillsynsmail/A 23552-2024 tillsynsbegäran mail.docx", "A 23552-2024")</f>
        <v/>
      </c>
    </row>
    <row r="303" ht="15" customHeight="1">
      <c r="A303" t="inlineStr">
        <is>
          <t>A 26948-2024</t>
        </is>
      </c>
      <c r="B303" s="1" t="n">
        <v>45470</v>
      </c>
      <c r="C303" s="1" t="n">
        <v>45511</v>
      </c>
      <c r="D303" t="inlineStr">
        <is>
          <t>VÄSTERNORRLANDS LÄN</t>
        </is>
      </c>
      <c r="E303" t="inlineStr">
        <is>
          <t>SOLLEFTEÅ</t>
        </is>
      </c>
      <c r="F303" t="inlineStr">
        <is>
          <t>SCA</t>
        </is>
      </c>
      <c r="G303" t="n">
        <v>8.1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26948-2024 artfynd.xlsx", "A 26948-2024")</f>
        <v/>
      </c>
      <c r="T303">
        <f>HYPERLINK("https://klasma.github.io/Logging_2283/kartor/A 26948-2024 karta.png", "A 26948-2024")</f>
        <v/>
      </c>
      <c r="V303">
        <f>HYPERLINK("https://klasma.github.io/Logging_2283/klagomål/A 26948-2024 FSC-klagomål.docx", "A 26948-2024")</f>
        <v/>
      </c>
      <c r="W303">
        <f>HYPERLINK("https://klasma.github.io/Logging_2283/klagomålsmail/A 26948-2024 FSC-klagomål mail.docx", "A 26948-2024")</f>
        <v/>
      </c>
      <c r="X303">
        <f>HYPERLINK("https://klasma.github.io/Logging_2283/tillsyn/A 26948-2024 tillsynsbegäran.docx", "A 26948-2024")</f>
        <v/>
      </c>
      <c r="Y303">
        <f>HYPERLINK("https://klasma.github.io/Logging_2283/tillsynsmail/A 26948-2024 tillsynsbegäran mail.docx", "A 26948-2024")</f>
        <v/>
      </c>
      <c r="Z303">
        <f>HYPERLINK("https://klasma.github.io/Logging_2283/fåglar/A 26948-2024 prioriterade fågelarter.docx", "A 26948-2024")</f>
        <v/>
      </c>
    </row>
    <row r="304" ht="15" customHeight="1">
      <c r="A304" t="inlineStr">
        <is>
          <t>A 27309-2024</t>
        </is>
      </c>
      <c r="B304" s="1" t="n">
        <v>45471</v>
      </c>
      <c r="C304" s="1" t="n">
        <v>45511</v>
      </c>
      <c r="D304" t="inlineStr">
        <is>
          <t>VÄSTERNORRLANDS LÄN</t>
        </is>
      </c>
      <c r="E304" t="inlineStr">
        <is>
          <t>SOLLEFTEÅ</t>
        </is>
      </c>
      <c r="F304" t="inlineStr">
        <is>
          <t>SCA</t>
        </is>
      </c>
      <c r="G304" t="n">
        <v>39.2</v>
      </c>
      <c r="H304" t="n">
        <v>1</v>
      </c>
      <c r="I304" t="n">
        <v>0</v>
      </c>
      <c r="J304" t="n">
        <v>1</v>
      </c>
      <c r="K304" t="n">
        <v>0</v>
      </c>
      <c r="L304" t="n">
        <v>0</v>
      </c>
      <c r="M304" t="n">
        <v>0</v>
      </c>
      <c r="N304" t="n">
        <v>0</v>
      </c>
      <c r="O304" t="n">
        <v>1</v>
      </c>
      <c r="P304" t="n">
        <v>0</v>
      </c>
      <c r="Q304" t="n">
        <v>1</v>
      </c>
      <c r="R304" s="2" t="inlineStr">
        <is>
          <t>Nordfladdermus</t>
        </is>
      </c>
      <c r="S304">
        <f>HYPERLINK("https://klasma.github.io/Logging_2283/artfynd/A 27309-2024 artfynd.xlsx", "A 27309-2024")</f>
        <v/>
      </c>
      <c r="T304">
        <f>HYPERLINK("https://klasma.github.io/Logging_2283/kartor/A 27309-2024 karta.png", "A 27309-2024")</f>
        <v/>
      </c>
      <c r="V304">
        <f>HYPERLINK("https://klasma.github.io/Logging_2283/klagomål/A 27309-2024 FSC-klagomål.docx", "A 27309-2024")</f>
        <v/>
      </c>
      <c r="W304">
        <f>HYPERLINK("https://klasma.github.io/Logging_2283/klagomålsmail/A 27309-2024 FSC-klagomål mail.docx", "A 27309-2024")</f>
        <v/>
      </c>
      <c r="X304">
        <f>HYPERLINK("https://klasma.github.io/Logging_2283/tillsyn/A 27309-2024 tillsynsbegäran.docx", "A 27309-2024")</f>
        <v/>
      </c>
      <c r="Y304">
        <f>HYPERLINK("https://klasma.github.io/Logging_2283/tillsynsmail/A 27309-2024 tillsynsbegäran mail.docx", "A 27309-2024")</f>
        <v/>
      </c>
    </row>
    <row r="305" ht="15" customHeight="1">
      <c r="A305" t="inlineStr">
        <is>
          <t>A 29260-2024</t>
        </is>
      </c>
      <c r="B305" s="1" t="n">
        <v>45482</v>
      </c>
      <c r="C305" s="1" t="n">
        <v>45511</v>
      </c>
      <c r="D305" t="inlineStr">
        <is>
          <t>VÄSTERNORRLANDS LÄN</t>
        </is>
      </c>
      <c r="E305" t="inlineStr">
        <is>
          <t>SOLLEFTEÅ</t>
        </is>
      </c>
      <c r="F305" t="inlineStr">
        <is>
          <t>SCA</t>
        </is>
      </c>
      <c r="G305" t="n">
        <v>21.2</v>
      </c>
      <c r="H305" t="n">
        <v>0</v>
      </c>
      <c r="I305" t="n">
        <v>0</v>
      </c>
      <c r="J305" t="n">
        <v>1</v>
      </c>
      <c r="K305" t="n">
        <v>0</v>
      </c>
      <c r="L305" t="n">
        <v>0</v>
      </c>
      <c r="M305" t="n">
        <v>0</v>
      </c>
      <c r="N305" t="n">
        <v>0</v>
      </c>
      <c r="O305" t="n">
        <v>1</v>
      </c>
      <c r="P305" t="n">
        <v>0</v>
      </c>
      <c r="Q305" t="n">
        <v>1</v>
      </c>
      <c r="R305" s="2" t="inlineStr">
        <is>
          <t>Garnlav</t>
        </is>
      </c>
      <c r="S305">
        <f>HYPERLINK("https://klasma.github.io/Logging_2283/artfynd/A 29260-2024 artfynd.xlsx", "A 29260-2024")</f>
        <v/>
      </c>
      <c r="T305">
        <f>HYPERLINK("https://klasma.github.io/Logging_2283/kartor/A 29260-2024 karta.png", "A 29260-2024")</f>
        <v/>
      </c>
      <c r="V305">
        <f>HYPERLINK("https://klasma.github.io/Logging_2283/klagomål/A 29260-2024 FSC-klagomål.docx", "A 29260-2024")</f>
        <v/>
      </c>
      <c r="W305">
        <f>HYPERLINK("https://klasma.github.io/Logging_2283/klagomålsmail/A 29260-2024 FSC-klagomål mail.docx", "A 29260-2024")</f>
        <v/>
      </c>
      <c r="X305">
        <f>HYPERLINK("https://klasma.github.io/Logging_2283/tillsyn/A 29260-2024 tillsynsbegäran.docx", "A 29260-2024")</f>
        <v/>
      </c>
      <c r="Y305">
        <f>HYPERLINK("https://klasma.github.io/Logging_2283/tillsynsmail/A 29260-2024 tillsynsbegäran mail.docx", "A 29260-2024")</f>
        <v/>
      </c>
    </row>
    <row r="306" ht="15" customHeight="1">
      <c r="A306" t="inlineStr">
        <is>
          <t>A 29692-2024</t>
        </is>
      </c>
      <c r="B306" s="1" t="n">
        <v>45485</v>
      </c>
      <c r="C306" s="1" t="n">
        <v>45511</v>
      </c>
      <c r="D306" t="inlineStr">
        <is>
          <t>VÄSTERNORRLANDS LÄN</t>
        </is>
      </c>
      <c r="E306" t="inlineStr">
        <is>
          <t>SOLLEFTEÅ</t>
        </is>
      </c>
      <c r="F306" t="inlineStr">
        <is>
          <t>SCA</t>
        </is>
      </c>
      <c r="G306" t="n">
        <v>2.4</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29692-2024 artfynd.xlsx", "A 29692-2024")</f>
        <v/>
      </c>
      <c r="T306">
        <f>HYPERLINK("https://klasma.github.io/Logging_2283/kartor/A 29692-2024 karta.png", "A 29692-2024")</f>
        <v/>
      </c>
      <c r="V306">
        <f>HYPERLINK("https://klasma.github.io/Logging_2283/klagomål/A 29692-2024 FSC-klagomål.docx", "A 29692-2024")</f>
        <v/>
      </c>
      <c r="W306">
        <f>HYPERLINK("https://klasma.github.io/Logging_2283/klagomålsmail/A 29692-2024 FSC-klagomål mail.docx", "A 29692-2024")</f>
        <v/>
      </c>
      <c r="X306">
        <f>HYPERLINK("https://klasma.github.io/Logging_2283/tillsyn/A 29692-2024 tillsynsbegäran.docx", "A 29692-2024")</f>
        <v/>
      </c>
      <c r="Y306">
        <f>HYPERLINK("https://klasma.github.io/Logging_2283/tillsynsmail/A 29692-2024 tillsynsbegäran mail.docx", "A 29692-2024")</f>
        <v/>
      </c>
    </row>
    <row r="307" ht="15" customHeight="1">
      <c r="A307" t="inlineStr">
        <is>
          <t>A 18277-2019</t>
        </is>
      </c>
      <c r="B307" s="1" t="n">
        <v>43557</v>
      </c>
      <c r="C307" s="1" t="n">
        <v>45511</v>
      </c>
      <c r="D307" t="inlineStr">
        <is>
          <t>VÄSTERNORRLANDS LÄN</t>
        </is>
      </c>
      <c r="E307" t="inlineStr">
        <is>
          <t>SOLLEFTEÅ</t>
        </is>
      </c>
      <c r="G307" t="n">
        <v>6.2</v>
      </c>
      <c r="H307" t="n">
        <v>0</v>
      </c>
      <c r="I307" t="n">
        <v>0</v>
      </c>
      <c r="J307" t="n">
        <v>0</v>
      </c>
      <c r="K307" t="n">
        <v>0</v>
      </c>
      <c r="L307" t="n">
        <v>0</v>
      </c>
      <c r="M307" t="n">
        <v>0</v>
      </c>
      <c r="N307" t="n">
        <v>0</v>
      </c>
      <c r="O307" t="n">
        <v>0</v>
      </c>
      <c r="P307" t="n">
        <v>0</v>
      </c>
      <c r="Q307" t="n">
        <v>0</v>
      </c>
      <c r="R307" s="2" t="inlineStr"/>
    </row>
    <row r="308" ht="15" customHeight="1">
      <c r="A308" t="inlineStr">
        <is>
          <t>A 18578-2019</t>
        </is>
      </c>
      <c r="B308" s="1" t="n">
        <v>43558</v>
      </c>
      <c r="C308" s="1" t="n">
        <v>45511</v>
      </c>
      <c r="D308" t="inlineStr">
        <is>
          <t>VÄSTERNORRLANDS LÄN</t>
        </is>
      </c>
      <c r="E308" t="inlineStr">
        <is>
          <t>SOLLEFTEÅ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18452-2019</t>
        </is>
      </c>
      <c r="B309" s="1" t="n">
        <v>43559</v>
      </c>
      <c r="C309" s="1" t="n">
        <v>45511</v>
      </c>
      <c r="D309" t="inlineStr">
        <is>
          <t>VÄSTERNORRLANDS LÄN</t>
        </is>
      </c>
      <c r="E309" t="inlineStr">
        <is>
          <t>SOLLEFTEÅ</t>
        </is>
      </c>
      <c r="G309" t="n">
        <v>2.2</v>
      </c>
      <c r="H309" t="n">
        <v>0</v>
      </c>
      <c r="I309" t="n">
        <v>0</v>
      </c>
      <c r="J309" t="n">
        <v>0</v>
      </c>
      <c r="K309" t="n">
        <v>0</v>
      </c>
      <c r="L309" t="n">
        <v>0</v>
      </c>
      <c r="M309" t="n">
        <v>0</v>
      </c>
      <c r="N309" t="n">
        <v>0</v>
      </c>
      <c r="O309" t="n">
        <v>0</v>
      </c>
      <c r="P309" t="n">
        <v>0</v>
      </c>
      <c r="Q309" t="n">
        <v>0</v>
      </c>
      <c r="R309" s="2" t="inlineStr"/>
    </row>
    <row r="310" ht="15" customHeight="1">
      <c r="A310" t="inlineStr">
        <is>
          <t>A 18925-2019</t>
        </is>
      </c>
      <c r="B310" s="1" t="n">
        <v>43563</v>
      </c>
      <c r="C310" s="1" t="n">
        <v>45511</v>
      </c>
      <c r="D310" t="inlineStr">
        <is>
          <t>VÄSTERNORRLANDS LÄN</t>
        </is>
      </c>
      <c r="E310" t="inlineStr">
        <is>
          <t>SOLLEFTEÅ</t>
        </is>
      </c>
      <c r="G310" t="n">
        <v>1.9</v>
      </c>
      <c r="H310" t="n">
        <v>0</v>
      </c>
      <c r="I310" t="n">
        <v>0</v>
      </c>
      <c r="J310" t="n">
        <v>0</v>
      </c>
      <c r="K310" t="n">
        <v>0</v>
      </c>
      <c r="L310" t="n">
        <v>0</v>
      </c>
      <c r="M310" t="n">
        <v>0</v>
      </c>
      <c r="N310" t="n">
        <v>0</v>
      </c>
      <c r="O310" t="n">
        <v>0</v>
      </c>
      <c r="P310" t="n">
        <v>0</v>
      </c>
      <c r="Q310" t="n">
        <v>0</v>
      </c>
      <c r="R310" s="2" t="inlineStr"/>
    </row>
    <row r="311" ht="15" customHeight="1">
      <c r="A311" t="inlineStr">
        <is>
          <t>A 19123-2019</t>
        </is>
      </c>
      <c r="B311" s="1" t="n">
        <v>43564</v>
      </c>
      <c r="C311" s="1" t="n">
        <v>45511</v>
      </c>
      <c r="D311" t="inlineStr">
        <is>
          <t>VÄSTERNORRLANDS LÄN</t>
        </is>
      </c>
      <c r="E311" t="inlineStr">
        <is>
          <t>SOLLEFTEÅ</t>
        </is>
      </c>
      <c r="G311" t="n">
        <v>9.4</v>
      </c>
      <c r="H311" t="n">
        <v>0</v>
      </c>
      <c r="I311" t="n">
        <v>0</v>
      </c>
      <c r="J311" t="n">
        <v>0</v>
      </c>
      <c r="K311" t="n">
        <v>0</v>
      </c>
      <c r="L311" t="n">
        <v>0</v>
      </c>
      <c r="M311" t="n">
        <v>0</v>
      </c>
      <c r="N311" t="n">
        <v>0</v>
      </c>
      <c r="O311" t="n">
        <v>0</v>
      </c>
      <c r="P311" t="n">
        <v>0</v>
      </c>
      <c r="Q311" t="n">
        <v>0</v>
      </c>
      <c r="R311" s="2" t="inlineStr"/>
    </row>
    <row r="312" ht="15" customHeight="1">
      <c r="A312" t="inlineStr">
        <is>
          <t>A 19219-2019</t>
        </is>
      </c>
      <c r="B312" s="1" t="n">
        <v>43564</v>
      </c>
      <c r="C312" s="1" t="n">
        <v>45511</v>
      </c>
      <c r="D312" t="inlineStr">
        <is>
          <t>VÄSTERNORRLANDS LÄN</t>
        </is>
      </c>
      <c r="E312" t="inlineStr">
        <is>
          <t>SOLLEFTEÅ</t>
        </is>
      </c>
      <c r="G312" t="n">
        <v>37</v>
      </c>
      <c r="H312" t="n">
        <v>0</v>
      </c>
      <c r="I312" t="n">
        <v>0</v>
      </c>
      <c r="J312" t="n">
        <v>0</v>
      </c>
      <c r="K312" t="n">
        <v>0</v>
      </c>
      <c r="L312" t="n">
        <v>0</v>
      </c>
      <c r="M312" t="n">
        <v>0</v>
      </c>
      <c r="N312" t="n">
        <v>0</v>
      </c>
      <c r="O312" t="n">
        <v>0</v>
      </c>
      <c r="P312" t="n">
        <v>0</v>
      </c>
      <c r="Q312" t="n">
        <v>0</v>
      </c>
      <c r="R312" s="2" t="inlineStr"/>
    </row>
    <row r="313" ht="15" customHeight="1">
      <c r="A313" t="inlineStr">
        <is>
          <t>A 19553-2019</t>
        </is>
      </c>
      <c r="B313" s="1" t="n">
        <v>43565</v>
      </c>
      <c r="C313" s="1" t="n">
        <v>45511</v>
      </c>
      <c r="D313" t="inlineStr">
        <is>
          <t>VÄSTERNORRLANDS LÄN</t>
        </is>
      </c>
      <c r="E313" t="inlineStr">
        <is>
          <t>SOLLEFTEÅ</t>
        </is>
      </c>
      <c r="G313" t="n">
        <v>28.1</v>
      </c>
      <c r="H313" t="n">
        <v>0</v>
      </c>
      <c r="I313" t="n">
        <v>0</v>
      </c>
      <c r="J313" t="n">
        <v>0</v>
      </c>
      <c r="K313" t="n">
        <v>0</v>
      </c>
      <c r="L313" t="n">
        <v>0</v>
      </c>
      <c r="M313" t="n">
        <v>0</v>
      </c>
      <c r="N313" t="n">
        <v>0</v>
      </c>
      <c r="O313" t="n">
        <v>0</v>
      </c>
      <c r="P313" t="n">
        <v>0</v>
      </c>
      <c r="Q313" t="n">
        <v>0</v>
      </c>
      <c r="R313" s="2" t="inlineStr"/>
    </row>
    <row r="314" ht="15" customHeight="1">
      <c r="A314" t="inlineStr">
        <is>
          <t>A 19730-2019</t>
        </is>
      </c>
      <c r="B314" s="1" t="n">
        <v>43566</v>
      </c>
      <c r="C314" s="1" t="n">
        <v>45511</v>
      </c>
      <c r="D314" t="inlineStr">
        <is>
          <t>VÄSTERNORRLANDS LÄN</t>
        </is>
      </c>
      <c r="E314" t="inlineStr">
        <is>
          <t>SOLLEFTEÅ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19595-2019</t>
        </is>
      </c>
      <c r="B315" s="1" t="n">
        <v>43566</v>
      </c>
      <c r="C315" s="1" t="n">
        <v>45511</v>
      </c>
      <c r="D315" t="inlineStr">
        <is>
          <t>VÄSTERNORRLANDS LÄN</t>
        </is>
      </c>
      <c r="E315" t="inlineStr">
        <is>
          <t>SOLLEFTEÅ</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19732-2019</t>
        </is>
      </c>
      <c r="B316" s="1" t="n">
        <v>43566</v>
      </c>
      <c r="C316" s="1" t="n">
        <v>45511</v>
      </c>
      <c r="D316" t="inlineStr">
        <is>
          <t>VÄSTERNORRLANDS LÄN</t>
        </is>
      </c>
      <c r="E316" t="inlineStr">
        <is>
          <t>SOLLEFTEÅ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19731-2019</t>
        </is>
      </c>
      <c r="B317" s="1" t="n">
        <v>43566</v>
      </c>
      <c r="C317" s="1" t="n">
        <v>45511</v>
      </c>
      <c r="D317" t="inlineStr">
        <is>
          <t>VÄSTERNORRLANDS LÄN</t>
        </is>
      </c>
      <c r="E317" t="inlineStr">
        <is>
          <t>SOLLEFTEÅ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20201-2019</t>
        </is>
      </c>
      <c r="B318" s="1" t="n">
        <v>43570</v>
      </c>
      <c r="C318" s="1" t="n">
        <v>45511</v>
      </c>
      <c r="D318" t="inlineStr">
        <is>
          <t>VÄSTERNORRLANDS LÄN</t>
        </is>
      </c>
      <c r="E318" t="inlineStr">
        <is>
          <t>SOLLEFTEÅ</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20198-2019</t>
        </is>
      </c>
      <c r="B319" s="1" t="n">
        <v>43570</v>
      </c>
      <c r="C319" s="1" t="n">
        <v>45511</v>
      </c>
      <c r="D319" t="inlineStr">
        <is>
          <t>VÄSTERNORRLANDS LÄN</t>
        </is>
      </c>
      <c r="E319" t="inlineStr">
        <is>
          <t>SOLLEFTEÅ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20200-2019</t>
        </is>
      </c>
      <c r="B320" s="1" t="n">
        <v>43570</v>
      </c>
      <c r="C320" s="1" t="n">
        <v>45511</v>
      </c>
      <c r="D320" t="inlineStr">
        <is>
          <t>VÄSTERNORRLANDS LÄN</t>
        </is>
      </c>
      <c r="E320" t="inlineStr">
        <is>
          <t>SOLLEFTEÅ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20444-2019</t>
        </is>
      </c>
      <c r="B321" s="1" t="n">
        <v>43571</v>
      </c>
      <c r="C321" s="1" t="n">
        <v>45511</v>
      </c>
      <c r="D321" t="inlineStr">
        <is>
          <t>VÄSTERNORRLANDS LÄN</t>
        </is>
      </c>
      <c r="E321" t="inlineStr">
        <is>
          <t>SOLLEFTEÅ</t>
        </is>
      </c>
      <c r="G321" t="n">
        <v>2.9</v>
      </c>
      <c r="H321" t="n">
        <v>0</v>
      </c>
      <c r="I321" t="n">
        <v>0</v>
      </c>
      <c r="J321" t="n">
        <v>0</v>
      </c>
      <c r="K321" t="n">
        <v>0</v>
      </c>
      <c r="L321" t="n">
        <v>0</v>
      </c>
      <c r="M321" t="n">
        <v>0</v>
      </c>
      <c r="N321" t="n">
        <v>0</v>
      </c>
      <c r="O321" t="n">
        <v>0</v>
      </c>
      <c r="P321" t="n">
        <v>0</v>
      </c>
      <c r="Q321" t="n">
        <v>0</v>
      </c>
      <c r="R321" s="2" t="inlineStr"/>
    </row>
    <row r="322" ht="15" customHeight="1">
      <c r="A322" t="inlineStr">
        <is>
          <t>A 20649-2019</t>
        </is>
      </c>
      <c r="B322" s="1" t="n">
        <v>43572</v>
      </c>
      <c r="C322" s="1" t="n">
        <v>45511</v>
      </c>
      <c r="D322" t="inlineStr">
        <is>
          <t>VÄSTERNORRLANDS LÄN</t>
        </is>
      </c>
      <c r="E322" t="inlineStr">
        <is>
          <t>SOLLEFTEÅ</t>
        </is>
      </c>
      <c r="G322" t="n">
        <v>1.9</v>
      </c>
      <c r="H322" t="n">
        <v>0</v>
      </c>
      <c r="I322" t="n">
        <v>0</v>
      </c>
      <c r="J322" t="n">
        <v>0</v>
      </c>
      <c r="K322" t="n">
        <v>0</v>
      </c>
      <c r="L322" t="n">
        <v>0</v>
      </c>
      <c r="M322" t="n">
        <v>0</v>
      </c>
      <c r="N322" t="n">
        <v>0</v>
      </c>
      <c r="O322" t="n">
        <v>0</v>
      </c>
      <c r="P322" t="n">
        <v>0</v>
      </c>
      <c r="Q322" t="n">
        <v>0</v>
      </c>
      <c r="R322" s="2" t="inlineStr"/>
    </row>
    <row r="323" ht="15" customHeight="1">
      <c r="A323" t="inlineStr">
        <is>
          <t>A 20648-2019</t>
        </is>
      </c>
      <c r="B323" s="1" t="n">
        <v>43572</v>
      </c>
      <c r="C323" s="1" t="n">
        <v>45511</v>
      </c>
      <c r="D323" t="inlineStr">
        <is>
          <t>VÄSTERNORRLANDS LÄN</t>
        </is>
      </c>
      <c r="E323" t="inlineStr">
        <is>
          <t>SOLLEFTEÅ</t>
        </is>
      </c>
      <c r="G323" t="n">
        <v>3.9</v>
      </c>
      <c r="H323" t="n">
        <v>0</v>
      </c>
      <c r="I323" t="n">
        <v>0</v>
      </c>
      <c r="J323" t="n">
        <v>0</v>
      </c>
      <c r="K323" t="n">
        <v>0</v>
      </c>
      <c r="L323" t="n">
        <v>0</v>
      </c>
      <c r="M323" t="n">
        <v>0</v>
      </c>
      <c r="N323" t="n">
        <v>0</v>
      </c>
      <c r="O323" t="n">
        <v>0</v>
      </c>
      <c r="P323" t="n">
        <v>0</v>
      </c>
      <c r="Q323" t="n">
        <v>0</v>
      </c>
      <c r="R323" s="2" t="inlineStr"/>
    </row>
    <row r="324" ht="15" customHeight="1">
      <c r="A324" t="inlineStr">
        <is>
          <t>A 21119-2019</t>
        </is>
      </c>
      <c r="B324" s="1" t="n">
        <v>43578</v>
      </c>
      <c r="C324" s="1" t="n">
        <v>45511</v>
      </c>
      <c r="D324" t="inlineStr">
        <is>
          <t>VÄSTERNORRLANDS LÄN</t>
        </is>
      </c>
      <c r="E324" t="inlineStr">
        <is>
          <t>SOLLEFTEÅ</t>
        </is>
      </c>
      <c r="F324" t="inlineStr">
        <is>
          <t>SCA</t>
        </is>
      </c>
      <c r="G324" t="n">
        <v>57.7</v>
      </c>
      <c r="H324" t="n">
        <v>0</v>
      </c>
      <c r="I324" t="n">
        <v>0</v>
      </c>
      <c r="J324" t="n">
        <v>0</v>
      </c>
      <c r="K324" t="n">
        <v>0</v>
      </c>
      <c r="L324" t="n">
        <v>0</v>
      </c>
      <c r="M324" t="n">
        <v>0</v>
      </c>
      <c r="N324" t="n">
        <v>0</v>
      </c>
      <c r="O324" t="n">
        <v>0</v>
      </c>
      <c r="P324" t="n">
        <v>0</v>
      </c>
      <c r="Q324" t="n">
        <v>0</v>
      </c>
      <c r="R324" s="2" t="inlineStr"/>
    </row>
    <row r="325" ht="15" customHeight="1">
      <c r="A325" t="inlineStr">
        <is>
          <t>A 21526-2019</t>
        </is>
      </c>
      <c r="B325" s="1" t="n">
        <v>43580</v>
      </c>
      <c r="C325" s="1" t="n">
        <v>45511</v>
      </c>
      <c r="D325" t="inlineStr">
        <is>
          <t>VÄSTERNORRLANDS LÄN</t>
        </is>
      </c>
      <c r="E325" t="inlineStr">
        <is>
          <t>SOLLEFTEÅ</t>
        </is>
      </c>
      <c r="G325" t="n">
        <v>3.1</v>
      </c>
      <c r="H325" t="n">
        <v>0</v>
      </c>
      <c r="I325" t="n">
        <v>0</v>
      </c>
      <c r="J325" t="n">
        <v>0</v>
      </c>
      <c r="K325" t="n">
        <v>0</v>
      </c>
      <c r="L325" t="n">
        <v>0</v>
      </c>
      <c r="M325" t="n">
        <v>0</v>
      </c>
      <c r="N325" t="n">
        <v>0</v>
      </c>
      <c r="O325" t="n">
        <v>0</v>
      </c>
      <c r="P325" t="n">
        <v>0</v>
      </c>
      <c r="Q325" t="n">
        <v>0</v>
      </c>
      <c r="R325" s="2" t="inlineStr"/>
    </row>
    <row r="326" ht="15" customHeight="1">
      <c r="A326" t="inlineStr">
        <is>
          <t>A 21799-2019</t>
        </is>
      </c>
      <c r="B326" s="1" t="n">
        <v>43581</v>
      </c>
      <c r="C326" s="1" t="n">
        <v>45511</v>
      </c>
      <c r="D326" t="inlineStr">
        <is>
          <t>VÄSTERNORRLANDS LÄN</t>
        </is>
      </c>
      <c r="E326" t="inlineStr">
        <is>
          <t>SOLLEFTEÅ</t>
        </is>
      </c>
      <c r="F326" t="inlineStr">
        <is>
          <t>SCA</t>
        </is>
      </c>
      <c r="G326" t="n">
        <v>14.1</v>
      </c>
      <c r="H326" t="n">
        <v>0</v>
      </c>
      <c r="I326" t="n">
        <v>0</v>
      </c>
      <c r="J326" t="n">
        <v>0</v>
      </c>
      <c r="K326" t="n">
        <v>0</v>
      </c>
      <c r="L326" t="n">
        <v>0</v>
      </c>
      <c r="M326" t="n">
        <v>0</v>
      </c>
      <c r="N326" t="n">
        <v>0</v>
      </c>
      <c r="O326" t="n">
        <v>0</v>
      </c>
      <c r="P326" t="n">
        <v>0</v>
      </c>
      <c r="Q326" t="n">
        <v>0</v>
      </c>
      <c r="R326" s="2" t="inlineStr"/>
    </row>
    <row r="327" ht="15" customHeight="1">
      <c r="A327" t="inlineStr">
        <is>
          <t>A 21788-2019</t>
        </is>
      </c>
      <c r="B327" s="1" t="n">
        <v>43581</v>
      </c>
      <c r="C327" s="1" t="n">
        <v>45511</v>
      </c>
      <c r="D327" t="inlineStr">
        <is>
          <t>VÄSTERNORRLANDS LÄN</t>
        </is>
      </c>
      <c r="E327" t="inlineStr">
        <is>
          <t>SOLLEFTEÅ</t>
        </is>
      </c>
      <c r="F327" t="inlineStr">
        <is>
          <t>SCA</t>
        </is>
      </c>
      <c r="G327" t="n">
        <v>7.7</v>
      </c>
      <c r="H327" t="n">
        <v>0</v>
      </c>
      <c r="I327" t="n">
        <v>0</v>
      </c>
      <c r="J327" t="n">
        <v>0</v>
      </c>
      <c r="K327" t="n">
        <v>0</v>
      </c>
      <c r="L327" t="n">
        <v>0</v>
      </c>
      <c r="M327" t="n">
        <v>0</v>
      </c>
      <c r="N327" t="n">
        <v>0</v>
      </c>
      <c r="O327" t="n">
        <v>0</v>
      </c>
      <c r="P327" t="n">
        <v>0</v>
      </c>
      <c r="Q327" t="n">
        <v>0</v>
      </c>
      <c r="R327" s="2" t="inlineStr"/>
    </row>
    <row r="328" ht="15" customHeight="1">
      <c r="A328" t="inlineStr">
        <is>
          <t>A 22088-2019</t>
        </is>
      </c>
      <c r="B328" s="1" t="n">
        <v>43584</v>
      </c>
      <c r="C328" s="1" t="n">
        <v>45511</v>
      </c>
      <c r="D328" t="inlineStr">
        <is>
          <t>VÄSTERNORRLANDS LÄN</t>
        </is>
      </c>
      <c r="E328" t="inlineStr">
        <is>
          <t>SOLLEFTEÅ</t>
        </is>
      </c>
      <c r="F328" t="inlineStr">
        <is>
          <t>SCA</t>
        </is>
      </c>
      <c r="G328" t="n">
        <v>37.9</v>
      </c>
      <c r="H328" t="n">
        <v>0</v>
      </c>
      <c r="I328" t="n">
        <v>0</v>
      </c>
      <c r="J328" t="n">
        <v>0</v>
      </c>
      <c r="K328" t="n">
        <v>0</v>
      </c>
      <c r="L328" t="n">
        <v>0</v>
      </c>
      <c r="M328" t="n">
        <v>0</v>
      </c>
      <c r="N328" t="n">
        <v>0</v>
      </c>
      <c r="O328" t="n">
        <v>0</v>
      </c>
      <c r="P328" t="n">
        <v>0</v>
      </c>
      <c r="Q328" t="n">
        <v>0</v>
      </c>
      <c r="R328" s="2" t="inlineStr"/>
    </row>
    <row r="329" ht="15" customHeight="1">
      <c r="A329" t="inlineStr">
        <is>
          <t>A 22283-2019</t>
        </is>
      </c>
      <c r="B329" s="1" t="n">
        <v>43585</v>
      </c>
      <c r="C329" s="1" t="n">
        <v>45511</v>
      </c>
      <c r="D329" t="inlineStr">
        <is>
          <t>VÄSTERNORRLANDS LÄN</t>
        </is>
      </c>
      <c r="E329" t="inlineStr">
        <is>
          <t>SOLLEFTEÅ</t>
        </is>
      </c>
      <c r="F329" t="inlineStr">
        <is>
          <t>SCA</t>
        </is>
      </c>
      <c r="G329" t="n">
        <v>9.1</v>
      </c>
      <c r="H329" t="n">
        <v>0</v>
      </c>
      <c r="I329" t="n">
        <v>0</v>
      </c>
      <c r="J329" t="n">
        <v>0</v>
      </c>
      <c r="K329" t="n">
        <v>0</v>
      </c>
      <c r="L329" t="n">
        <v>0</v>
      </c>
      <c r="M329" t="n">
        <v>0</v>
      </c>
      <c r="N329" t="n">
        <v>0</v>
      </c>
      <c r="O329" t="n">
        <v>0</v>
      </c>
      <c r="P329" t="n">
        <v>0</v>
      </c>
      <c r="Q329" t="n">
        <v>0</v>
      </c>
      <c r="R329" s="2" t="inlineStr"/>
    </row>
    <row r="330" ht="15" customHeight="1">
      <c r="A330" t="inlineStr">
        <is>
          <t>A 22587-2019</t>
        </is>
      </c>
      <c r="B330" s="1" t="n">
        <v>43587</v>
      </c>
      <c r="C330" s="1" t="n">
        <v>45511</v>
      </c>
      <c r="D330" t="inlineStr">
        <is>
          <t>VÄSTERNORRLANDS LÄN</t>
        </is>
      </c>
      <c r="E330" t="inlineStr">
        <is>
          <t>SOLLEFTEÅ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23241-2019</t>
        </is>
      </c>
      <c r="B331" s="1" t="n">
        <v>43591</v>
      </c>
      <c r="C331" s="1" t="n">
        <v>45511</v>
      </c>
      <c r="D331" t="inlineStr">
        <is>
          <t>VÄSTERNORRLANDS LÄN</t>
        </is>
      </c>
      <c r="E331" t="inlineStr">
        <is>
          <t>SOLLEFTEÅ</t>
        </is>
      </c>
      <c r="G331" t="n">
        <v>6.2</v>
      </c>
      <c r="H331" t="n">
        <v>0</v>
      </c>
      <c r="I331" t="n">
        <v>0</v>
      </c>
      <c r="J331" t="n">
        <v>0</v>
      </c>
      <c r="K331" t="n">
        <v>0</v>
      </c>
      <c r="L331" t="n">
        <v>0</v>
      </c>
      <c r="M331" t="n">
        <v>0</v>
      </c>
      <c r="N331" t="n">
        <v>0</v>
      </c>
      <c r="O331" t="n">
        <v>0</v>
      </c>
      <c r="P331" t="n">
        <v>0</v>
      </c>
      <c r="Q331" t="n">
        <v>0</v>
      </c>
      <c r="R331" s="2" t="inlineStr"/>
    </row>
    <row r="332" ht="15" customHeight="1">
      <c r="A332" t="inlineStr">
        <is>
          <t>A 23314-2019</t>
        </is>
      </c>
      <c r="B332" s="1" t="n">
        <v>43591</v>
      </c>
      <c r="C332" s="1" t="n">
        <v>45511</v>
      </c>
      <c r="D332" t="inlineStr">
        <is>
          <t>VÄSTERNORRLANDS LÄN</t>
        </is>
      </c>
      <c r="E332" t="inlineStr">
        <is>
          <t>SOLLEFTEÅ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23323-2019</t>
        </is>
      </c>
      <c r="B333" s="1" t="n">
        <v>43591</v>
      </c>
      <c r="C333" s="1" t="n">
        <v>45511</v>
      </c>
      <c r="D333" t="inlineStr">
        <is>
          <t>VÄSTERNORRLANDS LÄN</t>
        </is>
      </c>
      <c r="E333" t="inlineStr">
        <is>
          <t>SOLLEFTEÅ</t>
        </is>
      </c>
      <c r="G333" t="n">
        <v>2.4</v>
      </c>
      <c r="H333" t="n">
        <v>0</v>
      </c>
      <c r="I333" t="n">
        <v>0</v>
      </c>
      <c r="J333" t="n">
        <v>0</v>
      </c>
      <c r="K333" t="n">
        <v>0</v>
      </c>
      <c r="L333" t="n">
        <v>0</v>
      </c>
      <c r="M333" t="n">
        <v>0</v>
      </c>
      <c r="N333" t="n">
        <v>0</v>
      </c>
      <c r="O333" t="n">
        <v>0</v>
      </c>
      <c r="P333" t="n">
        <v>0</v>
      </c>
      <c r="Q333" t="n">
        <v>0</v>
      </c>
      <c r="R333" s="2" t="inlineStr"/>
    </row>
    <row r="334" ht="15" customHeight="1">
      <c r="A334" t="inlineStr">
        <is>
          <t>A 23246-2019</t>
        </is>
      </c>
      <c r="B334" s="1" t="n">
        <v>43591</v>
      </c>
      <c r="C334" s="1" t="n">
        <v>45511</v>
      </c>
      <c r="D334" t="inlineStr">
        <is>
          <t>VÄSTERNORRLANDS LÄN</t>
        </is>
      </c>
      <c r="E334" t="inlineStr">
        <is>
          <t>SOLLEFTEÅ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24157-2019</t>
        </is>
      </c>
      <c r="B335" s="1" t="n">
        <v>43598</v>
      </c>
      <c r="C335" s="1" t="n">
        <v>45511</v>
      </c>
      <c r="D335" t="inlineStr">
        <is>
          <t>VÄSTERNORRLANDS LÄN</t>
        </is>
      </c>
      <c r="E335" t="inlineStr">
        <is>
          <t>SOLLEFTEÅ</t>
        </is>
      </c>
      <c r="F335" t="inlineStr">
        <is>
          <t>SCA</t>
        </is>
      </c>
      <c r="G335" t="n">
        <v>0.1</v>
      </c>
      <c r="H335" t="n">
        <v>0</v>
      </c>
      <c r="I335" t="n">
        <v>0</v>
      </c>
      <c r="J335" t="n">
        <v>0</v>
      </c>
      <c r="K335" t="n">
        <v>0</v>
      </c>
      <c r="L335" t="n">
        <v>0</v>
      </c>
      <c r="M335" t="n">
        <v>0</v>
      </c>
      <c r="N335" t="n">
        <v>0</v>
      </c>
      <c r="O335" t="n">
        <v>0</v>
      </c>
      <c r="P335" t="n">
        <v>0</v>
      </c>
      <c r="Q335" t="n">
        <v>0</v>
      </c>
      <c r="R335" s="2" t="inlineStr"/>
    </row>
    <row r="336" ht="15" customHeight="1">
      <c r="A336" t="inlineStr">
        <is>
          <t>A 24168-2019</t>
        </is>
      </c>
      <c r="B336" s="1" t="n">
        <v>43598</v>
      </c>
      <c r="C336" s="1" t="n">
        <v>45511</v>
      </c>
      <c r="D336" t="inlineStr">
        <is>
          <t>VÄSTERNORRLANDS LÄN</t>
        </is>
      </c>
      <c r="E336" t="inlineStr">
        <is>
          <t>SOLLEFTEÅ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25334-2019</t>
        </is>
      </c>
      <c r="B337" s="1" t="n">
        <v>43601</v>
      </c>
      <c r="C337" s="1" t="n">
        <v>45511</v>
      </c>
      <c r="D337" t="inlineStr">
        <is>
          <t>VÄSTERNORRLANDS LÄN</t>
        </is>
      </c>
      <c r="E337" t="inlineStr">
        <is>
          <t>SOLLEFTEÅ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25331-2019</t>
        </is>
      </c>
      <c r="B338" s="1" t="n">
        <v>43601</v>
      </c>
      <c r="C338" s="1" t="n">
        <v>45511</v>
      </c>
      <c r="D338" t="inlineStr">
        <is>
          <t>VÄSTERNORRLANDS LÄN</t>
        </is>
      </c>
      <c r="E338" t="inlineStr">
        <is>
          <t>SOLLEFTEÅ</t>
        </is>
      </c>
      <c r="G338" t="n">
        <v>7.2</v>
      </c>
      <c r="H338" t="n">
        <v>0</v>
      </c>
      <c r="I338" t="n">
        <v>0</v>
      </c>
      <c r="J338" t="n">
        <v>0</v>
      </c>
      <c r="K338" t="n">
        <v>0</v>
      </c>
      <c r="L338" t="n">
        <v>0</v>
      </c>
      <c r="M338" t="n">
        <v>0</v>
      </c>
      <c r="N338" t="n">
        <v>0</v>
      </c>
      <c r="O338" t="n">
        <v>0</v>
      </c>
      <c r="P338" t="n">
        <v>0</v>
      </c>
      <c r="Q338" t="n">
        <v>0</v>
      </c>
      <c r="R338" s="2" t="inlineStr"/>
    </row>
    <row r="339" ht="15" customHeight="1">
      <c r="A339" t="inlineStr">
        <is>
          <t>A 25260-2019</t>
        </is>
      </c>
      <c r="B339" s="1" t="n">
        <v>43601</v>
      </c>
      <c r="C339" s="1" t="n">
        <v>45511</v>
      </c>
      <c r="D339" t="inlineStr">
        <is>
          <t>VÄSTERNORRLANDS LÄN</t>
        </is>
      </c>
      <c r="E339" t="inlineStr">
        <is>
          <t>SOLLEFTEÅ</t>
        </is>
      </c>
      <c r="G339" t="n">
        <v>3.4</v>
      </c>
      <c r="H339" t="n">
        <v>0</v>
      </c>
      <c r="I339" t="n">
        <v>0</v>
      </c>
      <c r="J339" t="n">
        <v>0</v>
      </c>
      <c r="K339" t="n">
        <v>0</v>
      </c>
      <c r="L339" t="n">
        <v>0</v>
      </c>
      <c r="M339" t="n">
        <v>0</v>
      </c>
      <c r="N339" t="n">
        <v>0</v>
      </c>
      <c r="O339" t="n">
        <v>0</v>
      </c>
      <c r="P339" t="n">
        <v>0</v>
      </c>
      <c r="Q339" t="n">
        <v>0</v>
      </c>
      <c r="R339" s="2" t="inlineStr"/>
    </row>
    <row r="340" ht="15" customHeight="1">
      <c r="A340" t="inlineStr">
        <is>
          <t>A 25328-2019</t>
        </is>
      </c>
      <c r="B340" s="1" t="n">
        <v>43601</v>
      </c>
      <c r="C340" s="1" t="n">
        <v>45511</v>
      </c>
      <c r="D340" t="inlineStr">
        <is>
          <t>VÄSTERNORRLANDS LÄN</t>
        </is>
      </c>
      <c r="E340" t="inlineStr">
        <is>
          <t>SOLLEFTEÅ</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25014-2019</t>
        </is>
      </c>
      <c r="B341" s="1" t="n">
        <v>43602</v>
      </c>
      <c r="C341" s="1" t="n">
        <v>45511</v>
      </c>
      <c r="D341" t="inlineStr">
        <is>
          <t>VÄSTERNORRLANDS LÄN</t>
        </is>
      </c>
      <c r="E341" t="inlineStr">
        <is>
          <t>SOLLEFTEÅ</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26111-2019</t>
        </is>
      </c>
      <c r="B342" s="1" t="n">
        <v>43605</v>
      </c>
      <c r="C342" s="1" t="n">
        <v>45511</v>
      </c>
      <c r="D342" t="inlineStr">
        <is>
          <t>VÄSTERNORRLANDS LÄN</t>
        </is>
      </c>
      <c r="E342" t="inlineStr">
        <is>
          <t>SOLLEFTEÅ</t>
        </is>
      </c>
      <c r="G342" t="n">
        <v>3.5</v>
      </c>
      <c r="H342" t="n">
        <v>0</v>
      </c>
      <c r="I342" t="n">
        <v>0</v>
      </c>
      <c r="J342" t="n">
        <v>0</v>
      </c>
      <c r="K342" t="n">
        <v>0</v>
      </c>
      <c r="L342" t="n">
        <v>0</v>
      </c>
      <c r="M342" t="n">
        <v>0</v>
      </c>
      <c r="N342" t="n">
        <v>0</v>
      </c>
      <c r="O342" t="n">
        <v>0</v>
      </c>
      <c r="P342" t="n">
        <v>0</v>
      </c>
      <c r="Q342" t="n">
        <v>0</v>
      </c>
      <c r="R342" s="2" t="inlineStr"/>
    </row>
    <row r="343" ht="15" customHeight="1">
      <c r="A343" t="inlineStr">
        <is>
          <t>A 25714-2019</t>
        </is>
      </c>
      <c r="B343" s="1" t="n">
        <v>43607</v>
      </c>
      <c r="C343" s="1" t="n">
        <v>45511</v>
      </c>
      <c r="D343" t="inlineStr">
        <is>
          <t>VÄSTERNORRLANDS LÄN</t>
        </is>
      </c>
      <c r="E343" t="inlineStr">
        <is>
          <t>SOLLEFTEÅ</t>
        </is>
      </c>
      <c r="F343" t="inlineStr">
        <is>
          <t>SCA</t>
        </is>
      </c>
      <c r="G343" t="n">
        <v>28.3</v>
      </c>
      <c r="H343" t="n">
        <v>0</v>
      </c>
      <c r="I343" t="n">
        <v>0</v>
      </c>
      <c r="J343" t="n">
        <v>0</v>
      </c>
      <c r="K343" t="n">
        <v>0</v>
      </c>
      <c r="L343" t="n">
        <v>0</v>
      </c>
      <c r="M343" t="n">
        <v>0</v>
      </c>
      <c r="N343" t="n">
        <v>0</v>
      </c>
      <c r="O343" t="n">
        <v>0</v>
      </c>
      <c r="P343" t="n">
        <v>0</v>
      </c>
      <c r="Q343" t="n">
        <v>0</v>
      </c>
      <c r="R343" s="2" t="inlineStr"/>
    </row>
    <row r="344" ht="15" customHeight="1">
      <c r="A344" t="inlineStr">
        <is>
          <t>A 25979-2019</t>
        </is>
      </c>
      <c r="B344" s="1" t="n">
        <v>43608</v>
      </c>
      <c r="C344" s="1" t="n">
        <v>45511</v>
      </c>
      <c r="D344" t="inlineStr">
        <is>
          <t>VÄSTERNORRLANDS LÄN</t>
        </is>
      </c>
      <c r="E344" t="inlineStr">
        <is>
          <t>SOLLEFTEÅ</t>
        </is>
      </c>
      <c r="F344" t="inlineStr">
        <is>
          <t>SCA</t>
        </is>
      </c>
      <c r="G344" t="n">
        <v>26.1</v>
      </c>
      <c r="H344" t="n">
        <v>0</v>
      </c>
      <c r="I344" t="n">
        <v>0</v>
      </c>
      <c r="J344" t="n">
        <v>0</v>
      </c>
      <c r="K344" t="n">
        <v>0</v>
      </c>
      <c r="L344" t="n">
        <v>0</v>
      </c>
      <c r="M344" t="n">
        <v>0</v>
      </c>
      <c r="N344" t="n">
        <v>0</v>
      </c>
      <c r="O344" t="n">
        <v>0</v>
      </c>
      <c r="P344" t="n">
        <v>0</v>
      </c>
      <c r="Q344" t="n">
        <v>0</v>
      </c>
      <c r="R344" s="2" t="inlineStr"/>
    </row>
    <row r="345" ht="15" customHeight="1">
      <c r="A345" t="inlineStr">
        <is>
          <t>A 25982-2019</t>
        </is>
      </c>
      <c r="B345" s="1" t="n">
        <v>43608</v>
      </c>
      <c r="C345" s="1" t="n">
        <v>45511</v>
      </c>
      <c r="D345" t="inlineStr">
        <is>
          <t>VÄSTERNORRLANDS LÄN</t>
        </is>
      </c>
      <c r="E345" t="inlineStr">
        <is>
          <t>SOLLEFTEÅ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25997-2019</t>
        </is>
      </c>
      <c r="B346" s="1" t="n">
        <v>43608</v>
      </c>
      <c r="C346" s="1" t="n">
        <v>45511</v>
      </c>
      <c r="D346" t="inlineStr">
        <is>
          <t>VÄSTERNORRLANDS LÄN</t>
        </is>
      </c>
      <c r="E346" t="inlineStr">
        <is>
          <t>SOLLEFTEÅ</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25959-2019</t>
        </is>
      </c>
      <c r="B347" s="1" t="n">
        <v>43608</v>
      </c>
      <c r="C347" s="1" t="n">
        <v>45511</v>
      </c>
      <c r="D347" t="inlineStr">
        <is>
          <t>VÄSTERNORRLANDS LÄN</t>
        </is>
      </c>
      <c r="E347" t="inlineStr">
        <is>
          <t>SOLLEFTEÅ</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26254-2019</t>
        </is>
      </c>
      <c r="B348" s="1" t="n">
        <v>43609</v>
      </c>
      <c r="C348" s="1" t="n">
        <v>45511</v>
      </c>
      <c r="D348" t="inlineStr">
        <is>
          <t>VÄSTERNORRLANDS LÄN</t>
        </is>
      </c>
      <c r="E348" t="inlineStr">
        <is>
          <t>SOLLEFTEÅ</t>
        </is>
      </c>
      <c r="F348" t="inlineStr">
        <is>
          <t>SCA</t>
        </is>
      </c>
      <c r="G348" t="n">
        <v>0.3</v>
      </c>
      <c r="H348" t="n">
        <v>0</v>
      </c>
      <c r="I348" t="n">
        <v>0</v>
      </c>
      <c r="J348" t="n">
        <v>0</v>
      </c>
      <c r="K348" t="n">
        <v>0</v>
      </c>
      <c r="L348" t="n">
        <v>0</v>
      </c>
      <c r="M348" t="n">
        <v>0</v>
      </c>
      <c r="N348" t="n">
        <v>0</v>
      </c>
      <c r="O348" t="n">
        <v>0</v>
      </c>
      <c r="P348" t="n">
        <v>0</v>
      </c>
      <c r="Q348" t="n">
        <v>0</v>
      </c>
      <c r="R348" s="2" t="inlineStr"/>
    </row>
    <row r="349" ht="15" customHeight="1">
      <c r="A349" t="inlineStr">
        <is>
          <t>A 26253-2019</t>
        </is>
      </c>
      <c r="B349" s="1" t="n">
        <v>43609</v>
      </c>
      <c r="C349" s="1" t="n">
        <v>45511</v>
      </c>
      <c r="D349" t="inlineStr">
        <is>
          <t>VÄSTERNORRLANDS LÄN</t>
        </is>
      </c>
      <c r="E349" t="inlineStr">
        <is>
          <t>SOLLEFTEÅ</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26640-2019</t>
        </is>
      </c>
      <c r="B350" s="1" t="n">
        <v>43612</v>
      </c>
      <c r="C350" s="1" t="n">
        <v>45511</v>
      </c>
      <c r="D350" t="inlineStr">
        <is>
          <t>VÄSTERNORRLANDS LÄN</t>
        </is>
      </c>
      <c r="E350" t="inlineStr">
        <is>
          <t>SOLLEFTEÅ</t>
        </is>
      </c>
      <c r="F350" t="inlineStr">
        <is>
          <t>SCA</t>
        </is>
      </c>
      <c r="G350" t="n">
        <v>10.4</v>
      </c>
      <c r="H350" t="n">
        <v>0</v>
      </c>
      <c r="I350" t="n">
        <v>0</v>
      </c>
      <c r="J350" t="n">
        <v>0</v>
      </c>
      <c r="K350" t="n">
        <v>0</v>
      </c>
      <c r="L350" t="n">
        <v>0</v>
      </c>
      <c r="M350" t="n">
        <v>0</v>
      </c>
      <c r="N350" t="n">
        <v>0</v>
      </c>
      <c r="O350" t="n">
        <v>0</v>
      </c>
      <c r="P350" t="n">
        <v>0</v>
      </c>
      <c r="Q350" t="n">
        <v>0</v>
      </c>
      <c r="R350" s="2" t="inlineStr"/>
    </row>
    <row r="351" ht="15" customHeight="1">
      <c r="A351" t="inlineStr">
        <is>
          <t>A 27597-2019</t>
        </is>
      </c>
      <c r="B351" s="1" t="n">
        <v>43612</v>
      </c>
      <c r="C351" s="1" t="n">
        <v>45511</v>
      </c>
      <c r="D351" t="inlineStr">
        <is>
          <t>VÄSTERNORRLANDS LÄN</t>
        </is>
      </c>
      <c r="E351" t="inlineStr">
        <is>
          <t>SOLLEFTEÅ</t>
        </is>
      </c>
      <c r="G351" t="n">
        <v>5.6</v>
      </c>
      <c r="H351" t="n">
        <v>0</v>
      </c>
      <c r="I351" t="n">
        <v>0</v>
      </c>
      <c r="J351" t="n">
        <v>0</v>
      </c>
      <c r="K351" t="n">
        <v>0</v>
      </c>
      <c r="L351" t="n">
        <v>0</v>
      </c>
      <c r="M351" t="n">
        <v>0</v>
      </c>
      <c r="N351" t="n">
        <v>0</v>
      </c>
      <c r="O351" t="n">
        <v>0</v>
      </c>
      <c r="P351" t="n">
        <v>0</v>
      </c>
      <c r="Q351" t="n">
        <v>0</v>
      </c>
      <c r="R351" s="2" t="inlineStr"/>
    </row>
    <row r="352" ht="15" customHeight="1">
      <c r="A352" t="inlineStr">
        <is>
          <t>A 26945-2019</t>
        </is>
      </c>
      <c r="B352" s="1" t="n">
        <v>43613</v>
      </c>
      <c r="C352" s="1" t="n">
        <v>45511</v>
      </c>
      <c r="D352" t="inlineStr">
        <is>
          <t>VÄSTERNORRLANDS LÄN</t>
        </is>
      </c>
      <c r="E352" t="inlineStr">
        <is>
          <t>SOLLEFTEÅ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26957-2019</t>
        </is>
      </c>
      <c r="B353" s="1" t="n">
        <v>43613</v>
      </c>
      <c r="C353" s="1" t="n">
        <v>45511</v>
      </c>
      <c r="D353" t="inlineStr">
        <is>
          <t>VÄSTERNORRLANDS LÄN</t>
        </is>
      </c>
      <c r="E353" t="inlineStr">
        <is>
          <t>SOLLEFTEÅ</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27226-2019</t>
        </is>
      </c>
      <c r="B354" s="1" t="n">
        <v>43614</v>
      </c>
      <c r="C354" s="1" t="n">
        <v>45511</v>
      </c>
      <c r="D354" t="inlineStr">
        <is>
          <t>VÄSTERNORRLANDS LÄN</t>
        </is>
      </c>
      <c r="E354" t="inlineStr">
        <is>
          <t>SOLLEFTEÅ</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27979-2019</t>
        </is>
      </c>
      <c r="B355" s="1" t="n">
        <v>43620</v>
      </c>
      <c r="C355" s="1" t="n">
        <v>45511</v>
      </c>
      <c r="D355" t="inlineStr">
        <is>
          <t>VÄSTERNORRLANDS LÄN</t>
        </is>
      </c>
      <c r="E355" t="inlineStr">
        <is>
          <t>SOLLEFTEÅ</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28212-2019</t>
        </is>
      </c>
      <c r="B356" s="1" t="n">
        <v>43621</v>
      </c>
      <c r="C356" s="1" t="n">
        <v>45511</v>
      </c>
      <c r="D356" t="inlineStr">
        <is>
          <t>VÄSTERNORRLANDS LÄN</t>
        </is>
      </c>
      <c r="E356" t="inlineStr">
        <is>
          <t>SOLLEFTEÅ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28236-2019</t>
        </is>
      </c>
      <c r="B357" s="1" t="n">
        <v>43621</v>
      </c>
      <c r="C357" s="1" t="n">
        <v>45511</v>
      </c>
      <c r="D357" t="inlineStr">
        <is>
          <t>VÄSTERNORRLANDS LÄN</t>
        </is>
      </c>
      <c r="E357" t="inlineStr">
        <is>
          <t>SOLLEFTEÅ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30383-2019</t>
        </is>
      </c>
      <c r="B358" s="1" t="n">
        <v>43634</v>
      </c>
      <c r="C358" s="1" t="n">
        <v>45511</v>
      </c>
      <c r="D358" t="inlineStr">
        <is>
          <t>VÄSTERNORRLANDS LÄN</t>
        </is>
      </c>
      <c r="E358" t="inlineStr">
        <is>
          <t>SOLLEFTEÅ</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30628-2019</t>
        </is>
      </c>
      <c r="B359" s="1" t="n">
        <v>43635</v>
      </c>
      <c r="C359" s="1" t="n">
        <v>45511</v>
      </c>
      <c r="D359" t="inlineStr">
        <is>
          <t>VÄSTERNORRLANDS LÄN</t>
        </is>
      </c>
      <c r="E359" t="inlineStr">
        <is>
          <t>SOLLEFTEÅ</t>
        </is>
      </c>
      <c r="F359" t="inlineStr">
        <is>
          <t>SCA</t>
        </is>
      </c>
      <c r="G359" t="n">
        <v>7.2</v>
      </c>
      <c r="H359" t="n">
        <v>0</v>
      </c>
      <c r="I359" t="n">
        <v>0</v>
      </c>
      <c r="J359" t="n">
        <v>0</v>
      </c>
      <c r="K359" t="n">
        <v>0</v>
      </c>
      <c r="L359" t="n">
        <v>0</v>
      </c>
      <c r="M359" t="n">
        <v>0</v>
      </c>
      <c r="N359" t="n">
        <v>0</v>
      </c>
      <c r="O359" t="n">
        <v>0</v>
      </c>
      <c r="P359" t="n">
        <v>0</v>
      </c>
      <c r="Q359" t="n">
        <v>0</v>
      </c>
      <c r="R359" s="2" t="inlineStr"/>
    </row>
    <row r="360" ht="15" customHeight="1">
      <c r="A360" t="inlineStr">
        <is>
          <t>A 32202-2019</t>
        </is>
      </c>
      <c r="B360" s="1" t="n">
        <v>43643</v>
      </c>
      <c r="C360" s="1" t="n">
        <v>45511</v>
      </c>
      <c r="D360" t="inlineStr">
        <is>
          <t>VÄSTERNORRLANDS LÄN</t>
        </is>
      </c>
      <c r="E360" t="inlineStr">
        <is>
          <t>SOLLEFTEÅ</t>
        </is>
      </c>
      <c r="G360" t="n">
        <v>2.7</v>
      </c>
      <c r="H360" t="n">
        <v>0</v>
      </c>
      <c r="I360" t="n">
        <v>0</v>
      </c>
      <c r="J360" t="n">
        <v>0</v>
      </c>
      <c r="K360" t="n">
        <v>0</v>
      </c>
      <c r="L360" t="n">
        <v>0</v>
      </c>
      <c r="M360" t="n">
        <v>0</v>
      </c>
      <c r="N360" t="n">
        <v>0</v>
      </c>
      <c r="O360" t="n">
        <v>0</v>
      </c>
      <c r="P360" t="n">
        <v>0</v>
      </c>
      <c r="Q360" t="n">
        <v>0</v>
      </c>
      <c r="R360" s="2" t="inlineStr"/>
    </row>
    <row r="361" ht="15" customHeight="1">
      <c r="A361" t="inlineStr">
        <is>
          <t>A 32203-2019</t>
        </is>
      </c>
      <c r="B361" s="1" t="n">
        <v>43643</v>
      </c>
      <c r="C361" s="1" t="n">
        <v>45511</v>
      </c>
      <c r="D361" t="inlineStr">
        <is>
          <t>VÄSTERNORRLANDS LÄN</t>
        </is>
      </c>
      <c r="E361" t="inlineStr">
        <is>
          <t>SOLLEFTEÅ</t>
        </is>
      </c>
      <c r="G361" t="n">
        <v>1.7</v>
      </c>
      <c r="H361" t="n">
        <v>0</v>
      </c>
      <c r="I361" t="n">
        <v>0</v>
      </c>
      <c r="J361" t="n">
        <v>0</v>
      </c>
      <c r="K361" t="n">
        <v>0</v>
      </c>
      <c r="L361" t="n">
        <v>0</v>
      </c>
      <c r="M361" t="n">
        <v>0</v>
      </c>
      <c r="N361" t="n">
        <v>0</v>
      </c>
      <c r="O361" t="n">
        <v>0</v>
      </c>
      <c r="P361" t="n">
        <v>0</v>
      </c>
      <c r="Q361" t="n">
        <v>0</v>
      </c>
      <c r="R361" s="2" t="inlineStr"/>
    </row>
    <row r="362" ht="15" customHeight="1">
      <c r="A362" t="inlineStr">
        <is>
          <t>A 32744-2019</t>
        </is>
      </c>
      <c r="B362" s="1" t="n">
        <v>43647</v>
      </c>
      <c r="C362" s="1" t="n">
        <v>45511</v>
      </c>
      <c r="D362" t="inlineStr">
        <is>
          <t>VÄSTERNORRLANDS LÄN</t>
        </is>
      </c>
      <c r="E362" t="inlineStr">
        <is>
          <t>SOLLEFTEÅ</t>
        </is>
      </c>
      <c r="F362" t="inlineStr">
        <is>
          <t>SCA</t>
        </is>
      </c>
      <c r="G362" t="n">
        <v>33.3</v>
      </c>
      <c r="H362" t="n">
        <v>0</v>
      </c>
      <c r="I362" t="n">
        <v>0</v>
      </c>
      <c r="J362" t="n">
        <v>0</v>
      </c>
      <c r="K362" t="n">
        <v>0</v>
      </c>
      <c r="L362" t="n">
        <v>0</v>
      </c>
      <c r="M362" t="n">
        <v>0</v>
      </c>
      <c r="N362" t="n">
        <v>0</v>
      </c>
      <c r="O362" t="n">
        <v>0</v>
      </c>
      <c r="P362" t="n">
        <v>0</v>
      </c>
      <c r="Q362" t="n">
        <v>0</v>
      </c>
      <c r="R362" s="2" t="inlineStr"/>
    </row>
    <row r="363" ht="15" customHeight="1">
      <c r="A363" t="inlineStr">
        <is>
          <t>A 33217-2019</t>
        </is>
      </c>
      <c r="B363" s="1" t="n">
        <v>43649</v>
      </c>
      <c r="C363" s="1" t="n">
        <v>45511</v>
      </c>
      <c r="D363" t="inlineStr">
        <is>
          <t>VÄSTERNORRLANDS LÄN</t>
        </is>
      </c>
      <c r="E363" t="inlineStr">
        <is>
          <t>SOLLEFTEÅ</t>
        </is>
      </c>
      <c r="G363" t="n">
        <v>29.3</v>
      </c>
      <c r="H363" t="n">
        <v>0</v>
      </c>
      <c r="I363" t="n">
        <v>0</v>
      </c>
      <c r="J363" t="n">
        <v>0</v>
      </c>
      <c r="K363" t="n">
        <v>0</v>
      </c>
      <c r="L363" t="n">
        <v>0</v>
      </c>
      <c r="M363" t="n">
        <v>0</v>
      </c>
      <c r="N363" t="n">
        <v>0</v>
      </c>
      <c r="O363" t="n">
        <v>0</v>
      </c>
      <c r="P363" t="n">
        <v>0</v>
      </c>
      <c r="Q363" t="n">
        <v>0</v>
      </c>
      <c r="R363" s="2" t="inlineStr"/>
    </row>
    <row r="364" ht="15" customHeight="1">
      <c r="A364" t="inlineStr">
        <is>
          <t>A 34886-2019</t>
        </is>
      </c>
      <c r="B364" s="1" t="n">
        <v>43650</v>
      </c>
      <c r="C364" s="1" t="n">
        <v>45511</v>
      </c>
      <c r="D364" t="inlineStr">
        <is>
          <t>VÄSTERNORRLANDS LÄN</t>
        </is>
      </c>
      <c r="E364" t="inlineStr">
        <is>
          <t>SOLLEFTEÅ</t>
        </is>
      </c>
      <c r="G364" t="n">
        <v>22</v>
      </c>
      <c r="H364" t="n">
        <v>0</v>
      </c>
      <c r="I364" t="n">
        <v>0</v>
      </c>
      <c r="J364" t="n">
        <v>0</v>
      </c>
      <c r="K364" t="n">
        <v>0</v>
      </c>
      <c r="L364" t="n">
        <v>0</v>
      </c>
      <c r="M364" t="n">
        <v>0</v>
      </c>
      <c r="N364" t="n">
        <v>0</v>
      </c>
      <c r="O364" t="n">
        <v>0</v>
      </c>
      <c r="P364" t="n">
        <v>0</v>
      </c>
      <c r="Q364" t="n">
        <v>0</v>
      </c>
      <c r="R364" s="2" t="inlineStr"/>
    </row>
    <row r="365" ht="15" customHeight="1">
      <c r="A365" t="inlineStr">
        <is>
          <t>A 33833-2019</t>
        </is>
      </c>
      <c r="B365" s="1" t="n">
        <v>43651</v>
      </c>
      <c r="C365" s="1" t="n">
        <v>45511</v>
      </c>
      <c r="D365" t="inlineStr">
        <is>
          <t>VÄSTERNORRLANDS LÄN</t>
        </is>
      </c>
      <c r="E365" t="inlineStr">
        <is>
          <t>SOLLEFTEÅ</t>
        </is>
      </c>
      <c r="G365" t="n">
        <v>0.6</v>
      </c>
      <c r="H365" t="n">
        <v>0</v>
      </c>
      <c r="I365" t="n">
        <v>0</v>
      </c>
      <c r="J365" t="n">
        <v>0</v>
      </c>
      <c r="K365" t="n">
        <v>0</v>
      </c>
      <c r="L365" t="n">
        <v>0</v>
      </c>
      <c r="M365" t="n">
        <v>0</v>
      </c>
      <c r="N365" t="n">
        <v>0</v>
      </c>
      <c r="O365" t="n">
        <v>0</v>
      </c>
      <c r="P365" t="n">
        <v>0</v>
      </c>
      <c r="Q365" t="n">
        <v>0</v>
      </c>
      <c r="R365" s="2" t="inlineStr"/>
    </row>
    <row r="366" ht="15" customHeight="1">
      <c r="A366" t="inlineStr">
        <is>
          <t>A 33826-2019</t>
        </is>
      </c>
      <c r="B366" s="1" t="n">
        <v>43651</v>
      </c>
      <c r="C366" s="1" t="n">
        <v>45511</v>
      </c>
      <c r="D366" t="inlineStr">
        <is>
          <t>VÄSTERNORRLANDS LÄN</t>
        </is>
      </c>
      <c r="E366" t="inlineStr">
        <is>
          <t>SOLLEFTEÅ</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33852-2019</t>
        </is>
      </c>
      <c r="B367" s="1" t="n">
        <v>43651</v>
      </c>
      <c r="C367" s="1" t="n">
        <v>45511</v>
      </c>
      <c r="D367" t="inlineStr">
        <is>
          <t>VÄSTERNORRLANDS LÄN</t>
        </is>
      </c>
      <c r="E367" t="inlineStr">
        <is>
          <t>SOLLEFTEÅ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33914-2019</t>
        </is>
      </c>
      <c r="B368" s="1" t="n">
        <v>43654</v>
      </c>
      <c r="C368" s="1" t="n">
        <v>45511</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34113-2019</t>
        </is>
      </c>
      <c r="B369" s="1" t="n">
        <v>43654</v>
      </c>
      <c r="C369" s="1" t="n">
        <v>45511</v>
      </c>
      <c r="D369" t="inlineStr">
        <is>
          <t>VÄSTERNORRLANDS LÄN</t>
        </is>
      </c>
      <c r="E369" t="inlineStr">
        <is>
          <t>SOLLEFTEÅ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34311-2019</t>
        </is>
      </c>
      <c r="B370" s="1" t="n">
        <v>43655</v>
      </c>
      <c r="C370" s="1" t="n">
        <v>45511</v>
      </c>
      <c r="D370" t="inlineStr">
        <is>
          <t>VÄSTERNORRLANDS LÄN</t>
        </is>
      </c>
      <c r="E370" t="inlineStr">
        <is>
          <t>SOLLEFTEÅ</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34229-2019</t>
        </is>
      </c>
      <c r="B371" s="1" t="n">
        <v>43655</v>
      </c>
      <c r="C371" s="1" t="n">
        <v>45511</v>
      </c>
      <c r="D371" t="inlineStr">
        <is>
          <t>VÄSTERNORRLANDS LÄN</t>
        </is>
      </c>
      <c r="E371" t="inlineStr">
        <is>
          <t>SOLLEFTEÅ</t>
        </is>
      </c>
      <c r="G371" t="n">
        <v>7.9</v>
      </c>
      <c r="H371" t="n">
        <v>0</v>
      </c>
      <c r="I371" t="n">
        <v>0</v>
      </c>
      <c r="J371" t="n">
        <v>0</v>
      </c>
      <c r="K371" t="n">
        <v>0</v>
      </c>
      <c r="L371" t="n">
        <v>0</v>
      </c>
      <c r="M371" t="n">
        <v>0</v>
      </c>
      <c r="N371" t="n">
        <v>0</v>
      </c>
      <c r="O371" t="n">
        <v>0</v>
      </c>
      <c r="P371" t="n">
        <v>0</v>
      </c>
      <c r="Q371" t="n">
        <v>0</v>
      </c>
      <c r="R371" s="2" t="inlineStr"/>
    </row>
    <row r="372" ht="15" customHeight="1">
      <c r="A372" t="inlineStr">
        <is>
          <t>A 34302-2019</t>
        </is>
      </c>
      <c r="B372" s="1" t="n">
        <v>43655</v>
      </c>
      <c r="C372" s="1" t="n">
        <v>45511</v>
      </c>
      <c r="D372" t="inlineStr">
        <is>
          <t>VÄSTERNORRLANDS LÄN</t>
        </is>
      </c>
      <c r="E372" t="inlineStr">
        <is>
          <t>SOLLEFTEÅ</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34738-2019</t>
        </is>
      </c>
      <c r="B373" s="1" t="n">
        <v>43657</v>
      </c>
      <c r="C373" s="1" t="n">
        <v>45511</v>
      </c>
      <c r="D373" t="inlineStr">
        <is>
          <t>VÄSTERNORRLANDS LÄN</t>
        </is>
      </c>
      <c r="E373" t="inlineStr">
        <is>
          <t>SOLLEFTEÅ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34916-2019</t>
        </is>
      </c>
      <c r="B374" s="1" t="n">
        <v>43658</v>
      </c>
      <c r="C374" s="1" t="n">
        <v>45511</v>
      </c>
      <c r="D374" t="inlineStr">
        <is>
          <t>VÄSTERNORRLANDS LÄN</t>
        </is>
      </c>
      <c r="E374" t="inlineStr">
        <is>
          <t>SOLLEFTEÅ</t>
        </is>
      </c>
      <c r="G374" t="n">
        <v>2.6</v>
      </c>
      <c r="H374" t="n">
        <v>0</v>
      </c>
      <c r="I374" t="n">
        <v>0</v>
      </c>
      <c r="J374" t="n">
        <v>0</v>
      </c>
      <c r="K374" t="n">
        <v>0</v>
      </c>
      <c r="L374" t="n">
        <v>0</v>
      </c>
      <c r="M374" t="n">
        <v>0</v>
      </c>
      <c r="N374" t="n">
        <v>0</v>
      </c>
      <c r="O374" t="n">
        <v>0</v>
      </c>
      <c r="P374" t="n">
        <v>0</v>
      </c>
      <c r="Q374" t="n">
        <v>0</v>
      </c>
      <c r="R374" s="2" t="inlineStr"/>
    </row>
    <row r="375" ht="15" customHeight="1">
      <c r="A375" t="inlineStr">
        <is>
          <t>A 35320-2019</t>
        </is>
      </c>
      <c r="B375" s="1" t="n">
        <v>43662</v>
      </c>
      <c r="C375" s="1" t="n">
        <v>45511</v>
      </c>
      <c r="D375" t="inlineStr">
        <is>
          <t>VÄSTERNORRLANDS LÄN</t>
        </is>
      </c>
      <c r="E375" t="inlineStr">
        <is>
          <t>SOLLEFTEÅ</t>
        </is>
      </c>
      <c r="F375" t="inlineStr">
        <is>
          <t>SCA</t>
        </is>
      </c>
      <c r="G375" t="n">
        <v>8</v>
      </c>
      <c r="H375" t="n">
        <v>0</v>
      </c>
      <c r="I375" t="n">
        <v>0</v>
      </c>
      <c r="J375" t="n">
        <v>0</v>
      </c>
      <c r="K375" t="n">
        <v>0</v>
      </c>
      <c r="L375" t="n">
        <v>0</v>
      </c>
      <c r="M375" t="n">
        <v>0</v>
      </c>
      <c r="N375" t="n">
        <v>0</v>
      </c>
      <c r="O375" t="n">
        <v>0</v>
      </c>
      <c r="P375" t="n">
        <v>0</v>
      </c>
      <c r="Q375" t="n">
        <v>0</v>
      </c>
      <c r="R375" s="2" t="inlineStr"/>
    </row>
    <row r="376" ht="15" customHeight="1">
      <c r="A376" t="inlineStr">
        <is>
          <t>A 35970-2019</t>
        </is>
      </c>
      <c r="B376" s="1" t="n">
        <v>43665</v>
      </c>
      <c r="C376" s="1" t="n">
        <v>45511</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35969-2019</t>
        </is>
      </c>
      <c r="B377" s="1" t="n">
        <v>43665</v>
      </c>
      <c r="C377" s="1" t="n">
        <v>45511</v>
      </c>
      <c r="D377" t="inlineStr">
        <is>
          <t>VÄSTERNORRLANDS LÄN</t>
        </is>
      </c>
      <c r="E377" t="inlineStr">
        <is>
          <t>SOLLEFTEÅ</t>
        </is>
      </c>
      <c r="F377" t="inlineStr">
        <is>
          <t>SCA</t>
        </is>
      </c>
      <c r="G377" t="n">
        <v>6</v>
      </c>
      <c r="H377" t="n">
        <v>0</v>
      </c>
      <c r="I377" t="n">
        <v>0</v>
      </c>
      <c r="J377" t="n">
        <v>0</v>
      </c>
      <c r="K377" t="n">
        <v>0</v>
      </c>
      <c r="L377" t="n">
        <v>0</v>
      </c>
      <c r="M377" t="n">
        <v>0</v>
      </c>
      <c r="N377" t="n">
        <v>0</v>
      </c>
      <c r="O377" t="n">
        <v>0</v>
      </c>
      <c r="P377" t="n">
        <v>0</v>
      </c>
      <c r="Q377" t="n">
        <v>0</v>
      </c>
      <c r="R377" s="2" t="inlineStr"/>
    </row>
    <row r="378" ht="15" customHeight="1">
      <c r="A378" t="inlineStr">
        <is>
          <t>A 36137-2019</t>
        </is>
      </c>
      <c r="B378" s="1" t="n">
        <v>43668</v>
      </c>
      <c r="C378" s="1" t="n">
        <v>45511</v>
      </c>
      <c r="D378" t="inlineStr">
        <is>
          <t>VÄSTERNORRLANDS LÄN</t>
        </is>
      </c>
      <c r="E378" t="inlineStr">
        <is>
          <t>SOLLEFTEÅ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36486-2019</t>
        </is>
      </c>
      <c r="B379" s="1" t="n">
        <v>43668</v>
      </c>
      <c r="C379" s="1" t="n">
        <v>45511</v>
      </c>
      <c r="D379" t="inlineStr">
        <is>
          <t>VÄSTERNORRLANDS LÄN</t>
        </is>
      </c>
      <c r="E379" t="inlineStr">
        <is>
          <t>SOLLEFTEÅ</t>
        </is>
      </c>
      <c r="G379" t="n">
        <v>2.5</v>
      </c>
      <c r="H379" t="n">
        <v>0</v>
      </c>
      <c r="I379" t="n">
        <v>0</v>
      </c>
      <c r="J379" t="n">
        <v>0</v>
      </c>
      <c r="K379" t="n">
        <v>0</v>
      </c>
      <c r="L379" t="n">
        <v>0</v>
      </c>
      <c r="M379" t="n">
        <v>0</v>
      </c>
      <c r="N379" t="n">
        <v>0</v>
      </c>
      <c r="O379" t="n">
        <v>0</v>
      </c>
      <c r="P379" t="n">
        <v>0</v>
      </c>
      <c r="Q379" t="n">
        <v>0</v>
      </c>
      <c r="R379" s="2" t="inlineStr"/>
    </row>
    <row r="380" ht="15" customHeight="1">
      <c r="A380" t="inlineStr">
        <is>
          <t>A 36293-2019</t>
        </is>
      </c>
      <c r="B380" s="1" t="n">
        <v>43669</v>
      </c>
      <c r="C380" s="1" t="n">
        <v>45511</v>
      </c>
      <c r="D380" t="inlineStr">
        <is>
          <t>VÄSTERNORRLANDS LÄN</t>
        </is>
      </c>
      <c r="E380" t="inlineStr">
        <is>
          <t>SOLLEFTEÅ</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36711-2019</t>
        </is>
      </c>
      <c r="B381" s="1" t="n">
        <v>43671</v>
      </c>
      <c r="C381" s="1" t="n">
        <v>45511</v>
      </c>
      <c r="D381" t="inlineStr">
        <is>
          <t>VÄSTERNORRLANDS LÄN</t>
        </is>
      </c>
      <c r="E381" t="inlineStr">
        <is>
          <t>SOLLEFTEÅ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37292-2019</t>
        </is>
      </c>
      <c r="B382" s="1" t="n">
        <v>43677</v>
      </c>
      <c r="C382" s="1" t="n">
        <v>45511</v>
      </c>
      <c r="D382" t="inlineStr">
        <is>
          <t>VÄSTERNORRLANDS LÄN</t>
        </is>
      </c>
      <c r="E382" t="inlineStr">
        <is>
          <t>SOLLEFTEÅ</t>
        </is>
      </c>
      <c r="G382" t="n">
        <v>7.8</v>
      </c>
      <c r="H382" t="n">
        <v>0</v>
      </c>
      <c r="I382" t="n">
        <v>0</v>
      </c>
      <c r="J382" t="n">
        <v>0</v>
      </c>
      <c r="K382" t="n">
        <v>0</v>
      </c>
      <c r="L382" t="n">
        <v>0</v>
      </c>
      <c r="M382" t="n">
        <v>0</v>
      </c>
      <c r="N382" t="n">
        <v>0</v>
      </c>
      <c r="O382" t="n">
        <v>0</v>
      </c>
      <c r="P382" t="n">
        <v>0</v>
      </c>
      <c r="Q382" t="n">
        <v>0</v>
      </c>
      <c r="R382" s="2" t="inlineStr"/>
    </row>
    <row r="383" ht="15" customHeight="1">
      <c r="A383" t="inlineStr">
        <is>
          <t>A 37291-2019</t>
        </is>
      </c>
      <c r="B383" s="1" t="n">
        <v>43677</v>
      </c>
      <c r="C383" s="1" t="n">
        <v>45511</v>
      </c>
      <c r="D383" t="inlineStr">
        <is>
          <t>VÄSTERNORRLANDS LÄN</t>
        </is>
      </c>
      <c r="E383" t="inlineStr">
        <is>
          <t>SOLLEFTEÅ</t>
        </is>
      </c>
      <c r="G383" t="n">
        <v>7.4</v>
      </c>
      <c r="H383" t="n">
        <v>0</v>
      </c>
      <c r="I383" t="n">
        <v>0</v>
      </c>
      <c r="J383" t="n">
        <v>0</v>
      </c>
      <c r="K383" t="n">
        <v>0</v>
      </c>
      <c r="L383" t="n">
        <v>0</v>
      </c>
      <c r="M383" t="n">
        <v>0</v>
      </c>
      <c r="N383" t="n">
        <v>0</v>
      </c>
      <c r="O383" t="n">
        <v>0</v>
      </c>
      <c r="P383" t="n">
        <v>0</v>
      </c>
      <c r="Q383" t="n">
        <v>0</v>
      </c>
      <c r="R383" s="2" t="inlineStr"/>
    </row>
    <row r="384" ht="15" customHeight="1">
      <c r="A384" t="inlineStr">
        <is>
          <t>A 37434-2019</t>
        </is>
      </c>
      <c r="B384" s="1" t="n">
        <v>43678</v>
      </c>
      <c r="C384" s="1" t="n">
        <v>45511</v>
      </c>
      <c r="D384" t="inlineStr">
        <is>
          <t>VÄSTERNORRLANDS LÄN</t>
        </is>
      </c>
      <c r="E384" t="inlineStr">
        <is>
          <t>SOLLEFTEÅ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37652-2019</t>
        </is>
      </c>
      <c r="B385" s="1" t="n">
        <v>43679</v>
      </c>
      <c r="C385" s="1" t="n">
        <v>45511</v>
      </c>
      <c r="D385" t="inlineStr">
        <is>
          <t>VÄSTERNORRLANDS LÄN</t>
        </is>
      </c>
      <c r="E385" t="inlineStr">
        <is>
          <t>SOLLEFTEÅ</t>
        </is>
      </c>
      <c r="G385" t="n">
        <v>3.6</v>
      </c>
      <c r="H385" t="n">
        <v>0</v>
      </c>
      <c r="I385" t="n">
        <v>0</v>
      </c>
      <c r="J385" t="n">
        <v>0</v>
      </c>
      <c r="K385" t="n">
        <v>0</v>
      </c>
      <c r="L385" t="n">
        <v>0</v>
      </c>
      <c r="M385" t="n">
        <v>0</v>
      </c>
      <c r="N385" t="n">
        <v>0</v>
      </c>
      <c r="O385" t="n">
        <v>0</v>
      </c>
      <c r="P385" t="n">
        <v>0</v>
      </c>
      <c r="Q385" t="n">
        <v>0</v>
      </c>
      <c r="R385" s="2" t="inlineStr"/>
    </row>
    <row r="386" ht="15" customHeight="1">
      <c r="A386" t="inlineStr">
        <is>
          <t>A 37670-2019</t>
        </is>
      </c>
      <c r="B386" s="1" t="n">
        <v>43679</v>
      </c>
      <c r="C386" s="1" t="n">
        <v>45511</v>
      </c>
      <c r="D386" t="inlineStr">
        <is>
          <t>VÄSTERNORRLANDS LÄN</t>
        </is>
      </c>
      <c r="E386" t="inlineStr">
        <is>
          <t>SOLLEFTEÅ</t>
        </is>
      </c>
      <c r="G386" t="n">
        <v>3.2</v>
      </c>
      <c r="H386" t="n">
        <v>0</v>
      </c>
      <c r="I386" t="n">
        <v>0</v>
      </c>
      <c r="J386" t="n">
        <v>0</v>
      </c>
      <c r="K386" t="n">
        <v>0</v>
      </c>
      <c r="L386" t="n">
        <v>0</v>
      </c>
      <c r="M386" t="n">
        <v>0</v>
      </c>
      <c r="N386" t="n">
        <v>0</v>
      </c>
      <c r="O386" t="n">
        <v>0</v>
      </c>
      <c r="P386" t="n">
        <v>0</v>
      </c>
      <c r="Q386" t="n">
        <v>0</v>
      </c>
      <c r="R386" s="2" t="inlineStr"/>
    </row>
    <row r="387" ht="15" customHeight="1">
      <c r="A387" t="inlineStr">
        <is>
          <t>A 38081-2019</t>
        </is>
      </c>
      <c r="B387" s="1" t="n">
        <v>43682</v>
      </c>
      <c r="C387" s="1" t="n">
        <v>45511</v>
      </c>
      <c r="D387" t="inlineStr">
        <is>
          <t>VÄSTERNORRLANDS LÄN</t>
        </is>
      </c>
      <c r="E387" t="inlineStr">
        <is>
          <t>SOLLEFTEÅ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38074-2019</t>
        </is>
      </c>
      <c r="B388" s="1" t="n">
        <v>43682</v>
      </c>
      <c r="C388" s="1" t="n">
        <v>45511</v>
      </c>
      <c r="D388" t="inlineStr">
        <is>
          <t>VÄSTERNORRLANDS LÄN</t>
        </is>
      </c>
      <c r="E388" t="inlineStr">
        <is>
          <t>SOLLEFTEÅ</t>
        </is>
      </c>
      <c r="G388" t="n">
        <v>4.2</v>
      </c>
      <c r="H388" t="n">
        <v>0</v>
      </c>
      <c r="I388" t="n">
        <v>0</v>
      </c>
      <c r="J388" t="n">
        <v>0</v>
      </c>
      <c r="K388" t="n">
        <v>0</v>
      </c>
      <c r="L388" t="n">
        <v>0</v>
      </c>
      <c r="M388" t="n">
        <v>0</v>
      </c>
      <c r="N388" t="n">
        <v>0</v>
      </c>
      <c r="O388" t="n">
        <v>0</v>
      </c>
      <c r="P388" t="n">
        <v>0</v>
      </c>
      <c r="Q388" t="n">
        <v>0</v>
      </c>
      <c r="R388" s="2" t="inlineStr"/>
    </row>
    <row r="389" ht="15" customHeight="1">
      <c r="A389" t="inlineStr">
        <is>
          <t>A 38080-2019</t>
        </is>
      </c>
      <c r="B389" s="1" t="n">
        <v>43682</v>
      </c>
      <c r="C389" s="1" t="n">
        <v>45511</v>
      </c>
      <c r="D389" t="inlineStr">
        <is>
          <t>VÄSTERNORRLANDS LÄN</t>
        </is>
      </c>
      <c r="E389" t="inlineStr">
        <is>
          <t>SOLLEFTEÅ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38083-2019</t>
        </is>
      </c>
      <c r="B390" s="1" t="n">
        <v>43682</v>
      </c>
      <c r="C390" s="1" t="n">
        <v>45511</v>
      </c>
      <c r="D390" t="inlineStr">
        <is>
          <t>VÄSTERNORRLANDS LÄN</t>
        </is>
      </c>
      <c r="E390" t="inlineStr">
        <is>
          <t>SOLLEFTEÅ</t>
        </is>
      </c>
      <c r="G390" t="n">
        <v>9.6</v>
      </c>
      <c r="H390" t="n">
        <v>0</v>
      </c>
      <c r="I390" t="n">
        <v>0</v>
      </c>
      <c r="J390" t="n">
        <v>0</v>
      </c>
      <c r="K390" t="n">
        <v>0</v>
      </c>
      <c r="L390" t="n">
        <v>0</v>
      </c>
      <c r="M390" t="n">
        <v>0</v>
      </c>
      <c r="N390" t="n">
        <v>0</v>
      </c>
      <c r="O390" t="n">
        <v>0</v>
      </c>
      <c r="P390" t="n">
        <v>0</v>
      </c>
      <c r="Q390" t="n">
        <v>0</v>
      </c>
      <c r="R390" s="2" t="inlineStr"/>
    </row>
    <row r="391" ht="15" customHeight="1">
      <c r="A391" t="inlineStr">
        <is>
          <t>A 38544-2019</t>
        </is>
      </c>
      <c r="B391" s="1" t="n">
        <v>43684</v>
      </c>
      <c r="C391" s="1" t="n">
        <v>45511</v>
      </c>
      <c r="D391" t="inlineStr">
        <is>
          <t>VÄSTERNORRLANDS LÄN</t>
        </is>
      </c>
      <c r="E391" t="inlineStr">
        <is>
          <t>SOLLEFTEÅ</t>
        </is>
      </c>
      <c r="G391" t="n">
        <v>6.6</v>
      </c>
      <c r="H391" t="n">
        <v>0</v>
      </c>
      <c r="I391" t="n">
        <v>0</v>
      </c>
      <c r="J391" t="n">
        <v>0</v>
      </c>
      <c r="K391" t="n">
        <v>0</v>
      </c>
      <c r="L391" t="n">
        <v>0</v>
      </c>
      <c r="M391" t="n">
        <v>0</v>
      </c>
      <c r="N391" t="n">
        <v>0</v>
      </c>
      <c r="O391" t="n">
        <v>0</v>
      </c>
      <c r="P391" t="n">
        <v>0</v>
      </c>
      <c r="Q391" t="n">
        <v>0</v>
      </c>
      <c r="R391" s="2" t="inlineStr"/>
    </row>
    <row r="392" ht="15" customHeight="1">
      <c r="A392" t="inlineStr">
        <is>
          <t>A 38252-2019</t>
        </is>
      </c>
      <c r="B392" s="1" t="n">
        <v>43684</v>
      </c>
      <c r="C392" s="1" t="n">
        <v>45511</v>
      </c>
      <c r="D392" t="inlineStr">
        <is>
          <t>VÄSTERNORRLANDS LÄN</t>
        </is>
      </c>
      <c r="E392" t="inlineStr">
        <is>
          <t>SOLLEFTEÅ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38566-2019</t>
        </is>
      </c>
      <c r="B393" s="1" t="n">
        <v>43685</v>
      </c>
      <c r="C393" s="1" t="n">
        <v>45511</v>
      </c>
      <c r="D393" t="inlineStr">
        <is>
          <t>VÄSTERNORRLANDS LÄN</t>
        </is>
      </c>
      <c r="E393" t="inlineStr">
        <is>
          <t>SOLLEFTEÅ</t>
        </is>
      </c>
      <c r="F393" t="inlineStr">
        <is>
          <t>SCA</t>
        </is>
      </c>
      <c r="G393" t="n">
        <v>15.1</v>
      </c>
      <c r="H393" t="n">
        <v>0</v>
      </c>
      <c r="I393" t="n">
        <v>0</v>
      </c>
      <c r="J393" t="n">
        <v>0</v>
      </c>
      <c r="K393" t="n">
        <v>0</v>
      </c>
      <c r="L393" t="n">
        <v>0</v>
      </c>
      <c r="M393" t="n">
        <v>0</v>
      </c>
      <c r="N393" t="n">
        <v>0</v>
      </c>
      <c r="O393" t="n">
        <v>0</v>
      </c>
      <c r="P393" t="n">
        <v>0</v>
      </c>
      <c r="Q393" t="n">
        <v>0</v>
      </c>
      <c r="R393" s="2" t="inlineStr"/>
    </row>
    <row r="394" ht="15" customHeight="1">
      <c r="A394" t="inlineStr">
        <is>
          <t>A 38762-2019</t>
        </is>
      </c>
      <c r="B394" s="1" t="n">
        <v>43686</v>
      </c>
      <c r="C394" s="1" t="n">
        <v>45511</v>
      </c>
      <c r="D394" t="inlineStr">
        <is>
          <t>VÄSTERNORRLANDS LÄN</t>
        </is>
      </c>
      <c r="E394" t="inlineStr">
        <is>
          <t>SOLLEFTEÅ</t>
        </is>
      </c>
      <c r="G394" t="n">
        <v>7.7</v>
      </c>
      <c r="H394" t="n">
        <v>0</v>
      </c>
      <c r="I394" t="n">
        <v>0</v>
      </c>
      <c r="J394" t="n">
        <v>0</v>
      </c>
      <c r="K394" t="n">
        <v>0</v>
      </c>
      <c r="L394" t="n">
        <v>0</v>
      </c>
      <c r="M394" t="n">
        <v>0</v>
      </c>
      <c r="N394" t="n">
        <v>0</v>
      </c>
      <c r="O394" t="n">
        <v>0</v>
      </c>
      <c r="P394" t="n">
        <v>0</v>
      </c>
      <c r="Q394" t="n">
        <v>0</v>
      </c>
      <c r="R394" s="2" t="inlineStr"/>
    </row>
    <row r="395" ht="15" customHeight="1">
      <c r="A395" t="inlineStr">
        <is>
          <t>A 38763-2019</t>
        </is>
      </c>
      <c r="B395" s="1" t="n">
        <v>43686</v>
      </c>
      <c r="C395" s="1" t="n">
        <v>45511</v>
      </c>
      <c r="D395" t="inlineStr">
        <is>
          <t>VÄSTERNORRLANDS LÄN</t>
        </is>
      </c>
      <c r="E395" t="inlineStr">
        <is>
          <t>SOLLEFTEÅ</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39123-2019</t>
        </is>
      </c>
      <c r="B396" s="1" t="n">
        <v>43689</v>
      </c>
      <c r="C396" s="1" t="n">
        <v>45511</v>
      </c>
      <c r="D396" t="inlineStr">
        <is>
          <t>VÄSTERNORRLANDS LÄN</t>
        </is>
      </c>
      <c r="E396" t="inlineStr">
        <is>
          <t>SOLLEFTEÅ</t>
        </is>
      </c>
      <c r="G396" t="n">
        <v>10.9</v>
      </c>
      <c r="H396" t="n">
        <v>0</v>
      </c>
      <c r="I396" t="n">
        <v>0</v>
      </c>
      <c r="J396" t="n">
        <v>0</v>
      </c>
      <c r="K396" t="n">
        <v>0</v>
      </c>
      <c r="L396" t="n">
        <v>0</v>
      </c>
      <c r="M396" t="n">
        <v>0</v>
      </c>
      <c r="N396" t="n">
        <v>0</v>
      </c>
      <c r="O396" t="n">
        <v>0</v>
      </c>
      <c r="P396" t="n">
        <v>0</v>
      </c>
      <c r="Q396" t="n">
        <v>0</v>
      </c>
      <c r="R396" s="2" t="inlineStr"/>
    </row>
    <row r="397" ht="15" customHeight="1">
      <c r="A397" t="inlineStr">
        <is>
          <t>A 39768-2019</t>
        </is>
      </c>
      <c r="B397" s="1" t="n">
        <v>43689</v>
      </c>
      <c r="C397" s="1" t="n">
        <v>45511</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40764-2019</t>
        </is>
      </c>
      <c r="B398" s="1" t="n">
        <v>43692</v>
      </c>
      <c r="C398" s="1" t="n">
        <v>45511</v>
      </c>
      <c r="D398" t="inlineStr">
        <is>
          <t>VÄSTERNORRLANDS LÄN</t>
        </is>
      </c>
      <c r="E398" t="inlineStr">
        <is>
          <t>SOLLEFTEÅ</t>
        </is>
      </c>
      <c r="G398" t="n">
        <v>2.9</v>
      </c>
      <c r="H398" t="n">
        <v>0</v>
      </c>
      <c r="I398" t="n">
        <v>0</v>
      </c>
      <c r="J398" t="n">
        <v>0</v>
      </c>
      <c r="K398" t="n">
        <v>0</v>
      </c>
      <c r="L398" t="n">
        <v>0</v>
      </c>
      <c r="M398" t="n">
        <v>0</v>
      </c>
      <c r="N398" t="n">
        <v>0</v>
      </c>
      <c r="O398" t="n">
        <v>0</v>
      </c>
      <c r="P398" t="n">
        <v>0</v>
      </c>
      <c r="Q398" t="n">
        <v>0</v>
      </c>
      <c r="R398" s="2" t="inlineStr"/>
    </row>
    <row r="399" ht="15" customHeight="1">
      <c r="A399" t="inlineStr">
        <is>
          <t>A 40769-2019</t>
        </is>
      </c>
      <c r="B399" s="1" t="n">
        <v>43692</v>
      </c>
      <c r="C399" s="1" t="n">
        <v>45511</v>
      </c>
      <c r="D399" t="inlineStr">
        <is>
          <t>VÄSTERNORRLANDS LÄN</t>
        </is>
      </c>
      <c r="E399" t="inlineStr">
        <is>
          <t>SOLLEFTEÅ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41069-2019</t>
        </is>
      </c>
      <c r="B400" s="1" t="n">
        <v>43693</v>
      </c>
      <c r="C400" s="1" t="n">
        <v>45511</v>
      </c>
      <c r="D400" t="inlineStr">
        <is>
          <t>VÄSTERNORRLANDS LÄN</t>
        </is>
      </c>
      <c r="E400" t="inlineStr">
        <is>
          <t>SOLLEFTEÅ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40512-2019</t>
        </is>
      </c>
      <c r="B401" s="1" t="n">
        <v>43696</v>
      </c>
      <c r="C401" s="1" t="n">
        <v>45511</v>
      </c>
      <c r="D401" t="inlineStr">
        <is>
          <t>VÄSTERNORRLANDS LÄN</t>
        </is>
      </c>
      <c r="E401" t="inlineStr">
        <is>
          <t>SOLLEFTEÅ</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40685-2019</t>
        </is>
      </c>
      <c r="B402" s="1" t="n">
        <v>43696</v>
      </c>
      <c r="C402" s="1" t="n">
        <v>45511</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40682-2019</t>
        </is>
      </c>
      <c r="B403" s="1" t="n">
        <v>43696</v>
      </c>
      <c r="C403" s="1" t="n">
        <v>45511</v>
      </c>
      <c r="D403" t="inlineStr">
        <is>
          <t>VÄSTERNORRLANDS LÄN</t>
        </is>
      </c>
      <c r="E403" t="inlineStr">
        <is>
          <t>SOLLEFTEÅ</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40514-2019</t>
        </is>
      </c>
      <c r="B404" s="1" t="n">
        <v>43696</v>
      </c>
      <c r="C404" s="1" t="n">
        <v>45511</v>
      </c>
      <c r="D404" t="inlineStr">
        <is>
          <t>VÄSTERNORRLANDS LÄN</t>
        </is>
      </c>
      <c r="E404" t="inlineStr">
        <is>
          <t>SOLLEFTEÅ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40679-2019</t>
        </is>
      </c>
      <c r="B405" s="1" t="n">
        <v>43696</v>
      </c>
      <c r="C405" s="1" t="n">
        <v>45511</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41786-2019</t>
        </is>
      </c>
      <c r="B406" s="1" t="n">
        <v>43699</v>
      </c>
      <c r="C406" s="1" t="n">
        <v>45511</v>
      </c>
      <c r="D406" t="inlineStr">
        <is>
          <t>VÄSTERNORRLANDS LÄN</t>
        </is>
      </c>
      <c r="E406" t="inlineStr">
        <is>
          <t>SOLLEFTEÅ</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42417-2019</t>
        </is>
      </c>
      <c r="B407" s="1" t="n">
        <v>43703</v>
      </c>
      <c r="C407" s="1" t="n">
        <v>45511</v>
      </c>
      <c r="D407" t="inlineStr">
        <is>
          <t>VÄSTERNORRLANDS LÄN</t>
        </is>
      </c>
      <c r="E407" t="inlineStr">
        <is>
          <t>SOLLEFTEÅ</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42791-2019</t>
        </is>
      </c>
      <c r="B408" s="1" t="n">
        <v>43704</v>
      </c>
      <c r="C408" s="1" t="n">
        <v>45511</v>
      </c>
      <c r="D408" t="inlineStr">
        <is>
          <t>VÄSTERNORRLANDS LÄN</t>
        </is>
      </c>
      <c r="E408" t="inlineStr">
        <is>
          <t>SOLLEFTEÅ</t>
        </is>
      </c>
      <c r="G408" t="n">
        <v>4.1</v>
      </c>
      <c r="H408" t="n">
        <v>0</v>
      </c>
      <c r="I408" t="n">
        <v>0</v>
      </c>
      <c r="J408" t="n">
        <v>0</v>
      </c>
      <c r="K408" t="n">
        <v>0</v>
      </c>
      <c r="L408" t="n">
        <v>0</v>
      </c>
      <c r="M408" t="n">
        <v>0</v>
      </c>
      <c r="N408" t="n">
        <v>0</v>
      </c>
      <c r="O408" t="n">
        <v>0</v>
      </c>
      <c r="P408" t="n">
        <v>0</v>
      </c>
      <c r="Q408" t="n">
        <v>0</v>
      </c>
      <c r="R408" s="2" t="inlineStr"/>
    </row>
    <row r="409" ht="15" customHeight="1">
      <c r="A409" t="inlineStr">
        <is>
          <t>A 42792-2019</t>
        </is>
      </c>
      <c r="B409" s="1" t="n">
        <v>43704</v>
      </c>
      <c r="C409" s="1" t="n">
        <v>45511</v>
      </c>
      <c r="D409" t="inlineStr">
        <is>
          <t>VÄSTERNORRLANDS LÄN</t>
        </is>
      </c>
      <c r="E409" t="inlineStr">
        <is>
          <t>SOLLEFTEÅ</t>
        </is>
      </c>
      <c r="G409" t="n">
        <v>5.7</v>
      </c>
      <c r="H409" t="n">
        <v>0</v>
      </c>
      <c r="I409" t="n">
        <v>0</v>
      </c>
      <c r="J409" t="n">
        <v>0</v>
      </c>
      <c r="K409" t="n">
        <v>0</v>
      </c>
      <c r="L409" t="n">
        <v>0</v>
      </c>
      <c r="M409" t="n">
        <v>0</v>
      </c>
      <c r="N409" t="n">
        <v>0</v>
      </c>
      <c r="O409" t="n">
        <v>0</v>
      </c>
      <c r="P409" t="n">
        <v>0</v>
      </c>
      <c r="Q409" t="n">
        <v>0</v>
      </c>
      <c r="R409" s="2" t="inlineStr"/>
    </row>
    <row r="410" ht="15" customHeight="1">
      <c r="A410" t="inlineStr">
        <is>
          <t>A 43499-2019</t>
        </is>
      </c>
      <c r="B410" s="1" t="n">
        <v>43706</v>
      </c>
      <c r="C410" s="1" t="n">
        <v>45511</v>
      </c>
      <c r="D410" t="inlineStr">
        <is>
          <t>VÄSTERNORRLANDS LÄN</t>
        </is>
      </c>
      <c r="E410" t="inlineStr">
        <is>
          <t>SOLLEFTEÅ</t>
        </is>
      </c>
      <c r="G410" t="n">
        <v>19.3</v>
      </c>
      <c r="H410" t="n">
        <v>0</v>
      </c>
      <c r="I410" t="n">
        <v>0</v>
      </c>
      <c r="J410" t="n">
        <v>0</v>
      </c>
      <c r="K410" t="n">
        <v>0</v>
      </c>
      <c r="L410" t="n">
        <v>0</v>
      </c>
      <c r="M410" t="n">
        <v>0</v>
      </c>
      <c r="N410" t="n">
        <v>0</v>
      </c>
      <c r="O410" t="n">
        <v>0</v>
      </c>
      <c r="P410" t="n">
        <v>0</v>
      </c>
      <c r="Q410" t="n">
        <v>0</v>
      </c>
      <c r="R410" s="2" t="inlineStr"/>
    </row>
    <row r="411" ht="15" customHeight="1">
      <c r="A411" t="inlineStr">
        <is>
          <t>A 45032-2019</t>
        </is>
      </c>
      <c r="B411" s="1" t="n">
        <v>43707</v>
      </c>
      <c r="C411" s="1" t="n">
        <v>45511</v>
      </c>
      <c r="D411" t="inlineStr">
        <is>
          <t>VÄSTERNORRLANDS LÄN</t>
        </is>
      </c>
      <c r="E411" t="inlineStr">
        <is>
          <t>SOLLEFTEÅ</t>
        </is>
      </c>
      <c r="G411" t="n">
        <v>9.4</v>
      </c>
      <c r="H411" t="n">
        <v>0</v>
      </c>
      <c r="I411" t="n">
        <v>0</v>
      </c>
      <c r="J411" t="n">
        <v>0</v>
      </c>
      <c r="K411" t="n">
        <v>0</v>
      </c>
      <c r="L411" t="n">
        <v>0</v>
      </c>
      <c r="M411" t="n">
        <v>0</v>
      </c>
      <c r="N411" t="n">
        <v>0</v>
      </c>
      <c r="O411" t="n">
        <v>0</v>
      </c>
      <c r="P411" t="n">
        <v>0</v>
      </c>
      <c r="Q411" t="n">
        <v>0</v>
      </c>
      <c r="R411" s="2" t="inlineStr"/>
    </row>
    <row r="412" ht="15" customHeight="1">
      <c r="A412" t="inlineStr">
        <is>
          <t>A 44815-2019</t>
        </is>
      </c>
      <c r="B412" s="1" t="n">
        <v>43712</v>
      </c>
      <c r="C412" s="1" t="n">
        <v>45511</v>
      </c>
      <c r="D412" t="inlineStr">
        <is>
          <t>VÄSTERNORRLANDS LÄN</t>
        </is>
      </c>
      <c r="E412" t="inlineStr">
        <is>
          <t>SOLLEFTEÅ</t>
        </is>
      </c>
      <c r="G412" t="n">
        <v>3</v>
      </c>
      <c r="H412" t="n">
        <v>0</v>
      </c>
      <c r="I412" t="n">
        <v>0</v>
      </c>
      <c r="J412" t="n">
        <v>0</v>
      </c>
      <c r="K412" t="n">
        <v>0</v>
      </c>
      <c r="L412" t="n">
        <v>0</v>
      </c>
      <c r="M412" t="n">
        <v>0</v>
      </c>
      <c r="N412" t="n">
        <v>0</v>
      </c>
      <c r="O412" t="n">
        <v>0</v>
      </c>
      <c r="P412" t="n">
        <v>0</v>
      </c>
      <c r="Q412" t="n">
        <v>0</v>
      </c>
      <c r="R412" s="2" t="inlineStr"/>
    </row>
    <row r="413" ht="15" customHeight="1">
      <c r="A413" t="inlineStr">
        <is>
          <t>A 45941-2019</t>
        </is>
      </c>
      <c r="B413" s="1" t="n">
        <v>43712</v>
      </c>
      <c r="C413" s="1" t="n">
        <v>45511</v>
      </c>
      <c r="D413" t="inlineStr">
        <is>
          <t>VÄSTERNORRLANDS LÄN</t>
        </is>
      </c>
      <c r="E413" t="inlineStr">
        <is>
          <t>SOLLEFTEÅ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44888-2019</t>
        </is>
      </c>
      <c r="B414" s="1" t="n">
        <v>43712</v>
      </c>
      <c r="C414" s="1" t="n">
        <v>45511</v>
      </c>
      <c r="D414" t="inlineStr">
        <is>
          <t>VÄSTERNORRLANDS LÄN</t>
        </is>
      </c>
      <c r="E414" t="inlineStr">
        <is>
          <t>SOLLEFTEÅ</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44960-2019</t>
        </is>
      </c>
      <c r="B415" s="1" t="n">
        <v>43713</v>
      </c>
      <c r="C415" s="1" t="n">
        <v>45511</v>
      </c>
      <c r="D415" t="inlineStr">
        <is>
          <t>VÄSTERNORRLANDS LÄN</t>
        </is>
      </c>
      <c r="E415" t="inlineStr">
        <is>
          <t>SOLLEFTEÅ</t>
        </is>
      </c>
      <c r="G415" t="n">
        <v>14.9</v>
      </c>
      <c r="H415" t="n">
        <v>0</v>
      </c>
      <c r="I415" t="n">
        <v>0</v>
      </c>
      <c r="J415" t="n">
        <v>0</v>
      </c>
      <c r="K415" t="n">
        <v>0</v>
      </c>
      <c r="L415" t="n">
        <v>0</v>
      </c>
      <c r="M415" t="n">
        <v>0</v>
      </c>
      <c r="N415" t="n">
        <v>0</v>
      </c>
      <c r="O415" t="n">
        <v>0</v>
      </c>
      <c r="P415" t="n">
        <v>0</v>
      </c>
      <c r="Q415" t="n">
        <v>0</v>
      </c>
      <c r="R415" s="2" t="inlineStr"/>
    </row>
    <row r="416" ht="15" customHeight="1">
      <c r="A416" t="inlineStr">
        <is>
          <t>A 45537-2019</t>
        </is>
      </c>
      <c r="B416" s="1" t="n">
        <v>43714</v>
      </c>
      <c r="C416" s="1" t="n">
        <v>45511</v>
      </c>
      <c r="D416" t="inlineStr">
        <is>
          <t>VÄSTERNORRLANDS LÄN</t>
        </is>
      </c>
      <c r="E416" t="inlineStr">
        <is>
          <t>SOLLEFTEÅ</t>
        </is>
      </c>
      <c r="F416" t="inlineStr">
        <is>
          <t>SCA</t>
        </is>
      </c>
      <c r="G416" t="n">
        <v>35.1</v>
      </c>
      <c r="H416" t="n">
        <v>0</v>
      </c>
      <c r="I416" t="n">
        <v>0</v>
      </c>
      <c r="J416" t="n">
        <v>0</v>
      </c>
      <c r="K416" t="n">
        <v>0</v>
      </c>
      <c r="L416" t="n">
        <v>0</v>
      </c>
      <c r="M416" t="n">
        <v>0</v>
      </c>
      <c r="N416" t="n">
        <v>0</v>
      </c>
      <c r="O416" t="n">
        <v>0</v>
      </c>
      <c r="P416" t="n">
        <v>0</v>
      </c>
      <c r="Q416" t="n">
        <v>0</v>
      </c>
      <c r="R416" s="2" t="inlineStr"/>
    </row>
    <row r="417" ht="15" customHeight="1">
      <c r="A417" t="inlineStr">
        <is>
          <t>A 46345-2019</t>
        </is>
      </c>
      <c r="B417" s="1" t="n">
        <v>43718</v>
      </c>
      <c r="C417" s="1" t="n">
        <v>45511</v>
      </c>
      <c r="D417" t="inlineStr">
        <is>
          <t>VÄSTERNORRLANDS LÄN</t>
        </is>
      </c>
      <c r="E417" t="inlineStr">
        <is>
          <t>SOLLEFTEÅ</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46956-2019</t>
        </is>
      </c>
      <c r="B418" s="1" t="n">
        <v>43719</v>
      </c>
      <c r="C418" s="1" t="n">
        <v>45511</v>
      </c>
      <c r="D418" t="inlineStr">
        <is>
          <t>VÄSTERNORRLANDS LÄN</t>
        </is>
      </c>
      <c r="E418" t="inlineStr">
        <is>
          <t>SOLLEFTEÅ</t>
        </is>
      </c>
      <c r="G418" t="n">
        <v>18.1</v>
      </c>
      <c r="H418" t="n">
        <v>0</v>
      </c>
      <c r="I418" t="n">
        <v>0</v>
      </c>
      <c r="J418" t="n">
        <v>0</v>
      </c>
      <c r="K418" t="n">
        <v>0</v>
      </c>
      <c r="L418" t="n">
        <v>0</v>
      </c>
      <c r="M418" t="n">
        <v>0</v>
      </c>
      <c r="N418" t="n">
        <v>0</v>
      </c>
      <c r="O418" t="n">
        <v>0</v>
      </c>
      <c r="P418" t="n">
        <v>0</v>
      </c>
      <c r="Q418" t="n">
        <v>0</v>
      </c>
      <c r="R418" s="2" t="inlineStr"/>
    </row>
    <row r="419" ht="15" customHeight="1">
      <c r="A419" t="inlineStr">
        <is>
          <t>A 47366-2019</t>
        </is>
      </c>
      <c r="B419" s="1" t="n">
        <v>43721</v>
      </c>
      <c r="C419" s="1" t="n">
        <v>45511</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47764-2019</t>
        </is>
      </c>
      <c r="B420" s="1" t="n">
        <v>43724</v>
      </c>
      <c r="C420" s="1" t="n">
        <v>45511</v>
      </c>
      <c r="D420" t="inlineStr">
        <is>
          <t>VÄSTERNORRLANDS LÄN</t>
        </is>
      </c>
      <c r="E420" t="inlineStr">
        <is>
          <t>SOLLEFTEÅ</t>
        </is>
      </c>
      <c r="F420" t="inlineStr">
        <is>
          <t>Kyrkan</t>
        </is>
      </c>
      <c r="G420" t="n">
        <v>4.1</v>
      </c>
      <c r="H420" t="n">
        <v>0</v>
      </c>
      <c r="I420" t="n">
        <v>0</v>
      </c>
      <c r="J420" t="n">
        <v>0</v>
      </c>
      <c r="K420" t="n">
        <v>0</v>
      </c>
      <c r="L420" t="n">
        <v>0</v>
      </c>
      <c r="M420" t="n">
        <v>0</v>
      </c>
      <c r="N420" t="n">
        <v>0</v>
      </c>
      <c r="O420" t="n">
        <v>0</v>
      </c>
      <c r="P420" t="n">
        <v>0</v>
      </c>
      <c r="Q420" t="n">
        <v>0</v>
      </c>
      <c r="R420" s="2" t="inlineStr"/>
    </row>
    <row r="421" ht="15" customHeight="1">
      <c r="A421" t="inlineStr">
        <is>
          <t>A 47768-2019</t>
        </is>
      </c>
      <c r="B421" s="1" t="n">
        <v>43724</v>
      </c>
      <c r="C421" s="1" t="n">
        <v>45511</v>
      </c>
      <c r="D421" t="inlineStr">
        <is>
          <t>VÄSTERNORRLANDS LÄN</t>
        </is>
      </c>
      <c r="E421" t="inlineStr">
        <is>
          <t>SOLLEFTEÅ</t>
        </is>
      </c>
      <c r="F421" t="inlineStr">
        <is>
          <t>Kyrkan</t>
        </is>
      </c>
      <c r="G421" t="n">
        <v>12.1</v>
      </c>
      <c r="H421" t="n">
        <v>0</v>
      </c>
      <c r="I421" t="n">
        <v>0</v>
      </c>
      <c r="J421" t="n">
        <v>0</v>
      </c>
      <c r="K421" t="n">
        <v>0</v>
      </c>
      <c r="L421" t="n">
        <v>0</v>
      </c>
      <c r="M421" t="n">
        <v>0</v>
      </c>
      <c r="N421" t="n">
        <v>0</v>
      </c>
      <c r="O421" t="n">
        <v>0</v>
      </c>
      <c r="P421" t="n">
        <v>0</v>
      </c>
      <c r="Q421" t="n">
        <v>0</v>
      </c>
      <c r="R421" s="2" t="inlineStr"/>
    </row>
    <row r="422" ht="15" customHeight="1">
      <c r="A422" t="inlineStr">
        <is>
          <t>A 49381-2019</t>
        </is>
      </c>
      <c r="B422" s="1" t="n">
        <v>43731</v>
      </c>
      <c r="C422" s="1" t="n">
        <v>45511</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49380-2019</t>
        </is>
      </c>
      <c r="B423" s="1" t="n">
        <v>43731</v>
      </c>
      <c r="C423" s="1" t="n">
        <v>45511</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49674-2019</t>
        </is>
      </c>
      <c r="B424" s="1" t="n">
        <v>43732</v>
      </c>
      <c r="C424" s="1" t="n">
        <v>45511</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50283-2019</t>
        </is>
      </c>
      <c r="B425" s="1" t="n">
        <v>43734</v>
      </c>
      <c r="C425" s="1" t="n">
        <v>45511</v>
      </c>
      <c r="D425" t="inlineStr">
        <is>
          <t>VÄSTERNORRLANDS LÄN</t>
        </is>
      </c>
      <c r="E425" t="inlineStr">
        <is>
          <t>SOLLEFTEÅ</t>
        </is>
      </c>
      <c r="F425" t="inlineStr">
        <is>
          <t>SCA</t>
        </is>
      </c>
      <c r="G425" t="n">
        <v>10.6</v>
      </c>
      <c r="H425" t="n">
        <v>0</v>
      </c>
      <c r="I425" t="n">
        <v>0</v>
      </c>
      <c r="J425" t="n">
        <v>0</v>
      </c>
      <c r="K425" t="n">
        <v>0</v>
      </c>
      <c r="L425" t="n">
        <v>0</v>
      </c>
      <c r="M425" t="n">
        <v>0</v>
      </c>
      <c r="N425" t="n">
        <v>0</v>
      </c>
      <c r="O425" t="n">
        <v>0</v>
      </c>
      <c r="P425" t="n">
        <v>0</v>
      </c>
      <c r="Q425" t="n">
        <v>0</v>
      </c>
      <c r="R425" s="2" t="inlineStr"/>
    </row>
    <row r="426" ht="15" customHeight="1">
      <c r="A426" t="inlineStr">
        <is>
          <t>A 50513-2019</t>
        </is>
      </c>
      <c r="B426" s="1" t="n">
        <v>43735</v>
      </c>
      <c r="C426" s="1" t="n">
        <v>45511</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50668-2019</t>
        </is>
      </c>
      <c r="B427" s="1" t="n">
        <v>43737</v>
      </c>
      <c r="C427" s="1" t="n">
        <v>45511</v>
      </c>
      <c r="D427" t="inlineStr">
        <is>
          <t>VÄSTERNORRLANDS LÄN</t>
        </is>
      </c>
      <c r="E427" t="inlineStr">
        <is>
          <t>SOLLEFTEÅ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51002-2019</t>
        </is>
      </c>
      <c r="B428" s="1" t="n">
        <v>43738</v>
      </c>
      <c r="C428" s="1" t="n">
        <v>45511</v>
      </c>
      <c r="D428" t="inlineStr">
        <is>
          <t>VÄSTERNORRLANDS LÄN</t>
        </is>
      </c>
      <c r="E428" t="inlineStr">
        <is>
          <t>SOLLEFTEÅ</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50999-2019</t>
        </is>
      </c>
      <c r="B429" s="1" t="n">
        <v>43738</v>
      </c>
      <c r="C429" s="1" t="n">
        <v>45511</v>
      </c>
      <c r="D429" t="inlineStr">
        <is>
          <t>VÄSTERNORRLANDS LÄN</t>
        </is>
      </c>
      <c r="E429" t="inlineStr">
        <is>
          <t>SOLLEFTEÅ</t>
        </is>
      </c>
      <c r="F429" t="inlineStr">
        <is>
          <t>SCA</t>
        </is>
      </c>
      <c r="G429" t="n">
        <v>5.6</v>
      </c>
      <c r="H429" t="n">
        <v>0</v>
      </c>
      <c r="I429" t="n">
        <v>0</v>
      </c>
      <c r="J429" t="n">
        <v>0</v>
      </c>
      <c r="K429" t="n">
        <v>0</v>
      </c>
      <c r="L429" t="n">
        <v>0</v>
      </c>
      <c r="M429" t="n">
        <v>0</v>
      </c>
      <c r="N429" t="n">
        <v>0</v>
      </c>
      <c r="O429" t="n">
        <v>0</v>
      </c>
      <c r="P429" t="n">
        <v>0</v>
      </c>
      <c r="Q429" t="n">
        <v>0</v>
      </c>
      <c r="R429" s="2" t="inlineStr"/>
    </row>
    <row r="430" ht="15" customHeight="1">
      <c r="A430" t="inlineStr">
        <is>
          <t>A 51675-2019</t>
        </is>
      </c>
      <c r="B430" s="1" t="n">
        <v>43740</v>
      </c>
      <c r="C430" s="1" t="n">
        <v>45511</v>
      </c>
      <c r="D430" t="inlineStr">
        <is>
          <t>VÄSTERNORRLANDS LÄN</t>
        </is>
      </c>
      <c r="E430" t="inlineStr">
        <is>
          <t>SOLLEFTEÅ</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51671-2019</t>
        </is>
      </c>
      <c r="B431" s="1" t="n">
        <v>43740</v>
      </c>
      <c r="C431" s="1" t="n">
        <v>45511</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51682-2019</t>
        </is>
      </c>
      <c r="B432" s="1" t="n">
        <v>43740</v>
      </c>
      <c r="C432" s="1" t="n">
        <v>45511</v>
      </c>
      <c r="D432" t="inlineStr">
        <is>
          <t>VÄSTERNORRLANDS LÄN</t>
        </is>
      </c>
      <c r="E432" t="inlineStr">
        <is>
          <t>SOLLEFTEÅ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53079-2019</t>
        </is>
      </c>
      <c r="B433" s="1" t="n">
        <v>43740</v>
      </c>
      <c r="C433" s="1" t="n">
        <v>45511</v>
      </c>
      <c r="D433" t="inlineStr">
        <is>
          <t>VÄSTERNORRLANDS LÄN</t>
        </is>
      </c>
      <c r="E433" t="inlineStr">
        <is>
          <t>SOLLEFTEÅ</t>
        </is>
      </c>
      <c r="G433" t="n">
        <v>7.9</v>
      </c>
      <c r="H433" t="n">
        <v>0</v>
      </c>
      <c r="I433" t="n">
        <v>0</v>
      </c>
      <c r="J433" t="n">
        <v>0</v>
      </c>
      <c r="K433" t="n">
        <v>0</v>
      </c>
      <c r="L433" t="n">
        <v>0</v>
      </c>
      <c r="M433" t="n">
        <v>0</v>
      </c>
      <c r="N433" t="n">
        <v>0</v>
      </c>
      <c r="O433" t="n">
        <v>0</v>
      </c>
      <c r="P433" t="n">
        <v>0</v>
      </c>
      <c r="Q433" t="n">
        <v>0</v>
      </c>
      <c r="R433" s="2" t="inlineStr"/>
    </row>
    <row r="434" ht="15" customHeight="1">
      <c r="A434" t="inlineStr">
        <is>
          <t>A 51673-2019</t>
        </is>
      </c>
      <c r="B434" s="1" t="n">
        <v>43740</v>
      </c>
      <c r="C434" s="1" t="n">
        <v>45511</v>
      </c>
      <c r="D434" t="inlineStr">
        <is>
          <t>VÄSTERNORRLANDS LÄN</t>
        </is>
      </c>
      <c r="E434" t="inlineStr">
        <is>
          <t>SOLLEFTEÅ</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53076-2019</t>
        </is>
      </c>
      <c r="B435" s="1" t="n">
        <v>43740</v>
      </c>
      <c r="C435" s="1" t="n">
        <v>45511</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53088-2019</t>
        </is>
      </c>
      <c r="B436" s="1" t="n">
        <v>43740</v>
      </c>
      <c r="C436" s="1" t="n">
        <v>45511</v>
      </c>
      <c r="D436" t="inlineStr">
        <is>
          <t>VÄSTERNORRLANDS LÄN</t>
        </is>
      </c>
      <c r="E436" t="inlineStr">
        <is>
          <t>SOLLEFTEÅ</t>
        </is>
      </c>
      <c r="G436" t="n">
        <v>3</v>
      </c>
      <c r="H436" t="n">
        <v>0</v>
      </c>
      <c r="I436" t="n">
        <v>0</v>
      </c>
      <c r="J436" t="n">
        <v>0</v>
      </c>
      <c r="K436" t="n">
        <v>0</v>
      </c>
      <c r="L436" t="n">
        <v>0</v>
      </c>
      <c r="M436" t="n">
        <v>0</v>
      </c>
      <c r="N436" t="n">
        <v>0</v>
      </c>
      <c r="O436" t="n">
        <v>0</v>
      </c>
      <c r="P436" t="n">
        <v>0</v>
      </c>
      <c r="Q436" t="n">
        <v>0</v>
      </c>
      <c r="R436" s="2" t="inlineStr"/>
    </row>
    <row r="437" ht="15" customHeight="1">
      <c r="A437" t="inlineStr">
        <is>
          <t>A 51665-2019</t>
        </is>
      </c>
      <c r="B437" s="1" t="n">
        <v>43740</v>
      </c>
      <c r="C437" s="1" t="n">
        <v>45511</v>
      </c>
      <c r="D437" t="inlineStr">
        <is>
          <t>VÄSTERNORRLANDS LÄN</t>
        </is>
      </c>
      <c r="E437" t="inlineStr">
        <is>
          <t>SOLLEFTEÅ</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51953-2019</t>
        </is>
      </c>
      <c r="B438" s="1" t="n">
        <v>43741</v>
      </c>
      <c r="C438" s="1" t="n">
        <v>45511</v>
      </c>
      <c r="D438" t="inlineStr">
        <is>
          <t>VÄSTERNORRLANDS LÄN</t>
        </is>
      </c>
      <c r="E438" t="inlineStr">
        <is>
          <t>SOLLEFTEÅ</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53677-2019</t>
        </is>
      </c>
      <c r="B439" s="1" t="n">
        <v>43741</v>
      </c>
      <c r="C439" s="1" t="n">
        <v>45511</v>
      </c>
      <c r="D439" t="inlineStr">
        <is>
          <t>VÄSTERNORRLANDS LÄN</t>
        </is>
      </c>
      <c r="E439" t="inlineStr">
        <is>
          <t>SOLLEFTEÅ</t>
        </is>
      </c>
      <c r="G439" t="n">
        <v>1.5</v>
      </c>
      <c r="H439" t="n">
        <v>0</v>
      </c>
      <c r="I439" t="n">
        <v>0</v>
      </c>
      <c r="J439" t="n">
        <v>0</v>
      </c>
      <c r="K439" t="n">
        <v>0</v>
      </c>
      <c r="L439" t="n">
        <v>0</v>
      </c>
      <c r="M439" t="n">
        <v>0</v>
      </c>
      <c r="N439" t="n">
        <v>0</v>
      </c>
      <c r="O439" t="n">
        <v>0</v>
      </c>
      <c r="P439" t="n">
        <v>0</v>
      </c>
      <c r="Q439" t="n">
        <v>0</v>
      </c>
      <c r="R439" s="2" t="inlineStr"/>
    </row>
    <row r="440" ht="15" customHeight="1">
      <c r="A440" t="inlineStr">
        <is>
          <t>A 51952-2019</t>
        </is>
      </c>
      <c r="B440" s="1" t="n">
        <v>43741</v>
      </c>
      <c r="C440" s="1" t="n">
        <v>45511</v>
      </c>
      <c r="D440" t="inlineStr">
        <is>
          <t>VÄSTERNORRLANDS LÄN</t>
        </is>
      </c>
      <c r="E440" t="inlineStr">
        <is>
          <t>SOLLEFTEÅ</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52568-2019</t>
        </is>
      </c>
      <c r="B441" s="1" t="n">
        <v>43745</v>
      </c>
      <c r="C441" s="1" t="n">
        <v>45511</v>
      </c>
      <c r="D441" t="inlineStr">
        <is>
          <t>VÄSTERNORRLANDS LÄN</t>
        </is>
      </c>
      <c r="E441" t="inlineStr">
        <is>
          <t>SOLLEFTEÅ</t>
        </is>
      </c>
      <c r="F441" t="inlineStr">
        <is>
          <t>SCA</t>
        </is>
      </c>
      <c r="G441" t="n">
        <v>4.8</v>
      </c>
      <c r="H441" t="n">
        <v>0</v>
      </c>
      <c r="I441" t="n">
        <v>0</v>
      </c>
      <c r="J441" t="n">
        <v>0</v>
      </c>
      <c r="K441" t="n">
        <v>0</v>
      </c>
      <c r="L441" t="n">
        <v>0</v>
      </c>
      <c r="M441" t="n">
        <v>0</v>
      </c>
      <c r="N441" t="n">
        <v>0</v>
      </c>
      <c r="O441" t="n">
        <v>0</v>
      </c>
      <c r="P441" t="n">
        <v>0</v>
      </c>
      <c r="Q441" t="n">
        <v>0</v>
      </c>
      <c r="R441" s="2" t="inlineStr"/>
    </row>
    <row r="442" ht="15" customHeight="1">
      <c r="A442" t="inlineStr">
        <is>
          <t>A 52569-2019</t>
        </is>
      </c>
      <c r="B442" s="1" t="n">
        <v>43745</v>
      </c>
      <c r="C442" s="1" t="n">
        <v>45511</v>
      </c>
      <c r="D442" t="inlineStr">
        <is>
          <t>VÄSTERNORRLANDS LÄN</t>
        </is>
      </c>
      <c r="E442" t="inlineStr">
        <is>
          <t>SOLLEFTEÅ</t>
        </is>
      </c>
      <c r="G442" t="n">
        <v>7.1</v>
      </c>
      <c r="H442" t="n">
        <v>0</v>
      </c>
      <c r="I442" t="n">
        <v>0</v>
      </c>
      <c r="J442" t="n">
        <v>0</v>
      </c>
      <c r="K442" t="n">
        <v>0</v>
      </c>
      <c r="L442" t="n">
        <v>0</v>
      </c>
      <c r="M442" t="n">
        <v>0</v>
      </c>
      <c r="N442" t="n">
        <v>0</v>
      </c>
      <c r="O442" t="n">
        <v>0</v>
      </c>
      <c r="P442" t="n">
        <v>0</v>
      </c>
      <c r="Q442" t="n">
        <v>0</v>
      </c>
      <c r="R442" s="2" t="inlineStr"/>
    </row>
    <row r="443" ht="15" customHeight="1">
      <c r="A443" t="inlineStr">
        <is>
          <t>A 52922-2019</t>
        </is>
      </c>
      <c r="B443" s="1" t="n">
        <v>43746</v>
      </c>
      <c r="C443" s="1" t="n">
        <v>45511</v>
      </c>
      <c r="D443" t="inlineStr">
        <is>
          <t>VÄSTERNORRLANDS LÄN</t>
        </is>
      </c>
      <c r="E443" t="inlineStr">
        <is>
          <t>SOLLEFTEÅ</t>
        </is>
      </c>
      <c r="G443" t="n">
        <v>6.5</v>
      </c>
      <c r="H443" t="n">
        <v>0</v>
      </c>
      <c r="I443" t="n">
        <v>0</v>
      </c>
      <c r="J443" t="n">
        <v>0</v>
      </c>
      <c r="K443" t="n">
        <v>0</v>
      </c>
      <c r="L443" t="n">
        <v>0</v>
      </c>
      <c r="M443" t="n">
        <v>0</v>
      </c>
      <c r="N443" t="n">
        <v>0</v>
      </c>
      <c r="O443" t="n">
        <v>0</v>
      </c>
      <c r="P443" t="n">
        <v>0</v>
      </c>
      <c r="Q443" t="n">
        <v>0</v>
      </c>
      <c r="R443" s="2" t="inlineStr"/>
    </row>
    <row r="444" ht="15" customHeight="1">
      <c r="A444" t="inlineStr">
        <is>
          <t>A 53161-2019</t>
        </is>
      </c>
      <c r="B444" s="1" t="n">
        <v>43747</v>
      </c>
      <c r="C444" s="1" t="n">
        <v>45511</v>
      </c>
      <c r="D444" t="inlineStr">
        <is>
          <t>VÄSTERNORRLANDS LÄN</t>
        </is>
      </c>
      <c r="E444" t="inlineStr">
        <is>
          <t>SOLLEFTEÅ</t>
        </is>
      </c>
      <c r="F444" t="inlineStr">
        <is>
          <t>Kommuner</t>
        </is>
      </c>
      <c r="G444" t="n">
        <v>0.4</v>
      </c>
      <c r="H444" t="n">
        <v>0</v>
      </c>
      <c r="I444" t="n">
        <v>0</v>
      </c>
      <c r="J444" t="n">
        <v>0</v>
      </c>
      <c r="K444" t="n">
        <v>0</v>
      </c>
      <c r="L444" t="n">
        <v>0</v>
      </c>
      <c r="M444" t="n">
        <v>0</v>
      </c>
      <c r="N444" t="n">
        <v>0</v>
      </c>
      <c r="O444" t="n">
        <v>0</v>
      </c>
      <c r="P444" t="n">
        <v>0</v>
      </c>
      <c r="Q444" t="n">
        <v>0</v>
      </c>
      <c r="R444" s="2" t="inlineStr"/>
    </row>
    <row r="445" ht="15" customHeight="1">
      <c r="A445" t="inlineStr">
        <is>
          <t>A 55623-2019</t>
        </is>
      </c>
      <c r="B445" s="1" t="n">
        <v>43755</v>
      </c>
      <c r="C445" s="1" t="n">
        <v>45511</v>
      </c>
      <c r="D445" t="inlineStr">
        <is>
          <t>VÄSTERNORRLANDS LÄN</t>
        </is>
      </c>
      <c r="E445" t="inlineStr">
        <is>
          <t>SOLLEFTEÅ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55925-2019</t>
        </is>
      </c>
      <c r="B446" s="1" t="n">
        <v>43755</v>
      </c>
      <c r="C446" s="1" t="n">
        <v>45511</v>
      </c>
      <c r="D446" t="inlineStr">
        <is>
          <t>VÄSTERNORRLANDS LÄN</t>
        </is>
      </c>
      <c r="E446" t="inlineStr">
        <is>
          <t>SOLLEFTEÅ</t>
        </is>
      </c>
      <c r="G446" t="n">
        <v>6.4</v>
      </c>
      <c r="H446" t="n">
        <v>0</v>
      </c>
      <c r="I446" t="n">
        <v>0</v>
      </c>
      <c r="J446" t="n">
        <v>0</v>
      </c>
      <c r="K446" t="n">
        <v>0</v>
      </c>
      <c r="L446" t="n">
        <v>0</v>
      </c>
      <c r="M446" t="n">
        <v>0</v>
      </c>
      <c r="N446" t="n">
        <v>0</v>
      </c>
      <c r="O446" t="n">
        <v>0</v>
      </c>
      <c r="P446" t="n">
        <v>0</v>
      </c>
      <c r="Q446" t="n">
        <v>0</v>
      </c>
      <c r="R446" s="2" t="inlineStr"/>
    </row>
    <row r="447" ht="15" customHeight="1">
      <c r="A447" t="inlineStr">
        <is>
          <t>A 55628-2019</t>
        </is>
      </c>
      <c r="B447" s="1" t="n">
        <v>43755</v>
      </c>
      <c r="C447" s="1" t="n">
        <v>45511</v>
      </c>
      <c r="D447" t="inlineStr">
        <is>
          <t>VÄSTERNORRLANDS LÄN</t>
        </is>
      </c>
      <c r="E447" t="inlineStr">
        <is>
          <t>SOLLEFTEÅ</t>
        </is>
      </c>
      <c r="G447" t="n">
        <v>2.6</v>
      </c>
      <c r="H447" t="n">
        <v>0</v>
      </c>
      <c r="I447" t="n">
        <v>0</v>
      </c>
      <c r="J447" t="n">
        <v>0</v>
      </c>
      <c r="K447" t="n">
        <v>0</v>
      </c>
      <c r="L447" t="n">
        <v>0</v>
      </c>
      <c r="M447" t="n">
        <v>0</v>
      </c>
      <c r="N447" t="n">
        <v>0</v>
      </c>
      <c r="O447" t="n">
        <v>0</v>
      </c>
      <c r="P447" t="n">
        <v>0</v>
      </c>
      <c r="Q447" t="n">
        <v>0</v>
      </c>
      <c r="R447" s="2" t="inlineStr"/>
    </row>
    <row r="448" ht="15" customHeight="1">
      <c r="A448" t="inlineStr">
        <is>
          <t>A 55625-2019</t>
        </is>
      </c>
      <c r="B448" s="1" t="n">
        <v>43755</v>
      </c>
      <c r="C448" s="1" t="n">
        <v>45511</v>
      </c>
      <c r="D448" t="inlineStr">
        <is>
          <t>VÄSTERNORRLANDS LÄN</t>
        </is>
      </c>
      <c r="E448" t="inlineStr">
        <is>
          <t>SOLLEFTEÅ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57365-2019</t>
        </is>
      </c>
      <c r="B449" s="1" t="n">
        <v>43760</v>
      </c>
      <c r="C449" s="1" t="n">
        <v>45511</v>
      </c>
      <c r="D449" t="inlineStr">
        <is>
          <t>VÄSTERNORRLANDS LÄN</t>
        </is>
      </c>
      <c r="E449" t="inlineStr">
        <is>
          <t>SOLLEFTEÅ</t>
        </is>
      </c>
      <c r="G449" t="n">
        <v>1.6</v>
      </c>
      <c r="H449" t="n">
        <v>0</v>
      </c>
      <c r="I449" t="n">
        <v>0</v>
      </c>
      <c r="J449" t="n">
        <v>0</v>
      </c>
      <c r="K449" t="n">
        <v>0</v>
      </c>
      <c r="L449" t="n">
        <v>0</v>
      </c>
      <c r="M449" t="n">
        <v>0</v>
      </c>
      <c r="N449" t="n">
        <v>0</v>
      </c>
      <c r="O449" t="n">
        <v>0</v>
      </c>
      <c r="P449" t="n">
        <v>0</v>
      </c>
      <c r="Q449" t="n">
        <v>0</v>
      </c>
      <c r="R449" s="2" t="inlineStr"/>
    </row>
    <row r="450" ht="15" customHeight="1">
      <c r="A450" t="inlineStr">
        <is>
          <t>A 57575-2019</t>
        </is>
      </c>
      <c r="B450" s="1" t="n">
        <v>43761</v>
      </c>
      <c r="C450" s="1" t="n">
        <v>45511</v>
      </c>
      <c r="D450" t="inlineStr">
        <is>
          <t>VÄSTERNORRLANDS LÄN</t>
        </is>
      </c>
      <c r="E450" t="inlineStr">
        <is>
          <t>SOLLEFTEÅ</t>
        </is>
      </c>
      <c r="G450" t="n">
        <v>14.4</v>
      </c>
      <c r="H450" t="n">
        <v>0</v>
      </c>
      <c r="I450" t="n">
        <v>0</v>
      </c>
      <c r="J450" t="n">
        <v>0</v>
      </c>
      <c r="K450" t="n">
        <v>0</v>
      </c>
      <c r="L450" t="n">
        <v>0</v>
      </c>
      <c r="M450" t="n">
        <v>0</v>
      </c>
      <c r="N450" t="n">
        <v>0</v>
      </c>
      <c r="O450" t="n">
        <v>0</v>
      </c>
      <c r="P450" t="n">
        <v>0</v>
      </c>
      <c r="Q450" t="n">
        <v>0</v>
      </c>
      <c r="R450" s="2" t="inlineStr"/>
    </row>
    <row r="451" ht="15" customHeight="1">
      <c r="A451" t="inlineStr">
        <is>
          <t>A 56252-2019</t>
        </is>
      </c>
      <c r="B451" s="1" t="n">
        <v>43762</v>
      </c>
      <c r="C451" s="1" t="n">
        <v>45511</v>
      </c>
      <c r="D451" t="inlineStr">
        <is>
          <t>VÄSTERNORRLANDS LÄN</t>
        </is>
      </c>
      <c r="E451" t="inlineStr">
        <is>
          <t>SOLLEFTEÅ</t>
        </is>
      </c>
      <c r="F451" t="inlineStr">
        <is>
          <t>Kyrkan</t>
        </is>
      </c>
      <c r="G451" t="n">
        <v>1.1</v>
      </c>
      <c r="H451" t="n">
        <v>0</v>
      </c>
      <c r="I451" t="n">
        <v>0</v>
      </c>
      <c r="J451" t="n">
        <v>0</v>
      </c>
      <c r="K451" t="n">
        <v>0</v>
      </c>
      <c r="L451" t="n">
        <v>0</v>
      </c>
      <c r="M451" t="n">
        <v>0</v>
      </c>
      <c r="N451" t="n">
        <v>0</v>
      </c>
      <c r="O451" t="n">
        <v>0</v>
      </c>
      <c r="P451" t="n">
        <v>0</v>
      </c>
      <c r="Q451" t="n">
        <v>0</v>
      </c>
      <c r="R451" s="2" t="inlineStr"/>
    </row>
    <row r="452" ht="15" customHeight="1">
      <c r="A452" t="inlineStr">
        <is>
          <t>A 56493-2019</t>
        </is>
      </c>
      <c r="B452" s="1" t="n">
        <v>43762</v>
      </c>
      <c r="C452" s="1" t="n">
        <v>45511</v>
      </c>
      <c r="D452" t="inlineStr">
        <is>
          <t>VÄSTERNORRLANDS LÄN</t>
        </is>
      </c>
      <c r="E452" t="inlineStr">
        <is>
          <t>SOLLEFTEÅ</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56492-2019</t>
        </is>
      </c>
      <c r="B453" s="1" t="n">
        <v>43762</v>
      </c>
      <c r="C453" s="1" t="n">
        <v>45511</v>
      </c>
      <c r="D453" t="inlineStr">
        <is>
          <t>VÄSTERNORRLANDS LÄN</t>
        </is>
      </c>
      <c r="E453" t="inlineStr">
        <is>
          <t>SOLLEFTEÅ</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56803-2019</t>
        </is>
      </c>
      <c r="B454" s="1" t="n">
        <v>43763</v>
      </c>
      <c r="C454" s="1" t="n">
        <v>45511</v>
      </c>
      <c r="D454" t="inlineStr">
        <is>
          <t>VÄSTERNORRLANDS LÄN</t>
        </is>
      </c>
      <c r="E454" t="inlineStr">
        <is>
          <t>SOLLEFTEÅ</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56874-2019</t>
        </is>
      </c>
      <c r="B455" s="1" t="n">
        <v>43766</v>
      </c>
      <c r="C455" s="1" t="n">
        <v>45511</v>
      </c>
      <c r="D455" t="inlineStr">
        <is>
          <t>VÄSTERNORRLANDS LÄN</t>
        </is>
      </c>
      <c r="E455" t="inlineStr">
        <is>
          <t>SOLLEFTEÅ</t>
        </is>
      </c>
      <c r="G455" t="n">
        <v>6.1</v>
      </c>
      <c r="H455" t="n">
        <v>0</v>
      </c>
      <c r="I455" t="n">
        <v>0</v>
      </c>
      <c r="J455" t="n">
        <v>0</v>
      </c>
      <c r="K455" t="n">
        <v>0</v>
      </c>
      <c r="L455" t="n">
        <v>0</v>
      </c>
      <c r="M455" t="n">
        <v>0</v>
      </c>
      <c r="N455" t="n">
        <v>0</v>
      </c>
      <c r="O455" t="n">
        <v>0</v>
      </c>
      <c r="P455" t="n">
        <v>0</v>
      </c>
      <c r="Q455" t="n">
        <v>0</v>
      </c>
      <c r="R455" s="2" t="inlineStr"/>
    </row>
    <row r="456" ht="15" customHeight="1">
      <c r="A456" t="inlineStr">
        <is>
          <t>A 56985-2019</t>
        </is>
      </c>
      <c r="B456" s="1" t="n">
        <v>43766</v>
      </c>
      <c r="C456" s="1" t="n">
        <v>45511</v>
      </c>
      <c r="D456" t="inlineStr">
        <is>
          <t>VÄSTERNORRLANDS LÄN</t>
        </is>
      </c>
      <c r="E456" t="inlineStr">
        <is>
          <t>SOLLEFTEÅ</t>
        </is>
      </c>
      <c r="G456" t="n">
        <v>4.9</v>
      </c>
      <c r="H456" t="n">
        <v>0</v>
      </c>
      <c r="I456" t="n">
        <v>0</v>
      </c>
      <c r="J456" t="n">
        <v>0</v>
      </c>
      <c r="K456" t="n">
        <v>0</v>
      </c>
      <c r="L456" t="n">
        <v>0</v>
      </c>
      <c r="M456" t="n">
        <v>0</v>
      </c>
      <c r="N456" t="n">
        <v>0</v>
      </c>
      <c r="O456" t="n">
        <v>0</v>
      </c>
      <c r="P456" t="n">
        <v>0</v>
      </c>
      <c r="Q456" t="n">
        <v>0</v>
      </c>
      <c r="R456" s="2" t="inlineStr"/>
    </row>
    <row r="457" ht="15" customHeight="1">
      <c r="A457" t="inlineStr">
        <is>
          <t>A 57041-2019</t>
        </is>
      </c>
      <c r="B457" s="1" t="n">
        <v>43766</v>
      </c>
      <c r="C457" s="1" t="n">
        <v>45511</v>
      </c>
      <c r="D457" t="inlineStr">
        <is>
          <t>VÄSTERNORRLANDS LÄN</t>
        </is>
      </c>
      <c r="E457" t="inlineStr">
        <is>
          <t>SOLLEFTEÅ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57188-2019</t>
        </is>
      </c>
      <c r="B458" s="1" t="n">
        <v>43766</v>
      </c>
      <c r="C458" s="1" t="n">
        <v>45511</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57882-2019</t>
        </is>
      </c>
      <c r="B459" s="1" t="n">
        <v>43768</v>
      </c>
      <c r="C459" s="1" t="n">
        <v>45511</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57884-2019</t>
        </is>
      </c>
      <c r="B460" s="1" t="n">
        <v>43768</v>
      </c>
      <c r="C460" s="1" t="n">
        <v>45511</v>
      </c>
      <c r="D460" t="inlineStr">
        <is>
          <t>VÄSTERNORRLANDS LÄN</t>
        </is>
      </c>
      <c r="E460" t="inlineStr">
        <is>
          <t>SOLLEFTEÅ</t>
        </is>
      </c>
      <c r="F460" t="inlineStr">
        <is>
          <t>SCA</t>
        </is>
      </c>
      <c r="G460" t="n">
        <v>14.7</v>
      </c>
      <c r="H460" t="n">
        <v>0</v>
      </c>
      <c r="I460" t="n">
        <v>0</v>
      </c>
      <c r="J460" t="n">
        <v>0</v>
      </c>
      <c r="K460" t="n">
        <v>0</v>
      </c>
      <c r="L460" t="n">
        <v>0</v>
      </c>
      <c r="M460" t="n">
        <v>0</v>
      </c>
      <c r="N460" t="n">
        <v>0</v>
      </c>
      <c r="O460" t="n">
        <v>0</v>
      </c>
      <c r="P460" t="n">
        <v>0</v>
      </c>
      <c r="Q460" t="n">
        <v>0</v>
      </c>
      <c r="R460" s="2" t="inlineStr"/>
    </row>
    <row r="461" ht="15" customHeight="1">
      <c r="A461" t="inlineStr">
        <is>
          <t>A 57883-2019</t>
        </is>
      </c>
      <c r="B461" s="1" t="n">
        <v>43768</v>
      </c>
      <c r="C461" s="1" t="n">
        <v>45511</v>
      </c>
      <c r="D461" t="inlineStr">
        <is>
          <t>VÄSTERNORRLANDS LÄN</t>
        </is>
      </c>
      <c r="E461" t="inlineStr">
        <is>
          <t>SOLLEFTEÅ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58170-2019</t>
        </is>
      </c>
      <c r="B462" s="1" t="n">
        <v>43769</v>
      </c>
      <c r="C462" s="1" t="n">
        <v>45511</v>
      </c>
      <c r="D462" t="inlineStr">
        <is>
          <t>VÄSTERNORRLANDS LÄN</t>
        </is>
      </c>
      <c r="E462" t="inlineStr">
        <is>
          <t>SOLLEFTEÅ</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58267-2019</t>
        </is>
      </c>
      <c r="B463" s="1" t="n">
        <v>43770</v>
      </c>
      <c r="C463" s="1" t="n">
        <v>45511</v>
      </c>
      <c r="D463" t="inlineStr">
        <is>
          <t>VÄSTERNORRLANDS LÄN</t>
        </is>
      </c>
      <c r="E463" t="inlineStr">
        <is>
          <t>SOLLEFTEÅ</t>
        </is>
      </c>
      <c r="G463" t="n">
        <v>4.6</v>
      </c>
      <c r="H463" t="n">
        <v>0</v>
      </c>
      <c r="I463" t="n">
        <v>0</v>
      </c>
      <c r="J463" t="n">
        <v>0</v>
      </c>
      <c r="K463" t="n">
        <v>0</v>
      </c>
      <c r="L463" t="n">
        <v>0</v>
      </c>
      <c r="M463" t="n">
        <v>0</v>
      </c>
      <c r="N463" t="n">
        <v>0</v>
      </c>
      <c r="O463" t="n">
        <v>0</v>
      </c>
      <c r="P463" t="n">
        <v>0</v>
      </c>
      <c r="Q463" t="n">
        <v>0</v>
      </c>
      <c r="R463" s="2" t="inlineStr"/>
    </row>
    <row r="464" ht="15" customHeight="1">
      <c r="A464" t="inlineStr">
        <is>
          <t>A 59460-2019</t>
        </is>
      </c>
      <c r="B464" s="1" t="n">
        <v>43776</v>
      </c>
      <c r="C464" s="1" t="n">
        <v>45511</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60491-2019</t>
        </is>
      </c>
      <c r="B465" s="1" t="n">
        <v>43780</v>
      </c>
      <c r="C465" s="1" t="n">
        <v>45511</v>
      </c>
      <c r="D465" t="inlineStr">
        <is>
          <t>VÄSTERNORRLANDS LÄN</t>
        </is>
      </c>
      <c r="E465" t="inlineStr">
        <is>
          <t>SOLLEFTEÅ</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61428-2019</t>
        </is>
      </c>
      <c r="B466" s="1" t="n">
        <v>43780</v>
      </c>
      <c r="C466" s="1" t="n">
        <v>45511</v>
      </c>
      <c r="D466" t="inlineStr">
        <is>
          <t>VÄSTERNORRLANDS LÄN</t>
        </is>
      </c>
      <c r="E466" t="inlineStr">
        <is>
          <t>SOLLEFTEÅ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60531-2019</t>
        </is>
      </c>
      <c r="B467" s="1" t="n">
        <v>43781</v>
      </c>
      <c r="C467" s="1" t="n">
        <v>45511</v>
      </c>
      <c r="D467" t="inlineStr">
        <is>
          <t>VÄSTERNORRLANDS LÄN</t>
        </is>
      </c>
      <c r="E467" t="inlineStr">
        <is>
          <t>SOLLEFTEÅ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60538-2019</t>
        </is>
      </c>
      <c r="B468" s="1" t="n">
        <v>43781</v>
      </c>
      <c r="C468" s="1" t="n">
        <v>45511</v>
      </c>
      <c r="D468" t="inlineStr">
        <is>
          <t>VÄSTERNORRLANDS LÄN</t>
        </is>
      </c>
      <c r="E468" t="inlineStr">
        <is>
          <t>SOLLEFTEÅ</t>
        </is>
      </c>
      <c r="G468" t="n">
        <v>4.6</v>
      </c>
      <c r="H468" t="n">
        <v>0</v>
      </c>
      <c r="I468" t="n">
        <v>0</v>
      </c>
      <c r="J468" t="n">
        <v>0</v>
      </c>
      <c r="K468" t="n">
        <v>0</v>
      </c>
      <c r="L468" t="n">
        <v>0</v>
      </c>
      <c r="M468" t="n">
        <v>0</v>
      </c>
      <c r="N468" t="n">
        <v>0</v>
      </c>
      <c r="O468" t="n">
        <v>0</v>
      </c>
      <c r="P468" t="n">
        <v>0</v>
      </c>
      <c r="Q468" t="n">
        <v>0</v>
      </c>
      <c r="R468" s="2" t="inlineStr"/>
    </row>
    <row r="469" ht="15" customHeight="1">
      <c r="A469" t="inlineStr">
        <is>
          <t>A 60905-2019</t>
        </is>
      </c>
      <c r="B469" s="1" t="n">
        <v>43781</v>
      </c>
      <c r="C469" s="1" t="n">
        <v>45511</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61978-2019</t>
        </is>
      </c>
      <c r="B470" s="1" t="n">
        <v>43781</v>
      </c>
      <c r="C470" s="1" t="n">
        <v>45511</v>
      </c>
      <c r="D470" t="inlineStr">
        <is>
          <t>VÄSTERNORRLANDS LÄN</t>
        </is>
      </c>
      <c r="E470" t="inlineStr">
        <is>
          <t>SOLLEFTEÅ</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63450-2019</t>
        </is>
      </c>
      <c r="B471" s="1" t="n">
        <v>43788</v>
      </c>
      <c r="C471" s="1" t="n">
        <v>45511</v>
      </c>
      <c r="D471" t="inlineStr">
        <is>
          <t>VÄSTERNORRLANDS LÄN</t>
        </is>
      </c>
      <c r="E471" t="inlineStr">
        <is>
          <t>SOLLEFTEÅ</t>
        </is>
      </c>
      <c r="G471" t="n">
        <v>8.6</v>
      </c>
      <c r="H471" t="n">
        <v>0</v>
      </c>
      <c r="I471" t="n">
        <v>0</v>
      </c>
      <c r="J471" t="n">
        <v>0</v>
      </c>
      <c r="K471" t="n">
        <v>0</v>
      </c>
      <c r="L471" t="n">
        <v>0</v>
      </c>
      <c r="M471" t="n">
        <v>0</v>
      </c>
      <c r="N471" t="n">
        <v>0</v>
      </c>
      <c r="O471" t="n">
        <v>0</v>
      </c>
      <c r="P471" t="n">
        <v>0</v>
      </c>
      <c r="Q471" t="n">
        <v>0</v>
      </c>
      <c r="R471" s="2" t="inlineStr"/>
    </row>
    <row r="472" ht="15" customHeight="1">
      <c r="A472" t="inlineStr">
        <is>
          <t>A 62500-2019</t>
        </is>
      </c>
      <c r="B472" s="1" t="n">
        <v>43788</v>
      </c>
      <c r="C472" s="1" t="n">
        <v>45511</v>
      </c>
      <c r="D472" t="inlineStr">
        <is>
          <t>VÄSTERNORRLANDS LÄN</t>
        </is>
      </c>
      <c r="E472" t="inlineStr">
        <is>
          <t>SOLLEFTEÅ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64197-2019</t>
        </is>
      </c>
      <c r="B473" s="1" t="n">
        <v>43791</v>
      </c>
      <c r="C473" s="1" t="n">
        <v>45511</v>
      </c>
      <c r="D473" t="inlineStr">
        <is>
          <t>VÄSTERNORRLANDS LÄN</t>
        </is>
      </c>
      <c r="E473" t="inlineStr">
        <is>
          <t>SOLLEFTEÅ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63552-2019</t>
        </is>
      </c>
      <c r="B474" s="1" t="n">
        <v>43794</v>
      </c>
      <c r="C474" s="1" t="n">
        <v>45511</v>
      </c>
      <c r="D474" t="inlineStr">
        <is>
          <t>VÄSTERNORRLANDS LÄN</t>
        </is>
      </c>
      <c r="E474" t="inlineStr">
        <is>
          <t>SOLLEFTEÅ</t>
        </is>
      </c>
      <c r="G474" t="n">
        <v>7.2</v>
      </c>
      <c r="H474" t="n">
        <v>0</v>
      </c>
      <c r="I474" t="n">
        <v>0</v>
      </c>
      <c r="J474" t="n">
        <v>0</v>
      </c>
      <c r="K474" t="n">
        <v>0</v>
      </c>
      <c r="L474" t="n">
        <v>0</v>
      </c>
      <c r="M474" t="n">
        <v>0</v>
      </c>
      <c r="N474" t="n">
        <v>0</v>
      </c>
      <c r="O474" t="n">
        <v>0</v>
      </c>
      <c r="P474" t="n">
        <v>0</v>
      </c>
      <c r="Q474" t="n">
        <v>0</v>
      </c>
      <c r="R474" s="2" t="inlineStr"/>
    </row>
    <row r="475" ht="15" customHeight="1">
      <c r="A475" t="inlineStr">
        <is>
          <t>A 63752-2019</t>
        </is>
      </c>
      <c r="B475" s="1" t="n">
        <v>43795</v>
      </c>
      <c r="C475" s="1" t="n">
        <v>45511</v>
      </c>
      <c r="D475" t="inlineStr">
        <is>
          <t>VÄSTERNORRLANDS LÄN</t>
        </is>
      </c>
      <c r="E475" t="inlineStr">
        <is>
          <t>SOLLEFTEÅ</t>
        </is>
      </c>
      <c r="G475" t="n">
        <v>4.2</v>
      </c>
      <c r="H475" t="n">
        <v>0</v>
      </c>
      <c r="I475" t="n">
        <v>0</v>
      </c>
      <c r="J475" t="n">
        <v>0</v>
      </c>
      <c r="K475" t="n">
        <v>0</v>
      </c>
      <c r="L475" t="n">
        <v>0</v>
      </c>
      <c r="M475" t="n">
        <v>0</v>
      </c>
      <c r="N475" t="n">
        <v>0</v>
      </c>
      <c r="O475" t="n">
        <v>0</v>
      </c>
      <c r="P475" t="n">
        <v>0</v>
      </c>
      <c r="Q475" t="n">
        <v>0</v>
      </c>
      <c r="R475" s="2" t="inlineStr"/>
    </row>
    <row r="476" ht="15" customHeight="1">
      <c r="A476" t="inlineStr">
        <is>
          <t>A 65218-2019</t>
        </is>
      </c>
      <c r="B476" s="1" t="n">
        <v>43797</v>
      </c>
      <c r="C476" s="1" t="n">
        <v>45511</v>
      </c>
      <c r="D476" t="inlineStr">
        <is>
          <t>VÄSTERNORRLANDS LÄN</t>
        </is>
      </c>
      <c r="E476" t="inlineStr">
        <is>
          <t>SOLLEFTEÅ</t>
        </is>
      </c>
      <c r="G476" t="n">
        <v>0.8</v>
      </c>
      <c r="H476" t="n">
        <v>0</v>
      </c>
      <c r="I476" t="n">
        <v>0</v>
      </c>
      <c r="J476" t="n">
        <v>0</v>
      </c>
      <c r="K476" t="n">
        <v>0</v>
      </c>
      <c r="L476" t="n">
        <v>0</v>
      </c>
      <c r="M476" t="n">
        <v>0</v>
      </c>
      <c r="N476" t="n">
        <v>0</v>
      </c>
      <c r="O476" t="n">
        <v>0</v>
      </c>
      <c r="P476" t="n">
        <v>0</v>
      </c>
      <c r="Q476" t="n">
        <v>0</v>
      </c>
      <c r="R476" s="2" t="inlineStr"/>
    </row>
    <row r="477" ht="15" customHeight="1">
      <c r="A477" t="inlineStr">
        <is>
          <t>A 65029-2019</t>
        </is>
      </c>
      <c r="B477" s="1" t="n">
        <v>43801</v>
      </c>
      <c r="C477" s="1" t="n">
        <v>45511</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65332-2019</t>
        </is>
      </c>
      <c r="B478" s="1" t="n">
        <v>43802</v>
      </c>
      <c r="C478" s="1" t="n">
        <v>45511</v>
      </c>
      <c r="D478" t="inlineStr">
        <is>
          <t>VÄSTERNORRLANDS LÄN</t>
        </is>
      </c>
      <c r="E478" t="inlineStr">
        <is>
          <t>SOLLEFTEÅ</t>
        </is>
      </c>
      <c r="G478" t="n">
        <v>1.5</v>
      </c>
      <c r="H478" t="n">
        <v>0</v>
      </c>
      <c r="I478" t="n">
        <v>0</v>
      </c>
      <c r="J478" t="n">
        <v>0</v>
      </c>
      <c r="K478" t="n">
        <v>0</v>
      </c>
      <c r="L478" t="n">
        <v>0</v>
      </c>
      <c r="M478" t="n">
        <v>0</v>
      </c>
      <c r="N478" t="n">
        <v>0</v>
      </c>
      <c r="O478" t="n">
        <v>0</v>
      </c>
      <c r="P478" t="n">
        <v>0</v>
      </c>
      <c r="Q478" t="n">
        <v>0</v>
      </c>
      <c r="R478" s="2" t="inlineStr"/>
    </row>
    <row r="479" ht="15" customHeight="1">
      <c r="A479" t="inlineStr">
        <is>
          <t>A 66321-2019</t>
        </is>
      </c>
      <c r="B479" s="1" t="n">
        <v>43802</v>
      </c>
      <c r="C479" s="1" t="n">
        <v>45511</v>
      </c>
      <c r="D479" t="inlineStr">
        <is>
          <t>VÄSTERNORRLANDS LÄN</t>
        </is>
      </c>
      <c r="E479" t="inlineStr">
        <is>
          <t>SOLLEFTEÅ</t>
        </is>
      </c>
      <c r="G479" t="n">
        <v>6.4</v>
      </c>
      <c r="H479" t="n">
        <v>0</v>
      </c>
      <c r="I479" t="n">
        <v>0</v>
      </c>
      <c r="J479" t="n">
        <v>0</v>
      </c>
      <c r="K479" t="n">
        <v>0</v>
      </c>
      <c r="L479" t="n">
        <v>0</v>
      </c>
      <c r="M479" t="n">
        <v>0</v>
      </c>
      <c r="N479" t="n">
        <v>0</v>
      </c>
      <c r="O479" t="n">
        <v>0</v>
      </c>
      <c r="P479" t="n">
        <v>0</v>
      </c>
      <c r="Q479" t="n">
        <v>0</v>
      </c>
      <c r="R479" s="2" t="inlineStr"/>
    </row>
    <row r="480" ht="15" customHeight="1">
      <c r="A480" t="inlineStr">
        <is>
          <t>A 65319-2019</t>
        </is>
      </c>
      <c r="B480" s="1" t="n">
        <v>43802</v>
      </c>
      <c r="C480" s="1" t="n">
        <v>45511</v>
      </c>
      <c r="D480" t="inlineStr">
        <is>
          <t>VÄSTERNORRLANDS LÄN</t>
        </is>
      </c>
      <c r="E480" t="inlineStr">
        <is>
          <t>SOLLEFTEÅ</t>
        </is>
      </c>
      <c r="G480" t="n">
        <v>0.9</v>
      </c>
      <c r="H480" t="n">
        <v>0</v>
      </c>
      <c r="I480" t="n">
        <v>0</v>
      </c>
      <c r="J480" t="n">
        <v>0</v>
      </c>
      <c r="K480" t="n">
        <v>0</v>
      </c>
      <c r="L480" t="n">
        <v>0</v>
      </c>
      <c r="M480" t="n">
        <v>0</v>
      </c>
      <c r="N480" t="n">
        <v>0</v>
      </c>
      <c r="O480" t="n">
        <v>0</v>
      </c>
      <c r="P480" t="n">
        <v>0</v>
      </c>
      <c r="Q480" t="n">
        <v>0</v>
      </c>
      <c r="R480" s="2" t="inlineStr"/>
    </row>
    <row r="481" ht="15" customHeight="1">
      <c r="A481" t="inlineStr">
        <is>
          <t>A 65327-2019</t>
        </is>
      </c>
      <c r="B481" s="1" t="n">
        <v>43802</v>
      </c>
      <c r="C481" s="1" t="n">
        <v>45511</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66391-2019</t>
        </is>
      </c>
      <c r="B482" s="1" t="n">
        <v>43808</v>
      </c>
      <c r="C482" s="1" t="n">
        <v>45511</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67805-2019</t>
        </is>
      </c>
      <c r="B483" s="1" t="n">
        <v>43815</v>
      </c>
      <c r="C483" s="1" t="n">
        <v>45511</v>
      </c>
      <c r="D483" t="inlineStr">
        <is>
          <t>VÄSTERNORRLANDS LÄN</t>
        </is>
      </c>
      <c r="E483" t="inlineStr">
        <is>
          <t>SOLLEFTEÅ</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67815-2019</t>
        </is>
      </c>
      <c r="B484" s="1" t="n">
        <v>43815</v>
      </c>
      <c r="C484" s="1" t="n">
        <v>45511</v>
      </c>
      <c r="D484" t="inlineStr">
        <is>
          <t>VÄSTERNORRLANDS LÄN</t>
        </is>
      </c>
      <c r="E484" t="inlineStr">
        <is>
          <t>SOLLEFTEÅ</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1627-2020</t>
        </is>
      </c>
      <c r="B485" s="1" t="n">
        <v>43829</v>
      </c>
      <c r="C485" s="1" t="n">
        <v>45511</v>
      </c>
      <c r="D485" t="inlineStr">
        <is>
          <t>VÄSTERNORRLANDS LÄN</t>
        </is>
      </c>
      <c r="E485" t="inlineStr">
        <is>
          <t>SOLLEFTEÅ</t>
        </is>
      </c>
      <c r="G485" t="n">
        <v>9</v>
      </c>
      <c r="H485" t="n">
        <v>0</v>
      </c>
      <c r="I485" t="n">
        <v>0</v>
      </c>
      <c r="J485" t="n">
        <v>0</v>
      </c>
      <c r="K485" t="n">
        <v>0</v>
      </c>
      <c r="L485" t="n">
        <v>0</v>
      </c>
      <c r="M485" t="n">
        <v>0</v>
      </c>
      <c r="N485" t="n">
        <v>0</v>
      </c>
      <c r="O485" t="n">
        <v>0</v>
      </c>
      <c r="P485" t="n">
        <v>0</v>
      </c>
      <c r="Q485" t="n">
        <v>0</v>
      </c>
      <c r="R485" s="2" t="inlineStr"/>
    </row>
    <row r="486" ht="15" customHeight="1">
      <c r="A486" t="inlineStr">
        <is>
          <t>A 127-2020</t>
        </is>
      </c>
      <c r="B486" s="1" t="n">
        <v>43832</v>
      </c>
      <c r="C486" s="1" t="n">
        <v>45511</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125-2020</t>
        </is>
      </c>
      <c r="B487" s="1" t="n">
        <v>43832</v>
      </c>
      <c r="C487" s="1" t="n">
        <v>45511</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126-2020</t>
        </is>
      </c>
      <c r="B488" s="1" t="n">
        <v>43832</v>
      </c>
      <c r="C488" s="1" t="n">
        <v>45511</v>
      </c>
      <c r="D488" t="inlineStr">
        <is>
          <t>VÄSTERNORRLANDS LÄN</t>
        </is>
      </c>
      <c r="E488" t="inlineStr">
        <is>
          <t>SOLLEFTEÅ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538-2020</t>
        </is>
      </c>
      <c r="B489" s="1" t="n">
        <v>43837</v>
      </c>
      <c r="C489" s="1" t="n">
        <v>45511</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1263-2020</t>
        </is>
      </c>
      <c r="B490" s="1" t="n">
        <v>43840</v>
      </c>
      <c r="C490" s="1" t="n">
        <v>45511</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1262-2020</t>
        </is>
      </c>
      <c r="B491" s="1" t="n">
        <v>43840</v>
      </c>
      <c r="C491" s="1" t="n">
        <v>45511</v>
      </c>
      <c r="D491" t="inlineStr">
        <is>
          <t>VÄSTERNORRLANDS LÄN</t>
        </is>
      </c>
      <c r="E491" t="inlineStr">
        <is>
          <t>SOLLEFTEÅ</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1213-2020</t>
        </is>
      </c>
      <c r="B492" s="1" t="n">
        <v>43840</v>
      </c>
      <c r="C492" s="1" t="n">
        <v>45511</v>
      </c>
      <c r="D492" t="inlineStr">
        <is>
          <t>VÄSTERNORRLANDS LÄN</t>
        </is>
      </c>
      <c r="E492" t="inlineStr">
        <is>
          <t>SOLLEFTEÅ</t>
        </is>
      </c>
      <c r="F492" t="inlineStr">
        <is>
          <t>Kyrkan</t>
        </is>
      </c>
      <c r="G492" t="n">
        <v>13.9</v>
      </c>
      <c r="H492" t="n">
        <v>0</v>
      </c>
      <c r="I492" t="n">
        <v>0</v>
      </c>
      <c r="J492" t="n">
        <v>0</v>
      </c>
      <c r="K492" t="n">
        <v>0</v>
      </c>
      <c r="L492" t="n">
        <v>0</v>
      </c>
      <c r="M492" t="n">
        <v>0</v>
      </c>
      <c r="N492" t="n">
        <v>0</v>
      </c>
      <c r="O492" t="n">
        <v>0</v>
      </c>
      <c r="P492" t="n">
        <v>0</v>
      </c>
      <c r="Q492" t="n">
        <v>0</v>
      </c>
      <c r="R492" s="2" t="inlineStr"/>
    </row>
    <row r="493" ht="15" customHeight="1">
      <c r="A493" t="inlineStr">
        <is>
          <t>A 1568-2020</t>
        </is>
      </c>
      <c r="B493" s="1" t="n">
        <v>43844</v>
      </c>
      <c r="C493" s="1" t="n">
        <v>45511</v>
      </c>
      <c r="D493" t="inlineStr">
        <is>
          <t>VÄSTERNORRLANDS LÄN</t>
        </is>
      </c>
      <c r="E493" t="inlineStr">
        <is>
          <t>SOLLEFTEÅ</t>
        </is>
      </c>
      <c r="G493" t="n">
        <v>3.4</v>
      </c>
      <c r="H493" t="n">
        <v>0</v>
      </c>
      <c r="I493" t="n">
        <v>0</v>
      </c>
      <c r="J493" t="n">
        <v>0</v>
      </c>
      <c r="K493" t="n">
        <v>0</v>
      </c>
      <c r="L493" t="n">
        <v>0</v>
      </c>
      <c r="M493" t="n">
        <v>0</v>
      </c>
      <c r="N493" t="n">
        <v>0</v>
      </c>
      <c r="O493" t="n">
        <v>0</v>
      </c>
      <c r="P493" t="n">
        <v>0</v>
      </c>
      <c r="Q493" t="n">
        <v>0</v>
      </c>
      <c r="R493" s="2" t="inlineStr"/>
    </row>
    <row r="494" ht="15" customHeight="1">
      <c r="A494" t="inlineStr">
        <is>
          <t>A 2897-2020</t>
        </is>
      </c>
      <c r="B494" s="1" t="n">
        <v>43850</v>
      </c>
      <c r="C494" s="1" t="n">
        <v>45511</v>
      </c>
      <c r="D494" t="inlineStr">
        <is>
          <t>VÄSTERNORRLANDS LÄN</t>
        </is>
      </c>
      <c r="E494" t="inlineStr">
        <is>
          <t>SOLLEFTEÅ</t>
        </is>
      </c>
      <c r="G494" t="n">
        <v>7.6</v>
      </c>
      <c r="H494" t="n">
        <v>0</v>
      </c>
      <c r="I494" t="n">
        <v>0</v>
      </c>
      <c r="J494" t="n">
        <v>0</v>
      </c>
      <c r="K494" t="n">
        <v>0</v>
      </c>
      <c r="L494" t="n">
        <v>0</v>
      </c>
      <c r="M494" t="n">
        <v>0</v>
      </c>
      <c r="N494" t="n">
        <v>0</v>
      </c>
      <c r="O494" t="n">
        <v>0</v>
      </c>
      <c r="P494" t="n">
        <v>0</v>
      </c>
      <c r="Q494" t="n">
        <v>0</v>
      </c>
      <c r="R494" s="2" t="inlineStr"/>
    </row>
    <row r="495" ht="15" customHeight="1">
      <c r="A495" t="inlineStr">
        <is>
          <t>A 3230-2020</t>
        </is>
      </c>
      <c r="B495" s="1" t="n">
        <v>43851</v>
      </c>
      <c r="C495" s="1" t="n">
        <v>45511</v>
      </c>
      <c r="D495" t="inlineStr">
        <is>
          <t>VÄSTERNORRLANDS LÄN</t>
        </is>
      </c>
      <c r="E495" t="inlineStr">
        <is>
          <t>SOLLEFTEÅ</t>
        </is>
      </c>
      <c r="F495" t="inlineStr">
        <is>
          <t>Övriga statliga verk och myndigheter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4363-2020</t>
        </is>
      </c>
      <c r="B496" s="1" t="n">
        <v>43857</v>
      </c>
      <c r="C496" s="1" t="n">
        <v>45511</v>
      </c>
      <c r="D496" t="inlineStr">
        <is>
          <t>VÄSTERNORRLANDS LÄN</t>
        </is>
      </c>
      <c r="E496" t="inlineStr">
        <is>
          <t>SOLLEFTEÅ</t>
        </is>
      </c>
      <c r="G496" t="n">
        <v>6.4</v>
      </c>
      <c r="H496" t="n">
        <v>0</v>
      </c>
      <c r="I496" t="n">
        <v>0</v>
      </c>
      <c r="J496" t="n">
        <v>0</v>
      </c>
      <c r="K496" t="n">
        <v>0</v>
      </c>
      <c r="L496" t="n">
        <v>0</v>
      </c>
      <c r="M496" t="n">
        <v>0</v>
      </c>
      <c r="N496" t="n">
        <v>0</v>
      </c>
      <c r="O496" t="n">
        <v>0</v>
      </c>
      <c r="P496" t="n">
        <v>0</v>
      </c>
      <c r="Q496" t="n">
        <v>0</v>
      </c>
      <c r="R496" s="2" t="inlineStr"/>
    </row>
    <row r="497" ht="15" customHeight="1">
      <c r="A497" t="inlineStr">
        <is>
          <t>A 5248-2020</t>
        </is>
      </c>
      <c r="B497" s="1" t="n">
        <v>43857</v>
      </c>
      <c r="C497" s="1" t="n">
        <v>45511</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5635-2020</t>
        </is>
      </c>
      <c r="B498" s="1" t="n">
        <v>43860</v>
      </c>
      <c r="C498" s="1" t="n">
        <v>45511</v>
      </c>
      <c r="D498" t="inlineStr">
        <is>
          <t>VÄSTERNORRLANDS LÄN</t>
        </is>
      </c>
      <c r="E498" t="inlineStr">
        <is>
          <t>SOLLEFTEÅ</t>
        </is>
      </c>
      <c r="G498" t="n">
        <v>1.5</v>
      </c>
      <c r="H498" t="n">
        <v>0</v>
      </c>
      <c r="I498" t="n">
        <v>0</v>
      </c>
      <c r="J498" t="n">
        <v>0</v>
      </c>
      <c r="K498" t="n">
        <v>0</v>
      </c>
      <c r="L498" t="n">
        <v>0</v>
      </c>
      <c r="M498" t="n">
        <v>0</v>
      </c>
      <c r="N498" t="n">
        <v>0</v>
      </c>
      <c r="O498" t="n">
        <v>0</v>
      </c>
      <c r="P498" t="n">
        <v>0</v>
      </c>
      <c r="Q498" t="n">
        <v>0</v>
      </c>
      <c r="R498" s="2" t="inlineStr"/>
    </row>
    <row r="499" ht="15" customHeight="1">
      <c r="A499" t="inlineStr">
        <is>
          <t>A 5662-2020</t>
        </is>
      </c>
      <c r="B499" s="1" t="n">
        <v>43861</v>
      </c>
      <c r="C499" s="1" t="n">
        <v>45511</v>
      </c>
      <c r="D499" t="inlineStr">
        <is>
          <t>VÄSTERNORRLANDS LÄN</t>
        </is>
      </c>
      <c r="E499" t="inlineStr">
        <is>
          <t>SOLLEFTEÅ</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5714-2020</t>
        </is>
      </c>
      <c r="B500" s="1" t="n">
        <v>43861</v>
      </c>
      <c r="C500" s="1" t="n">
        <v>45511</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5908-2020</t>
        </is>
      </c>
      <c r="B501" s="1" t="n">
        <v>43861</v>
      </c>
      <c r="C501" s="1" t="n">
        <v>45511</v>
      </c>
      <c r="D501" t="inlineStr">
        <is>
          <t>VÄSTERNORRLANDS LÄN</t>
        </is>
      </c>
      <c r="E501" t="inlineStr">
        <is>
          <t>SOLLEFTEÅ</t>
        </is>
      </c>
      <c r="G501" t="n">
        <v>4.6</v>
      </c>
      <c r="H501" t="n">
        <v>0</v>
      </c>
      <c r="I501" t="n">
        <v>0</v>
      </c>
      <c r="J501" t="n">
        <v>0</v>
      </c>
      <c r="K501" t="n">
        <v>0</v>
      </c>
      <c r="L501" t="n">
        <v>0</v>
      </c>
      <c r="M501" t="n">
        <v>0</v>
      </c>
      <c r="N501" t="n">
        <v>0</v>
      </c>
      <c r="O501" t="n">
        <v>0</v>
      </c>
      <c r="P501" t="n">
        <v>0</v>
      </c>
      <c r="Q501" t="n">
        <v>0</v>
      </c>
      <c r="R501" s="2" t="inlineStr"/>
    </row>
    <row r="502" ht="15" customHeight="1">
      <c r="A502" t="inlineStr">
        <is>
          <t>A 8363-2020</t>
        </is>
      </c>
      <c r="B502" s="1" t="n">
        <v>43875</v>
      </c>
      <c r="C502" s="1" t="n">
        <v>45511</v>
      </c>
      <c r="D502" t="inlineStr">
        <is>
          <t>VÄSTERNORRLANDS LÄN</t>
        </is>
      </c>
      <c r="E502" t="inlineStr">
        <is>
          <t>SOLLEFTEÅ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8935-2020</t>
        </is>
      </c>
      <c r="B503" s="1" t="n">
        <v>43878</v>
      </c>
      <c r="C503" s="1" t="n">
        <v>45511</v>
      </c>
      <c r="D503" t="inlineStr">
        <is>
          <t>VÄSTERNORRLANDS LÄN</t>
        </is>
      </c>
      <c r="E503" t="inlineStr">
        <is>
          <t>SOLLEFTEÅ</t>
        </is>
      </c>
      <c r="G503" t="n">
        <v>3.9</v>
      </c>
      <c r="H503" t="n">
        <v>0</v>
      </c>
      <c r="I503" t="n">
        <v>0</v>
      </c>
      <c r="J503" t="n">
        <v>0</v>
      </c>
      <c r="K503" t="n">
        <v>0</v>
      </c>
      <c r="L503" t="n">
        <v>0</v>
      </c>
      <c r="M503" t="n">
        <v>0</v>
      </c>
      <c r="N503" t="n">
        <v>0</v>
      </c>
      <c r="O503" t="n">
        <v>0</v>
      </c>
      <c r="P503" t="n">
        <v>0</v>
      </c>
      <c r="Q503" t="n">
        <v>0</v>
      </c>
      <c r="R503" s="2" t="inlineStr"/>
    </row>
    <row r="504" ht="15" customHeight="1">
      <c r="A504" t="inlineStr">
        <is>
          <t>A 10631-2020</t>
        </is>
      </c>
      <c r="B504" s="1" t="n">
        <v>43887</v>
      </c>
      <c r="C504" s="1" t="n">
        <v>45511</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10846-2020</t>
        </is>
      </c>
      <c r="B505" s="1" t="n">
        <v>43888</v>
      </c>
      <c r="C505" s="1" t="n">
        <v>45511</v>
      </c>
      <c r="D505" t="inlineStr">
        <is>
          <t>VÄSTERNORRLANDS LÄN</t>
        </is>
      </c>
      <c r="E505" t="inlineStr">
        <is>
          <t>SOLLEFTEÅ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11685-2020</t>
        </is>
      </c>
      <c r="B506" s="1" t="n">
        <v>43893</v>
      </c>
      <c r="C506" s="1" t="n">
        <v>45511</v>
      </c>
      <c r="D506" t="inlineStr">
        <is>
          <t>VÄSTERNORRLANDS LÄN</t>
        </is>
      </c>
      <c r="E506" t="inlineStr">
        <is>
          <t>SOLLEFTEÅ</t>
        </is>
      </c>
      <c r="F506" t="inlineStr">
        <is>
          <t>SCA</t>
        </is>
      </c>
      <c r="G506" t="n">
        <v>10.3</v>
      </c>
      <c r="H506" t="n">
        <v>0</v>
      </c>
      <c r="I506" t="n">
        <v>0</v>
      </c>
      <c r="J506" t="n">
        <v>0</v>
      </c>
      <c r="K506" t="n">
        <v>0</v>
      </c>
      <c r="L506" t="n">
        <v>0</v>
      </c>
      <c r="M506" t="n">
        <v>0</v>
      </c>
      <c r="N506" t="n">
        <v>0</v>
      </c>
      <c r="O506" t="n">
        <v>0</v>
      </c>
      <c r="P506" t="n">
        <v>0</v>
      </c>
      <c r="Q506" t="n">
        <v>0</v>
      </c>
      <c r="R506" s="2" t="inlineStr"/>
    </row>
    <row r="507" ht="15" customHeight="1">
      <c r="A507" t="inlineStr">
        <is>
          <t>A 12819-2020</t>
        </is>
      </c>
      <c r="B507" s="1" t="n">
        <v>43893</v>
      </c>
      <c r="C507" s="1" t="n">
        <v>45511</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12526-2020</t>
        </is>
      </c>
      <c r="B508" s="1" t="n">
        <v>43896</v>
      </c>
      <c r="C508" s="1" t="n">
        <v>45511</v>
      </c>
      <c r="D508" t="inlineStr">
        <is>
          <t>VÄSTERNORRLANDS LÄN</t>
        </is>
      </c>
      <c r="E508" t="inlineStr">
        <is>
          <t>SOLLEFTEÅ</t>
        </is>
      </c>
      <c r="F508" t="inlineStr">
        <is>
          <t>SCA</t>
        </is>
      </c>
      <c r="G508" t="n">
        <v>14.7</v>
      </c>
      <c r="H508" t="n">
        <v>0</v>
      </c>
      <c r="I508" t="n">
        <v>0</v>
      </c>
      <c r="J508" t="n">
        <v>0</v>
      </c>
      <c r="K508" t="n">
        <v>0</v>
      </c>
      <c r="L508" t="n">
        <v>0</v>
      </c>
      <c r="M508" t="n">
        <v>0</v>
      </c>
      <c r="N508" t="n">
        <v>0</v>
      </c>
      <c r="O508" t="n">
        <v>0</v>
      </c>
      <c r="P508" t="n">
        <v>0</v>
      </c>
      <c r="Q508" t="n">
        <v>0</v>
      </c>
      <c r="R508" s="2" t="inlineStr"/>
    </row>
    <row r="509" ht="15" customHeight="1">
      <c r="A509" t="inlineStr">
        <is>
          <t>A 12525-2020</t>
        </is>
      </c>
      <c r="B509" s="1" t="n">
        <v>43896</v>
      </c>
      <c r="C509" s="1" t="n">
        <v>45511</v>
      </c>
      <c r="D509" t="inlineStr">
        <is>
          <t>VÄSTERNORRLANDS LÄN</t>
        </is>
      </c>
      <c r="E509" t="inlineStr">
        <is>
          <t>SOLLEFTEÅ</t>
        </is>
      </c>
      <c r="F509" t="inlineStr">
        <is>
          <t>SCA</t>
        </is>
      </c>
      <c r="G509" t="n">
        <v>28.7</v>
      </c>
      <c r="H509" t="n">
        <v>0</v>
      </c>
      <c r="I509" t="n">
        <v>0</v>
      </c>
      <c r="J509" t="n">
        <v>0</v>
      </c>
      <c r="K509" t="n">
        <v>0</v>
      </c>
      <c r="L509" t="n">
        <v>0</v>
      </c>
      <c r="M509" t="n">
        <v>0</v>
      </c>
      <c r="N509" t="n">
        <v>0</v>
      </c>
      <c r="O509" t="n">
        <v>0</v>
      </c>
      <c r="P509" t="n">
        <v>0</v>
      </c>
      <c r="Q509" t="n">
        <v>0</v>
      </c>
      <c r="R509" s="2" t="inlineStr"/>
    </row>
    <row r="510" ht="15" customHeight="1">
      <c r="A510" t="inlineStr">
        <is>
          <t>A 13023-2020</t>
        </is>
      </c>
      <c r="B510" s="1" t="n">
        <v>43900</v>
      </c>
      <c r="C510" s="1" t="n">
        <v>45511</v>
      </c>
      <c r="D510" t="inlineStr">
        <is>
          <t>VÄSTERNORRLANDS LÄN</t>
        </is>
      </c>
      <c r="E510" t="inlineStr">
        <is>
          <t>SOLLEFTEÅ</t>
        </is>
      </c>
      <c r="F510" t="inlineStr">
        <is>
          <t>Kyrkan</t>
        </is>
      </c>
      <c r="G510" t="n">
        <v>0.7</v>
      </c>
      <c r="H510" t="n">
        <v>0</v>
      </c>
      <c r="I510" t="n">
        <v>0</v>
      </c>
      <c r="J510" t="n">
        <v>0</v>
      </c>
      <c r="K510" t="n">
        <v>0</v>
      </c>
      <c r="L510" t="n">
        <v>0</v>
      </c>
      <c r="M510" t="n">
        <v>0</v>
      </c>
      <c r="N510" t="n">
        <v>0</v>
      </c>
      <c r="O510" t="n">
        <v>0</v>
      </c>
      <c r="P510" t="n">
        <v>0</v>
      </c>
      <c r="Q510" t="n">
        <v>0</v>
      </c>
      <c r="R510" s="2" t="inlineStr"/>
    </row>
    <row r="511" ht="15" customHeight="1">
      <c r="A511" t="inlineStr">
        <is>
          <t>A 13567-2020</t>
        </is>
      </c>
      <c r="B511" s="1" t="n">
        <v>43902</v>
      </c>
      <c r="C511" s="1" t="n">
        <v>45511</v>
      </c>
      <c r="D511" t="inlineStr">
        <is>
          <t>VÄSTERNORRLANDS LÄN</t>
        </is>
      </c>
      <c r="E511" t="inlineStr">
        <is>
          <t>SOLLEFTEÅ</t>
        </is>
      </c>
      <c r="F511" t="inlineStr">
        <is>
          <t>SCA</t>
        </is>
      </c>
      <c r="G511" t="n">
        <v>15.9</v>
      </c>
      <c r="H511" t="n">
        <v>0</v>
      </c>
      <c r="I511" t="n">
        <v>0</v>
      </c>
      <c r="J511" t="n">
        <v>0</v>
      </c>
      <c r="K511" t="n">
        <v>0</v>
      </c>
      <c r="L511" t="n">
        <v>0</v>
      </c>
      <c r="M511" t="n">
        <v>0</v>
      </c>
      <c r="N511" t="n">
        <v>0</v>
      </c>
      <c r="O511" t="n">
        <v>0</v>
      </c>
      <c r="P511" t="n">
        <v>0</v>
      </c>
      <c r="Q511" t="n">
        <v>0</v>
      </c>
      <c r="R511" s="2" t="inlineStr"/>
    </row>
    <row r="512" ht="15" customHeight="1">
      <c r="A512" t="inlineStr">
        <is>
          <t>A 13577-2020</t>
        </is>
      </c>
      <c r="B512" s="1" t="n">
        <v>43902</v>
      </c>
      <c r="C512" s="1" t="n">
        <v>45511</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13565-2020</t>
        </is>
      </c>
      <c r="B513" s="1" t="n">
        <v>43902</v>
      </c>
      <c r="C513" s="1" t="n">
        <v>45511</v>
      </c>
      <c r="D513" t="inlineStr">
        <is>
          <t>VÄSTERNORRLANDS LÄN</t>
        </is>
      </c>
      <c r="E513" t="inlineStr">
        <is>
          <t>SOLLEFTEÅ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13575-2020</t>
        </is>
      </c>
      <c r="B514" s="1" t="n">
        <v>43902</v>
      </c>
      <c r="C514" s="1" t="n">
        <v>45511</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13561-2020</t>
        </is>
      </c>
      <c r="B515" s="1" t="n">
        <v>43902</v>
      </c>
      <c r="C515" s="1" t="n">
        <v>45511</v>
      </c>
      <c r="D515" t="inlineStr">
        <is>
          <t>VÄSTERNORRLANDS LÄN</t>
        </is>
      </c>
      <c r="E515" t="inlineStr">
        <is>
          <t>SOLLEFTEÅ</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13564-2020</t>
        </is>
      </c>
      <c r="B516" s="1" t="n">
        <v>43902</v>
      </c>
      <c r="C516" s="1" t="n">
        <v>45511</v>
      </c>
      <c r="D516" t="inlineStr">
        <is>
          <t>VÄSTERNORRLANDS LÄN</t>
        </is>
      </c>
      <c r="E516" t="inlineStr">
        <is>
          <t>SOLLEFTEÅ</t>
        </is>
      </c>
      <c r="F516" t="inlineStr">
        <is>
          <t>SCA</t>
        </is>
      </c>
      <c r="G516" t="n">
        <v>26.1</v>
      </c>
      <c r="H516" t="n">
        <v>0</v>
      </c>
      <c r="I516" t="n">
        <v>0</v>
      </c>
      <c r="J516" t="n">
        <v>0</v>
      </c>
      <c r="K516" t="n">
        <v>0</v>
      </c>
      <c r="L516" t="n">
        <v>0</v>
      </c>
      <c r="M516" t="n">
        <v>0</v>
      </c>
      <c r="N516" t="n">
        <v>0</v>
      </c>
      <c r="O516" t="n">
        <v>0</v>
      </c>
      <c r="P516" t="n">
        <v>0</v>
      </c>
      <c r="Q516" t="n">
        <v>0</v>
      </c>
      <c r="R516" s="2" t="inlineStr"/>
    </row>
    <row r="517" ht="15" customHeight="1">
      <c r="A517" t="inlineStr">
        <is>
          <t>A 13798-2020</t>
        </is>
      </c>
      <c r="B517" s="1" t="n">
        <v>43903</v>
      </c>
      <c r="C517" s="1" t="n">
        <v>45511</v>
      </c>
      <c r="D517" t="inlineStr">
        <is>
          <t>VÄSTERNORRLANDS LÄN</t>
        </is>
      </c>
      <c r="E517" t="inlineStr">
        <is>
          <t>SOLLEFTEÅ</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13864-2020</t>
        </is>
      </c>
      <c r="B518" s="1" t="n">
        <v>43906</v>
      </c>
      <c r="C518" s="1" t="n">
        <v>45511</v>
      </c>
      <c r="D518" t="inlineStr">
        <is>
          <t>VÄSTERNORRLANDS LÄN</t>
        </is>
      </c>
      <c r="E518" t="inlineStr">
        <is>
          <t>SOLLEFTEÅ</t>
        </is>
      </c>
      <c r="G518" t="n">
        <v>0.4</v>
      </c>
      <c r="H518" t="n">
        <v>0</v>
      </c>
      <c r="I518" t="n">
        <v>0</v>
      </c>
      <c r="J518" t="n">
        <v>0</v>
      </c>
      <c r="K518" t="n">
        <v>0</v>
      </c>
      <c r="L518" t="n">
        <v>0</v>
      </c>
      <c r="M518" t="n">
        <v>0</v>
      </c>
      <c r="N518" t="n">
        <v>0</v>
      </c>
      <c r="O518" t="n">
        <v>0</v>
      </c>
      <c r="P518" t="n">
        <v>0</v>
      </c>
      <c r="Q518" t="n">
        <v>0</v>
      </c>
      <c r="R518" s="2" t="inlineStr"/>
    </row>
    <row r="519" ht="15" customHeight="1">
      <c r="A519" t="inlineStr">
        <is>
          <t>A 14859-2020</t>
        </is>
      </c>
      <c r="B519" s="1" t="n">
        <v>43909</v>
      </c>
      <c r="C519" s="1" t="n">
        <v>45511</v>
      </c>
      <c r="D519" t="inlineStr">
        <is>
          <t>VÄSTERNORRLANDS LÄN</t>
        </is>
      </c>
      <c r="E519" t="inlineStr">
        <is>
          <t>SOLLEFTEÅ</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18515-2020</t>
        </is>
      </c>
      <c r="B520" s="1" t="n">
        <v>43927</v>
      </c>
      <c r="C520" s="1" t="n">
        <v>45511</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18402-2020</t>
        </is>
      </c>
      <c r="B521" s="1" t="n">
        <v>43928</v>
      </c>
      <c r="C521" s="1" t="n">
        <v>45511</v>
      </c>
      <c r="D521" t="inlineStr">
        <is>
          <t>VÄSTERNORRLANDS LÄN</t>
        </is>
      </c>
      <c r="E521" t="inlineStr">
        <is>
          <t>SOLLEFTEÅ</t>
        </is>
      </c>
      <c r="F521" t="inlineStr">
        <is>
          <t>Kyrkan</t>
        </is>
      </c>
      <c r="G521" t="n">
        <v>2.2</v>
      </c>
      <c r="H521" t="n">
        <v>0</v>
      </c>
      <c r="I521" t="n">
        <v>0</v>
      </c>
      <c r="J521" t="n">
        <v>0</v>
      </c>
      <c r="K521" t="n">
        <v>0</v>
      </c>
      <c r="L521" t="n">
        <v>0</v>
      </c>
      <c r="M521" t="n">
        <v>0</v>
      </c>
      <c r="N521" t="n">
        <v>0</v>
      </c>
      <c r="O521" t="n">
        <v>0</v>
      </c>
      <c r="P521" t="n">
        <v>0</v>
      </c>
      <c r="Q521" t="n">
        <v>0</v>
      </c>
      <c r="R521" s="2" t="inlineStr"/>
    </row>
    <row r="522" ht="15" customHeight="1">
      <c r="A522" t="inlineStr">
        <is>
          <t>A 20164-2020</t>
        </is>
      </c>
      <c r="B522" s="1" t="n">
        <v>43944</v>
      </c>
      <c r="C522" s="1" t="n">
        <v>45511</v>
      </c>
      <c r="D522" t="inlineStr">
        <is>
          <t>VÄSTERNORRLANDS LÄN</t>
        </is>
      </c>
      <c r="E522" t="inlineStr">
        <is>
          <t>SOLLEFTEÅ</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20419-2020</t>
        </is>
      </c>
      <c r="B523" s="1" t="n">
        <v>43945</v>
      </c>
      <c r="C523" s="1" t="n">
        <v>45511</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20861-2020</t>
        </is>
      </c>
      <c r="B524" s="1" t="n">
        <v>43948</v>
      </c>
      <c r="C524" s="1" t="n">
        <v>45511</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21022-2020</t>
        </is>
      </c>
      <c r="B525" s="1" t="n">
        <v>43950</v>
      </c>
      <c r="C525" s="1" t="n">
        <v>45511</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21097-2020</t>
        </is>
      </c>
      <c r="B526" s="1" t="n">
        <v>43950</v>
      </c>
      <c r="C526" s="1" t="n">
        <v>45511</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21020-2020</t>
        </is>
      </c>
      <c r="B527" s="1" t="n">
        <v>43950</v>
      </c>
      <c r="C527" s="1" t="n">
        <v>45511</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22371-2020</t>
        </is>
      </c>
      <c r="B528" s="1" t="n">
        <v>43957</v>
      </c>
      <c r="C528" s="1" t="n">
        <v>45511</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22731-2020</t>
        </is>
      </c>
      <c r="B529" s="1" t="n">
        <v>43962</v>
      </c>
      <c r="C529" s="1" t="n">
        <v>45511</v>
      </c>
      <c r="D529" t="inlineStr">
        <is>
          <t>VÄSTERNORRLANDS LÄN</t>
        </is>
      </c>
      <c r="E529" t="inlineStr">
        <is>
          <t>SOLLEFTEÅ</t>
        </is>
      </c>
      <c r="G529" t="n">
        <v>16.8</v>
      </c>
      <c r="H529" t="n">
        <v>0</v>
      </c>
      <c r="I529" t="n">
        <v>0</v>
      </c>
      <c r="J529" t="n">
        <v>0</v>
      </c>
      <c r="K529" t="n">
        <v>0</v>
      </c>
      <c r="L529" t="n">
        <v>0</v>
      </c>
      <c r="M529" t="n">
        <v>0</v>
      </c>
      <c r="N529" t="n">
        <v>0</v>
      </c>
      <c r="O529" t="n">
        <v>0</v>
      </c>
      <c r="P529" t="n">
        <v>0</v>
      </c>
      <c r="Q529" t="n">
        <v>0</v>
      </c>
      <c r="R529" s="2" t="inlineStr"/>
    </row>
    <row r="530" ht="15" customHeight="1">
      <c r="A530" t="inlineStr">
        <is>
          <t>A 21607-2020</t>
        </is>
      </c>
      <c r="B530" s="1" t="n">
        <v>43963</v>
      </c>
      <c r="C530" s="1" t="n">
        <v>45511</v>
      </c>
      <c r="D530" t="inlineStr">
        <is>
          <t>VÄSTERNORRLANDS LÄN</t>
        </is>
      </c>
      <c r="E530" t="inlineStr">
        <is>
          <t>SOLLEFTEÅ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22561-2020</t>
        </is>
      </c>
      <c r="B531" s="1" t="n">
        <v>43963</v>
      </c>
      <c r="C531" s="1" t="n">
        <v>45511</v>
      </c>
      <c r="D531" t="inlineStr">
        <is>
          <t>VÄSTERNORRLANDS LÄN</t>
        </is>
      </c>
      <c r="E531" t="inlineStr">
        <is>
          <t>SOLLEFTEÅ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23231-2020</t>
        </is>
      </c>
      <c r="B532" s="1" t="n">
        <v>43966</v>
      </c>
      <c r="C532" s="1" t="n">
        <v>45511</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23638-2020</t>
        </is>
      </c>
      <c r="B533" s="1" t="n">
        <v>43969</v>
      </c>
      <c r="C533" s="1" t="n">
        <v>45511</v>
      </c>
      <c r="D533" t="inlineStr">
        <is>
          <t>VÄSTERNORRLANDS LÄN</t>
        </is>
      </c>
      <c r="E533" t="inlineStr">
        <is>
          <t>SOLLEFTEÅ</t>
        </is>
      </c>
      <c r="G533" t="n">
        <v>8.9</v>
      </c>
      <c r="H533" t="n">
        <v>0</v>
      </c>
      <c r="I533" t="n">
        <v>0</v>
      </c>
      <c r="J533" t="n">
        <v>0</v>
      </c>
      <c r="K533" t="n">
        <v>0</v>
      </c>
      <c r="L533" t="n">
        <v>0</v>
      </c>
      <c r="M533" t="n">
        <v>0</v>
      </c>
      <c r="N533" t="n">
        <v>0</v>
      </c>
      <c r="O533" t="n">
        <v>0</v>
      </c>
      <c r="P533" t="n">
        <v>0</v>
      </c>
      <c r="Q533" t="n">
        <v>0</v>
      </c>
      <c r="R533" s="2" t="inlineStr"/>
    </row>
    <row r="534" ht="15" customHeight="1">
      <c r="A534" t="inlineStr">
        <is>
          <t>A 24060-2020</t>
        </is>
      </c>
      <c r="B534" s="1" t="n">
        <v>43971</v>
      </c>
      <c r="C534" s="1" t="n">
        <v>45511</v>
      </c>
      <c r="D534" t="inlineStr">
        <is>
          <t>VÄSTERNORRLANDS LÄN</t>
        </is>
      </c>
      <c r="E534" t="inlineStr">
        <is>
          <t>SOLLEFTEÅ</t>
        </is>
      </c>
      <c r="G534" t="n">
        <v>16.3</v>
      </c>
      <c r="H534" t="n">
        <v>0</v>
      </c>
      <c r="I534" t="n">
        <v>0</v>
      </c>
      <c r="J534" t="n">
        <v>0</v>
      </c>
      <c r="K534" t="n">
        <v>0</v>
      </c>
      <c r="L534" t="n">
        <v>0</v>
      </c>
      <c r="M534" t="n">
        <v>0</v>
      </c>
      <c r="N534" t="n">
        <v>0</v>
      </c>
      <c r="O534" t="n">
        <v>0</v>
      </c>
      <c r="P534" t="n">
        <v>0</v>
      </c>
      <c r="Q534" t="n">
        <v>0</v>
      </c>
      <c r="R534" s="2" t="inlineStr"/>
    </row>
    <row r="535" ht="15" customHeight="1">
      <c r="A535" t="inlineStr">
        <is>
          <t>A 24062-2020</t>
        </is>
      </c>
      <c r="B535" s="1" t="n">
        <v>43971</v>
      </c>
      <c r="C535" s="1" t="n">
        <v>45511</v>
      </c>
      <c r="D535" t="inlineStr">
        <is>
          <t>VÄSTERNORRLANDS LÄN</t>
        </is>
      </c>
      <c r="E535" t="inlineStr">
        <is>
          <t>SOLLEFTEÅ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24061-2020</t>
        </is>
      </c>
      <c r="B536" s="1" t="n">
        <v>43971</v>
      </c>
      <c r="C536" s="1" t="n">
        <v>45511</v>
      </c>
      <c r="D536" t="inlineStr">
        <is>
          <t>VÄSTERNORRLANDS LÄN</t>
        </is>
      </c>
      <c r="E536" t="inlineStr">
        <is>
          <t>SOLLEFTEÅ</t>
        </is>
      </c>
      <c r="G536" t="n">
        <v>5.7</v>
      </c>
      <c r="H536" t="n">
        <v>0</v>
      </c>
      <c r="I536" t="n">
        <v>0</v>
      </c>
      <c r="J536" t="n">
        <v>0</v>
      </c>
      <c r="K536" t="n">
        <v>0</v>
      </c>
      <c r="L536" t="n">
        <v>0</v>
      </c>
      <c r="M536" t="n">
        <v>0</v>
      </c>
      <c r="N536" t="n">
        <v>0</v>
      </c>
      <c r="O536" t="n">
        <v>0</v>
      </c>
      <c r="P536" t="n">
        <v>0</v>
      </c>
      <c r="Q536" t="n">
        <v>0</v>
      </c>
      <c r="R536" s="2" t="inlineStr"/>
    </row>
    <row r="537" ht="15" customHeight="1">
      <c r="A537" t="inlineStr">
        <is>
          <t>A 25100-2020</t>
        </is>
      </c>
      <c r="B537" s="1" t="n">
        <v>43979</v>
      </c>
      <c r="C537" s="1" t="n">
        <v>45511</v>
      </c>
      <c r="D537" t="inlineStr">
        <is>
          <t>VÄSTERNORRLANDS LÄN</t>
        </is>
      </c>
      <c r="E537" t="inlineStr">
        <is>
          <t>SOLLEFTEÅ</t>
        </is>
      </c>
      <c r="G537" t="n">
        <v>4.7</v>
      </c>
      <c r="H537" t="n">
        <v>0</v>
      </c>
      <c r="I537" t="n">
        <v>0</v>
      </c>
      <c r="J537" t="n">
        <v>0</v>
      </c>
      <c r="K537" t="n">
        <v>0</v>
      </c>
      <c r="L537" t="n">
        <v>0</v>
      </c>
      <c r="M537" t="n">
        <v>0</v>
      </c>
      <c r="N537" t="n">
        <v>0</v>
      </c>
      <c r="O537" t="n">
        <v>0</v>
      </c>
      <c r="P537" t="n">
        <v>0</v>
      </c>
      <c r="Q537" t="n">
        <v>0</v>
      </c>
      <c r="R537" s="2" t="inlineStr"/>
    </row>
    <row r="538" ht="15" customHeight="1">
      <c r="A538" t="inlineStr">
        <is>
          <t>A 26189-2020</t>
        </is>
      </c>
      <c r="B538" s="1" t="n">
        <v>43985</v>
      </c>
      <c r="C538" s="1" t="n">
        <v>45511</v>
      </c>
      <c r="D538" t="inlineStr">
        <is>
          <t>VÄSTERNORRLANDS LÄN</t>
        </is>
      </c>
      <c r="E538" t="inlineStr">
        <is>
          <t>SOLLEFTEÅ</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26249-2020</t>
        </is>
      </c>
      <c r="B539" s="1" t="n">
        <v>43986</v>
      </c>
      <c r="C539" s="1" t="n">
        <v>45511</v>
      </c>
      <c r="D539" t="inlineStr">
        <is>
          <t>VÄSTERNORRLANDS LÄN</t>
        </is>
      </c>
      <c r="E539" t="inlineStr">
        <is>
          <t>SOLLEFTEÅ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27199-2020</t>
        </is>
      </c>
      <c r="B540" s="1" t="n">
        <v>43991</v>
      </c>
      <c r="C540" s="1" t="n">
        <v>45511</v>
      </c>
      <c r="D540" t="inlineStr">
        <is>
          <t>VÄSTERNORRLANDS LÄN</t>
        </is>
      </c>
      <c r="E540" t="inlineStr">
        <is>
          <t>SOLLEFTEÅ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27177-2020</t>
        </is>
      </c>
      <c r="B541" s="1" t="n">
        <v>43991</v>
      </c>
      <c r="C541" s="1" t="n">
        <v>45511</v>
      </c>
      <c r="D541" t="inlineStr">
        <is>
          <t>VÄSTERNORRLANDS LÄN</t>
        </is>
      </c>
      <c r="E541" t="inlineStr">
        <is>
          <t>SOLLEFTEÅ</t>
        </is>
      </c>
      <c r="F541" t="inlineStr">
        <is>
          <t>Holmen skog AB</t>
        </is>
      </c>
      <c r="G541" t="n">
        <v>0.8</v>
      </c>
      <c r="H541" t="n">
        <v>0</v>
      </c>
      <c r="I541" t="n">
        <v>0</v>
      </c>
      <c r="J541" t="n">
        <v>0</v>
      </c>
      <c r="K541" t="n">
        <v>0</v>
      </c>
      <c r="L541" t="n">
        <v>0</v>
      </c>
      <c r="M541" t="n">
        <v>0</v>
      </c>
      <c r="N541" t="n">
        <v>0</v>
      </c>
      <c r="O541" t="n">
        <v>0</v>
      </c>
      <c r="P541" t="n">
        <v>0</v>
      </c>
      <c r="Q541" t="n">
        <v>0</v>
      </c>
      <c r="R541" s="2" t="inlineStr"/>
    </row>
    <row r="542" ht="15" customHeight="1">
      <c r="A542" t="inlineStr">
        <is>
          <t>A 27209-2020</t>
        </is>
      </c>
      <c r="B542" s="1" t="n">
        <v>43991</v>
      </c>
      <c r="C542" s="1" t="n">
        <v>45511</v>
      </c>
      <c r="D542" t="inlineStr">
        <is>
          <t>VÄSTERNORRLANDS LÄN</t>
        </is>
      </c>
      <c r="E542" t="inlineStr">
        <is>
          <t>SOLLEFTEÅ</t>
        </is>
      </c>
      <c r="F542" t="inlineStr">
        <is>
          <t>SCA</t>
        </is>
      </c>
      <c r="G542" t="n">
        <v>15.7</v>
      </c>
      <c r="H542" t="n">
        <v>0</v>
      </c>
      <c r="I542" t="n">
        <v>0</v>
      </c>
      <c r="J542" t="n">
        <v>0</v>
      </c>
      <c r="K542" t="n">
        <v>0</v>
      </c>
      <c r="L542" t="n">
        <v>0</v>
      </c>
      <c r="M542" t="n">
        <v>0</v>
      </c>
      <c r="N542" t="n">
        <v>0</v>
      </c>
      <c r="O542" t="n">
        <v>0</v>
      </c>
      <c r="P542" t="n">
        <v>0</v>
      </c>
      <c r="Q542" t="n">
        <v>0</v>
      </c>
      <c r="R542" s="2" t="inlineStr"/>
    </row>
    <row r="543" ht="15" customHeight="1">
      <c r="A543" t="inlineStr">
        <is>
          <t>A 28489-2020</t>
        </is>
      </c>
      <c r="B543" s="1" t="n">
        <v>43998</v>
      </c>
      <c r="C543" s="1" t="n">
        <v>45511</v>
      </c>
      <c r="D543" t="inlineStr">
        <is>
          <t>VÄSTERNORRLANDS LÄN</t>
        </is>
      </c>
      <c r="E543" t="inlineStr">
        <is>
          <t>SOLLEFTEÅ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28486-2020</t>
        </is>
      </c>
      <c r="B544" s="1" t="n">
        <v>43999</v>
      </c>
      <c r="C544" s="1" t="n">
        <v>45511</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29648-2020</t>
        </is>
      </c>
      <c r="B545" s="1" t="n">
        <v>44004</v>
      </c>
      <c r="C545" s="1" t="n">
        <v>45511</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29503-2020</t>
        </is>
      </c>
      <c r="B546" s="1" t="n">
        <v>44005</v>
      </c>
      <c r="C546" s="1" t="n">
        <v>45511</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29825-2020</t>
        </is>
      </c>
      <c r="B547" s="1" t="n">
        <v>44005</v>
      </c>
      <c r="C547" s="1" t="n">
        <v>45511</v>
      </c>
      <c r="D547" t="inlineStr">
        <is>
          <t>VÄSTERNORRLANDS LÄN</t>
        </is>
      </c>
      <c r="E547" t="inlineStr">
        <is>
          <t>SOLLEFTEÅ</t>
        </is>
      </c>
      <c r="G547" t="n">
        <v>2.2</v>
      </c>
      <c r="H547" t="n">
        <v>0</v>
      </c>
      <c r="I547" t="n">
        <v>0</v>
      </c>
      <c r="J547" t="n">
        <v>0</v>
      </c>
      <c r="K547" t="n">
        <v>0</v>
      </c>
      <c r="L547" t="n">
        <v>0</v>
      </c>
      <c r="M547" t="n">
        <v>0</v>
      </c>
      <c r="N547" t="n">
        <v>0</v>
      </c>
      <c r="O547" t="n">
        <v>0</v>
      </c>
      <c r="P547" t="n">
        <v>0</v>
      </c>
      <c r="Q547" t="n">
        <v>0</v>
      </c>
      <c r="R547" s="2" t="inlineStr"/>
    </row>
    <row r="548" ht="15" customHeight="1">
      <c r="A548" t="inlineStr">
        <is>
          <t>A 29801-2020</t>
        </is>
      </c>
      <c r="B548" s="1" t="n">
        <v>44005</v>
      </c>
      <c r="C548" s="1" t="n">
        <v>45511</v>
      </c>
      <c r="D548" t="inlineStr">
        <is>
          <t>VÄSTERNORRLANDS LÄN</t>
        </is>
      </c>
      <c r="E548" t="inlineStr">
        <is>
          <t>SOLLEFTEÅ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30492-2020</t>
        </is>
      </c>
      <c r="B549" s="1" t="n">
        <v>44007</v>
      </c>
      <c r="C549" s="1" t="n">
        <v>45511</v>
      </c>
      <c r="D549" t="inlineStr">
        <is>
          <t>VÄSTERNORRLANDS LÄN</t>
        </is>
      </c>
      <c r="E549" t="inlineStr">
        <is>
          <t>SOLLEFTEÅ</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30484-2020</t>
        </is>
      </c>
      <c r="B550" s="1" t="n">
        <v>44007</v>
      </c>
      <c r="C550" s="1" t="n">
        <v>45511</v>
      </c>
      <c r="D550" t="inlineStr">
        <is>
          <t>VÄSTERNORRLANDS LÄN</t>
        </is>
      </c>
      <c r="E550" t="inlineStr">
        <is>
          <t>SOLLEFTEÅ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30753-2020</t>
        </is>
      </c>
      <c r="B551" s="1" t="n">
        <v>44008</v>
      </c>
      <c r="C551" s="1" t="n">
        <v>45511</v>
      </c>
      <c r="D551" t="inlineStr">
        <is>
          <t>VÄSTERNORRLANDS LÄN</t>
        </is>
      </c>
      <c r="E551" t="inlineStr">
        <is>
          <t>SOLLEFTEÅ</t>
        </is>
      </c>
      <c r="F551" t="inlineStr">
        <is>
          <t>SCA</t>
        </is>
      </c>
      <c r="G551" t="n">
        <v>10.7</v>
      </c>
      <c r="H551" t="n">
        <v>0</v>
      </c>
      <c r="I551" t="n">
        <v>0</v>
      </c>
      <c r="J551" t="n">
        <v>0</v>
      </c>
      <c r="K551" t="n">
        <v>0</v>
      </c>
      <c r="L551" t="n">
        <v>0</v>
      </c>
      <c r="M551" t="n">
        <v>0</v>
      </c>
      <c r="N551" t="n">
        <v>0</v>
      </c>
      <c r="O551" t="n">
        <v>0</v>
      </c>
      <c r="P551" t="n">
        <v>0</v>
      </c>
      <c r="Q551" t="n">
        <v>0</v>
      </c>
      <c r="R551" s="2" t="inlineStr"/>
    </row>
    <row r="552" ht="15" customHeight="1">
      <c r="A552" t="inlineStr">
        <is>
          <t>A 30747-2020</t>
        </is>
      </c>
      <c r="B552" s="1" t="n">
        <v>44008</v>
      </c>
      <c r="C552" s="1" t="n">
        <v>45511</v>
      </c>
      <c r="D552" t="inlineStr">
        <is>
          <t>VÄSTERNORRLANDS LÄN</t>
        </is>
      </c>
      <c r="E552" t="inlineStr">
        <is>
          <t>SOLLEFTEÅ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30802-2020</t>
        </is>
      </c>
      <c r="B553" s="1" t="n">
        <v>44011</v>
      </c>
      <c r="C553" s="1" t="n">
        <v>45511</v>
      </c>
      <c r="D553" t="inlineStr">
        <is>
          <t>VÄSTERNORRLANDS LÄN</t>
        </is>
      </c>
      <c r="E553" t="inlineStr">
        <is>
          <t>SOLLEFTEÅ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31313-2020</t>
        </is>
      </c>
      <c r="B554" s="1" t="n">
        <v>44012</v>
      </c>
      <c r="C554" s="1" t="n">
        <v>45511</v>
      </c>
      <c r="D554" t="inlineStr">
        <is>
          <t>VÄSTERNORRLANDS LÄN</t>
        </is>
      </c>
      <c r="E554" t="inlineStr">
        <is>
          <t>SOLLEFTEÅ</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32013-2020</t>
        </is>
      </c>
      <c r="B555" s="1" t="n">
        <v>44015</v>
      </c>
      <c r="C555" s="1" t="n">
        <v>45511</v>
      </c>
      <c r="D555" t="inlineStr">
        <is>
          <t>VÄSTERNORRLANDS LÄN</t>
        </is>
      </c>
      <c r="E555" t="inlineStr">
        <is>
          <t>SOLLEFTEÅ</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32325-2020</t>
        </is>
      </c>
      <c r="B556" s="1" t="n">
        <v>44016</v>
      </c>
      <c r="C556" s="1" t="n">
        <v>45511</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32461-2020</t>
        </is>
      </c>
      <c r="B557" s="1" t="n">
        <v>44015</v>
      </c>
      <c r="C557" s="1" t="n">
        <v>45511</v>
      </c>
      <c r="D557" t="inlineStr">
        <is>
          <t>VÄSTERNORRLANDS LÄN</t>
        </is>
      </c>
      <c r="E557" t="inlineStr">
        <is>
          <t>SOLLEFTEÅ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32318-2020</t>
        </is>
      </c>
      <c r="B558" s="1" t="n">
        <v>44015</v>
      </c>
      <c r="C558" s="1" t="n">
        <v>45511</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32919-2020</t>
        </is>
      </c>
      <c r="B559" s="1" t="n">
        <v>44018</v>
      </c>
      <c r="C559" s="1" t="n">
        <v>45511</v>
      </c>
      <c r="D559" t="inlineStr">
        <is>
          <t>VÄSTERNORRLANDS LÄN</t>
        </is>
      </c>
      <c r="E559" t="inlineStr">
        <is>
          <t>SOLLEFTEÅ</t>
        </is>
      </c>
      <c r="G559" t="n">
        <v>5.5</v>
      </c>
      <c r="H559" t="n">
        <v>0</v>
      </c>
      <c r="I559" t="n">
        <v>0</v>
      </c>
      <c r="J559" t="n">
        <v>0</v>
      </c>
      <c r="K559" t="n">
        <v>0</v>
      </c>
      <c r="L559" t="n">
        <v>0</v>
      </c>
      <c r="M559" t="n">
        <v>0</v>
      </c>
      <c r="N559" t="n">
        <v>0</v>
      </c>
      <c r="O559" t="n">
        <v>0</v>
      </c>
      <c r="P559" t="n">
        <v>0</v>
      </c>
      <c r="Q559" t="n">
        <v>0</v>
      </c>
      <c r="R559" s="2" t="inlineStr"/>
    </row>
    <row r="560" ht="15" customHeight="1">
      <c r="A560" t="inlineStr">
        <is>
          <t>A 32929-2020</t>
        </is>
      </c>
      <c r="B560" s="1" t="n">
        <v>44018</v>
      </c>
      <c r="C560" s="1" t="n">
        <v>45511</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32924-2020</t>
        </is>
      </c>
      <c r="B561" s="1" t="n">
        <v>44018</v>
      </c>
      <c r="C561" s="1" t="n">
        <v>45511</v>
      </c>
      <c r="D561" t="inlineStr">
        <is>
          <t>VÄSTERNORRLANDS LÄN</t>
        </is>
      </c>
      <c r="E561" t="inlineStr">
        <is>
          <t>SOLLEFTEÅ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32742-2020</t>
        </is>
      </c>
      <c r="B562" s="1" t="n">
        <v>44019</v>
      </c>
      <c r="C562" s="1" t="n">
        <v>45511</v>
      </c>
      <c r="D562" t="inlineStr">
        <is>
          <t>VÄSTERNORRLANDS LÄN</t>
        </is>
      </c>
      <c r="E562" t="inlineStr">
        <is>
          <t>SOLLEFTEÅ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33013-2020</t>
        </is>
      </c>
      <c r="B563" s="1" t="n">
        <v>44020</v>
      </c>
      <c r="C563" s="1" t="n">
        <v>45511</v>
      </c>
      <c r="D563" t="inlineStr">
        <is>
          <t>VÄSTERNORRLANDS LÄN</t>
        </is>
      </c>
      <c r="E563" t="inlineStr">
        <is>
          <t>SOLLEFTEÅ</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33009-2020</t>
        </is>
      </c>
      <c r="B564" s="1" t="n">
        <v>44020</v>
      </c>
      <c r="C564" s="1" t="n">
        <v>45511</v>
      </c>
      <c r="D564" t="inlineStr">
        <is>
          <t>VÄSTERNORRLANDS LÄN</t>
        </is>
      </c>
      <c r="E564" t="inlineStr">
        <is>
          <t>SOLLEFTEÅ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33014-2020</t>
        </is>
      </c>
      <c r="B565" s="1" t="n">
        <v>44021</v>
      </c>
      <c r="C565" s="1" t="n">
        <v>45511</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33010-2020</t>
        </is>
      </c>
      <c r="B566" s="1" t="n">
        <v>44020</v>
      </c>
      <c r="C566" s="1" t="n">
        <v>45511</v>
      </c>
      <c r="D566" t="inlineStr">
        <is>
          <t>VÄSTERNORRLANDS LÄN</t>
        </is>
      </c>
      <c r="E566" t="inlineStr">
        <is>
          <t>SOLLEFTEÅ</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33200-2020</t>
        </is>
      </c>
      <c r="B567" s="1" t="n">
        <v>44021</v>
      </c>
      <c r="C567" s="1" t="n">
        <v>45511</v>
      </c>
      <c r="D567" t="inlineStr">
        <is>
          <t>VÄSTERNORRLANDS LÄN</t>
        </is>
      </c>
      <c r="E567" t="inlineStr">
        <is>
          <t>SOLLEFTEÅ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33211-2020</t>
        </is>
      </c>
      <c r="B568" s="1" t="n">
        <v>44021</v>
      </c>
      <c r="C568" s="1" t="n">
        <v>45511</v>
      </c>
      <c r="D568" t="inlineStr">
        <is>
          <t>VÄSTERNORRLANDS LÄN</t>
        </is>
      </c>
      <c r="E568" t="inlineStr">
        <is>
          <t>SOLLEFTEÅ</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33212-2020</t>
        </is>
      </c>
      <c r="B569" s="1" t="n">
        <v>44021</v>
      </c>
      <c r="C569" s="1" t="n">
        <v>45511</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33440-2020</t>
        </is>
      </c>
      <c r="B570" s="1" t="n">
        <v>44022</v>
      </c>
      <c r="C570" s="1" t="n">
        <v>45511</v>
      </c>
      <c r="D570" t="inlineStr">
        <is>
          <t>VÄSTERNORRLANDS LÄN</t>
        </is>
      </c>
      <c r="E570" t="inlineStr">
        <is>
          <t>SOLLEFTEÅ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33458-2020</t>
        </is>
      </c>
      <c r="B571" s="1" t="n">
        <v>44022</v>
      </c>
      <c r="C571" s="1" t="n">
        <v>45511</v>
      </c>
      <c r="D571" t="inlineStr">
        <is>
          <t>VÄSTERNORRLANDS LÄN</t>
        </is>
      </c>
      <c r="E571" t="inlineStr">
        <is>
          <t>SOLLEFTEÅ</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33445-2020</t>
        </is>
      </c>
      <c r="B572" s="1" t="n">
        <v>44022</v>
      </c>
      <c r="C572" s="1" t="n">
        <v>45511</v>
      </c>
      <c r="D572" t="inlineStr">
        <is>
          <t>VÄSTERNORRLANDS LÄN</t>
        </is>
      </c>
      <c r="E572" t="inlineStr">
        <is>
          <t>SOLLEFTEÅ</t>
        </is>
      </c>
      <c r="G572" t="n">
        <v>4.5</v>
      </c>
      <c r="H572" t="n">
        <v>0</v>
      </c>
      <c r="I572" t="n">
        <v>0</v>
      </c>
      <c r="J572" t="n">
        <v>0</v>
      </c>
      <c r="K572" t="n">
        <v>0</v>
      </c>
      <c r="L572" t="n">
        <v>0</v>
      </c>
      <c r="M572" t="n">
        <v>0</v>
      </c>
      <c r="N572" t="n">
        <v>0</v>
      </c>
      <c r="O572" t="n">
        <v>0</v>
      </c>
      <c r="P572" t="n">
        <v>0</v>
      </c>
      <c r="Q572" t="n">
        <v>0</v>
      </c>
      <c r="R572" s="2" t="inlineStr"/>
    </row>
    <row r="573" ht="15" customHeight="1">
      <c r="A573" t="inlineStr">
        <is>
          <t>A 33492-2020</t>
        </is>
      </c>
      <c r="B573" s="1" t="n">
        <v>44024</v>
      </c>
      <c r="C573" s="1" t="n">
        <v>45511</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33640-2020</t>
        </is>
      </c>
      <c r="B574" s="1" t="n">
        <v>44025</v>
      </c>
      <c r="C574" s="1" t="n">
        <v>45511</v>
      </c>
      <c r="D574" t="inlineStr">
        <is>
          <t>VÄSTERNORRLANDS LÄN</t>
        </is>
      </c>
      <c r="E574" t="inlineStr">
        <is>
          <t>SOLLEFTEÅ</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33641-2020</t>
        </is>
      </c>
      <c r="B575" s="1" t="n">
        <v>44025</v>
      </c>
      <c r="C575" s="1" t="n">
        <v>45511</v>
      </c>
      <c r="D575" t="inlineStr">
        <is>
          <t>VÄSTERNORRLANDS LÄN</t>
        </is>
      </c>
      <c r="E575" t="inlineStr">
        <is>
          <t>SOLLEFTEÅ</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33628-2020</t>
        </is>
      </c>
      <c r="B576" s="1" t="n">
        <v>44025</v>
      </c>
      <c r="C576" s="1" t="n">
        <v>45511</v>
      </c>
      <c r="D576" t="inlineStr">
        <is>
          <t>VÄSTERNORRLANDS LÄN</t>
        </is>
      </c>
      <c r="E576" t="inlineStr">
        <is>
          <t>SOLLEFTEÅ</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33784-2020</t>
        </is>
      </c>
      <c r="B577" s="1" t="n">
        <v>44026</v>
      </c>
      <c r="C577" s="1" t="n">
        <v>45511</v>
      </c>
      <c r="D577" t="inlineStr">
        <is>
          <t>VÄSTERNORRLANDS LÄN</t>
        </is>
      </c>
      <c r="E577" t="inlineStr">
        <is>
          <t>SOLLEFTEÅ</t>
        </is>
      </c>
      <c r="F577" t="inlineStr">
        <is>
          <t>SCA</t>
        </is>
      </c>
      <c r="G577" t="n">
        <v>10.6</v>
      </c>
      <c r="H577" t="n">
        <v>0</v>
      </c>
      <c r="I577" t="n">
        <v>0</v>
      </c>
      <c r="J577" t="n">
        <v>0</v>
      </c>
      <c r="K577" t="n">
        <v>0</v>
      </c>
      <c r="L577" t="n">
        <v>0</v>
      </c>
      <c r="M577" t="n">
        <v>0</v>
      </c>
      <c r="N577" t="n">
        <v>0</v>
      </c>
      <c r="O577" t="n">
        <v>0</v>
      </c>
      <c r="P577" t="n">
        <v>0</v>
      </c>
      <c r="Q577" t="n">
        <v>0</v>
      </c>
      <c r="R577" s="2" t="inlineStr"/>
    </row>
    <row r="578" ht="15" customHeight="1">
      <c r="A578" t="inlineStr">
        <is>
          <t>A 33782-2020</t>
        </is>
      </c>
      <c r="B578" s="1" t="n">
        <v>44026</v>
      </c>
      <c r="C578" s="1" t="n">
        <v>45511</v>
      </c>
      <c r="D578" t="inlineStr">
        <is>
          <t>VÄSTERNORRLANDS LÄN</t>
        </is>
      </c>
      <c r="E578" t="inlineStr">
        <is>
          <t>SOLLEFTEÅ</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33950-2020</t>
        </is>
      </c>
      <c r="B579" s="1" t="n">
        <v>44027</v>
      </c>
      <c r="C579" s="1" t="n">
        <v>45511</v>
      </c>
      <c r="D579" t="inlineStr">
        <is>
          <t>VÄSTERNORRLANDS LÄN</t>
        </is>
      </c>
      <c r="E579" t="inlineStr">
        <is>
          <t>SOLLEFTEÅ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34120-2020</t>
        </is>
      </c>
      <c r="B580" s="1" t="n">
        <v>44029</v>
      </c>
      <c r="C580" s="1" t="n">
        <v>45511</v>
      </c>
      <c r="D580" t="inlineStr">
        <is>
          <t>VÄSTERNORRLANDS LÄN</t>
        </is>
      </c>
      <c r="E580" t="inlineStr">
        <is>
          <t>SOLLEFTEÅ</t>
        </is>
      </c>
      <c r="G580" t="n">
        <v>1.6</v>
      </c>
      <c r="H580" t="n">
        <v>0</v>
      </c>
      <c r="I580" t="n">
        <v>0</v>
      </c>
      <c r="J580" t="n">
        <v>0</v>
      </c>
      <c r="K580" t="n">
        <v>0</v>
      </c>
      <c r="L580" t="n">
        <v>0</v>
      </c>
      <c r="M580" t="n">
        <v>0</v>
      </c>
      <c r="N580" t="n">
        <v>0</v>
      </c>
      <c r="O580" t="n">
        <v>0</v>
      </c>
      <c r="P580" t="n">
        <v>0</v>
      </c>
      <c r="Q580" t="n">
        <v>0</v>
      </c>
      <c r="R580" s="2" t="inlineStr"/>
    </row>
    <row r="581" ht="15" customHeight="1">
      <c r="A581" t="inlineStr">
        <is>
          <t>A 34474-2020</t>
        </is>
      </c>
      <c r="B581" s="1" t="n">
        <v>44032</v>
      </c>
      <c r="C581" s="1" t="n">
        <v>45511</v>
      </c>
      <c r="D581" t="inlineStr">
        <is>
          <t>VÄSTERNORRLANDS LÄN</t>
        </is>
      </c>
      <c r="E581" t="inlineStr">
        <is>
          <t>SOLLEFTEÅ</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34585-2020</t>
        </is>
      </c>
      <c r="B582" s="1" t="n">
        <v>44033</v>
      </c>
      <c r="C582" s="1" t="n">
        <v>45511</v>
      </c>
      <c r="D582" t="inlineStr">
        <is>
          <t>VÄSTERNORRLANDS LÄN</t>
        </is>
      </c>
      <c r="E582" t="inlineStr">
        <is>
          <t>SOLLEFTEÅ</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34669-2020</t>
        </is>
      </c>
      <c r="B583" s="1" t="n">
        <v>44034</v>
      </c>
      <c r="C583" s="1" t="n">
        <v>45511</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34800-2020</t>
        </is>
      </c>
      <c r="B584" s="1" t="n">
        <v>44035</v>
      </c>
      <c r="C584" s="1" t="n">
        <v>45511</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34921-2020</t>
        </is>
      </c>
      <c r="B585" s="1" t="n">
        <v>44036</v>
      </c>
      <c r="C585" s="1" t="n">
        <v>45511</v>
      </c>
      <c r="D585" t="inlineStr">
        <is>
          <t>VÄSTERNORRLANDS LÄN</t>
        </is>
      </c>
      <c r="E585" t="inlineStr">
        <is>
          <t>SOLLEFTEÅ</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34923-2020</t>
        </is>
      </c>
      <c r="B586" s="1" t="n">
        <v>44037</v>
      </c>
      <c r="C586" s="1" t="n">
        <v>45511</v>
      </c>
      <c r="D586" t="inlineStr">
        <is>
          <t>VÄSTERNORRLANDS LÄN</t>
        </is>
      </c>
      <c r="E586" t="inlineStr">
        <is>
          <t>SOLLEFTEÅ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34922-2020</t>
        </is>
      </c>
      <c r="B587" s="1" t="n">
        <v>44036</v>
      </c>
      <c r="C587" s="1" t="n">
        <v>45511</v>
      </c>
      <c r="D587" t="inlineStr">
        <is>
          <t>VÄSTERNORRLANDS LÄN</t>
        </is>
      </c>
      <c r="E587" t="inlineStr">
        <is>
          <t>SOLLEFTEÅ</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35220-2020</t>
        </is>
      </c>
      <c r="B588" s="1" t="n">
        <v>44041</v>
      </c>
      <c r="C588" s="1" t="n">
        <v>45511</v>
      </c>
      <c r="D588" t="inlineStr">
        <is>
          <t>VÄSTERNORRLANDS LÄN</t>
        </is>
      </c>
      <c r="E588" t="inlineStr">
        <is>
          <t>SOLLEFTEÅ</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35372-2020</t>
        </is>
      </c>
      <c r="B589" s="1" t="n">
        <v>44041</v>
      </c>
      <c r="C589" s="1" t="n">
        <v>45511</v>
      </c>
      <c r="D589" t="inlineStr">
        <is>
          <t>VÄSTERNORRLANDS LÄN</t>
        </is>
      </c>
      <c r="E589" t="inlineStr">
        <is>
          <t>SOLLEFTEÅ</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35361-2020</t>
        </is>
      </c>
      <c r="B590" s="1" t="n">
        <v>44041</v>
      </c>
      <c r="C590" s="1" t="n">
        <v>45511</v>
      </c>
      <c r="D590" t="inlineStr">
        <is>
          <t>VÄSTERNORRLANDS LÄN</t>
        </is>
      </c>
      <c r="E590" t="inlineStr">
        <is>
          <t>SOLLEFTEÅ</t>
        </is>
      </c>
      <c r="F590" t="inlineStr">
        <is>
          <t>SCA</t>
        </is>
      </c>
      <c r="G590" t="n">
        <v>13.6</v>
      </c>
      <c r="H590" t="n">
        <v>0</v>
      </c>
      <c r="I590" t="n">
        <v>0</v>
      </c>
      <c r="J590" t="n">
        <v>0</v>
      </c>
      <c r="K590" t="n">
        <v>0</v>
      </c>
      <c r="L590" t="n">
        <v>0</v>
      </c>
      <c r="M590" t="n">
        <v>0</v>
      </c>
      <c r="N590" t="n">
        <v>0</v>
      </c>
      <c r="O590" t="n">
        <v>0</v>
      </c>
      <c r="P590" t="n">
        <v>0</v>
      </c>
      <c r="Q590" t="n">
        <v>0</v>
      </c>
      <c r="R590" s="2" t="inlineStr"/>
    </row>
    <row r="591" ht="15" customHeight="1">
      <c r="A591" t="inlineStr">
        <is>
          <t>A 36789-2020</t>
        </is>
      </c>
      <c r="B591" s="1" t="n">
        <v>44048</v>
      </c>
      <c r="C591" s="1" t="n">
        <v>45511</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36660-2020</t>
        </is>
      </c>
      <c r="B592" s="1" t="n">
        <v>44050</v>
      </c>
      <c r="C592" s="1" t="n">
        <v>45511</v>
      </c>
      <c r="D592" t="inlineStr">
        <is>
          <t>VÄSTERNORRLANDS LÄN</t>
        </is>
      </c>
      <c r="E592" t="inlineStr">
        <is>
          <t>SOLLEFTEÅ</t>
        </is>
      </c>
      <c r="G592" t="n">
        <v>18.2</v>
      </c>
      <c r="H592" t="n">
        <v>0</v>
      </c>
      <c r="I592" t="n">
        <v>0</v>
      </c>
      <c r="J592" t="n">
        <v>0</v>
      </c>
      <c r="K592" t="n">
        <v>0</v>
      </c>
      <c r="L592" t="n">
        <v>0</v>
      </c>
      <c r="M592" t="n">
        <v>0</v>
      </c>
      <c r="N592" t="n">
        <v>0</v>
      </c>
      <c r="O592" t="n">
        <v>0</v>
      </c>
      <c r="P592" t="n">
        <v>0</v>
      </c>
      <c r="Q592" t="n">
        <v>0</v>
      </c>
      <c r="R592" s="2" t="inlineStr"/>
    </row>
    <row r="593" ht="15" customHeight="1">
      <c r="A593" t="inlineStr">
        <is>
          <t>A 36811-2020</t>
        </is>
      </c>
      <c r="B593" s="1" t="n">
        <v>44053</v>
      </c>
      <c r="C593" s="1" t="n">
        <v>45511</v>
      </c>
      <c r="D593" t="inlineStr">
        <is>
          <t>VÄSTERNORRLANDS LÄN</t>
        </is>
      </c>
      <c r="E593" t="inlineStr">
        <is>
          <t>SOLLEFTEÅ</t>
        </is>
      </c>
      <c r="G593" t="n">
        <v>4.7</v>
      </c>
      <c r="H593" t="n">
        <v>0</v>
      </c>
      <c r="I593" t="n">
        <v>0</v>
      </c>
      <c r="J593" t="n">
        <v>0</v>
      </c>
      <c r="K593" t="n">
        <v>0</v>
      </c>
      <c r="L593" t="n">
        <v>0</v>
      </c>
      <c r="M593" t="n">
        <v>0</v>
      </c>
      <c r="N593" t="n">
        <v>0</v>
      </c>
      <c r="O593" t="n">
        <v>0</v>
      </c>
      <c r="P593" t="n">
        <v>0</v>
      </c>
      <c r="Q593" t="n">
        <v>0</v>
      </c>
      <c r="R593" s="2" t="inlineStr"/>
    </row>
    <row r="594" ht="15" customHeight="1">
      <c r="A594" t="inlineStr">
        <is>
          <t>A 37710-2020</t>
        </is>
      </c>
      <c r="B594" s="1" t="n">
        <v>44056</v>
      </c>
      <c r="C594" s="1" t="n">
        <v>45511</v>
      </c>
      <c r="D594" t="inlineStr">
        <is>
          <t>VÄSTERNORRLANDS LÄN</t>
        </is>
      </c>
      <c r="E594" t="inlineStr">
        <is>
          <t>SOLLEFTEÅ</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38482-2020</t>
        </is>
      </c>
      <c r="B595" s="1" t="n">
        <v>44060</v>
      </c>
      <c r="C595" s="1" t="n">
        <v>45511</v>
      </c>
      <c r="D595" t="inlineStr">
        <is>
          <t>VÄSTERNORRLANDS LÄN</t>
        </is>
      </c>
      <c r="E595" t="inlineStr">
        <is>
          <t>SOLLEFTEÅ</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38517-2020</t>
        </is>
      </c>
      <c r="B596" s="1" t="n">
        <v>44060</v>
      </c>
      <c r="C596" s="1" t="n">
        <v>45511</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39007-2020</t>
        </is>
      </c>
      <c r="B597" s="1" t="n">
        <v>44062</v>
      </c>
      <c r="C597" s="1" t="n">
        <v>45511</v>
      </c>
      <c r="D597" t="inlineStr">
        <is>
          <t>VÄSTERNORRLANDS LÄN</t>
        </is>
      </c>
      <c r="E597" t="inlineStr">
        <is>
          <t>SOLLEFTEÅ</t>
        </is>
      </c>
      <c r="F597" t="inlineStr">
        <is>
          <t>Kyrkan</t>
        </is>
      </c>
      <c r="G597" t="n">
        <v>5</v>
      </c>
      <c r="H597" t="n">
        <v>0</v>
      </c>
      <c r="I597" t="n">
        <v>0</v>
      </c>
      <c r="J597" t="n">
        <v>0</v>
      </c>
      <c r="K597" t="n">
        <v>0</v>
      </c>
      <c r="L597" t="n">
        <v>0</v>
      </c>
      <c r="M597" t="n">
        <v>0</v>
      </c>
      <c r="N597" t="n">
        <v>0</v>
      </c>
      <c r="O597" t="n">
        <v>0</v>
      </c>
      <c r="P597" t="n">
        <v>0</v>
      </c>
      <c r="Q597" t="n">
        <v>0</v>
      </c>
      <c r="R597" s="2" t="inlineStr"/>
    </row>
    <row r="598" ht="15" customHeight="1">
      <c r="A598" t="inlineStr">
        <is>
          <t>A 39077-2020</t>
        </is>
      </c>
      <c r="B598" s="1" t="n">
        <v>44062</v>
      </c>
      <c r="C598" s="1" t="n">
        <v>45511</v>
      </c>
      <c r="D598" t="inlineStr">
        <is>
          <t>VÄSTERNORRLANDS LÄN</t>
        </is>
      </c>
      <c r="E598" t="inlineStr">
        <is>
          <t>SOLLEFTEÅ</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39016-2020</t>
        </is>
      </c>
      <c r="B599" s="1" t="n">
        <v>44062</v>
      </c>
      <c r="C599" s="1" t="n">
        <v>45511</v>
      </c>
      <c r="D599" t="inlineStr">
        <is>
          <t>VÄSTERNORRLANDS LÄN</t>
        </is>
      </c>
      <c r="E599" t="inlineStr">
        <is>
          <t>SOLLEFTEÅ</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39148-2020</t>
        </is>
      </c>
      <c r="B600" s="1" t="n">
        <v>44063</v>
      </c>
      <c r="C600" s="1" t="n">
        <v>45511</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39409-2020</t>
        </is>
      </c>
      <c r="B601" s="1" t="n">
        <v>44064</v>
      </c>
      <c r="C601" s="1" t="n">
        <v>45511</v>
      </c>
      <c r="D601" t="inlineStr">
        <is>
          <t>VÄSTERNORRLANDS LÄN</t>
        </is>
      </c>
      <c r="E601" t="inlineStr">
        <is>
          <t>SOLLEFTEÅ</t>
        </is>
      </c>
      <c r="F601" t="inlineStr">
        <is>
          <t>Holmen skog AB</t>
        </is>
      </c>
      <c r="G601" t="n">
        <v>7.8</v>
      </c>
      <c r="H601" t="n">
        <v>0</v>
      </c>
      <c r="I601" t="n">
        <v>0</v>
      </c>
      <c r="J601" t="n">
        <v>0</v>
      </c>
      <c r="K601" t="n">
        <v>0</v>
      </c>
      <c r="L601" t="n">
        <v>0</v>
      </c>
      <c r="M601" t="n">
        <v>0</v>
      </c>
      <c r="N601" t="n">
        <v>0</v>
      </c>
      <c r="O601" t="n">
        <v>0</v>
      </c>
      <c r="P601" t="n">
        <v>0</v>
      </c>
      <c r="Q601" t="n">
        <v>0</v>
      </c>
      <c r="R601" s="2" t="inlineStr"/>
    </row>
    <row r="602" ht="15" customHeight="1">
      <c r="A602" t="inlineStr">
        <is>
          <t>A 39479-2020</t>
        </is>
      </c>
      <c r="B602" s="1" t="n">
        <v>44064</v>
      </c>
      <c r="C602" s="1" t="n">
        <v>45511</v>
      </c>
      <c r="D602" t="inlineStr">
        <is>
          <t>VÄSTERNORRLANDS LÄN</t>
        </is>
      </c>
      <c r="E602" t="inlineStr">
        <is>
          <t>SOLLEFTEÅ</t>
        </is>
      </c>
      <c r="G602" t="n">
        <v>17.8</v>
      </c>
      <c r="H602" t="n">
        <v>0</v>
      </c>
      <c r="I602" t="n">
        <v>0</v>
      </c>
      <c r="J602" t="n">
        <v>0</v>
      </c>
      <c r="K602" t="n">
        <v>0</v>
      </c>
      <c r="L602" t="n">
        <v>0</v>
      </c>
      <c r="M602" t="n">
        <v>0</v>
      </c>
      <c r="N602" t="n">
        <v>0</v>
      </c>
      <c r="O602" t="n">
        <v>0</v>
      </c>
      <c r="P602" t="n">
        <v>0</v>
      </c>
      <c r="Q602" t="n">
        <v>0</v>
      </c>
      <c r="R602" s="2" t="inlineStr"/>
    </row>
    <row r="603" ht="15" customHeight="1">
      <c r="A603" t="inlineStr">
        <is>
          <t>A 40180-2020</t>
        </is>
      </c>
      <c r="B603" s="1" t="n">
        <v>44064</v>
      </c>
      <c r="C603" s="1" t="n">
        <v>45511</v>
      </c>
      <c r="D603" t="inlineStr">
        <is>
          <t>VÄSTERNORRLANDS LÄN</t>
        </is>
      </c>
      <c r="E603" t="inlineStr">
        <is>
          <t>SOLLEFTEÅ</t>
        </is>
      </c>
      <c r="G603" t="n">
        <v>3.8</v>
      </c>
      <c r="H603" t="n">
        <v>0</v>
      </c>
      <c r="I603" t="n">
        <v>0</v>
      </c>
      <c r="J603" t="n">
        <v>0</v>
      </c>
      <c r="K603" t="n">
        <v>0</v>
      </c>
      <c r="L603" t="n">
        <v>0</v>
      </c>
      <c r="M603" t="n">
        <v>0</v>
      </c>
      <c r="N603" t="n">
        <v>0</v>
      </c>
      <c r="O603" t="n">
        <v>0</v>
      </c>
      <c r="P603" t="n">
        <v>0</v>
      </c>
      <c r="Q603" t="n">
        <v>0</v>
      </c>
      <c r="R603" s="2" t="inlineStr"/>
    </row>
    <row r="604" ht="15" customHeight="1">
      <c r="A604" t="inlineStr">
        <is>
          <t>A 39681-2020</t>
        </is>
      </c>
      <c r="B604" s="1" t="n">
        <v>44065</v>
      </c>
      <c r="C604" s="1" t="n">
        <v>45511</v>
      </c>
      <c r="D604" t="inlineStr">
        <is>
          <t>VÄSTERNORRLANDS LÄN</t>
        </is>
      </c>
      <c r="E604" t="inlineStr">
        <is>
          <t>SOLLEFTEÅ</t>
        </is>
      </c>
      <c r="F604" t="inlineStr">
        <is>
          <t>SCA</t>
        </is>
      </c>
      <c r="G604" t="n">
        <v>19.7</v>
      </c>
      <c r="H604" t="n">
        <v>0</v>
      </c>
      <c r="I604" t="n">
        <v>0</v>
      </c>
      <c r="J604" t="n">
        <v>0</v>
      </c>
      <c r="K604" t="n">
        <v>0</v>
      </c>
      <c r="L604" t="n">
        <v>0</v>
      </c>
      <c r="M604" t="n">
        <v>0</v>
      </c>
      <c r="N604" t="n">
        <v>0</v>
      </c>
      <c r="O604" t="n">
        <v>0</v>
      </c>
      <c r="P604" t="n">
        <v>0</v>
      </c>
      <c r="Q604" t="n">
        <v>0</v>
      </c>
      <c r="R604" s="2" t="inlineStr"/>
    </row>
    <row r="605" ht="15" customHeight="1">
      <c r="A605" t="inlineStr">
        <is>
          <t>A 40476-2020</t>
        </is>
      </c>
      <c r="B605" s="1" t="n">
        <v>44067</v>
      </c>
      <c r="C605" s="1" t="n">
        <v>45511</v>
      </c>
      <c r="D605" t="inlineStr">
        <is>
          <t>VÄSTERNORRLANDS LÄN</t>
        </is>
      </c>
      <c r="E605" t="inlineStr">
        <is>
          <t>SOLLEFTEÅ</t>
        </is>
      </c>
      <c r="G605" t="n">
        <v>8</v>
      </c>
      <c r="H605" t="n">
        <v>0</v>
      </c>
      <c r="I605" t="n">
        <v>0</v>
      </c>
      <c r="J605" t="n">
        <v>0</v>
      </c>
      <c r="K605" t="n">
        <v>0</v>
      </c>
      <c r="L605" t="n">
        <v>0</v>
      </c>
      <c r="M605" t="n">
        <v>0</v>
      </c>
      <c r="N605" t="n">
        <v>0</v>
      </c>
      <c r="O605" t="n">
        <v>0</v>
      </c>
      <c r="P605" t="n">
        <v>0</v>
      </c>
      <c r="Q605" t="n">
        <v>0</v>
      </c>
      <c r="R605" s="2" t="inlineStr"/>
    </row>
    <row r="606" ht="15" customHeight="1">
      <c r="A606" t="inlineStr">
        <is>
          <t>A 40697-2020</t>
        </is>
      </c>
      <c r="B606" s="1" t="n">
        <v>44067</v>
      </c>
      <c r="C606" s="1" t="n">
        <v>45511</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40682-2020</t>
        </is>
      </c>
      <c r="B607" s="1" t="n">
        <v>44067</v>
      </c>
      <c r="C607" s="1" t="n">
        <v>45511</v>
      </c>
      <c r="D607" t="inlineStr">
        <is>
          <t>VÄSTERNORRLANDS LÄN</t>
        </is>
      </c>
      <c r="E607" t="inlineStr">
        <is>
          <t>SOLLEFTEÅ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40735-2020</t>
        </is>
      </c>
      <c r="B608" s="1" t="n">
        <v>44069</v>
      </c>
      <c r="C608" s="1" t="n">
        <v>45511</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40747-2020</t>
        </is>
      </c>
      <c r="B609" s="1" t="n">
        <v>44069</v>
      </c>
      <c r="C609" s="1" t="n">
        <v>45511</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42196-2020</t>
        </is>
      </c>
      <c r="B610" s="1" t="n">
        <v>44076</v>
      </c>
      <c r="C610" s="1" t="n">
        <v>45511</v>
      </c>
      <c r="D610" t="inlineStr">
        <is>
          <t>VÄSTERNORRLANDS LÄN</t>
        </is>
      </c>
      <c r="E610" t="inlineStr">
        <is>
          <t>SOLLEFTEÅ</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43300-2020</t>
        </is>
      </c>
      <c r="B611" s="1" t="n">
        <v>44076</v>
      </c>
      <c r="C611" s="1" t="n">
        <v>45511</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43160-2020</t>
        </is>
      </c>
      <c r="B612" s="1" t="n">
        <v>44076</v>
      </c>
      <c r="C612" s="1" t="n">
        <v>45511</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42846-2020</t>
        </is>
      </c>
      <c r="B613" s="1" t="n">
        <v>44078</v>
      </c>
      <c r="C613" s="1" t="n">
        <v>45511</v>
      </c>
      <c r="D613" t="inlineStr">
        <is>
          <t>VÄSTERNORRLANDS LÄN</t>
        </is>
      </c>
      <c r="E613" t="inlineStr">
        <is>
          <t>SOLLEFTEÅ</t>
        </is>
      </c>
      <c r="G613" t="n">
        <v>8.6</v>
      </c>
      <c r="H613" t="n">
        <v>0</v>
      </c>
      <c r="I613" t="n">
        <v>0</v>
      </c>
      <c r="J613" t="n">
        <v>0</v>
      </c>
      <c r="K613" t="n">
        <v>0</v>
      </c>
      <c r="L613" t="n">
        <v>0</v>
      </c>
      <c r="M613" t="n">
        <v>0</v>
      </c>
      <c r="N613" t="n">
        <v>0</v>
      </c>
      <c r="O613" t="n">
        <v>0</v>
      </c>
      <c r="P613" t="n">
        <v>0</v>
      </c>
      <c r="Q613" t="n">
        <v>0</v>
      </c>
      <c r="R613" s="2" t="inlineStr"/>
    </row>
    <row r="614" ht="15" customHeight="1">
      <c r="A614" t="inlineStr">
        <is>
          <t>A 43107-2020</t>
        </is>
      </c>
      <c r="B614" s="1" t="n">
        <v>44078</v>
      </c>
      <c r="C614" s="1" t="n">
        <v>45511</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43438-2020</t>
        </is>
      </c>
      <c r="B615" s="1" t="n">
        <v>44081</v>
      </c>
      <c r="C615" s="1" t="n">
        <v>45511</v>
      </c>
      <c r="D615" t="inlineStr">
        <is>
          <t>VÄSTERNORRLANDS LÄN</t>
        </is>
      </c>
      <c r="E615" t="inlineStr">
        <is>
          <t>SOLLEFTEÅ</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43820-2020</t>
        </is>
      </c>
      <c r="B616" s="1" t="n">
        <v>44082</v>
      </c>
      <c r="C616" s="1" t="n">
        <v>45511</v>
      </c>
      <c r="D616" t="inlineStr">
        <is>
          <t>VÄSTERNORRLANDS LÄN</t>
        </is>
      </c>
      <c r="E616" t="inlineStr">
        <is>
          <t>SOLLEFTEÅ</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45147-2020</t>
        </is>
      </c>
      <c r="B617" s="1" t="n">
        <v>44084</v>
      </c>
      <c r="C617" s="1" t="n">
        <v>45511</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44681-2020</t>
        </is>
      </c>
      <c r="B618" s="1" t="n">
        <v>44085</v>
      </c>
      <c r="C618" s="1" t="n">
        <v>45511</v>
      </c>
      <c r="D618" t="inlineStr">
        <is>
          <t>VÄSTERNORRLANDS LÄN</t>
        </is>
      </c>
      <c r="E618" t="inlineStr">
        <is>
          <t>SOLLEFTEÅ</t>
        </is>
      </c>
      <c r="G618" t="n">
        <v>7.8</v>
      </c>
      <c r="H618" t="n">
        <v>0</v>
      </c>
      <c r="I618" t="n">
        <v>0</v>
      </c>
      <c r="J618" t="n">
        <v>0</v>
      </c>
      <c r="K618" t="n">
        <v>0</v>
      </c>
      <c r="L618" t="n">
        <v>0</v>
      </c>
      <c r="M618" t="n">
        <v>0</v>
      </c>
      <c r="N618" t="n">
        <v>0</v>
      </c>
      <c r="O618" t="n">
        <v>0</v>
      </c>
      <c r="P618" t="n">
        <v>0</v>
      </c>
      <c r="Q618" t="n">
        <v>0</v>
      </c>
      <c r="R618" s="2" t="inlineStr"/>
    </row>
    <row r="619" ht="15" customHeight="1">
      <c r="A619" t="inlineStr">
        <is>
          <t>A 45250-2020</t>
        </is>
      </c>
      <c r="B619" s="1" t="n">
        <v>44088</v>
      </c>
      <c r="C619" s="1" t="n">
        <v>45511</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45251-2020</t>
        </is>
      </c>
      <c r="B620" s="1" t="n">
        <v>44088</v>
      </c>
      <c r="C620" s="1" t="n">
        <v>45511</v>
      </c>
      <c r="D620" t="inlineStr">
        <is>
          <t>VÄSTERNORRLANDS LÄN</t>
        </is>
      </c>
      <c r="E620" t="inlineStr">
        <is>
          <t>SOLLEFTEÅ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45549-2020</t>
        </is>
      </c>
      <c r="B621" s="1" t="n">
        <v>44090</v>
      </c>
      <c r="C621" s="1" t="n">
        <v>45511</v>
      </c>
      <c r="D621" t="inlineStr">
        <is>
          <t>VÄSTERNORRLANDS LÄN</t>
        </is>
      </c>
      <c r="E621" t="inlineStr">
        <is>
          <t>SOLLEFTEÅ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45542-2020</t>
        </is>
      </c>
      <c r="B622" s="1" t="n">
        <v>44089</v>
      </c>
      <c r="C622" s="1" t="n">
        <v>45511</v>
      </c>
      <c r="D622" t="inlineStr">
        <is>
          <t>VÄSTERNORRLANDS LÄN</t>
        </is>
      </c>
      <c r="E622" t="inlineStr">
        <is>
          <t>SOLLEFTEÅ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45551-2020</t>
        </is>
      </c>
      <c r="B623" s="1" t="n">
        <v>44089</v>
      </c>
      <c r="C623" s="1" t="n">
        <v>45511</v>
      </c>
      <c r="D623" t="inlineStr">
        <is>
          <t>VÄSTERNORRLANDS LÄN</t>
        </is>
      </c>
      <c r="E623" t="inlineStr">
        <is>
          <t>SOLLEFTEÅ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46715-2020</t>
        </is>
      </c>
      <c r="B624" s="1" t="n">
        <v>44095</v>
      </c>
      <c r="C624" s="1" t="n">
        <v>45511</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47827-2020</t>
        </is>
      </c>
      <c r="B625" s="1" t="n">
        <v>44098</v>
      </c>
      <c r="C625" s="1" t="n">
        <v>45511</v>
      </c>
      <c r="D625" t="inlineStr">
        <is>
          <t>VÄSTERNORRLANDS LÄN</t>
        </is>
      </c>
      <c r="E625" t="inlineStr">
        <is>
          <t>SOLLEFTEÅ</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47859-2020</t>
        </is>
      </c>
      <c r="B626" s="1" t="n">
        <v>44099</v>
      </c>
      <c r="C626" s="1" t="n">
        <v>45511</v>
      </c>
      <c r="D626" t="inlineStr">
        <is>
          <t>VÄSTERNORRLANDS LÄN</t>
        </is>
      </c>
      <c r="E626" t="inlineStr">
        <is>
          <t>SOLLEFTEÅ</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48052-2020</t>
        </is>
      </c>
      <c r="B627" s="1" t="n">
        <v>44100</v>
      </c>
      <c r="C627" s="1" t="n">
        <v>45511</v>
      </c>
      <c r="D627" t="inlineStr">
        <is>
          <t>VÄSTERNORRLANDS LÄN</t>
        </is>
      </c>
      <c r="E627" t="inlineStr">
        <is>
          <t>SOLLEFTEÅ</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48240-2020</t>
        </is>
      </c>
      <c r="B628" s="1" t="n">
        <v>44102</v>
      </c>
      <c r="C628" s="1" t="n">
        <v>45511</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48477-2020</t>
        </is>
      </c>
      <c r="B629" s="1" t="n">
        <v>44102</v>
      </c>
      <c r="C629" s="1" t="n">
        <v>45511</v>
      </c>
      <c r="D629" t="inlineStr">
        <is>
          <t>VÄSTERNORRLANDS LÄN</t>
        </is>
      </c>
      <c r="E629" t="inlineStr">
        <is>
          <t>SOLLEFTEÅ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48468-2020</t>
        </is>
      </c>
      <c r="B630" s="1" t="n">
        <v>44102</v>
      </c>
      <c r="C630" s="1" t="n">
        <v>45511</v>
      </c>
      <c r="D630" t="inlineStr">
        <is>
          <t>VÄSTERNORRLANDS LÄN</t>
        </is>
      </c>
      <c r="E630" t="inlineStr">
        <is>
          <t>SOLLEFTEÅ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48470-2020</t>
        </is>
      </c>
      <c r="B631" s="1" t="n">
        <v>44102</v>
      </c>
      <c r="C631" s="1" t="n">
        <v>45511</v>
      </c>
      <c r="D631" t="inlineStr">
        <is>
          <t>VÄSTERNORRLANDS LÄN</t>
        </is>
      </c>
      <c r="E631" t="inlineStr">
        <is>
          <t>SOLLEFTEÅ</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48475-2020</t>
        </is>
      </c>
      <c r="B632" s="1" t="n">
        <v>44103</v>
      </c>
      <c r="C632" s="1" t="n">
        <v>45511</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48802-2020</t>
        </is>
      </c>
      <c r="B633" s="1" t="n">
        <v>44103</v>
      </c>
      <c r="C633" s="1" t="n">
        <v>45511</v>
      </c>
      <c r="D633" t="inlineStr">
        <is>
          <t>VÄSTERNORRLANDS LÄN</t>
        </is>
      </c>
      <c r="E633" t="inlineStr">
        <is>
          <t>SOLLEFTEÅ</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49629-2020</t>
        </is>
      </c>
      <c r="B634" s="1" t="n">
        <v>44103</v>
      </c>
      <c r="C634" s="1" t="n">
        <v>45511</v>
      </c>
      <c r="D634" t="inlineStr">
        <is>
          <t>VÄSTERNORRLANDS LÄN</t>
        </is>
      </c>
      <c r="E634" t="inlineStr">
        <is>
          <t>SOLLEFTEÅ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49165-2020</t>
        </is>
      </c>
      <c r="B635" s="1" t="n">
        <v>44105</v>
      </c>
      <c r="C635" s="1" t="n">
        <v>45511</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49507-2020</t>
        </is>
      </c>
      <c r="B636" s="1" t="n">
        <v>44105</v>
      </c>
      <c r="C636" s="1" t="n">
        <v>45511</v>
      </c>
      <c r="D636" t="inlineStr">
        <is>
          <t>VÄSTERNORRLANDS LÄN</t>
        </is>
      </c>
      <c r="E636" t="inlineStr">
        <is>
          <t>SOLLEFTEÅ</t>
        </is>
      </c>
      <c r="F636" t="inlineStr">
        <is>
          <t>SCA</t>
        </is>
      </c>
      <c r="G636" t="n">
        <v>0.2</v>
      </c>
      <c r="H636" t="n">
        <v>0</v>
      </c>
      <c r="I636" t="n">
        <v>0</v>
      </c>
      <c r="J636" t="n">
        <v>0</v>
      </c>
      <c r="K636" t="n">
        <v>0</v>
      </c>
      <c r="L636" t="n">
        <v>0</v>
      </c>
      <c r="M636" t="n">
        <v>0</v>
      </c>
      <c r="N636" t="n">
        <v>0</v>
      </c>
      <c r="O636" t="n">
        <v>0</v>
      </c>
      <c r="P636" t="n">
        <v>0</v>
      </c>
      <c r="Q636" t="n">
        <v>0</v>
      </c>
      <c r="R636" s="2" t="inlineStr"/>
    </row>
    <row r="637" ht="15" customHeight="1">
      <c r="A637" t="inlineStr">
        <is>
          <t>A 49508-2020</t>
        </is>
      </c>
      <c r="B637" s="1" t="n">
        <v>44105</v>
      </c>
      <c r="C637" s="1" t="n">
        <v>45511</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49837-2020</t>
        </is>
      </c>
      <c r="B638" s="1" t="n">
        <v>44106</v>
      </c>
      <c r="C638" s="1" t="n">
        <v>45511</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50647-2020</t>
        </is>
      </c>
      <c r="B639" s="1" t="n">
        <v>44111</v>
      </c>
      <c r="C639" s="1" t="n">
        <v>45511</v>
      </c>
      <c r="D639" t="inlineStr">
        <is>
          <t>VÄSTERNORRLANDS LÄN</t>
        </is>
      </c>
      <c r="E639" t="inlineStr">
        <is>
          <t>SOLLEFTEÅ</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51018-2020</t>
        </is>
      </c>
      <c r="B640" s="1" t="n">
        <v>44111</v>
      </c>
      <c r="C640" s="1" t="n">
        <v>45511</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51011-2020</t>
        </is>
      </c>
      <c r="B641" s="1" t="n">
        <v>44111</v>
      </c>
      <c r="C641" s="1" t="n">
        <v>45511</v>
      </c>
      <c r="D641" t="inlineStr">
        <is>
          <t>VÄSTERNORRLANDS LÄN</t>
        </is>
      </c>
      <c r="E641" t="inlineStr">
        <is>
          <t>SOLLEFTEÅ</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51534-2020</t>
        </is>
      </c>
      <c r="B642" s="1" t="n">
        <v>44113</v>
      </c>
      <c r="C642" s="1" t="n">
        <v>45511</v>
      </c>
      <c r="D642" t="inlineStr">
        <is>
          <t>VÄSTERNORRLANDS LÄN</t>
        </is>
      </c>
      <c r="E642" t="inlineStr">
        <is>
          <t>SOLLEFTEÅ</t>
        </is>
      </c>
      <c r="G642" t="n">
        <v>2.7</v>
      </c>
      <c r="H642" t="n">
        <v>0</v>
      </c>
      <c r="I642" t="n">
        <v>0</v>
      </c>
      <c r="J642" t="n">
        <v>0</v>
      </c>
      <c r="K642" t="n">
        <v>0</v>
      </c>
      <c r="L642" t="n">
        <v>0</v>
      </c>
      <c r="M642" t="n">
        <v>0</v>
      </c>
      <c r="N642" t="n">
        <v>0</v>
      </c>
      <c r="O642" t="n">
        <v>0</v>
      </c>
      <c r="P642" t="n">
        <v>0</v>
      </c>
      <c r="Q642" t="n">
        <v>0</v>
      </c>
      <c r="R642" s="2" t="inlineStr"/>
    </row>
    <row r="643" ht="15" customHeight="1">
      <c r="A643" t="inlineStr">
        <is>
          <t>A 52035-2020</t>
        </is>
      </c>
      <c r="B643" s="1" t="n">
        <v>44117</v>
      </c>
      <c r="C643" s="1" t="n">
        <v>45511</v>
      </c>
      <c r="D643" t="inlineStr">
        <is>
          <t>VÄSTERNORRLANDS LÄN</t>
        </is>
      </c>
      <c r="E643" t="inlineStr">
        <is>
          <t>SOLLEFTEÅ</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52189-2020</t>
        </is>
      </c>
      <c r="B644" s="1" t="n">
        <v>44117</v>
      </c>
      <c r="C644" s="1" t="n">
        <v>45511</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52199-2020</t>
        </is>
      </c>
      <c r="B645" s="1" t="n">
        <v>44117</v>
      </c>
      <c r="C645" s="1" t="n">
        <v>45511</v>
      </c>
      <c r="D645" t="inlineStr">
        <is>
          <t>VÄSTERNORRLANDS LÄN</t>
        </is>
      </c>
      <c r="E645" t="inlineStr">
        <is>
          <t>SOLLEFTEÅ</t>
        </is>
      </c>
      <c r="G645" t="n">
        <v>4.9</v>
      </c>
      <c r="H645" t="n">
        <v>0</v>
      </c>
      <c r="I645" t="n">
        <v>0</v>
      </c>
      <c r="J645" t="n">
        <v>0</v>
      </c>
      <c r="K645" t="n">
        <v>0</v>
      </c>
      <c r="L645" t="n">
        <v>0</v>
      </c>
      <c r="M645" t="n">
        <v>0</v>
      </c>
      <c r="N645" t="n">
        <v>0</v>
      </c>
      <c r="O645" t="n">
        <v>0</v>
      </c>
      <c r="P645" t="n">
        <v>0</v>
      </c>
      <c r="Q645" t="n">
        <v>0</v>
      </c>
      <c r="R645" s="2" t="inlineStr"/>
    </row>
    <row r="646" ht="15" customHeight="1">
      <c r="A646" t="inlineStr">
        <is>
          <t>A 52406-2020</t>
        </is>
      </c>
      <c r="B646" s="1" t="n">
        <v>44118</v>
      </c>
      <c r="C646" s="1" t="n">
        <v>45511</v>
      </c>
      <c r="D646" t="inlineStr">
        <is>
          <t>VÄSTERNORRLANDS LÄN</t>
        </is>
      </c>
      <c r="E646" t="inlineStr">
        <is>
          <t>SOLLEFTEÅ</t>
        </is>
      </c>
      <c r="G646" t="n">
        <v>2.8</v>
      </c>
      <c r="H646" t="n">
        <v>0</v>
      </c>
      <c r="I646" t="n">
        <v>0</v>
      </c>
      <c r="J646" t="n">
        <v>0</v>
      </c>
      <c r="K646" t="n">
        <v>0</v>
      </c>
      <c r="L646" t="n">
        <v>0</v>
      </c>
      <c r="M646" t="n">
        <v>0</v>
      </c>
      <c r="N646" t="n">
        <v>0</v>
      </c>
      <c r="O646" t="n">
        <v>0</v>
      </c>
      <c r="P646" t="n">
        <v>0</v>
      </c>
      <c r="Q646" t="n">
        <v>0</v>
      </c>
      <c r="R646" s="2" t="inlineStr"/>
    </row>
    <row r="647" ht="15" customHeight="1">
      <c r="A647" t="inlineStr">
        <is>
          <t>A 52983-2020</t>
        </is>
      </c>
      <c r="B647" s="1" t="n">
        <v>44119</v>
      </c>
      <c r="C647" s="1" t="n">
        <v>45511</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52936-2020</t>
        </is>
      </c>
      <c r="B648" s="1" t="n">
        <v>44120</v>
      </c>
      <c r="C648" s="1" t="n">
        <v>45511</v>
      </c>
      <c r="D648" t="inlineStr">
        <is>
          <t>VÄSTERNORRLANDS LÄN</t>
        </is>
      </c>
      <c r="E648" t="inlineStr">
        <is>
          <t>SOLLEFTEÅ</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53828-2020</t>
        </is>
      </c>
      <c r="B649" s="1" t="n">
        <v>44124</v>
      </c>
      <c r="C649" s="1" t="n">
        <v>45511</v>
      </c>
      <c r="D649" t="inlineStr">
        <is>
          <t>VÄSTERNORRLANDS LÄN</t>
        </is>
      </c>
      <c r="E649" t="inlineStr">
        <is>
          <t>SOLLEFTEÅ</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54463-2020</t>
        </is>
      </c>
      <c r="B650" s="1" t="n">
        <v>44125</v>
      </c>
      <c r="C650" s="1" t="n">
        <v>45511</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53866-2020</t>
        </is>
      </c>
      <c r="B651" s="1" t="n">
        <v>44125</v>
      </c>
      <c r="C651" s="1" t="n">
        <v>45511</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54567-2020</t>
        </is>
      </c>
      <c r="B652" s="1" t="n">
        <v>44126</v>
      </c>
      <c r="C652" s="1" t="n">
        <v>45511</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54568-2020</t>
        </is>
      </c>
      <c r="B653" s="1" t="n">
        <v>44126</v>
      </c>
      <c r="C653" s="1" t="n">
        <v>45511</v>
      </c>
      <c r="D653" t="inlineStr">
        <is>
          <t>VÄSTERNORRLANDS LÄN</t>
        </is>
      </c>
      <c r="E653" t="inlineStr">
        <is>
          <t>SOLLEFTEÅ</t>
        </is>
      </c>
      <c r="G653" t="n">
        <v>0.2</v>
      </c>
      <c r="H653" t="n">
        <v>0</v>
      </c>
      <c r="I653" t="n">
        <v>0</v>
      </c>
      <c r="J653" t="n">
        <v>0</v>
      </c>
      <c r="K653" t="n">
        <v>0</v>
      </c>
      <c r="L653" t="n">
        <v>0</v>
      </c>
      <c r="M653" t="n">
        <v>0</v>
      </c>
      <c r="N653" t="n">
        <v>0</v>
      </c>
      <c r="O653" t="n">
        <v>0</v>
      </c>
      <c r="P653" t="n">
        <v>0</v>
      </c>
      <c r="Q653" t="n">
        <v>0</v>
      </c>
      <c r="R653" s="2" t="inlineStr"/>
    </row>
    <row r="654" ht="15" customHeight="1">
      <c r="A654" t="inlineStr">
        <is>
          <t>A 54572-2020</t>
        </is>
      </c>
      <c r="B654" s="1" t="n">
        <v>44126</v>
      </c>
      <c r="C654" s="1" t="n">
        <v>45511</v>
      </c>
      <c r="D654" t="inlineStr">
        <is>
          <t>VÄSTERNORRLANDS LÄN</t>
        </is>
      </c>
      <c r="E654" t="inlineStr">
        <is>
          <t>SOLLEFTEÅ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54576-2020</t>
        </is>
      </c>
      <c r="B655" s="1" t="n">
        <v>44126</v>
      </c>
      <c r="C655" s="1" t="n">
        <v>45511</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54571-2020</t>
        </is>
      </c>
      <c r="B656" s="1" t="n">
        <v>44126</v>
      </c>
      <c r="C656" s="1" t="n">
        <v>45511</v>
      </c>
      <c r="D656" t="inlineStr">
        <is>
          <t>VÄSTERNORRLANDS LÄN</t>
        </is>
      </c>
      <c r="E656" t="inlineStr">
        <is>
          <t>SOLLEFTEÅ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54569-2020</t>
        </is>
      </c>
      <c r="B657" s="1" t="n">
        <v>44126</v>
      </c>
      <c r="C657" s="1" t="n">
        <v>45511</v>
      </c>
      <c r="D657" t="inlineStr">
        <is>
          <t>VÄSTERNORRLANDS LÄN</t>
        </is>
      </c>
      <c r="E657" t="inlineStr">
        <is>
          <t>SOLLEFTEÅ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54566-2020</t>
        </is>
      </c>
      <c r="B658" s="1" t="n">
        <v>44126</v>
      </c>
      <c r="C658" s="1" t="n">
        <v>45511</v>
      </c>
      <c r="D658" t="inlineStr">
        <is>
          <t>VÄSTERNORRLANDS LÄN</t>
        </is>
      </c>
      <c r="E658" t="inlineStr">
        <is>
          <t>SOLLEFTEÅ</t>
        </is>
      </c>
      <c r="G658" t="n">
        <v>0.6</v>
      </c>
      <c r="H658" t="n">
        <v>0</v>
      </c>
      <c r="I658" t="n">
        <v>0</v>
      </c>
      <c r="J658" t="n">
        <v>0</v>
      </c>
      <c r="K658" t="n">
        <v>0</v>
      </c>
      <c r="L658" t="n">
        <v>0</v>
      </c>
      <c r="M658" t="n">
        <v>0</v>
      </c>
      <c r="N658" t="n">
        <v>0</v>
      </c>
      <c r="O658" t="n">
        <v>0</v>
      </c>
      <c r="P658" t="n">
        <v>0</v>
      </c>
      <c r="Q658" t="n">
        <v>0</v>
      </c>
      <c r="R658" s="2" t="inlineStr"/>
    </row>
    <row r="659" ht="15" customHeight="1">
      <c r="A659" t="inlineStr">
        <is>
          <t>A 54570-2020</t>
        </is>
      </c>
      <c r="B659" s="1" t="n">
        <v>44126</v>
      </c>
      <c r="C659" s="1" t="n">
        <v>45511</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54573-2020</t>
        </is>
      </c>
      <c r="B660" s="1" t="n">
        <v>44126</v>
      </c>
      <c r="C660" s="1" t="n">
        <v>45511</v>
      </c>
      <c r="D660" t="inlineStr">
        <is>
          <t>VÄSTERNORRLANDS LÄN</t>
        </is>
      </c>
      <c r="E660" t="inlineStr">
        <is>
          <t>SOLLEFTEÅ</t>
        </is>
      </c>
      <c r="G660" t="n">
        <v>0.2</v>
      </c>
      <c r="H660" t="n">
        <v>0</v>
      </c>
      <c r="I660" t="n">
        <v>0</v>
      </c>
      <c r="J660" t="n">
        <v>0</v>
      </c>
      <c r="K660" t="n">
        <v>0</v>
      </c>
      <c r="L660" t="n">
        <v>0</v>
      </c>
      <c r="M660" t="n">
        <v>0</v>
      </c>
      <c r="N660" t="n">
        <v>0</v>
      </c>
      <c r="O660" t="n">
        <v>0</v>
      </c>
      <c r="P660" t="n">
        <v>0</v>
      </c>
      <c r="Q660" t="n">
        <v>0</v>
      </c>
      <c r="R660" s="2" t="inlineStr"/>
    </row>
    <row r="661" ht="15" customHeight="1">
      <c r="A661" t="inlineStr">
        <is>
          <t>A 55337-2020</t>
        </is>
      </c>
      <c r="B661" s="1" t="n">
        <v>44130</v>
      </c>
      <c r="C661" s="1" t="n">
        <v>45511</v>
      </c>
      <c r="D661" t="inlineStr">
        <is>
          <t>VÄSTERNORRLANDS LÄN</t>
        </is>
      </c>
      <c r="E661" t="inlineStr">
        <is>
          <t>SOLLEFTEÅ</t>
        </is>
      </c>
      <c r="G661" t="n">
        <v>21.1</v>
      </c>
      <c r="H661" t="n">
        <v>0</v>
      </c>
      <c r="I661" t="n">
        <v>0</v>
      </c>
      <c r="J661" t="n">
        <v>0</v>
      </c>
      <c r="K661" t="n">
        <v>0</v>
      </c>
      <c r="L661" t="n">
        <v>0</v>
      </c>
      <c r="M661" t="n">
        <v>0</v>
      </c>
      <c r="N661" t="n">
        <v>0</v>
      </c>
      <c r="O661" t="n">
        <v>0</v>
      </c>
      <c r="P661" t="n">
        <v>0</v>
      </c>
      <c r="Q661" t="n">
        <v>0</v>
      </c>
      <c r="R661" s="2" t="inlineStr"/>
    </row>
    <row r="662" ht="15" customHeight="1">
      <c r="A662" t="inlineStr">
        <is>
          <t>A 55489-2020</t>
        </is>
      </c>
      <c r="B662" s="1" t="n">
        <v>44131</v>
      </c>
      <c r="C662" s="1" t="n">
        <v>45511</v>
      </c>
      <c r="D662" t="inlineStr">
        <is>
          <t>VÄSTERNORRLANDS LÄN</t>
        </is>
      </c>
      <c r="E662" t="inlineStr">
        <is>
          <t>SOLLEFTEÅ</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58380-2020</t>
        </is>
      </c>
      <c r="B663" s="1" t="n">
        <v>44145</v>
      </c>
      <c r="C663" s="1" t="n">
        <v>45511</v>
      </c>
      <c r="D663" t="inlineStr">
        <is>
          <t>VÄSTERNORRLANDS LÄN</t>
        </is>
      </c>
      <c r="E663" t="inlineStr">
        <is>
          <t>SOLLEFTEÅ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58381-2020</t>
        </is>
      </c>
      <c r="B664" s="1" t="n">
        <v>44145</v>
      </c>
      <c r="C664" s="1" t="n">
        <v>45511</v>
      </c>
      <c r="D664" t="inlineStr">
        <is>
          <t>VÄSTERNORRLANDS LÄN</t>
        </is>
      </c>
      <c r="E664" t="inlineStr">
        <is>
          <t>SOLLEFTEÅ</t>
        </is>
      </c>
      <c r="G664" t="n">
        <v>2.3</v>
      </c>
      <c r="H664" t="n">
        <v>0</v>
      </c>
      <c r="I664" t="n">
        <v>0</v>
      </c>
      <c r="J664" t="n">
        <v>0</v>
      </c>
      <c r="K664" t="n">
        <v>0</v>
      </c>
      <c r="L664" t="n">
        <v>0</v>
      </c>
      <c r="M664" t="n">
        <v>0</v>
      </c>
      <c r="N664" t="n">
        <v>0</v>
      </c>
      <c r="O664" t="n">
        <v>0</v>
      </c>
      <c r="P664" t="n">
        <v>0</v>
      </c>
      <c r="Q664" t="n">
        <v>0</v>
      </c>
      <c r="R664" s="2" t="inlineStr"/>
    </row>
    <row r="665" ht="15" customHeight="1">
      <c r="A665" t="inlineStr">
        <is>
          <t>A 59334-2020</t>
        </is>
      </c>
      <c r="B665" s="1" t="n">
        <v>44147</v>
      </c>
      <c r="C665" s="1" t="n">
        <v>45511</v>
      </c>
      <c r="D665" t="inlineStr">
        <is>
          <t>VÄSTERNORRLANDS LÄN</t>
        </is>
      </c>
      <c r="E665" t="inlineStr">
        <is>
          <t>SOLLEFTEÅ</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59950-2020</t>
        </is>
      </c>
      <c r="B666" s="1" t="n">
        <v>44151</v>
      </c>
      <c r="C666" s="1" t="n">
        <v>45511</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59953-2020</t>
        </is>
      </c>
      <c r="B667" s="1" t="n">
        <v>44151</v>
      </c>
      <c r="C667" s="1" t="n">
        <v>45511</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60091-2020</t>
        </is>
      </c>
      <c r="B668" s="1" t="n">
        <v>44151</v>
      </c>
      <c r="C668" s="1" t="n">
        <v>45511</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61127-2020</t>
        </is>
      </c>
      <c r="B669" s="1" t="n">
        <v>44154</v>
      </c>
      <c r="C669" s="1" t="n">
        <v>45511</v>
      </c>
      <c r="D669" t="inlineStr">
        <is>
          <t>VÄSTERNORRLANDS LÄN</t>
        </is>
      </c>
      <c r="E669" t="inlineStr">
        <is>
          <t>SOLLEFTEÅ</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61130-2020</t>
        </is>
      </c>
      <c r="B670" s="1" t="n">
        <v>44154</v>
      </c>
      <c r="C670" s="1" t="n">
        <v>45511</v>
      </c>
      <c r="D670" t="inlineStr">
        <is>
          <t>VÄSTERNORRLANDS LÄN</t>
        </is>
      </c>
      <c r="E670" t="inlineStr">
        <is>
          <t>SOLLEFTEÅ</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61894-2020</t>
        </is>
      </c>
      <c r="B671" s="1" t="n">
        <v>44155</v>
      </c>
      <c r="C671" s="1" t="n">
        <v>45511</v>
      </c>
      <c r="D671" t="inlineStr">
        <is>
          <t>VÄSTERNORRLANDS LÄN</t>
        </is>
      </c>
      <c r="E671" t="inlineStr">
        <is>
          <t>SOLLEFTEÅ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61943-2020</t>
        </is>
      </c>
      <c r="B672" s="1" t="n">
        <v>44155</v>
      </c>
      <c r="C672" s="1" t="n">
        <v>45511</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62666-2020</t>
        </is>
      </c>
      <c r="B673" s="1" t="n">
        <v>44161</v>
      </c>
      <c r="C673" s="1" t="n">
        <v>45511</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62881-2020</t>
        </is>
      </c>
      <c r="B674" s="1" t="n">
        <v>44161</v>
      </c>
      <c r="C674" s="1" t="n">
        <v>45511</v>
      </c>
      <c r="D674" t="inlineStr">
        <is>
          <t>VÄSTERNORRLANDS LÄN</t>
        </is>
      </c>
      <c r="E674" t="inlineStr">
        <is>
          <t>SOLLEFTEÅ</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62883-2020</t>
        </is>
      </c>
      <c r="B675" s="1" t="n">
        <v>44161</v>
      </c>
      <c r="C675" s="1" t="n">
        <v>45511</v>
      </c>
      <c r="D675" t="inlineStr">
        <is>
          <t>VÄSTERNORRLANDS LÄN</t>
        </is>
      </c>
      <c r="E675" t="inlineStr">
        <is>
          <t>SOLLEFTEÅ</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63190-2020</t>
        </is>
      </c>
      <c r="B676" s="1" t="n">
        <v>44162</v>
      </c>
      <c r="C676" s="1" t="n">
        <v>45511</v>
      </c>
      <c r="D676" t="inlineStr">
        <is>
          <t>VÄSTERNORRLANDS LÄN</t>
        </is>
      </c>
      <c r="E676" t="inlineStr">
        <is>
          <t>SOLLEFTEÅ</t>
        </is>
      </c>
      <c r="G676" t="n">
        <v>0.2</v>
      </c>
      <c r="H676" t="n">
        <v>0</v>
      </c>
      <c r="I676" t="n">
        <v>0</v>
      </c>
      <c r="J676" t="n">
        <v>0</v>
      </c>
      <c r="K676" t="n">
        <v>0</v>
      </c>
      <c r="L676" t="n">
        <v>0</v>
      </c>
      <c r="M676" t="n">
        <v>0</v>
      </c>
      <c r="N676" t="n">
        <v>0</v>
      </c>
      <c r="O676" t="n">
        <v>0</v>
      </c>
      <c r="P676" t="n">
        <v>0</v>
      </c>
      <c r="Q676" t="n">
        <v>0</v>
      </c>
      <c r="R676" s="2" t="inlineStr"/>
    </row>
    <row r="677" ht="15" customHeight="1">
      <c r="A677" t="inlineStr">
        <is>
          <t>A 63210-2020</t>
        </is>
      </c>
      <c r="B677" s="1" t="n">
        <v>44163</v>
      </c>
      <c r="C677" s="1" t="n">
        <v>45511</v>
      </c>
      <c r="D677" t="inlineStr">
        <is>
          <t>VÄSTERNORRLANDS LÄN</t>
        </is>
      </c>
      <c r="E677" t="inlineStr">
        <is>
          <t>SOLLEFTEÅ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65401-2020</t>
        </is>
      </c>
      <c r="B678" s="1" t="n">
        <v>44169</v>
      </c>
      <c r="C678" s="1" t="n">
        <v>45511</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65407-2020</t>
        </is>
      </c>
      <c r="B679" s="1" t="n">
        <v>44169</v>
      </c>
      <c r="C679" s="1" t="n">
        <v>45511</v>
      </c>
      <c r="D679" t="inlineStr">
        <is>
          <t>VÄSTERNORRLANDS LÄN</t>
        </is>
      </c>
      <c r="E679" t="inlineStr">
        <is>
          <t>SOLLEFTEÅ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65403-2020</t>
        </is>
      </c>
      <c r="B680" s="1" t="n">
        <v>44169</v>
      </c>
      <c r="C680" s="1" t="n">
        <v>45511</v>
      </c>
      <c r="D680" t="inlineStr">
        <is>
          <t>VÄSTERNORRLANDS LÄN</t>
        </is>
      </c>
      <c r="E680" t="inlineStr">
        <is>
          <t>SOLLEFTEÅ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67063-2020</t>
        </is>
      </c>
      <c r="B681" s="1" t="n">
        <v>44176</v>
      </c>
      <c r="C681" s="1" t="n">
        <v>45511</v>
      </c>
      <c r="D681" t="inlineStr">
        <is>
          <t>VÄSTERNORRLANDS LÄN</t>
        </is>
      </c>
      <c r="E681" t="inlineStr">
        <is>
          <t>SOLLEFTEÅ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66845-2020</t>
        </is>
      </c>
      <c r="B682" s="1" t="n">
        <v>44179</v>
      </c>
      <c r="C682" s="1" t="n">
        <v>45511</v>
      </c>
      <c r="D682" t="inlineStr">
        <is>
          <t>VÄSTERNORRLANDS LÄN</t>
        </is>
      </c>
      <c r="E682" t="inlineStr">
        <is>
          <t>SOLLEFTEÅ</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66844-2020</t>
        </is>
      </c>
      <c r="B683" s="1" t="n">
        <v>44179</v>
      </c>
      <c r="C683" s="1" t="n">
        <v>45511</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66850-2020</t>
        </is>
      </c>
      <c r="B684" s="1" t="n">
        <v>44179</v>
      </c>
      <c r="C684" s="1" t="n">
        <v>45511</v>
      </c>
      <c r="D684" t="inlineStr">
        <is>
          <t>VÄSTERNORRLANDS LÄN</t>
        </is>
      </c>
      <c r="E684" t="inlineStr">
        <is>
          <t>SOLLEFTEÅ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66851-2020</t>
        </is>
      </c>
      <c r="B685" s="1" t="n">
        <v>44179</v>
      </c>
      <c r="C685" s="1" t="n">
        <v>45511</v>
      </c>
      <c r="D685" t="inlineStr">
        <is>
          <t>VÄSTERNORRLANDS LÄN</t>
        </is>
      </c>
      <c r="E685" t="inlineStr">
        <is>
          <t>SOLLEFTEÅ</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66853-2020</t>
        </is>
      </c>
      <c r="B686" s="1" t="n">
        <v>44179</v>
      </c>
      <c r="C686" s="1" t="n">
        <v>45511</v>
      </c>
      <c r="D686" t="inlineStr">
        <is>
          <t>VÄSTERNORRLANDS LÄN</t>
        </is>
      </c>
      <c r="E686" t="inlineStr">
        <is>
          <t>SOLLEFTEÅ</t>
        </is>
      </c>
      <c r="F686" t="inlineStr">
        <is>
          <t>SCA</t>
        </is>
      </c>
      <c r="G686" t="n">
        <v>6</v>
      </c>
      <c r="H686" t="n">
        <v>0</v>
      </c>
      <c r="I686" t="n">
        <v>0</v>
      </c>
      <c r="J686" t="n">
        <v>0</v>
      </c>
      <c r="K686" t="n">
        <v>0</v>
      </c>
      <c r="L686" t="n">
        <v>0</v>
      </c>
      <c r="M686" t="n">
        <v>0</v>
      </c>
      <c r="N686" t="n">
        <v>0</v>
      </c>
      <c r="O686" t="n">
        <v>0</v>
      </c>
      <c r="P686" t="n">
        <v>0</v>
      </c>
      <c r="Q686" t="n">
        <v>0</v>
      </c>
      <c r="R686" s="2" t="inlineStr"/>
    </row>
    <row r="687" ht="15" customHeight="1">
      <c r="A687" t="inlineStr">
        <is>
          <t>A 67602-2020</t>
        </is>
      </c>
      <c r="B687" s="1" t="n">
        <v>44181</v>
      </c>
      <c r="C687" s="1" t="n">
        <v>45511</v>
      </c>
      <c r="D687" t="inlineStr">
        <is>
          <t>VÄSTERNORRLANDS LÄN</t>
        </is>
      </c>
      <c r="E687" t="inlineStr">
        <is>
          <t>SOLLEFTEÅ</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68016-2020</t>
        </is>
      </c>
      <c r="B688" s="1" t="n">
        <v>44182</v>
      </c>
      <c r="C688" s="1" t="n">
        <v>45511</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68026-2020</t>
        </is>
      </c>
      <c r="B689" s="1" t="n">
        <v>44182</v>
      </c>
      <c r="C689" s="1" t="n">
        <v>45511</v>
      </c>
      <c r="D689" t="inlineStr">
        <is>
          <t>VÄSTERNORRLANDS LÄN</t>
        </is>
      </c>
      <c r="E689" t="inlineStr">
        <is>
          <t>SOLLEFTEÅ</t>
        </is>
      </c>
      <c r="F689" t="inlineStr">
        <is>
          <t>SCA</t>
        </is>
      </c>
      <c r="G689" t="n">
        <v>4.8</v>
      </c>
      <c r="H689" t="n">
        <v>0</v>
      </c>
      <c r="I689" t="n">
        <v>0</v>
      </c>
      <c r="J689" t="n">
        <v>0</v>
      </c>
      <c r="K689" t="n">
        <v>0</v>
      </c>
      <c r="L689" t="n">
        <v>0</v>
      </c>
      <c r="M689" t="n">
        <v>0</v>
      </c>
      <c r="N689" t="n">
        <v>0</v>
      </c>
      <c r="O689" t="n">
        <v>0</v>
      </c>
      <c r="P689" t="n">
        <v>0</v>
      </c>
      <c r="Q689" t="n">
        <v>0</v>
      </c>
      <c r="R689" s="2" t="inlineStr"/>
    </row>
    <row r="690" ht="15" customHeight="1">
      <c r="A690" t="inlineStr">
        <is>
          <t>A 68022-2020</t>
        </is>
      </c>
      <c r="B690" s="1" t="n">
        <v>44182</v>
      </c>
      <c r="C690" s="1" t="n">
        <v>45511</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68031-2020</t>
        </is>
      </c>
      <c r="B691" s="1" t="n">
        <v>44182</v>
      </c>
      <c r="C691" s="1" t="n">
        <v>45511</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68036-2020</t>
        </is>
      </c>
      <c r="B692" s="1" t="n">
        <v>44182</v>
      </c>
      <c r="C692" s="1" t="n">
        <v>45511</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68020-2020</t>
        </is>
      </c>
      <c r="B693" s="1" t="n">
        <v>44182</v>
      </c>
      <c r="C693" s="1" t="n">
        <v>45511</v>
      </c>
      <c r="D693" t="inlineStr">
        <is>
          <t>VÄSTERNORRLANDS LÄN</t>
        </is>
      </c>
      <c r="E693" t="inlineStr">
        <is>
          <t>SOLLEFTEÅ</t>
        </is>
      </c>
      <c r="F693" t="inlineStr">
        <is>
          <t>SCA</t>
        </is>
      </c>
      <c r="G693" t="n">
        <v>8.5</v>
      </c>
      <c r="H693" t="n">
        <v>0</v>
      </c>
      <c r="I693" t="n">
        <v>0</v>
      </c>
      <c r="J693" t="n">
        <v>0</v>
      </c>
      <c r="K693" t="n">
        <v>0</v>
      </c>
      <c r="L693" t="n">
        <v>0</v>
      </c>
      <c r="M693" t="n">
        <v>0</v>
      </c>
      <c r="N693" t="n">
        <v>0</v>
      </c>
      <c r="O693" t="n">
        <v>0</v>
      </c>
      <c r="P693" t="n">
        <v>0</v>
      </c>
      <c r="Q693" t="n">
        <v>0</v>
      </c>
      <c r="R693" s="2" t="inlineStr"/>
    </row>
    <row r="694" ht="15" customHeight="1">
      <c r="A694" t="inlineStr">
        <is>
          <t>A 68030-2020</t>
        </is>
      </c>
      <c r="B694" s="1" t="n">
        <v>44182</v>
      </c>
      <c r="C694" s="1" t="n">
        <v>45511</v>
      </c>
      <c r="D694" t="inlineStr">
        <is>
          <t>VÄSTERNORRLANDS LÄN</t>
        </is>
      </c>
      <c r="E694" t="inlineStr">
        <is>
          <t>SOLLEFTEÅ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68034-2020</t>
        </is>
      </c>
      <c r="B695" s="1" t="n">
        <v>44182</v>
      </c>
      <c r="C695" s="1" t="n">
        <v>45511</v>
      </c>
      <c r="D695" t="inlineStr">
        <is>
          <t>VÄSTERNORRLANDS LÄN</t>
        </is>
      </c>
      <c r="E695" t="inlineStr">
        <is>
          <t>SOLLEFTEÅ</t>
        </is>
      </c>
      <c r="F695" t="inlineStr">
        <is>
          <t>SCA</t>
        </is>
      </c>
      <c r="G695" t="n">
        <v>17.1</v>
      </c>
      <c r="H695" t="n">
        <v>0</v>
      </c>
      <c r="I695" t="n">
        <v>0</v>
      </c>
      <c r="J695" t="n">
        <v>0</v>
      </c>
      <c r="K695" t="n">
        <v>0</v>
      </c>
      <c r="L695" t="n">
        <v>0</v>
      </c>
      <c r="M695" t="n">
        <v>0</v>
      </c>
      <c r="N695" t="n">
        <v>0</v>
      </c>
      <c r="O695" t="n">
        <v>0</v>
      </c>
      <c r="P695" t="n">
        <v>0</v>
      </c>
      <c r="Q695" t="n">
        <v>0</v>
      </c>
      <c r="R695" s="2" t="inlineStr"/>
    </row>
    <row r="696" ht="15" customHeight="1">
      <c r="A696" t="inlineStr">
        <is>
          <t>A 68033-2020</t>
        </is>
      </c>
      <c r="B696" s="1" t="n">
        <v>44182</v>
      </c>
      <c r="C696" s="1" t="n">
        <v>45511</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68015-2020</t>
        </is>
      </c>
      <c r="B697" s="1" t="n">
        <v>44182</v>
      </c>
      <c r="C697" s="1" t="n">
        <v>45511</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68025-2020</t>
        </is>
      </c>
      <c r="B698" s="1" t="n">
        <v>44182</v>
      </c>
      <c r="C698" s="1" t="n">
        <v>45511</v>
      </c>
      <c r="D698" t="inlineStr">
        <is>
          <t>VÄSTERNORRLANDS LÄN</t>
        </is>
      </c>
      <c r="E698" t="inlineStr">
        <is>
          <t>SOLLEFTEÅ</t>
        </is>
      </c>
      <c r="F698" t="inlineStr">
        <is>
          <t>SCA</t>
        </is>
      </c>
      <c r="G698" t="n">
        <v>7.6</v>
      </c>
      <c r="H698" t="n">
        <v>0</v>
      </c>
      <c r="I698" t="n">
        <v>0</v>
      </c>
      <c r="J698" t="n">
        <v>0</v>
      </c>
      <c r="K698" t="n">
        <v>0</v>
      </c>
      <c r="L698" t="n">
        <v>0</v>
      </c>
      <c r="M698" t="n">
        <v>0</v>
      </c>
      <c r="N698" t="n">
        <v>0</v>
      </c>
      <c r="O698" t="n">
        <v>0</v>
      </c>
      <c r="P698" t="n">
        <v>0</v>
      </c>
      <c r="Q698" t="n">
        <v>0</v>
      </c>
      <c r="R698" s="2" t="inlineStr"/>
    </row>
    <row r="699" ht="15" customHeight="1">
      <c r="A699" t="inlineStr">
        <is>
          <t>A 68032-2020</t>
        </is>
      </c>
      <c r="B699" s="1" t="n">
        <v>44182</v>
      </c>
      <c r="C699" s="1" t="n">
        <v>45511</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68037-2020</t>
        </is>
      </c>
      <c r="B700" s="1" t="n">
        <v>44182</v>
      </c>
      <c r="C700" s="1" t="n">
        <v>45511</v>
      </c>
      <c r="D700" t="inlineStr">
        <is>
          <t>VÄSTERNORRLANDS LÄN</t>
        </is>
      </c>
      <c r="E700" t="inlineStr">
        <is>
          <t>SOLLEFTEÅ</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68292-2020</t>
        </is>
      </c>
      <c r="B701" s="1" t="n">
        <v>44183</v>
      </c>
      <c r="C701" s="1" t="n">
        <v>45511</v>
      </c>
      <c r="D701" t="inlineStr">
        <is>
          <t>VÄSTERNORRLANDS LÄN</t>
        </is>
      </c>
      <c r="E701" t="inlineStr">
        <is>
          <t>SOLLEFTEÅ</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68570-2020</t>
        </is>
      </c>
      <c r="B702" s="1" t="n">
        <v>44186</v>
      </c>
      <c r="C702" s="1" t="n">
        <v>45511</v>
      </c>
      <c r="D702" t="inlineStr">
        <is>
          <t>VÄSTERNORRLANDS LÄN</t>
        </is>
      </c>
      <c r="E702" t="inlineStr">
        <is>
          <t>SOLLEFTEÅ</t>
        </is>
      </c>
      <c r="G702" t="n">
        <v>5.5</v>
      </c>
      <c r="H702" t="n">
        <v>0</v>
      </c>
      <c r="I702" t="n">
        <v>0</v>
      </c>
      <c r="J702" t="n">
        <v>0</v>
      </c>
      <c r="K702" t="n">
        <v>0</v>
      </c>
      <c r="L702" t="n">
        <v>0</v>
      </c>
      <c r="M702" t="n">
        <v>0</v>
      </c>
      <c r="N702" t="n">
        <v>0</v>
      </c>
      <c r="O702" t="n">
        <v>0</v>
      </c>
      <c r="P702" t="n">
        <v>0</v>
      </c>
      <c r="Q702" t="n">
        <v>0</v>
      </c>
      <c r="R702" s="2" t="inlineStr"/>
    </row>
    <row r="703" ht="15" customHeight="1">
      <c r="A703" t="inlineStr">
        <is>
          <t>A 68652-2020</t>
        </is>
      </c>
      <c r="B703" s="1" t="n">
        <v>44186</v>
      </c>
      <c r="C703" s="1" t="n">
        <v>45511</v>
      </c>
      <c r="D703" t="inlineStr">
        <is>
          <t>VÄSTERNORRLANDS LÄN</t>
        </is>
      </c>
      <c r="E703" t="inlineStr">
        <is>
          <t>SOLLEFTEÅ</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68647-2020</t>
        </is>
      </c>
      <c r="B704" s="1" t="n">
        <v>44186</v>
      </c>
      <c r="C704" s="1" t="n">
        <v>45511</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68648-2020</t>
        </is>
      </c>
      <c r="B705" s="1" t="n">
        <v>44186</v>
      </c>
      <c r="C705" s="1" t="n">
        <v>45511</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68656-2020</t>
        </is>
      </c>
      <c r="B706" s="1" t="n">
        <v>44186</v>
      </c>
      <c r="C706" s="1" t="n">
        <v>45511</v>
      </c>
      <c r="D706" t="inlineStr">
        <is>
          <t>VÄSTERNORRLANDS LÄN</t>
        </is>
      </c>
      <c r="E706" t="inlineStr">
        <is>
          <t>SOLLEFTEÅ</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69436-2020</t>
        </is>
      </c>
      <c r="B707" s="1" t="n">
        <v>44193</v>
      </c>
      <c r="C707" s="1" t="n">
        <v>45511</v>
      </c>
      <c r="D707" t="inlineStr">
        <is>
          <t>VÄSTERNORRLANDS LÄN</t>
        </is>
      </c>
      <c r="E707" t="inlineStr">
        <is>
          <t>SOLLEFTEÅ</t>
        </is>
      </c>
      <c r="G707" t="n">
        <v>4.9</v>
      </c>
      <c r="H707" t="n">
        <v>0</v>
      </c>
      <c r="I707" t="n">
        <v>0</v>
      </c>
      <c r="J707" t="n">
        <v>0</v>
      </c>
      <c r="K707" t="n">
        <v>0</v>
      </c>
      <c r="L707" t="n">
        <v>0</v>
      </c>
      <c r="M707" t="n">
        <v>0</v>
      </c>
      <c r="N707" t="n">
        <v>0</v>
      </c>
      <c r="O707" t="n">
        <v>0</v>
      </c>
      <c r="P707" t="n">
        <v>0</v>
      </c>
      <c r="Q707" t="n">
        <v>0</v>
      </c>
      <c r="R707" s="2" t="inlineStr"/>
    </row>
    <row r="708" ht="15" customHeight="1">
      <c r="A708" t="inlineStr">
        <is>
          <t>A 272-2021</t>
        </is>
      </c>
      <c r="B708" s="1" t="n">
        <v>44200</v>
      </c>
      <c r="C708" s="1" t="n">
        <v>45511</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691-2021</t>
        </is>
      </c>
      <c r="B709" s="1" t="n">
        <v>44203</v>
      </c>
      <c r="C709" s="1" t="n">
        <v>45511</v>
      </c>
      <c r="D709" t="inlineStr">
        <is>
          <t>VÄSTERNORRLANDS LÄN</t>
        </is>
      </c>
      <c r="E709" t="inlineStr">
        <is>
          <t>SOLLEFTEÅ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1858-2021</t>
        </is>
      </c>
      <c r="B710" s="1" t="n">
        <v>44210</v>
      </c>
      <c r="C710" s="1" t="n">
        <v>45511</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2077-2021</t>
        </is>
      </c>
      <c r="B711" s="1" t="n">
        <v>44210</v>
      </c>
      <c r="C711" s="1" t="n">
        <v>45511</v>
      </c>
      <c r="D711" t="inlineStr">
        <is>
          <t>VÄSTERNORRLANDS LÄN</t>
        </is>
      </c>
      <c r="E711" t="inlineStr">
        <is>
          <t>SOLLEFTEÅ</t>
        </is>
      </c>
      <c r="G711" t="n">
        <v>6.1</v>
      </c>
      <c r="H711" t="n">
        <v>0</v>
      </c>
      <c r="I711" t="n">
        <v>0</v>
      </c>
      <c r="J711" t="n">
        <v>0</v>
      </c>
      <c r="K711" t="n">
        <v>0</v>
      </c>
      <c r="L711" t="n">
        <v>0</v>
      </c>
      <c r="M711" t="n">
        <v>0</v>
      </c>
      <c r="N711" t="n">
        <v>0</v>
      </c>
      <c r="O711" t="n">
        <v>0</v>
      </c>
      <c r="P711" t="n">
        <v>0</v>
      </c>
      <c r="Q711" t="n">
        <v>0</v>
      </c>
      <c r="R711" s="2" t="inlineStr"/>
    </row>
    <row r="712" ht="15" customHeight="1">
      <c r="A712" t="inlineStr">
        <is>
          <t>A 2487-2021</t>
        </is>
      </c>
      <c r="B712" s="1" t="n">
        <v>44211</v>
      </c>
      <c r="C712" s="1" t="n">
        <v>45511</v>
      </c>
      <c r="D712" t="inlineStr">
        <is>
          <t>VÄSTERNORRLANDS LÄN</t>
        </is>
      </c>
      <c r="E712" t="inlineStr">
        <is>
          <t>SOLLEFTEÅ</t>
        </is>
      </c>
      <c r="G712" t="n">
        <v>2.7</v>
      </c>
      <c r="H712" t="n">
        <v>0</v>
      </c>
      <c r="I712" t="n">
        <v>0</v>
      </c>
      <c r="J712" t="n">
        <v>0</v>
      </c>
      <c r="K712" t="n">
        <v>0</v>
      </c>
      <c r="L712" t="n">
        <v>0</v>
      </c>
      <c r="M712" t="n">
        <v>0</v>
      </c>
      <c r="N712" t="n">
        <v>0</v>
      </c>
      <c r="O712" t="n">
        <v>0</v>
      </c>
      <c r="P712" t="n">
        <v>0</v>
      </c>
      <c r="Q712" t="n">
        <v>0</v>
      </c>
      <c r="R712" s="2" t="inlineStr"/>
    </row>
    <row r="713" ht="15" customHeight="1">
      <c r="A713" t="inlineStr">
        <is>
          <t>A 3441-2021</t>
        </is>
      </c>
      <c r="B713" s="1" t="n">
        <v>44218</v>
      </c>
      <c r="C713" s="1" t="n">
        <v>45511</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4127-2021</t>
        </is>
      </c>
      <c r="B714" s="1" t="n">
        <v>44222</v>
      </c>
      <c r="C714" s="1" t="n">
        <v>45511</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5989-2021</t>
        </is>
      </c>
      <c r="B715" s="1" t="n">
        <v>44231</v>
      </c>
      <c r="C715" s="1" t="n">
        <v>45511</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7658-2021</t>
        </is>
      </c>
      <c r="B716" s="1" t="n">
        <v>44242</v>
      </c>
      <c r="C716" s="1" t="n">
        <v>45511</v>
      </c>
      <c r="D716" t="inlineStr">
        <is>
          <t>VÄSTERNORRLANDS LÄN</t>
        </is>
      </c>
      <c r="E716" t="inlineStr">
        <is>
          <t>SOLLEFTEÅ</t>
        </is>
      </c>
      <c r="G716" t="n">
        <v>4.9</v>
      </c>
      <c r="H716" t="n">
        <v>0</v>
      </c>
      <c r="I716" t="n">
        <v>0</v>
      </c>
      <c r="J716" t="n">
        <v>0</v>
      </c>
      <c r="K716" t="n">
        <v>0</v>
      </c>
      <c r="L716" t="n">
        <v>0</v>
      </c>
      <c r="M716" t="n">
        <v>0</v>
      </c>
      <c r="N716" t="n">
        <v>0</v>
      </c>
      <c r="O716" t="n">
        <v>0</v>
      </c>
      <c r="P716" t="n">
        <v>0</v>
      </c>
      <c r="Q716" t="n">
        <v>0</v>
      </c>
      <c r="R716" s="2" t="inlineStr"/>
    </row>
    <row r="717" ht="15" customHeight="1">
      <c r="A717" t="inlineStr">
        <is>
          <t>A 7659-2021</t>
        </is>
      </c>
      <c r="B717" s="1" t="n">
        <v>44242</v>
      </c>
      <c r="C717" s="1" t="n">
        <v>45511</v>
      </c>
      <c r="D717" t="inlineStr">
        <is>
          <t>VÄSTERNORRLANDS LÄN</t>
        </is>
      </c>
      <c r="E717" t="inlineStr">
        <is>
          <t>SOLLEFTEÅ</t>
        </is>
      </c>
      <c r="G717" t="n">
        <v>8.1</v>
      </c>
      <c r="H717" t="n">
        <v>0</v>
      </c>
      <c r="I717" t="n">
        <v>0</v>
      </c>
      <c r="J717" t="n">
        <v>0</v>
      </c>
      <c r="K717" t="n">
        <v>0</v>
      </c>
      <c r="L717" t="n">
        <v>0</v>
      </c>
      <c r="M717" t="n">
        <v>0</v>
      </c>
      <c r="N717" t="n">
        <v>0</v>
      </c>
      <c r="O717" t="n">
        <v>0</v>
      </c>
      <c r="P717" t="n">
        <v>0</v>
      </c>
      <c r="Q717" t="n">
        <v>0</v>
      </c>
      <c r="R717" s="2" t="inlineStr"/>
    </row>
    <row r="718" ht="15" customHeight="1">
      <c r="A718" t="inlineStr">
        <is>
          <t>A 7889-2021</t>
        </is>
      </c>
      <c r="B718" s="1" t="n">
        <v>44242</v>
      </c>
      <c r="C718" s="1" t="n">
        <v>45511</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8631-2021</t>
        </is>
      </c>
      <c r="B719" s="1" t="n">
        <v>44245</v>
      </c>
      <c r="C719" s="1" t="n">
        <v>45511</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8692-2021</t>
        </is>
      </c>
      <c r="B720" s="1" t="n">
        <v>44246</v>
      </c>
      <c r="C720" s="1" t="n">
        <v>45511</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9461-2021</t>
        </is>
      </c>
      <c r="B721" s="1" t="n">
        <v>44251</v>
      </c>
      <c r="C721" s="1" t="n">
        <v>45511</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11270-2021</t>
        </is>
      </c>
      <c r="B722" s="1" t="n">
        <v>44263</v>
      </c>
      <c r="C722" s="1" t="n">
        <v>45511</v>
      </c>
      <c r="D722" t="inlineStr">
        <is>
          <t>VÄSTERNORRLANDS LÄN</t>
        </is>
      </c>
      <c r="E722" t="inlineStr">
        <is>
          <t>SOLLEFTEÅ</t>
        </is>
      </c>
      <c r="F722" t="inlineStr">
        <is>
          <t>Kommuner</t>
        </is>
      </c>
      <c r="G722" t="n">
        <v>10.9</v>
      </c>
      <c r="H722" t="n">
        <v>0</v>
      </c>
      <c r="I722" t="n">
        <v>0</v>
      </c>
      <c r="J722" t="n">
        <v>0</v>
      </c>
      <c r="K722" t="n">
        <v>0</v>
      </c>
      <c r="L722" t="n">
        <v>0</v>
      </c>
      <c r="M722" t="n">
        <v>0</v>
      </c>
      <c r="N722" t="n">
        <v>0</v>
      </c>
      <c r="O722" t="n">
        <v>0</v>
      </c>
      <c r="P722" t="n">
        <v>0</v>
      </c>
      <c r="Q722" t="n">
        <v>0</v>
      </c>
      <c r="R722" s="2" t="inlineStr"/>
    </row>
    <row r="723" ht="15" customHeight="1">
      <c r="A723" t="inlineStr">
        <is>
          <t>A 11710-2021</t>
        </is>
      </c>
      <c r="B723" s="1" t="n">
        <v>44264</v>
      </c>
      <c r="C723" s="1" t="n">
        <v>45511</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12278-2021</t>
        </is>
      </c>
      <c r="B724" s="1" t="n">
        <v>44266</v>
      </c>
      <c r="C724" s="1" t="n">
        <v>45511</v>
      </c>
      <c r="D724" t="inlineStr">
        <is>
          <t>VÄSTERNORRLANDS LÄN</t>
        </is>
      </c>
      <c r="E724" t="inlineStr">
        <is>
          <t>SOLLEFTEÅ</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12277-2021</t>
        </is>
      </c>
      <c r="B725" s="1" t="n">
        <v>44266</v>
      </c>
      <c r="C725" s="1" t="n">
        <v>45511</v>
      </c>
      <c r="D725" t="inlineStr">
        <is>
          <t>VÄSTERNORRLANDS LÄN</t>
        </is>
      </c>
      <c r="E725" t="inlineStr">
        <is>
          <t>SOLLEFTEÅ</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12279-2021</t>
        </is>
      </c>
      <c r="B726" s="1" t="n">
        <v>44266</v>
      </c>
      <c r="C726" s="1" t="n">
        <v>45511</v>
      </c>
      <c r="D726" t="inlineStr">
        <is>
          <t>VÄSTERNORRLANDS LÄN</t>
        </is>
      </c>
      <c r="E726" t="inlineStr">
        <is>
          <t>SOLLEFTEÅ</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14733-2021</t>
        </is>
      </c>
      <c r="B727" s="1" t="n">
        <v>44280</v>
      </c>
      <c r="C727" s="1" t="n">
        <v>45511</v>
      </c>
      <c r="D727" t="inlineStr">
        <is>
          <t>VÄSTERNORRLANDS LÄN</t>
        </is>
      </c>
      <c r="E727" t="inlineStr">
        <is>
          <t>SOLLEFTEÅ</t>
        </is>
      </c>
      <c r="G727" t="n">
        <v>5.3</v>
      </c>
      <c r="H727" t="n">
        <v>0</v>
      </c>
      <c r="I727" t="n">
        <v>0</v>
      </c>
      <c r="J727" t="n">
        <v>0</v>
      </c>
      <c r="K727" t="n">
        <v>0</v>
      </c>
      <c r="L727" t="n">
        <v>0</v>
      </c>
      <c r="M727" t="n">
        <v>0</v>
      </c>
      <c r="N727" t="n">
        <v>0</v>
      </c>
      <c r="O727" t="n">
        <v>0</v>
      </c>
      <c r="P727" t="n">
        <v>0</v>
      </c>
      <c r="Q727" t="n">
        <v>0</v>
      </c>
      <c r="R727" s="2" t="inlineStr"/>
    </row>
    <row r="728" ht="15" customHeight="1">
      <c r="A728" t="inlineStr">
        <is>
          <t>A 15101-2021</t>
        </is>
      </c>
      <c r="B728" s="1" t="n">
        <v>44281</v>
      </c>
      <c r="C728" s="1" t="n">
        <v>45511</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15098-2021</t>
        </is>
      </c>
      <c r="B729" s="1" t="n">
        <v>44281</v>
      </c>
      <c r="C729" s="1" t="n">
        <v>45511</v>
      </c>
      <c r="D729" t="inlineStr">
        <is>
          <t>VÄSTERNORRLANDS LÄN</t>
        </is>
      </c>
      <c r="E729" t="inlineStr">
        <is>
          <t>SOLLEFTEÅ</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15461-2021</t>
        </is>
      </c>
      <c r="B730" s="1" t="n">
        <v>44285</v>
      </c>
      <c r="C730" s="1" t="n">
        <v>45511</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15894-2021</t>
        </is>
      </c>
      <c r="B731" s="1" t="n">
        <v>44286</v>
      </c>
      <c r="C731" s="1" t="n">
        <v>45511</v>
      </c>
      <c r="D731" t="inlineStr">
        <is>
          <t>VÄSTERNORRLANDS LÄN</t>
        </is>
      </c>
      <c r="E731" t="inlineStr">
        <is>
          <t>SOLLEFTEÅ</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16700-2021</t>
        </is>
      </c>
      <c r="B732" s="1" t="n">
        <v>44293</v>
      </c>
      <c r="C732" s="1" t="n">
        <v>45511</v>
      </c>
      <c r="D732" t="inlineStr">
        <is>
          <t>VÄSTERNORRLANDS LÄN</t>
        </is>
      </c>
      <c r="E732" t="inlineStr">
        <is>
          <t>SOLLEFTEÅ</t>
        </is>
      </c>
      <c r="G732" t="n">
        <v>13</v>
      </c>
      <c r="H732" t="n">
        <v>0</v>
      </c>
      <c r="I732" t="n">
        <v>0</v>
      </c>
      <c r="J732" t="n">
        <v>0</v>
      </c>
      <c r="K732" t="n">
        <v>0</v>
      </c>
      <c r="L732" t="n">
        <v>0</v>
      </c>
      <c r="M732" t="n">
        <v>0</v>
      </c>
      <c r="N732" t="n">
        <v>0</v>
      </c>
      <c r="O732" t="n">
        <v>0</v>
      </c>
      <c r="P732" t="n">
        <v>0</v>
      </c>
      <c r="Q732" t="n">
        <v>0</v>
      </c>
      <c r="R732" s="2" t="inlineStr"/>
    </row>
    <row r="733" ht="15" customHeight="1">
      <c r="A733" t="inlineStr">
        <is>
          <t>A 16799-2021</t>
        </is>
      </c>
      <c r="B733" s="1" t="n">
        <v>44293</v>
      </c>
      <c r="C733" s="1" t="n">
        <v>45511</v>
      </c>
      <c r="D733" t="inlineStr">
        <is>
          <t>VÄSTERNORRLANDS LÄN</t>
        </is>
      </c>
      <c r="E733" t="inlineStr">
        <is>
          <t>SOLLEFTEÅ</t>
        </is>
      </c>
      <c r="G733" t="n">
        <v>3</v>
      </c>
      <c r="H733" t="n">
        <v>0</v>
      </c>
      <c r="I733" t="n">
        <v>0</v>
      </c>
      <c r="J733" t="n">
        <v>0</v>
      </c>
      <c r="K733" t="n">
        <v>0</v>
      </c>
      <c r="L733" t="n">
        <v>0</v>
      </c>
      <c r="M733" t="n">
        <v>0</v>
      </c>
      <c r="N733" t="n">
        <v>0</v>
      </c>
      <c r="O733" t="n">
        <v>0</v>
      </c>
      <c r="P733" t="n">
        <v>0</v>
      </c>
      <c r="Q733" t="n">
        <v>0</v>
      </c>
      <c r="R733" s="2" t="inlineStr"/>
    </row>
    <row r="734" ht="15" customHeight="1">
      <c r="A734" t="inlineStr">
        <is>
          <t>A 16905-2021</t>
        </is>
      </c>
      <c r="B734" s="1" t="n">
        <v>44294</v>
      </c>
      <c r="C734" s="1" t="n">
        <v>45511</v>
      </c>
      <c r="D734" t="inlineStr">
        <is>
          <t>VÄSTERNORRLANDS LÄN</t>
        </is>
      </c>
      <c r="E734" t="inlineStr">
        <is>
          <t>SOLLEFTEÅ</t>
        </is>
      </c>
      <c r="G734" t="n">
        <v>5</v>
      </c>
      <c r="H734" t="n">
        <v>0</v>
      </c>
      <c r="I734" t="n">
        <v>0</v>
      </c>
      <c r="J734" t="n">
        <v>0</v>
      </c>
      <c r="K734" t="n">
        <v>0</v>
      </c>
      <c r="L734" t="n">
        <v>0</v>
      </c>
      <c r="M734" t="n">
        <v>0</v>
      </c>
      <c r="N734" t="n">
        <v>0</v>
      </c>
      <c r="O734" t="n">
        <v>0</v>
      </c>
      <c r="P734" t="n">
        <v>0</v>
      </c>
      <c r="Q734" t="n">
        <v>0</v>
      </c>
      <c r="R734" s="2" t="inlineStr"/>
    </row>
    <row r="735" ht="15" customHeight="1">
      <c r="A735" t="inlineStr">
        <is>
          <t>A 17604-2021</t>
        </is>
      </c>
      <c r="B735" s="1" t="n">
        <v>44299</v>
      </c>
      <c r="C735" s="1" t="n">
        <v>45511</v>
      </c>
      <c r="D735" t="inlineStr">
        <is>
          <t>VÄSTERNORRLANDS LÄN</t>
        </is>
      </c>
      <c r="E735" t="inlineStr">
        <is>
          <t>SOLLEFTEÅ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18459-2021</t>
        </is>
      </c>
      <c r="B736" s="1" t="n">
        <v>44306</v>
      </c>
      <c r="C736" s="1" t="n">
        <v>45511</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18668-2021</t>
        </is>
      </c>
      <c r="B737" s="1" t="n">
        <v>44306</v>
      </c>
      <c r="C737" s="1" t="n">
        <v>45511</v>
      </c>
      <c r="D737" t="inlineStr">
        <is>
          <t>VÄSTERNORRLANDS LÄN</t>
        </is>
      </c>
      <c r="E737" t="inlineStr">
        <is>
          <t>SOLLEFTEÅ</t>
        </is>
      </c>
      <c r="G737" t="n">
        <v>12.7</v>
      </c>
      <c r="H737" t="n">
        <v>0</v>
      </c>
      <c r="I737" t="n">
        <v>0</v>
      </c>
      <c r="J737" t="n">
        <v>0</v>
      </c>
      <c r="K737" t="n">
        <v>0</v>
      </c>
      <c r="L737" t="n">
        <v>0</v>
      </c>
      <c r="M737" t="n">
        <v>0</v>
      </c>
      <c r="N737" t="n">
        <v>0</v>
      </c>
      <c r="O737" t="n">
        <v>0</v>
      </c>
      <c r="P737" t="n">
        <v>0</v>
      </c>
      <c r="Q737" t="n">
        <v>0</v>
      </c>
      <c r="R737" s="2" t="inlineStr"/>
    </row>
    <row r="738" ht="15" customHeight="1">
      <c r="A738" t="inlineStr">
        <is>
          <t>A 18741-2021</t>
        </is>
      </c>
      <c r="B738" s="1" t="n">
        <v>44306</v>
      </c>
      <c r="C738" s="1" t="n">
        <v>45511</v>
      </c>
      <c r="D738" t="inlineStr">
        <is>
          <t>VÄSTERNORRLANDS LÄN</t>
        </is>
      </c>
      <c r="E738" t="inlineStr">
        <is>
          <t>SOLLEFTEÅ</t>
        </is>
      </c>
      <c r="F738" t="inlineStr">
        <is>
          <t>Kyrkan</t>
        </is>
      </c>
      <c r="G738" t="n">
        <v>4.8</v>
      </c>
      <c r="H738" t="n">
        <v>0</v>
      </c>
      <c r="I738" t="n">
        <v>0</v>
      </c>
      <c r="J738" t="n">
        <v>0</v>
      </c>
      <c r="K738" t="n">
        <v>0</v>
      </c>
      <c r="L738" t="n">
        <v>0</v>
      </c>
      <c r="M738" t="n">
        <v>0</v>
      </c>
      <c r="N738" t="n">
        <v>0</v>
      </c>
      <c r="O738" t="n">
        <v>0</v>
      </c>
      <c r="P738" t="n">
        <v>0</v>
      </c>
      <c r="Q738" t="n">
        <v>0</v>
      </c>
      <c r="R738" s="2" t="inlineStr"/>
    </row>
    <row r="739" ht="15" customHeight="1">
      <c r="A739" t="inlineStr">
        <is>
          <t>A 18662-2021</t>
        </is>
      </c>
      <c r="B739" s="1" t="n">
        <v>44306</v>
      </c>
      <c r="C739" s="1" t="n">
        <v>45511</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18766-2021</t>
        </is>
      </c>
      <c r="B740" s="1" t="n">
        <v>44307</v>
      </c>
      <c r="C740" s="1" t="n">
        <v>45511</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18761-2021</t>
        </is>
      </c>
      <c r="B741" s="1" t="n">
        <v>44307</v>
      </c>
      <c r="C741" s="1" t="n">
        <v>45511</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18873-2021</t>
        </is>
      </c>
      <c r="B742" s="1" t="n">
        <v>44308</v>
      </c>
      <c r="C742" s="1" t="n">
        <v>45511</v>
      </c>
      <c r="D742" t="inlineStr">
        <is>
          <t>VÄSTERNORRLANDS LÄN</t>
        </is>
      </c>
      <c r="E742" t="inlineStr">
        <is>
          <t>SOLLEFTEÅ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18878-2021</t>
        </is>
      </c>
      <c r="B743" s="1" t="n">
        <v>44307</v>
      </c>
      <c r="C743" s="1" t="n">
        <v>45511</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18867-2021</t>
        </is>
      </c>
      <c r="B744" s="1" t="n">
        <v>44307</v>
      </c>
      <c r="C744" s="1" t="n">
        <v>45511</v>
      </c>
      <c r="D744" t="inlineStr">
        <is>
          <t>VÄSTERNORRLANDS LÄN</t>
        </is>
      </c>
      <c r="E744" t="inlineStr">
        <is>
          <t>SOLLEFTEÅ</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18882-2021</t>
        </is>
      </c>
      <c r="B745" s="1" t="n">
        <v>44308</v>
      </c>
      <c r="C745" s="1" t="n">
        <v>45511</v>
      </c>
      <c r="D745" t="inlineStr">
        <is>
          <t>VÄSTERNORRLANDS LÄN</t>
        </is>
      </c>
      <c r="E745" t="inlineStr">
        <is>
          <t>SOLLEFTEÅ</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18875-2021</t>
        </is>
      </c>
      <c r="B746" s="1" t="n">
        <v>44307</v>
      </c>
      <c r="C746" s="1" t="n">
        <v>45511</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18866-2021</t>
        </is>
      </c>
      <c r="B747" s="1" t="n">
        <v>44308</v>
      </c>
      <c r="C747" s="1" t="n">
        <v>45511</v>
      </c>
      <c r="D747" t="inlineStr">
        <is>
          <t>VÄSTERNORRLANDS LÄN</t>
        </is>
      </c>
      <c r="E747" t="inlineStr">
        <is>
          <t>SOLLEFTEÅ</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18874-2021</t>
        </is>
      </c>
      <c r="B748" s="1" t="n">
        <v>44308</v>
      </c>
      <c r="C748" s="1" t="n">
        <v>45511</v>
      </c>
      <c r="D748" t="inlineStr">
        <is>
          <t>VÄSTERNORRLANDS LÄN</t>
        </is>
      </c>
      <c r="E748" t="inlineStr">
        <is>
          <t>SOLLEFTEÅ</t>
        </is>
      </c>
      <c r="F748" t="inlineStr">
        <is>
          <t>SCA</t>
        </is>
      </c>
      <c r="G748" t="n">
        <v>10.7</v>
      </c>
      <c r="H748" t="n">
        <v>0</v>
      </c>
      <c r="I748" t="n">
        <v>0</v>
      </c>
      <c r="J748" t="n">
        <v>0</v>
      </c>
      <c r="K748" t="n">
        <v>0</v>
      </c>
      <c r="L748" t="n">
        <v>0</v>
      </c>
      <c r="M748" t="n">
        <v>0</v>
      </c>
      <c r="N748" t="n">
        <v>0</v>
      </c>
      <c r="O748" t="n">
        <v>0</v>
      </c>
      <c r="P748" t="n">
        <v>0</v>
      </c>
      <c r="Q748" t="n">
        <v>0</v>
      </c>
      <c r="R748" s="2" t="inlineStr"/>
    </row>
    <row r="749" ht="15" customHeight="1">
      <c r="A749" t="inlineStr">
        <is>
          <t>A 18879-2021</t>
        </is>
      </c>
      <c r="B749" s="1" t="n">
        <v>44307</v>
      </c>
      <c r="C749" s="1" t="n">
        <v>45511</v>
      </c>
      <c r="D749" t="inlineStr">
        <is>
          <t>VÄSTERNORRLANDS LÄN</t>
        </is>
      </c>
      <c r="E749" t="inlineStr">
        <is>
          <t>SOLLEFTEÅ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18868-2021</t>
        </is>
      </c>
      <c r="B750" s="1" t="n">
        <v>44307</v>
      </c>
      <c r="C750" s="1" t="n">
        <v>45511</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18877-2021</t>
        </is>
      </c>
      <c r="B751" s="1" t="n">
        <v>44308</v>
      </c>
      <c r="C751" s="1" t="n">
        <v>45511</v>
      </c>
      <c r="D751" t="inlineStr">
        <is>
          <t>VÄSTERNORRLANDS LÄN</t>
        </is>
      </c>
      <c r="E751" t="inlineStr">
        <is>
          <t>SOLLEFTEÅ</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18889-2021</t>
        </is>
      </c>
      <c r="B752" s="1" t="n">
        <v>44308</v>
      </c>
      <c r="C752" s="1" t="n">
        <v>45511</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19200-2021</t>
        </is>
      </c>
      <c r="B753" s="1" t="n">
        <v>44309</v>
      </c>
      <c r="C753" s="1" t="n">
        <v>45511</v>
      </c>
      <c r="D753" t="inlineStr">
        <is>
          <t>VÄSTERNORRLANDS LÄN</t>
        </is>
      </c>
      <c r="E753" t="inlineStr">
        <is>
          <t>SOLLEFTEÅ</t>
        </is>
      </c>
      <c r="G753" t="n">
        <v>12.7</v>
      </c>
      <c r="H753" t="n">
        <v>0</v>
      </c>
      <c r="I753" t="n">
        <v>0</v>
      </c>
      <c r="J753" t="n">
        <v>0</v>
      </c>
      <c r="K753" t="n">
        <v>0</v>
      </c>
      <c r="L753" t="n">
        <v>0</v>
      </c>
      <c r="M753" t="n">
        <v>0</v>
      </c>
      <c r="N753" t="n">
        <v>0</v>
      </c>
      <c r="O753" t="n">
        <v>0</v>
      </c>
      <c r="P753" t="n">
        <v>0</v>
      </c>
      <c r="Q753" t="n">
        <v>0</v>
      </c>
      <c r="R753" s="2" t="inlineStr"/>
    </row>
    <row r="754" ht="15" customHeight="1">
      <c r="A754" t="inlineStr">
        <is>
          <t>A 19510-2021</t>
        </is>
      </c>
      <c r="B754" s="1" t="n">
        <v>44308</v>
      </c>
      <c r="C754" s="1" t="n">
        <v>45511</v>
      </c>
      <c r="D754" t="inlineStr">
        <is>
          <t>VÄSTERNORRLANDS LÄN</t>
        </is>
      </c>
      <c r="E754" t="inlineStr">
        <is>
          <t>SOLLEFTEÅ</t>
        </is>
      </c>
      <c r="F754" t="inlineStr">
        <is>
          <t>Kyrkan</t>
        </is>
      </c>
      <c r="G754" t="n">
        <v>19.6</v>
      </c>
      <c r="H754" t="n">
        <v>0</v>
      </c>
      <c r="I754" t="n">
        <v>0</v>
      </c>
      <c r="J754" t="n">
        <v>0</v>
      </c>
      <c r="K754" t="n">
        <v>0</v>
      </c>
      <c r="L754" t="n">
        <v>0</v>
      </c>
      <c r="M754" t="n">
        <v>0</v>
      </c>
      <c r="N754" t="n">
        <v>0</v>
      </c>
      <c r="O754" t="n">
        <v>0</v>
      </c>
      <c r="P754" t="n">
        <v>0</v>
      </c>
      <c r="Q754" t="n">
        <v>0</v>
      </c>
      <c r="R754" s="2" t="inlineStr"/>
    </row>
    <row r="755" ht="15" customHeight="1">
      <c r="A755" t="inlineStr">
        <is>
          <t>A 19220-2021</t>
        </is>
      </c>
      <c r="B755" s="1" t="n">
        <v>44309</v>
      </c>
      <c r="C755" s="1" t="n">
        <v>45511</v>
      </c>
      <c r="D755" t="inlineStr">
        <is>
          <t>VÄSTERNORRLANDS LÄN</t>
        </is>
      </c>
      <c r="E755" t="inlineStr">
        <is>
          <t>SOLLEFTEÅ</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19433-2021</t>
        </is>
      </c>
      <c r="B756" s="1" t="n">
        <v>44310</v>
      </c>
      <c r="C756" s="1" t="n">
        <v>45511</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19412-2021</t>
        </is>
      </c>
      <c r="B757" s="1" t="n">
        <v>44310</v>
      </c>
      <c r="C757" s="1" t="n">
        <v>45511</v>
      </c>
      <c r="D757" t="inlineStr">
        <is>
          <t>VÄSTERNORRLANDS LÄN</t>
        </is>
      </c>
      <c r="E757" t="inlineStr">
        <is>
          <t>SOLLEFTEÅ</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19435-2021</t>
        </is>
      </c>
      <c r="B758" s="1" t="n">
        <v>44310</v>
      </c>
      <c r="C758" s="1" t="n">
        <v>45511</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19516-2021</t>
        </is>
      </c>
      <c r="B759" s="1" t="n">
        <v>44309</v>
      </c>
      <c r="C759" s="1" t="n">
        <v>45511</v>
      </c>
      <c r="D759" t="inlineStr">
        <is>
          <t>VÄSTERNORRLANDS LÄN</t>
        </is>
      </c>
      <c r="E759" t="inlineStr">
        <is>
          <t>SOLLEFTEÅ</t>
        </is>
      </c>
      <c r="G759" t="n">
        <v>15.6</v>
      </c>
      <c r="H759" t="n">
        <v>0</v>
      </c>
      <c r="I759" t="n">
        <v>0</v>
      </c>
      <c r="J759" t="n">
        <v>0</v>
      </c>
      <c r="K759" t="n">
        <v>0</v>
      </c>
      <c r="L759" t="n">
        <v>0</v>
      </c>
      <c r="M759" t="n">
        <v>0</v>
      </c>
      <c r="N759" t="n">
        <v>0</v>
      </c>
      <c r="O759" t="n">
        <v>0</v>
      </c>
      <c r="P759" t="n">
        <v>0</v>
      </c>
      <c r="Q759" t="n">
        <v>0</v>
      </c>
      <c r="R759" s="2" t="inlineStr"/>
    </row>
    <row r="760" ht="15" customHeight="1">
      <c r="A760" t="inlineStr">
        <is>
          <t>A 19830-2021</t>
        </is>
      </c>
      <c r="B760" s="1" t="n">
        <v>44312</v>
      </c>
      <c r="C760" s="1" t="n">
        <v>45511</v>
      </c>
      <c r="D760" t="inlineStr">
        <is>
          <t>VÄSTERNORRLANDS LÄN</t>
        </is>
      </c>
      <c r="E760" t="inlineStr">
        <is>
          <t>SOLLEFTEÅ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19637-2021</t>
        </is>
      </c>
      <c r="B761" s="1" t="n">
        <v>44312</v>
      </c>
      <c r="C761" s="1" t="n">
        <v>45511</v>
      </c>
      <c r="D761" t="inlineStr">
        <is>
          <t>VÄSTERNORRLANDS LÄN</t>
        </is>
      </c>
      <c r="E761" t="inlineStr">
        <is>
          <t>SOLLEFTEÅ</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21341-2021</t>
        </is>
      </c>
      <c r="B762" s="1" t="n">
        <v>44321</v>
      </c>
      <c r="C762" s="1" t="n">
        <v>45511</v>
      </c>
      <c r="D762" t="inlineStr">
        <is>
          <t>VÄSTERNORRLANDS LÄN</t>
        </is>
      </c>
      <c r="E762" t="inlineStr">
        <is>
          <t>SOLLEFTEÅ</t>
        </is>
      </c>
      <c r="G762" t="n">
        <v>4.1</v>
      </c>
      <c r="H762" t="n">
        <v>0</v>
      </c>
      <c r="I762" t="n">
        <v>0</v>
      </c>
      <c r="J762" t="n">
        <v>0</v>
      </c>
      <c r="K762" t="n">
        <v>0</v>
      </c>
      <c r="L762" t="n">
        <v>0</v>
      </c>
      <c r="M762" t="n">
        <v>0</v>
      </c>
      <c r="N762" t="n">
        <v>0</v>
      </c>
      <c r="O762" t="n">
        <v>0</v>
      </c>
      <c r="P762" t="n">
        <v>0</v>
      </c>
      <c r="Q762" t="n">
        <v>0</v>
      </c>
      <c r="R762" s="2" t="inlineStr"/>
    </row>
    <row r="763" ht="15" customHeight="1">
      <c r="A763" t="inlineStr">
        <is>
          <t>A 21350-2021</t>
        </is>
      </c>
      <c r="B763" s="1" t="n">
        <v>44321</v>
      </c>
      <c r="C763" s="1" t="n">
        <v>45511</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21358-2021</t>
        </is>
      </c>
      <c r="B764" s="1" t="n">
        <v>44320</v>
      </c>
      <c r="C764" s="1" t="n">
        <v>45511</v>
      </c>
      <c r="D764" t="inlineStr">
        <is>
          <t>VÄSTERNORRLANDS LÄN</t>
        </is>
      </c>
      <c r="E764" t="inlineStr">
        <is>
          <t>SOLLEFTEÅ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21362-2021</t>
        </is>
      </c>
      <c r="B765" s="1" t="n">
        <v>44321</v>
      </c>
      <c r="C765" s="1" t="n">
        <v>45511</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21532-2021</t>
        </is>
      </c>
      <c r="B766" s="1" t="n">
        <v>44321</v>
      </c>
      <c r="C766" s="1" t="n">
        <v>45511</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21589-2021</t>
        </is>
      </c>
      <c r="B767" s="1" t="n">
        <v>44321</v>
      </c>
      <c r="C767" s="1" t="n">
        <v>45511</v>
      </c>
      <c r="D767" t="inlineStr">
        <is>
          <t>VÄSTERNORRLANDS LÄN</t>
        </is>
      </c>
      <c r="E767" t="inlineStr">
        <is>
          <t>SOLLEFTEÅ</t>
        </is>
      </c>
      <c r="G767" t="n">
        <v>7</v>
      </c>
      <c r="H767" t="n">
        <v>0</v>
      </c>
      <c r="I767" t="n">
        <v>0</v>
      </c>
      <c r="J767" t="n">
        <v>0</v>
      </c>
      <c r="K767" t="n">
        <v>0</v>
      </c>
      <c r="L767" t="n">
        <v>0</v>
      </c>
      <c r="M767" t="n">
        <v>0</v>
      </c>
      <c r="N767" t="n">
        <v>0</v>
      </c>
      <c r="O767" t="n">
        <v>0</v>
      </c>
      <c r="P767" t="n">
        <v>0</v>
      </c>
      <c r="Q767" t="n">
        <v>0</v>
      </c>
      <c r="R767" s="2" t="inlineStr"/>
    </row>
    <row r="768" ht="15" customHeight="1">
      <c r="A768" t="inlineStr">
        <is>
          <t>A 21711-2021</t>
        </is>
      </c>
      <c r="B768" s="1" t="n">
        <v>44322</v>
      </c>
      <c r="C768" s="1" t="n">
        <v>45511</v>
      </c>
      <c r="D768" t="inlineStr">
        <is>
          <t>VÄSTERNORRLANDS LÄN</t>
        </is>
      </c>
      <c r="E768" t="inlineStr">
        <is>
          <t>SOLLEFTEÅ</t>
        </is>
      </c>
      <c r="F768" t="inlineStr">
        <is>
          <t>Kyrkan</t>
        </is>
      </c>
      <c r="G768" t="n">
        <v>22.2</v>
      </c>
      <c r="H768" t="n">
        <v>0</v>
      </c>
      <c r="I768" t="n">
        <v>0</v>
      </c>
      <c r="J768" t="n">
        <v>0</v>
      </c>
      <c r="K768" t="n">
        <v>0</v>
      </c>
      <c r="L768" t="n">
        <v>0</v>
      </c>
      <c r="M768" t="n">
        <v>0</v>
      </c>
      <c r="N768" t="n">
        <v>0</v>
      </c>
      <c r="O768" t="n">
        <v>0</v>
      </c>
      <c r="P768" t="n">
        <v>0</v>
      </c>
      <c r="Q768" t="n">
        <v>0</v>
      </c>
      <c r="R768" s="2" t="inlineStr"/>
    </row>
    <row r="769" ht="15" customHeight="1">
      <c r="A769" t="inlineStr">
        <is>
          <t>A 21924-2021</t>
        </is>
      </c>
      <c r="B769" s="1" t="n">
        <v>44323</v>
      </c>
      <c r="C769" s="1" t="n">
        <v>45511</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22447-2021</t>
        </is>
      </c>
      <c r="B770" s="1" t="n">
        <v>44323</v>
      </c>
      <c r="C770" s="1" t="n">
        <v>45511</v>
      </c>
      <c r="D770" t="inlineStr">
        <is>
          <t>VÄSTERNORRLANDS LÄN</t>
        </is>
      </c>
      <c r="E770" t="inlineStr">
        <is>
          <t>SOLLEFTEÅ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22441-2021</t>
        </is>
      </c>
      <c r="B771" s="1" t="n">
        <v>44323</v>
      </c>
      <c r="C771" s="1" t="n">
        <v>45511</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22224-2021</t>
        </is>
      </c>
      <c r="B772" s="1" t="n">
        <v>44326</v>
      </c>
      <c r="C772" s="1" t="n">
        <v>45511</v>
      </c>
      <c r="D772" t="inlineStr">
        <is>
          <t>VÄSTERNORRLANDS LÄN</t>
        </is>
      </c>
      <c r="E772" t="inlineStr">
        <is>
          <t>SOLLEFTEÅ</t>
        </is>
      </c>
      <c r="F772" t="inlineStr">
        <is>
          <t>Kommuner</t>
        </is>
      </c>
      <c r="G772" t="n">
        <v>2.3</v>
      </c>
      <c r="H772" t="n">
        <v>0</v>
      </c>
      <c r="I772" t="n">
        <v>0</v>
      </c>
      <c r="J772" t="n">
        <v>0</v>
      </c>
      <c r="K772" t="n">
        <v>0</v>
      </c>
      <c r="L772" t="n">
        <v>0</v>
      </c>
      <c r="M772" t="n">
        <v>0</v>
      </c>
      <c r="N772" t="n">
        <v>0</v>
      </c>
      <c r="O772" t="n">
        <v>0</v>
      </c>
      <c r="P772" t="n">
        <v>0</v>
      </c>
      <c r="Q772" t="n">
        <v>0</v>
      </c>
      <c r="R772" s="2" t="inlineStr"/>
    </row>
    <row r="773" ht="15" customHeight="1">
      <c r="A773" t="inlineStr">
        <is>
          <t>A 22934-2021</t>
        </is>
      </c>
      <c r="B773" s="1" t="n">
        <v>44328</v>
      </c>
      <c r="C773" s="1" t="n">
        <v>45511</v>
      </c>
      <c r="D773" t="inlineStr">
        <is>
          <t>VÄSTERNORRLANDS LÄN</t>
        </is>
      </c>
      <c r="E773" t="inlineStr">
        <is>
          <t>SOLLEFTEÅ</t>
        </is>
      </c>
      <c r="G773" t="n">
        <v>10</v>
      </c>
      <c r="H773" t="n">
        <v>0</v>
      </c>
      <c r="I773" t="n">
        <v>0</v>
      </c>
      <c r="J773" t="n">
        <v>0</v>
      </c>
      <c r="K773" t="n">
        <v>0</v>
      </c>
      <c r="L773" t="n">
        <v>0</v>
      </c>
      <c r="M773" t="n">
        <v>0</v>
      </c>
      <c r="N773" t="n">
        <v>0</v>
      </c>
      <c r="O773" t="n">
        <v>0</v>
      </c>
      <c r="P773" t="n">
        <v>0</v>
      </c>
      <c r="Q773" t="n">
        <v>0</v>
      </c>
      <c r="R773" s="2" t="inlineStr"/>
    </row>
    <row r="774" ht="15" customHeight="1">
      <c r="A774" t="inlineStr">
        <is>
          <t>A 23033-2021</t>
        </is>
      </c>
      <c r="B774" s="1" t="n">
        <v>44329</v>
      </c>
      <c r="C774" s="1" t="n">
        <v>45511</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23032-2021</t>
        </is>
      </c>
      <c r="B775" s="1" t="n">
        <v>44329</v>
      </c>
      <c r="C775" s="1" t="n">
        <v>45511</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23034-2021</t>
        </is>
      </c>
      <c r="B776" s="1" t="n">
        <v>44329</v>
      </c>
      <c r="C776" s="1" t="n">
        <v>45511</v>
      </c>
      <c r="D776" t="inlineStr">
        <is>
          <t>VÄSTERNORRLANDS LÄN</t>
        </is>
      </c>
      <c r="E776" t="inlineStr">
        <is>
          <t>SOLLEFTEÅ</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23030-2021</t>
        </is>
      </c>
      <c r="B777" s="1" t="n">
        <v>44329</v>
      </c>
      <c r="C777" s="1" t="n">
        <v>45511</v>
      </c>
      <c r="D777" t="inlineStr">
        <is>
          <t>VÄSTERNORRLANDS LÄN</t>
        </is>
      </c>
      <c r="E777" t="inlineStr">
        <is>
          <t>SOLLEFTEÅ</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23069-2021</t>
        </is>
      </c>
      <c r="B778" s="1" t="n">
        <v>44330</v>
      </c>
      <c r="C778" s="1" t="n">
        <v>45511</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23394-2021</t>
        </is>
      </c>
      <c r="B779" s="1" t="n">
        <v>44333</v>
      </c>
      <c r="C779" s="1" t="n">
        <v>45511</v>
      </c>
      <c r="D779" t="inlineStr">
        <is>
          <t>VÄSTERNORRLANDS LÄN</t>
        </is>
      </c>
      <c r="E779" t="inlineStr">
        <is>
          <t>SOLLEFTEÅ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23639-2021</t>
        </is>
      </c>
      <c r="B780" s="1" t="n">
        <v>44334</v>
      </c>
      <c r="C780" s="1" t="n">
        <v>45511</v>
      </c>
      <c r="D780" t="inlineStr">
        <is>
          <t>VÄSTERNORRLANDS LÄN</t>
        </is>
      </c>
      <c r="E780" t="inlineStr">
        <is>
          <t>SOLLEFTEÅ</t>
        </is>
      </c>
      <c r="F780" t="inlineStr">
        <is>
          <t>Kyrkan</t>
        </is>
      </c>
      <c r="G780" t="n">
        <v>5.4</v>
      </c>
      <c r="H780" t="n">
        <v>0</v>
      </c>
      <c r="I780" t="n">
        <v>0</v>
      </c>
      <c r="J780" t="n">
        <v>0</v>
      </c>
      <c r="K780" t="n">
        <v>0</v>
      </c>
      <c r="L780" t="n">
        <v>0</v>
      </c>
      <c r="M780" t="n">
        <v>0</v>
      </c>
      <c r="N780" t="n">
        <v>0</v>
      </c>
      <c r="O780" t="n">
        <v>0</v>
      </c>
      <c r="P780" t="n">
        <v>0</v>
      </c>
      <c r="Q780" t="n">
        <v>0</v>
      </c>
      <c r="R780" s="2" t="inlineStr"/>
    </row>
    <row r="781" ht="15" customHeight="1">
      <c r="A781" t="inlineStr">
        <is>
          <t>A 23689-2021</t>
        </is>
      </c>
      <c r="B781" s="1" t="n">
        <v>44334</v>
      </c>
      <c r="C781" s="1" t="n">
        <v>45511</v>
      </c>
      <c r="D781" t="inlineStr">
        <is>
          <t>VÄSTERNORRLANDS LÄN</t>
        </is>
      </c>
      <c r="E781" t="inlineStr">
        <is>
          <t>SOLLEFTEÅ</t>
        </is>
      </c>
      <c r="G781" t="n">
        <v>14.9</v>
      </c>
      <c r="H781" t="n">
        <v>0</v>
      </c>
      <c r="I781" t="n">
        <v>0</v>
      </c>
      <c r="J781" t="n">
        <v>0</v>
      </c>
      <c r="K781" t="n">
        <v>0</v>
      </c>
      <c r="L781" t="n">
        <v>0</v>
      </c>
      <c r="M781" t="n">
        <v>0</v>
      </c>
      <c r="N781" t="n">
        <v>0</v>
      </c>
      <c r="O781" t="n">
        <v>0</v>
      </c>
      <c r="P781" t="n">
        <v>0</v>
      </c>
      <c r="Q781" t="n">
        <v>0</v>
      </c>
      <c r="R781" s="2" t="inlineStr"/>
    </row>
    <row r="782" ht="15" customHeight="1">
      <c r="A782" t="inlineStr">
        <is>
          <t>A 23770-2021</t>
        </is>
      </c>
      <c r="B782" s="1" t="n">
        <v>44335</v>
      </c>
      <c r="C782" s="1" t="n">
        <v>45511</v>
      </c>
      <c r="D782" t="inlineStr">
        <is>
          <t>VÄSTERNORRLANDS LÄN</t>
        </is>
      </c>
      <c r="E782" t="inlineStr">
        <is>
          <t>SOLLEFTEÅ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23753-2021</t>
        </is>
      </c>
      <c r="B783" s="1" t="n">
        <v>44334</v>
      </c>
      <c r="C783" s="1" t="n">
        <v>45511</v>
      </c>
      <c r="D783" t="inlineStr">
        <is>
          <t>VÄSTERNORRLANDS LÄN</t>
        </is>
      </c>
      <c r="E783" t="inlineStr">
        <is>
          <t>SOLLEFTEÅ</t>
        </is>
      </c>
      <c r="G783" t="n">
        <v>14.8</v>
      </c>
      <c r="H783" t="n">
        <v>0</v>
      </c>
      <c r="I783" t="n">
        <v>0</v>
      </c>
      <c r="J783" t="n">
        <v>0</v>
      </c>
      <c r="K783" t="n">
        <v>0</v>
      </c>
      <c r="L783" t="n">
        <v>0</v>
      </c>
      <c r="M783" t="n">
        <v>0</v>
      </c>
      <c r="N783" t="n">
        <v>0</v>
      </c>
      <c r="O783" t="n">
        <v>0</v>
      </c>
      <c r="P783" t="n">
        <v>0</v>
      </c>
      <c r="Q783" t="n">
        <v>0</v>
      </c>
      <c r="R783" s="2" t="inlineStr"/>
    </row>
    <row r="784" ht="15" customHeight="1">
      <c r="A784" t="inlineStr">
        <is>
          <t>A 23814-2021</t>
        </is>
      </c>
      <c r="B784" s="1" t="n">
        <v>44335</v>
      </c>
      <c r="C784" s="1" t="n">
        <v>45511</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24243-2021</t>
        </is>
      </c>
      <c r="B785" s="1" t="n">
        <v>44336</v>
      </c>
      <c r="C785" s="1" t="n">
        <v>45511</v>
      </c>
      <c r="D785" t="inlineStr">
        <is>
          <t>VÄSTERNORRLANDS LÄN</t>
        </is>
      </c>
      <c r="E785" t="inlineStr">
        <is>
          <t>SOLLEFTEÅ</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24244-2021</t>
        </is>
      </c>
      <c r="B786" s="1" t="n">
        <v>44337</v>
      </c>
      <c r="C786" s="1" t="n">
        <v>45511</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24720-2021</t>
        </is>
      </c>
      <c r="B787" s="1" t="n">
        <v>44340</v>
      </c>
      <c r="C787" s="1" t="n">
        <v>45511</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24731-2021</t>
        </is>
      </c>
      <c r="B788" s="1" t="n">
        <v>44340</v>
      </c>
      <c r="C788" s="1" t="n">
        <v>45511</v>
      </c>
      <c r="D788" t="inlineStr">
        <is>
          <t>VÄSTERNORRLANDS LÄN</t>
        </is>
      </c>
      <c r="E788" t="inlineStr">
        <is>
          <t>SOLLEFTEÅ</t>
        </is>
      </c>
      <c r="G788" t="n">
        <v>5.3</v>
      </c>
      <c r="H788" t="n">
        <v>0</v>
      </c>
      <c r="I788" t="n">
        <v>0</v>
      </c>
      <c r="J788" t="n">
        <v>0</v>
      </c>
      <c r="K788" t="n">
        <v>0</v>
      </c>
      <c r="L788" t="n">
        <v>0</v>
      </c>
      <c r="M788" t="n">
        <v>0</v>
      </c>
      <c r="N788" t="n">
        <v>0</v>
      </c>
      <c r="O788" t="n">
        <v>0</v>
      </c>
      <c r="P788" t="n">
        <v>0</v>
      </c>
      <c r="Q788" t="n">
        <v>0</v>
      </c>
      <c r="R788" s="2" t="inlineStr"/>
    </row>
    <row r="789" ht="15" customHeight="1">
      <c r="A789" t="inlineStr">
        <is>
          <t>A 25183-2021</t>
        </is>
      </c>
      <c r="B789" s="1" t="n">
        <v>44341</v>
      </c>
      <c r="C789" s="1" t="n">
        <v>45511</v>
      </c>
      <c r="D789" t="inlineStr">
        <is>
          <t>VÄSTERNORRLANDS LÄN</t>
        </is>
      </c>
      <c r="E789" t="inlineStr">
        <is>
          <t>SOLLEFTEÅ</t>
        </is>
      </c>
      <c r="G789" t="n">
        <v>1.8</v>
      </c>
      <c r="H789" t="n">
        <v>0</v>
      </c>
      <c r="I789" t="n">
        <v>0</v>
      </c>
      <c r="J789" t="n">
        <v>0</v>
      </c>
      <c r="K789" t="n">
        <v>0</v>
      </c>
      <c r="L789" t="n">
        <v>0</v>
      </c>
      <c r="M789" t="n">
        <v>0</v>
      </c>
      <c r="N789" t="n">
        <v>0</v>
      </c>
      <c r="O789" t="n">
        <v>0</v>
      </c>
      <c r="P789" t="n">
        <v>0</v>
      </c>
      <c r="Q789" t="n">
        <v>0</v>
      </c>
      <c r="R789" s="2" t="inlineStr"/>
    </row>
    <row r="790" ht="15" customHeight="1">
      <c r="A790" t="inlineStr">
        <is>
          <t>A 25156-2021</t>
        </is>
      </c>
      <c r="B790" s="1" t="n">
        <v>44341</v>
      </c>
      <c r="C790" s="1" t="n">
        <v>45511</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25152-2021</t>
        </is>
      </c>
      <c r="B791" s="1" t="n">
        <v>44341</v>
      </c>
      <c r="C791" s="1" t="n">
        <v>45511</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25329-2021</t>
        </is>
      </c>
      <c r="B792" s="1" t="n">
        <v>44342</v>
      </c>
      <c r="C792" s="1" t="n">
        <v>45511</v>
      </c>
      <c r="D792" t="inlineStr">
        <is>
          <t>VÄSTERNORRLANDS LÄN</t>
        </is>
      </c>
      <c r="E792" t="inlineStr">
        <is>
          <t>SOLLEFTEÅ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25345-2021</t>
        </is>
      </c>
      <c r="B793" s="1" t="n">
        <v>44342</v>
      </c>
      <c r="C793" s="1" t="n">
        <v>45511</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25522-2021</t>
        </is>
      </c>
      <c r="B794" s="1" t="n">
        <v>44342</v>
      </c>
      <c r="C794" s="1" t="n">
        <v>45511</v>
      </c>
      <c r="D794" t="inlineStr">
        <is>
          <t>VÄSTERNORRLANDS LÄN</t>
        </is>
      </c>
      <c r="E794" t="inlineStr">
        <is>
          <t>SOLLEFTEÅ</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25999-2021</t>
        </is>
      </c>
      <c r="B795" s="1" t="n">
        <v>44344</v>
      </c>
      <c r="C795" s="1" t="n">
        <v>45511</v>
      </c>
      <c r="D795" t="inlineStr">
        <is>
          <t>VÄSTERNORRLANDS LÄN</t>
        </is>
      </c>
      <c r="E795" t="inlineStr">
        <is>
          <t>SOLLEFTEÅ</t>
        </is>
      </c>
      <c r="G795" t="n">
        <v>2</v>
      </c>
      <c r="H795" t="n">
        <v>0</v>
      </c>
      <c r="I795" t="n">
        <v>0</v>
      </c>
      <c r="J795" t="n">
        <v>0</v>
      </c>
      <c r="K795" t="n">
        <v>0</v>
      </c>
      <c r="L795" t="n">
        <v>0</v>
      </c>
      <c r="M795" t="n">
        <v>0</v>
      </c>
      <c r="N795" t="n">
        <v>0</v>
      </c>
      <c r="O795" t="n">
        <v>0</v>
      </c>
      <c r="P795" t="n">
        <v>0</v>
      </c>
      <c r="Q795" t="n">
        <v>0</v>
      </c>
      <c r="R795" s="2" t="inlineStr"/>
    </row>
    <row r="796" ht="15" customHeight="1">
      <c r="A796" t="inlineStr">
        <is>
          <t>A 25877-2021</t>
        </is>
      </c>
      <c r="B796" s="1" t="n">
        <v>44344</v>
      </c>
      <c r="C796" s="1" t="n">
        <v>45511</v>
      </c>
      <c r="D796" t="inlineStr">
        <is>
          <t>VÄSTERNORRLANDS LÄN</t>
        </is>
      </c>
      <c r="E796" t="inlineStr">
        <is>
          <t>SOLLEFTEÅ</t>
        </is>
      </c>
      <c r="G796" t="n">
        <v>4.2</v>
      </c>
      <c r="H796" t="n">
        <v>0</v>
      </c>
      <c r="I796" t="n">
        <v>0</v>
      </c>
      <c r="J796" t="n">
        <v>0</v>
      </c>
      <c r="K796" t="n">
        <v>0</v>
      </c>
      <c r="L796" t="n">
        <v>0</v>
      </c>
      <c r="M796" t="n">
        <v>0</v>
      </c>
      <c r="N796" t="n">
        <v>0</v>
      </c>
      <c r="O796" t="n">
        <v>0</v>
      </c>
      <c r="P796" t="n">
        <v>0</v>
      </c>
      <c r="Q796" t="n">
        <v>0</v>
      </c>
      <c r="R796" s="2" t="inlineStr"/>
    </row>
    <row r="797" ht="15" customHeight="1">
      <c r="A797" t="inlineStr">
        <is>
          <t>A 25989-2021</t>
        </is>
      </c>
      <c r="B797" s="1" t="n">
        <v>44344</v>
      </c>
      <c r="C797" s="1" t="n">
        <v>45511</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26406-2021</t>
        </is>
      </c>
      <c r="B798" s="1" t="n">
        <v>44347</v>
      </c>
      <c r="C798" s="1" t="n">
        <v>45511</v>
      </c>
      <c r="D798" t="inlineStr">
        <is>
          <t>VÄSTERNORRLANDS LÄN</t>
        </is>
      </c>
      <c r="E798" t="inlineStr">
        <is>
          <t>SOLLEFTEÅ</t>
        </is>
      </c>
      <c r="F798" t="inlineStr">
        <is>
          <t>SCA</t>
        </is>
      </c>
      <c r="G798" t="n">
        <v>12.2</v>
      </c>
      <c r="H798" t="n">
        <v>0</v>
      </c>
      <c r="I798" t="n">
        <v>0</v>
      </c>
      <c r="J798" t="n">
        <v>0</v>
      </c>
      <c r="K798" t="n">
        <v>0</v>
      </c>
      <c r="L798" t="n">
        <v>0</v>
      </c>
      <c r="M798" t="n">
        <v>0</v>
      </c>
      <c r="N798" t="n">
        <v>0</v>
      </c>
      <c r="O798" t="n">
        <v>0</v>
      </c>
      <c r="P798" t="n">
        <v>0</v>
      </c>
      <c r="Q798" t="n">
        <v>0</v>
      </c>
      <c r="R798" s="2" t="inlineStr"/>
    </row>
    <row r="799" ht="15" customHeight="1">
      <c r="A799" t="inlineStr">
        <is>
          <t>A 26401-2021</t>
        </is>
      </c>
      <c r="B799" s="1" t="n">
        <v>44348</v>
      </c>
      <c r="C799" s="1" t="n">
        <v>45511</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26498-2021</t>
        </is>
      </c>
      <c r="B800" s="1" t="n">
        <v>44348</v>
      </c>
      <c r="C800" s="1" t="n">
        <v>45511</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26559-2021</t>
        </is>
      </c>
      <c r="B801" s="1" t="n">
        <v>44348</v>
      </c>
      <c r="C801" s="1" t="n">
        <v>45511</v>
      </c>
      <c r="D801" t="inlineStr">
        <is>
          <t>VÄSTERNORRLANDS LÄN</t>
        </is>
      </c>
      <c r="E801" t="inlineStr">
        <is>
          <t>SOLLEFTEÅ</t>
        </is>
      </c>
      <c r="G801" t="n">
        <v>9</v>
      </c>
      <c r="H801" t="n">
        <v>0</v>
      </c>
      <c r="I801" t="n">
        <v>0</v>
      </c>
      <c r="J801" t="n">
        <v>0</v>
      </c>
      <c r="K801" t="n">
        <v>0</v>
      </c>
      <c r="L801" t="n">
        <v>0</v>
      </c>
      <c r="M801" t="n">
        <v>0</v>
      </c>
      <c r="N801" t="n">
        <v>0</v>
      </c>
      <c r="O801" t="n">
        <v>0</v>
      </c>
      <c r="P801" t="n">
        <v>0</v>
      </c>
      <c r="Q801" t="n">
        <v>0</v>
      </c>
      <c r="R801" s="2" t="inlineStr"/>
    </row>
    <row r="802" ht="15" customHeight="1">
      <c r="A802" t="inlineStr">
        <is>
          <t>A 26669-2021</t>
        </is>
      </c>
      <c r="B802" s="1" t="n">
        <v>44349</v>
      </c>
      <c r="C802" s="1" t="n">
        <v>45511</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27809-2021</t>
        </is>
      </c>
      <c r="B803" s="1" t="n">
        <v>44354</v>
      </c>
      <c r="C803" s="1" t="n">
        <v>45511</v>
      </c>
      <c r="D803" t="inlineStr">
        <is>
          <t>VÄSTERNORRLANDS LÄN</t>
        </is>
      </c>
      <c r="E803" t="inlineStr">
        <is>
          <t>SOLLEFTEÅ</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27972-2021</t>
        </is>
      </c>
      <c r="B804" s="1" t="n">
        <v>44355</v>
      </c>
      <c r="C804" s="1" t="n">
        <v>45511</v>
      </c>
      <c r="D804" t="inlineStr">
        <is>
          <t>VÄSTERNORRLANDS LÄN</t>
        </is>
      </c>
      <c r="E804" t="inlineStr">
        <is>
          <t>SOLLEFTEÅ</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28288-2021</t>
        </is>
      </c>
      <c r="B805" s="1" t="n">
        <v>44355</v>
      </c>
      <c r="C805" s="1" t="n">
        <v>45511</v>
      </c>
      <c r="D805" t="inlineStr">
        <is>
          <t>VÄSTERNORRLANDS LÄN</t>
        </is>
      </c>
      <c r="E805" t="inlineStr">
        <is>
          <t>SOLLEFTEÅ</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28615-2021</t>
        </is>
      </c>
      <c r="B806" s="1" t="n">
        <v>44357</v>
      </c>
      <c r="C806" s="1" t="n">
        <v>45511</v>
      </c>
      <c r="D806" t="inlineStr">
        <is>
          <t>VÄSTERNORRLANDS LÄN</t>
        </is>
      </c>
      <c r="E806" t="inlineStr">
        <is>
          <t>SOLLEFTEÅ</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28939-2021</t>
        </is>
      </c>
      <c r="B807" s="1" t="n">
        <v>44358</v>
      </c>
      <c r="C807" s="1" t="n">
        <v>45511</v>
      </c>
      <c r="D807" t="inlineStr">
        <is>
          <t>VÄSTERNORRLANDS LÄN</t>
        </is>
      </c>
      <c r="E807" t="inlineStr">
        <is>
          <t>SOLLEFTEÅ</t>
        </is>
      </c>
      <c r="G807" t="n">
        <v>4.4</v>
      </c>
      <c r="H807" t="n">
        <v>0</v>
      </c>
      <c r="I807" t="n">
        <v>0</v>
      </c>
      <c r="J807" t="n">
        <v>0</v>
      </c>
      <c r="K807" t="n">
        <v>0</v>
      </c>
      <c r="L807" t="n">
        <v>0</v>
      </c>
      <c r="M807" t="n">
        <v>0</v>
      </c>
      <c r="N807" t="n">
        <v>0</v>
      </c>
      <c r="O807" t="n">
        <v>0</v>
      </c>
      <c r="P807" t="n">
        <v>0</v>
      </c>
      <c r="Q807" t="n">
        <v>0</v>
      </c>
      <c r="R807" s="2" t="inlineStr"/>
    </row>
    <row r="808" ht="15" customHeight="1">
      <c r="A808" t="inlineStr">
        <is>
          <t>A 29623-2021</t>
        </is>
      </c>
      <c r="B808" s="1" t="n">
        <v>44361</v>
      </c>
      <c r="C808" s="1" t="n">
        <v>45511</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29602-2021</t>
        </is>
      </c>
      <c r="B809" s="1" t="n">
        <v>44362</v>
      </c>
      <c r="C809" s="1" t="n">
        <v>45511</v>
      </c>
      <c r="D809" t="inlineStr">
        <is>
          <t>VÄSTERNORRLANDS LÄN</t>
        </is>
      </c>
      <c r="E809" t="inlineStr">
        <is>
          <t>SOLLEFTEÅ</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29829-2021</t>
        </is>
      </c>
      <c r="B810" s="1" t="n">
        <v>44362</v>
      </c>
      <c r="C810" s="1" t="n">
        <v>45511</v>
      </c>
      <c r="D810" t="inlineStr">
        <is>
          <t>VÄSTERNORRLANDS LÄN</t>
        </is>
      </c>
      <c r="E810" t="inlineStr">
        <is>
          <t>SOLLEFTEÅ</t>
        </is>
      </c>
      <c r="G810" t="n">
        <v>4</v>
      </c>
      <c r="H810" t="n">
        <v>0</v>
      </c>
      <c r="I810" t="n">
        <v>0</v>
      </c>
      <c r="J810" t="n">
        <v>0</v>
      </c>
      <c r="K810" t="n">
        <v>0</v>
      </c>
      <c r="L810" t="n">
        <v>0</v>
      </c>
      <c r="M810" t="n">
        <v>0</v>
      </c>
      <c r="N810" t="n">
        <v>0</v>
      </c>
      <c r="O810" t="n">
        <v>0</v>
      </c>
      <c r="P810" t="n">
        <v>0</v>
      </c>
      <c r="Q810" t="n">
        <v>0</v>
      </c>
      <c r="R810" s="2" t="inlineStr"/>
    </row>
    <row r="811" ht="15" customHeight="1">
      <c r="A811" t="inlineStr">
        <is>
          <t>A 30692-2021</t>
        </is>
      </c>
      <c r="B811" s="1" t="n">
        <v>44365</v>
      </c>
      <c r="C811" s="1" t="n">
        <v>45511</v>
      </c>
      <c r="D811" t="inlineStr">
        <is>
          <t>VÄSTERNORRLANDS LÄN</t>
        </is>
      </c>
      <c r="E811" t="inlineStr">
        <is>
          <t>SOLLEFTEÅ</t>
        </is>
      </c>
      <c r="G811" t="n">
        <v>2.4</v>
      </c>
      <c r="H811" t="n">
        <v>0</v>
      </c>
      <c r="I811" t="n">
        <v>0</v>
      </c>
      <c r="J811" t="n">
        <v>0</v>
      </c>
      <c r="K811" t="n">
        <v>0</v>
      </c>
      <c r="L811" t="n">
        <v>0</v>
      </c>
      <c r="M811" t="n">
        <v>0</v>
      </c>
      <c r="N811" t="n">
        <v>0</v>
      </c>
      <c r="O811" t="n">
        <v>0</v>
      </c>
      <c r="P811" t="n">
        <v>0</v>
      </c>
      <c r="Q811" t="n">
        <v>0</v>
      </c>
      <c r="R811" s="2" t="inlineStr"/>
    </row>
    <row r="812" ht="15" customHeight="1">
      <c r="A812" t="inlineStr">
        <is>
          <t>A 31354-2021</t>
        </is>
      </c>
      <c r="B812" s="1" t="n">
        <v>44369</v>
      </c>
      <c r="C812" s="1" t="n">
        <v>45511</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31600-2021</t>
        </is>
      </c>
      <c r="B813" s="1" t="n">
        <v>44369</v>
      </c>
      <c r="C813" s="1" t="n">
        <v>45511</v>
      </c>
      <c r="D813" t="inlineStr">
        <is>
          <t>VÄSTERNORRLANDS LÄN</t>
        </is>
      </c>
      <c r="E813" t="inlineStr">
        <is>
          <t>SOLLEFTEÅ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31737-2021</t>
        </is>
      </c>
      <c r="B814" s="1" t="n">
        <v>44370</v>
      </c>
      <c r="C814" s="1" t="n">
        <v>45511</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32091-2021</t>
        </is>
      </c>
      <c r="B815" s="1" t="n">
        <v>44370</v>
      </c>
      <c r="C815" s="1" t="n">
        <v>45511</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33207-2021</t>
        </is>
      </c>
      <c r="B816" s="1" t="n">
        <v>44376</v>
      </c>
      <c r="C816" s="1" t="n">
        <v>45511</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33214-2021</t>
        </is>
      </c>
      <c r="B817" s="1" t="n">
        <v>44377</v>
      </c>
      <c r="C817" s="1" t="n">
        <v>45511</v>
      </c>
      <c r="D817" t="inlineStr">
        <is>
          <t>VÄSTERNORRLANDS LÄN</t>
        </is>
      </c>
      <c r="E817" t="inlineStr">
        <is>
          <t>SOLLEFTEÅ</t>
        </is>
      </c>
      <c r="F817" t="inlineStr">
        <is>
          <t>SCA</t>
        </is>
      </c>
      <c r="G817" t="n">
        <v>13.9</v>
      </c>
      <c r="H817" t="n">
        <v>0</v>
      </c>
      <c r="I817" t="n">
        <v>0</v>
      </c>
      <c r="J817" t="n">
        <v>0</v>
      </c>
      <c r="K817" t="n">
        <v>0</v>
      </c>
      <c r="L817" t="n">
        <v>0</v>
      </c>
      <c r="M817" t="n">
        <v>0</v>
      </c>
      <c r="N817" t="n">
        <v>0</v>
      </c>
      <c r="O817" t="n">
        <v>0</v>
      </c>
      <c r="P817" t="n">
        <v>0</v>
      </c>
      <c r="Q817" t="n">
        <v>0</v>
      </c>
      <c r="R817" s="2" t="inlineStr"/>
    </row>
    <row r="818" ht="15" customHeight="1">
      <c r="A818" t="inlineStr">
        <is>
          <t>A 33895-2021</t>
        </is>
      </c>
      <c r="B818" s="1" t="n">
        <v>44378</v>
      </c>
      <c r="C818" s="1" t="n">
        <v>45511</v>
      </c>
      <c r="D818" t="inlineStr">
        <is>
          <t>VÄSTERNORRLANDS LÄN</t>
        </is>
      </c>
      <c r="E818" t="inlineStr">
        <is>
          <t>SOLLEFTEÅ</t>
        </is>
      </c>
      <c r="F818" t="inlineStr">
        <is>
          <t>Kyrkan</t>
        </is>
      </c>
      <c r="G818" t="n">
        <v>3.6</v>
      </c>
      <c r="H818" t="n">
        <v>0</v>
      </c>
      <c r="I818" t="n">
        <v>0</v>
      </c>
      <c r="J818" t="n">
        <v>0</v>
      </c>
      <c r="K818" t="n">
        <v>0</v>
      </c>
      <c r="L818" t="n">
        <v>0</v>
      </c>
      <c r="M818" t="n">
        <v>0</v>
      </c>
      <c r="N818" t="n">
        <v>0</v>
      </c>
      <c r="O818" t="n">
        <v>0</v>
      </c>
      <c r="P818" t="n">
        <v>0</v>
      </c>
      <c r="Q818" t="n">
        <v>0</v>
      </c>
      <c r="R818" s="2" t="inlineStr"/>
    </row>
    <row r="819" ht="15" customHeight="1">
      <c r="A819" t="inlineStr">
        <is>
          <t>A 34396-2021</t>
        </is>
      </c>
      <c r="B819" s="1" t="n">
        <v>44379</v>
      </c>
      <c r="C819" s="1" t="n">
        <v>45511</v>
      </c>
      <c r="D819" t="inlineStr">
        <is>
          <t>VÄSTERNORRLANDS LÄN</t>
        </is>
      </c>
      <c r="E819" t="inlineStr">
        <is>
          <t>SOLLEFTEÅ</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34395-2021</t>
        </is>
      </c>
      <c r="B820" s="1" t="n">
        <v>44379</v>
      </c>
      <c r="C820" s="1" t="n">
        <v>45511</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34397-2021</t>
        </is>
      </c>
      <c r="B821" s="1" t="n">
        <v>44379</v>
      </c>
      <c r="C821" s="1" t="n">
        <v>45511</v>
      </c>
      <c r="D821" t="inlineStr">
        <is>
          <t>VÄSTERNORRLANDS LÄN</t>
        </is>
      </c>
      <c r="E821" t="inlineStr">
        <is>
          <t>SOLLEFTEÅ</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34475-2021</t>
        </is>
      </c>
      <c r="B822" s="1" t="n">
        <v>44381</v>
      </c>
      <c r="C822" s="1" t="n">
        <v>45511</v>
      </c>
      <c r="D822" t="inlineStr">
        <is>
          <t>VÄSTERNORRLANDS LÄN</t>
        </is>
      </c>
      <c r="E822" t="inlineStr">
        <is>
          <t>SOLLEFTEÅ</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34473-2021</t>
        </is>
      </c>
      <c r="B823" s="1" t="n">
        <v>44382</v>
      </c>
      <c r="C823" s="1" t="n">
        <v>45511</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35333-2021</t>
        </is>
      </c>
      <c r="B824" s="1" t="n">
        <v>44384</v>
      </c>
      <c r="C824" s="1" t="n">
        <v>45511</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35358-2021</t>
        </is>
      </c>
      <c r="B825" s="1" t="n">
        <v>44385</v>
      </c>
      <c r="C825" s="1" t="n">
        <v>45511</v>
      </c>
      <c r="D825" t="inlineStr">
        <is>
          <t>VÄSTERNORRLANDS LÄN</t>
        </is>
      </c>
      <c r="E825" t="inlineStr">
        <is>
          <t>SOLLEFTEÅ</t>
        </is>
      </c>
      <c r="F825" t="inlineStr">
        <is>
          <t>SCA</t>
        </is>
      </c>
      <c r="G825" t="n">
        <v>5.2</v>
      </c>
      <c r="H825" t="n">
        <v>0</v>
      </c>
      <c r="I825" t="n">
        <v>0</v>
      </c>
      <c r="J825" t="n">
        <v>0</v>
      </c>
      <c r="K825" t="n">
        <v>0</v>
      </c>
      <c r="L825" t="n">
        <v>0</v>
      </c>
      <c r="M825" t="n">
        <v>0</v>
      </c>
      <c r="N825" t="n">
        <v>0</v>
      </c>
      <c r="O825" t="n">
        <v>0</v>
      </c>
      <c r="P825" t="n">
        <v>0</v>
      </c>
      <c r="Q825" t="n">
        <v>0</v>
      </c>
      <c r="R825" s="2" t="inlineStr"/>
    </row>
    <row r="826" ht="15" customHeight="1">
      <c r="A826" t="inlineStr">
        <is>
          <t>A 35574-2021</t>
        </is>
      </c>
      <c r="B826" s="1" t="n">
        <v>44386</v>
      </c>
      <c r="C826" s="1" t="n">
        <v>45511</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35862-2021</t>
        </is>
      </c>
      <c r="B827" s="1" t="n">
        <v>44386</v>
      </c>
      <c r="C827" s="1" t="n">
        <v>45511</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36447-2021</t>
        </is>
      </c>
      <c r="B828" s="1" t="n">
        <v>44390</v>
      </c>
      <c r="C828" s="1" t="n">
        <v>45511</v>
      </c>
      <c r="D828" t="inlineStr">
        <is>
          <t>VÄSTERNORRLANDS LÄN</t>
        </is>
      </c>
      <c r="E828" t="inlineStr">
        <is>
          <t>SOLLEFTEÅ</t>
        </is>
      </c>
      <c r="F828" t="inlineStr">
        <is>
          <t>SCA</t>
        </is>
      </c>
      <c r="G828" t="n">
        <v>10.2</v>
      </c>
      <c r="H828" t="n">
        <v>0</v>
      </c>
      <c r="I828" t="n">
        <v>0</v>
      </c>
      <c r="J828" t="n">
        <v>0</v>
      </c>
      <c r="K828" t="n">
        <v>0</v>
      </c>
      <c r="L828" t="n">
        <v>0</v>
      </c>
      <c r="M828" t="n">
        <v>0</v>
      </c>
      <c r="N828" t="n">
        <v>0</v>
      </c>
      <c r="O828" t="n">
        <v>0</v>
      </c>
      <c r="P828" t="n">
        <v>0</v>
      </c>
      <c r="Q828" t="n">
        <v>0</v>
      </c>
      <c r="R828" s="2" t="inlineStr"/>
    </row>
    <row r="829" ht="15" customHeight="1">
      <c r="A829" t="inlineStr">
        <is>
          <t>A 36448-2021</t>
        </is>
      </c>
      <c r="B829" s="1" t="n">
        <v>44390</v>
      </c>
      <c r="C829" s="1" t="n">
        <v>45511</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36579-2021</t>
        </is>
      </c>
      <c r="B830" s="1" t="n">
        <v>44391</v>
      </c>
      <c r="C830" s="1" t="n">
        <v>45511</v>
      </c>
      <c r="D830" t="inlineStr">
        <is>
          <t>VÄSTERNORRLANDS LÄN</t>
        </is>
      </c>
      <c r="E830" t="inlineStr">
        <is>
          <t>SOLLEFTEÅ</t>
        </is>
      </c>
      <c r="G830" t="n">
        <v>6.9</v>
      </c>
      <c r="H830" t="n">
        <v>0</v>
      </c>
      <c r="I830" t="n">
        <v>0</v>
      </c>
      <c r="J830" t="n">
        <v>0</v>
      </c>
      <c r="K830" t="n">
        <v>0</v>
      </c>
      <c r="L830" t="n">
        <v>0</v>
      </c>
      <c r="M830" t="n">
        <v>0</v>
      </c>
      <c r="N830" t="n">
        <v>0</v>
      </c>
      <c r="O830" t="n">
        <v>0</v>
      </c>
      <c r="P830" t="n">
        <v>0</v>
      </c>
      <c r="Q830" t="n">
        <v>0</v>
      </c>
      <c r="R830" s="2" t="inlineStr"/>
    </row>
    <row r="831" ht="15" customHeight="1">
      <c r="A831" t="inlineStr">
        <is>
          <t>A 36816-2021</t>
        </is>
      </c>
      <c r="B831" s="1" t="n">
        <v>44393</v>
      </c>
      <c r="C831" s="1" t="n">
        <v>45511</v>
      </c>
      <c r="D831" t="inlineStr">
        <is>
          <t>VÄSTERNORRLANDS LÄN</t>
        </is>
      </c>
      <c r="E831" t="inlineStr">
        <is>
          <t>SOLLEFTEÅ</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36815-2021</t>
        </is>
      </c>
      <c r="B832" s="1" t="n">
        <v>44393</v>
      </c>
      <c r="C832" s="1" t="n">
        <v>45511</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37041-2021</t>
        </is>
      </c>
      <c r="B833" s="1" t="n">
        <v>44394</v>
      </c>
      <c r="C833" s="1" t="n">
        <v>45511</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37042-2021</t>
        </is>
      </c>
      <c r="B834" s="1" t="n">
        <v>44394</v>
      </c>
      <c r="C834" s="1" t="n">
        <v>45511</v>
      </c>
      <c r="D834" t="inlineStr">
        <is>
          <t>VÄSTERNORRLANDS LÄN</t>
        </is>
      </c>
      <c r="E834" t="inlineStr">
        <is>
          <t>SOLLEFTEÅ</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37369-2021</t>
        </is>
      </c>
      <c r="B835" s="1" t="n">
        <v>44397</v>
      </c>
      <c r="C835" s="1" t="n">
        <v>45511</v>
      </c>
      <c r="D835" t="inlineStr">
        <is>
          <t>VÄSTERNORRLANDS LÄN</t>
        </is>
      </c>
      <c r="E835" t="inlineStr">
        <is>
          <t>SOLLEFTEÅ</t>
        </is>
      </c>
      <c r="F835" t="inlineStr">
        <is>
          <t>SCA</t>
        </is>
      </c>
      <c r="G835" t="n">
        <v>20.3</v>
      </c>
      <c r="H835" t="n">
        <v>0</v>
      </c>
      <c r="I835" t="n">
        <v>0</v>
      </c>
      <c r="J835" t="n">
        <v>0</v>
      </c>
      <c r="K835" t="n">
        <v>0</v>
      </c>
      <c r="L835" t="n">
        <v>0</v>
      </c>
      <c r="M835" t="n">
        <v>0</v>
      </c>
      <c r="N835" t="n">
        <v>0</v>
      </c>
      <c r="O835" t="n">
        <v>0</v>
      </c>
      <c r="P835" t="n">
        <v>0</v>
      </c>
      <c r="Q835" t="n">
        <v>0</v>
      </c>
      <c r="R835" s="2" t="inlineStr"/>
    </row>
    <row r="836" ht="15" customHeight="1">
      <c r="A836" t="inlineStr">
        <is>
          <t>A 37639-2021</t>
        </is>
      </c>
      <c r="B836" s="1" t="n">
        <v>44400</v>
      </c>
      <c r="C836" s="1" t="n">
        <v>45511</v>
      </c>
      <c r="D836" t="inlineStr">
        <is>
          <t>VÄSTERNORRLANDS LÄN</t>
        </is>
      </c>
      <c r="E836" t="inlineStr">
        <is>
          <t>SOLLEFTEÅ</t>
        </is>
      </c>
      <c r="G836" t="n">
        <v>10.7</v>
      </c>
      <c r="H836" t="n">
        <v>0</v>
      </c>
      <c r="I836" t="n">
        <v>0</v>
      </c>
      <c r="J836" t="n">
        <v>0</v>
      </c>
      <c r="K836" t="n">
        <v>0</v>
      </c>
      <c r="L836" t="n">
        <v>0</v>
      </c>
      <c r="M836" t="n">
        <v>0</v>
      </c>
      <c r="N836" t="n">
        <v>0</v>
      </c>
      <c r="O836" t="n">
        <v>0</v>
      </c>
      <c r="P836" t="n">
        <v>0</v>
      </c>
      <c r="Q836" t="n">
        <v>0</v>
      </c>
      <c r="R836" s="2" t="inlineStr"/>
    </row>
    <row r="837" ht="15" customHeight="1">
      <c r="A837" t="inlineStr">
        <is>
          <t>A 37648-2021</t>
        </is>
      </c>
      <c r="B837" s="1" t="n">
        <v>44400</v>
      </c>
      <c r="C837" s="1" t="n">
        <v>45511</v>
      </c>
      <c r="D837" t="inlineStr">
        <is>
          <t>VÄSTERNORRLANDS LÄN</t>
        </is>
      </c>
      <c r="E837" t="inlineStr">
        <is>
          <t>SOLLEFTEÅ</t>
        </is>
      </c>
      <c r="G837" t="n">
        <v>33.6</v>
      </c>
      <c r="H837" t="n">
        <v>0</v>
      </c>
      <c r="I837" t="n">
        <v>0</v>
      </c>
      <c r="J837" t="n">
        <v>0</v>
      </c>
      <c r="K837" t="n">
        <v>0</v>
      </c>
      <c r="L837" t="n">
        <v>0</v>
      </c>
      <c r="M837" t="n">
        <v>0</v>
      </c>
      <c r="N837" t="n">
        <v>0</v>
      </c>
      <c r="O837" t="n">
        <v>0</v>
      </c>
      <c r="P837" t="n">
        <v>0</v>
      </c>
      <c r="Q837" t="n">
        <v>0</v>
      </c>
      <c r="R837" s="2" t="inlineStr"/>
    </row>
    <row r="838" ht="15" customHeight="1">
      <c r="A838" t="inlineStr">
        <is>
          <t>A 37634-2021</t>
        </is>
      </c>
      <c r="B838" s="1" t="n">
        <v>44400</v>
      </c>
      <c r="C838" s="1" t="n">
        <v>45511</v>
      </c>
      <c r="D838" t="inlineStr">
        <is>
          <t>VÄSTERNORRLANDS LÄN</t>
        </is>
      </c>
      <c r="E838" t="inlineStr">
        <is>
          <t>SOLLEFTEÅ</t>
        </is>
      </c>
      <c r="G838" t="n">
        <v>5.1</v>
      </c>
      <c r="H838" t="n">
        <v>0</v>
      </c>
      <c r="I838" t="n">
        <v>0</v>
      </c>
      <c r="J838" t="n">
        <v>0</v>
      </c>
      <c r="K838" t="n">
        <v>0</v>
      </c>
      <c r="L838" t="n">
        <v>0</v>
      </c>
      <c r="M838" t="n">
        <v>0</v>
      </c>
      <c r="N838" t="n">
        <v>0</v>
      </c>
      <c r="O838" t="n">
        <v>0</v>
      </c>
      <c r="P838" t="n">
        <v>0</v>
      </c>
      <c r="Q838" t="n">
        <v>0</v>
      </c>
      <c r="R838" s="2" t="inlineStr"/>
    </row>
    <row r="839" ht="15" customHeight="1">
      <c r="A839" t="inlineStr">
        <is>
          <t>A 38283-2021</t>
        </is>
      </c>
      <c r="B839" s="1" t="n">
        <v>44405</v>
      </c>
      <c r="C839" s="1" t="n">
        <v>45511</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39334-2021</t>
        </is>
      </c>
      <c r="B840" s="1" t="n">
        <v>44414</v>
      </c>
      <c r="C840" s="1" t="n">
        <v>45511</v>
      </c>
      <c r="D840" t="inlineStr">
        <is>
          <t>VÄSTERNORRLANDS LÄN</t>
        </is>
      </c>
      <c r="E840" t="inlineStr">
        <is>
          <t>SOLLEFTEÅ</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39594-2021</t>
        </is>
      </c>
      <c r="B841" s="1" t="n">
        <v>44413</v>
      </c>
      <c r="C841" s="1" t="n">
        <v>45511</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39230-2021</t>
        </is>
      </c>
      <c r="B842" s="1" t="n">
        <v>44413</v>
      </c>
      <c r="C842" s="1" t="n">
        <v>45511</v>
      </c>
      <c r="D842" t="inlineStr">
        <is>
          <t>VÄSTERNORRLANDS LÄN</t>
        </is>
      </c>
      <c r="E842" t="inlineStr">
        <is>
          <t>SOLLEFTEÅ</t>
        </is>
      </c>
      <c r="G842" t="n">
        <v>13.6</v>
      </c>
      <c r="H842" t="n">
        <v>0</v>
      </c>
      <c r="I842" t="n">
        <v>0</v>
      </c>
      <c r="J842" t="n">
        <v>0</v>
      </c>
      <c r="K842" t="n">
        <v>0</v>
      </c>
      <c r="L842" t="n">
        <v>0</v>
      </c>
      <c r="M842" t="n">
        <v>0</v>
      </c>
      <c r="N842" t="n">
        <v>0</v>
      </c>
      <c r="O842" t="n">
        <v>0</v>
      </c>
      <c r="P842" t="n">
        <v>0</v>
      </c>
      <c r="Q842" t="n">
        <v>0</v>
      </c>
      <c r="R842" s="2" t="inlineStr"/>
    </row>
    <row r="843" ht="15" customHeight="1">
      <c r="A843" t="inlineStr">
        <is>
          <t>A 39504-2021</t>
        </is>
      </c>
      <c r="B843" s="1" t="n">
        <v>44415</v>
      </c>
      <c r="C843" s="1" t="n">
        <v>45511</v>
      </c>
      <c r="D843" t="inlineStr">
        <is>
          <t>VÄSTERNORRLANDS LÄN</t>
        </is>
      </c>
      <c r="E843" t="inlineStr">
        <is>
          <t>SOLLEFTEÅ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40539-2021</t>
        </is>
      </c>
      <c r="B844" s="1" t="n">
        <v>44420</v>
      </c>
      <c r="C844" s="1" t="n">
        <v>45511</v>
      </c>
      <c r="D844" t="inlineStr">
        <is>
          <t>VÄSTERNORRLANDS LÄN</t>
        </is>
      </c>
      <c r="E844" t="inlineStr">
        <is>
          <t>SOLLEFTEÅ</t>
        </is>
      </c>
      <c r="G844" t="n">
        <v>1.9</v>
      </c>
      <c r="H844" t="n">
        <v>0</v>
      </c>
      <c r="I844" t="n">
        <v>0</v>
      </c>
      <c r="J844" t="n">
        <v>0</v>
      </c>
      <c r="K844" t="n">
        <v>0</v>
      </c>
      <c r="L844" t="n">
        <v>0</v>
      </c>
      <c r="M844" t="n">
        <v>0</v>
      </c>
      <c r="N844" t="n">
        <v>0</v>
      </c>
      <c r="O844" t="n">
        <v>0</v>
      </c>
      <c r="P844" t="n">
        <v>0</v>
      </c>
      <c r="Q844" t="n">
        <v>0</v>
      </c>
      <c r="R844" s="2" t="inlineStr"/>
    </row>
    <row r="845" ht="15" customHeight="1">
      <c r="A845" t="inlineStr">
        <is>
          <t>A 41334-2021</t>
        </is>
      </c>
      <c r="B845" s="1" t="n">
        <v>44424</v>
      </c>
      <c r="C845" s="1" t="n">
        <v>45511</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42219-2021</t>
        </is>
      </c>
      <c r="B846" s="1" t="n">
        <v>44426</v>
      </c>
      <c r="C846" s="1" t="n">
        <v>45511</v>
      </c>
      <c r="D846" t="inlineStr">
        <is>
          <t>VÄSTERNORRLANDS LÄN</t>
        </is>
      </c>
      <c r="E846" t="inlineStr">
        <is>
          <t>SOLLEFTEÅ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42231-2021</t>
        </is>
      </c>
      <c r="B847" s="1" t="n">
        <v>44426</v>
      </c>
      <c r="C847" s="1" t="n">
        <v>45511</v>
      </c>
      <c r="D847" t="inlineStr">
        <is>
          <t>VÄSTERNORRLANDS LÄN</t>
        </is>
      </c>
      <c r="E847" t="inlineStr">
        <is>
          <t>SOLLEFTEÅ</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42228-2021</t>
        </is>
      </c>
      <c r="B848" s="1" t="n">
        <v>44426</v>
      </c>
      <c r="C848" s="1" t="n">
        <v>45511</v>
      </c>
      <c r="D848" t="inlineStr">
        <is>
          <t>VÄSTERNORRLANDS LÄN</t>
        </is>
      </c>
      <c r="E848" t="inlineStr">
        <is>
          <t>SOLLEFTEÅ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42229-2021</t>
        </is>
      </c>
      <c r="B849" s="1" t="n">
        <v>44427</v>
      </c>
      <c r="C849" s="1" t="n">
        <v>45511</v>
      </c>
      <c r="D849" t="inlineStr">
        <is>
          <t>VÄSTERNORRLANDS LÄN</t>
        </is>
      </c>
      <c r="E849" t="inlineStr">
        <is>
          <t>SOLLEFTEÅ</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42531-2021</t>
        </is>
      </c>
      <c r="B850" s="1" t="n">
        <v>44428</v>
      </c>
      <c r="C850" s="1" t="n">
        <v>45511</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45213-2021</t>
        </is>
      </c>
      <c r="B851" s="1" t="n">
        <v>44431</v>
      </c>
      <c r="C851" s="1" t="n">
        <v>45511</v>
      </c>
      <c r="D851" t="inlineStr">
        <is>
          <t>VÄSTERNORRLANDS LÄN</t>
        </is>
      </c>
      <c r="E851" t="inlineStr">
        <is>
          <t>SOLLEFTEÅ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43220-2021</t>
        </is>
      </c>
      <c r="B852" s="1" t="n">
        <v>44432</v>
      </c>
      <c r="C852" s="1" t="n">
        <v>45511</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43525-2021</t>
        </is>
      </c>
      <c r="B853" s="1" t="n">
        <v>44433</v>
      </c>
      <c r="C853" s="1" t="n">
        <v>45511</v>
      </c>
      <c r="D853" t="inlineStr">
        <is>
          <t>VÄSTERNORRLANDS LÄN</t>
        </is>
      </c>
      <c r="E853" t="inlineStr">
        <is>
          <t>SOLLEFTEÅ</t>
        </is>
      </c>
      <c r="G853" t="n">
        <v>2</v>
      </c>
      <c r="H853" t="n">
        <v>0</v>
      </c>
      <c r="I853" t="n">
        <v>0</v>
      </c>
      <c r="J853" t="n">
        <v>0</v>
      </c>
      <c r="K853" t="n">
        <v>0</v>
      </c>
      <c r="L853" t="n">
        <v>0</v>
      </c>
      <c r="M853" t="n">
        <v>0</v>
      </c>
      <c r="N853" t="n">
        <v>0</v>
      </c>
      <c r="O853" t="n">
        <v>0</v>
      </c>
      <c r="P853" t="n">
        <v>0</v>
      </c>
      <c r="Q853" t="n">
        <v>0</v>
      </c>
      <c r="R853" s="2" t="inlineStr"/>
    </row>
    <row r="854" ht="15" customHeight="1">
      <c r="A854" t="inlineStr">
        <is>
          <t>A 44592-2021</t>
        </is>
      </c>
      <c r="B854" s="1" t="n">
        <v>44435</v>
      </c>
      <c r="C854" s="1" t="n">
        <v>45511</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44587-2021</t>
        </is>
      </c>
      <c r="B855" s="1" t="n">
        <v>44435</v>
      </c>
      <c r="C855" s="1" t="n">
        <v>45511</v>
      </c>
      <c r="D855" t="inlineStr">
        <is>
          <t>VÄSTERNORRLANDS LÄN</t>
        </is>
      </c>
      <c r="E855" t="inlineStr">
        <is>
          <t>SOLLEFTEÅ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45187-2021</t>
        </is>
      </c>
      <c r="B856" s="1" t="n">
        <v>44439</v>
      </c>
      <c r="C856" s="1" t="n">
        <v>45511</v>
      </c>
      <c r="D856" t="inlineStr">
        <is>
          <t>VÄSTERNORRLANDS LÄN</t>
        </is>
      </c>
      <c r="E856" t="inlineStr">
        <is>
          <t>SOLLEFTEÅ</t>
        </is>
      </c>
      <c r="G856" t="n">
        <v>3.2</v>
      </c>
      <c r="H856" t="n">
        <v>0</v>
      </c>
      <c r="I856" t="n">
        <v>0</v>
      </c>
      <c r="J856" t="n">
        <v>0</v>
      </c>
      <c r="K856" t="n">
        <v>0</v>
      </c>
      <c r="L856" t="n">
        <v>0</v>
      </c>
      <c r="M856" t="n">
        <v>0</v>
      </c>
      <c r="N856" t="n">
        <v>0</v>
      </c>
      <c r="O856" t="n">
        <v>0</v>
      </c>
      <c r="P856" t="n">
        <v>0</v>
      </c>
      <c r="Q856" t="n">
        <v>0</v>
      </c>
      <c r="R856" s="2" t="inlineStr"/>
    </row>
    <row r="857" ht="15" customHeight="1">
      <c r="A857" t="inlineStr">
        <is>
          <t>A 45105-2021</t>
        </is>
      </c>
      <c r="B857" s="1" t="n">
        <v>44439</v>
      </c>
      <c r="C857" s="1" t="n">
        <v>45511</v>
      </c>
      <c r="D857" t="inlineStr">
        <is>
          <t>VÄSTERNORRLANDS LÄN</t>
        </is>
      </c>
      <c r="E857" t="inlineStr">
        <is>
          <t>SOLLEFTEÅ</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46049-2021</t>
        </is>
      </c>
      <c r="B858" s="1" t="n">
        <v>44442</v>
      </c>
      <c r="C858" s="1" t="n">
        <v>45511</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46058-2021</t>
        </is>
      </c>
      <c r="B859" s="1" t="n">
        <v>44442</v>
      </c>
      <c r="C859" s="1" t="n">
        <v>45511</v>
      </c>
      <c r="D859" t="inlineStr">
        <is>
          <t>VÄSTERNORRLANDS LÄN</t>
        </is>
      </c>
      <c r="E859" t="inlineStr">
        <is>
          <t>SOLLEFTEÅ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47643-2021</t>
        </is>
      </c>
      <c r="B860" s="1" t="n">
        <v>44448</v>
      </c>
      <c r="C860" s="1" t="n">
        <v>45511</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47675-2021</t>
        </is>
      </c>
      <c r="B861" s="1" t="n">
        <v>44448</v>
      </c>
      <c r="C861" s="1" t="n">
        <v>45511</v>
      </c>
      <c r="D861" t="inlineStr">
        <is>
          <t>VÄSTERNORRLANDS LÄN</t>
        </is>
      </c>
      <c r="E861" t="inlineStr">
        <is>
          <t>SOLLEFTEÅ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47626-2021</t>
        </is>
      </c>
      <c r="B862" s="1" t="n">
        <v>44448</v>
      </c>
      <c r="C862" s="1" t="n">
        <v>45511</v>
      </c>
      <c r="D862" t="inlineStr">
        <is>
          <t>VÄSTERNORRLANDS LÄN</t>
        </is>
      </c>
      <c r="E862" t="inlineStr">
        <is>
          <t>SOLLEFTEÅ</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47696-2021</t>
        </is>
      </c>
      <c r="B863" s="1" t="n">
        <v>44448</v>
      </c>
      <c r="C863" s="1" t="n">
        <v>45511</v>
      </c>
      <c r="D863" t="inlineStr">
        <is>
          <t>VÄSTERNORRLANDS LÄN</t>
        </is>
      </c>
      <c r="E863" t="inlineStr">
        <is>
          <t>SOLLEFTEÅ</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47681-2021</t>
        </is>
      </c>
      <c r="B864" s="1" t="n">
        <v>44448</v>
      </c>
      <c r="C864" s="1" t="n">
        <v>45511</v>
      </c>
      <c r="D864" t="inlineStr">
        <is>
          <t>VÄSTERNORRLANDS LÄN</t>
        </is>
      </c>
      <c r="E864" t="inlineStr">
        <is>
          <t>SOLLEFTEÅ</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48555-2021</t>
        </is>
      </c>
      <c r="B865" s="1" t="n">
        <v>44452</v>
      </c>
      <c r="C865" s="1" t="n">
        <v>45511</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48578-2021</t>
        </is>
      </c>
      <c r="B866" s="1" t="n">
        <v>44452</v>
      </c>
      <c r="C866" s="1" t="n">
        <v>45511</v>
      </c>
      <c r="D866" t="inlineStr">
        <is>
          <t>VÄSTERNORRLANDS LÄN</t>
        </is>
      </c>
      <c r="E866" t="inlineStr">
        <is>
          <t>SOLLEFTEÅ</t>
        </is>
      </c>
      <c r="G866" t="n">
        <v>26</v>
      </c>
      <c r="H866" t="n">
        <v>0</v>
      </c>
      <c r="I866" t="n">
        <v>0</v>
      </c>
      <c r="J866" t="n">
        <v>0</v>
      </c>
      <c r="K866" t="n">
        <v>0</v>
      </c>
      <c r="L866" t="n">
        <v>0</v>
      </c>
      <c r="M866" t="n">
        <v>0</v>
      </c>
      <c r="N866" t="n">
        <v>0</v>
      </c>
      <c r="O866" t="n">
        <v>0</v>
      </c>
      <c r="P866" t="n">
        <v>0</v>
      </c>
      <c r="Q866" t="n">
        <v>0</v>
      </c>
      <c r="R866" s="2" t="inlineStr"/>
    </row>
    <row r="867" ht="15" customHeight="1">
      <c r="A867" t="inlineStr">
        <is>
          <t>A 49160-2021</t>
        </is>
      </c>
      <c r="B867" s="1" t="n">
        <v>44454</v>
      </c>
      <c r="C867" s="1" t="n">
        <v>45511</v>
      </c>
      <c r="D867" t="inlineStr">
        <is>
          <t>VÄSTERNORRLANDS LÄN</t>
        </is>
      </c>
      <c r="E867" t="inlineStr">
        <is>
          <t>SOLLEFTEÅ</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49492-2021</t>
        </is>
      </c>
      <c r="B868" s="1" t="n">
        <v>44455</v>
      </c>
      <c r="C868" s="1" t="n">
        <v>45511</v>
      </c>
      <c r="D868" t="inlineStr">
        <is>
          <t>VÄSTERNORRLANDS LÄN</t>
        </is>
      </c>
      <c r="E868" t="inlineStr">
        <is>
          <t>SOLLEFTEÅ</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49518-2021</t>
        </is>
      </c>
      <c r="B869" s="1" t="n">
        <v>44455</v>
      </c>
      <c r="C869" s="1" t="n">
        <v>45511</v>
      </c>
      <c r="D869" t="inlineStr">
        <is>
          <t>VÄSTERNORRLANDS LÄN</t>
        </is>
      </c>
      <c r="E869" t="inlineStr">
        <is>
          <t>SOLLEFTEÅ</t>
        </is>
      </c>
      <c r="G869" t="n">
        <v>12.9</v>
      </c>
      <c r="H869" t="n">
        <v>0</v>
      </c>
      <c r="I869" t="n">
        <v>0</v>
      </c>
      <c r="J869" t="n">
        <v>0</v>
      </c>
      <c r="K869" t="n">
        <v>0</v>
      </c>
      <c r="L869" t="n">
        <v>0</v>
      </c>
      <c r="M869" t="n">
        <v>0</v>
      </c>
      <c r="N869" t="n">
        <v>0</v>
      </c>
      <c r="O869" t="n">
        <v>0</v>
      </c>
      <c r="P869" t="n">
        <v>0</v>
      </c>
      <c r="Q869" t="n">
        <v>0</v>
      </c>
      <c r="R869" s="2" t="inlineStr"/>
    </row>
    <row r="870" ht="15" customHeight="1">
      <c r="A870" t="inlineStr">
        <is>
          <t>A 49711-2021</t>
        </is>
      </c>
      <c r="B870" s="1" t="n">
        <v>44455</v>
      </c>
      <c r="C870" s="1" t="n">
        <v>45511</v>
      </c>
      <c r="D870" t="inlineStr">
        <is>
          <t>VÄSTERNORRLANDS LÄN</t>
        </is>
      </c>
      <c r="E870" t="inlineStr">
        <is>
          <t>SOLLEFTEÅ</t>
        </is>
      </c>
      <c r="G870" t="n">
        <v>3.7</v>
      </c>
      <c r="H870" t="n">
        <v>0</v>
      </c>
      <c r="I870" t="n">
        <v>0</v>
      </c>
      <c r="J870" t="n">
        <v>0</v>
      </c>
      <c r="K870" t="n">
        <v>0</v>
      </c>
      <c r="L870" t="n">
        <v>0</v>
      </c>
      <c r="M870" t="n">
        <v>0</v>
      </c>
      <c r="N870" t="n">
        <v>0</v>
      </c>
      <c r="O870" t="n">
        <v>0</v>
      </c>
      <c r="P870" t="n">
        <v>0</v>
      </c>
      <c r="Q870" t="n">
        <v>0</v>
      </c>
      <c r="R870" s="2" t="inlineStr"/>
    </row>
    <row r="871" ht="15" customHeight="1">
      <c r="A871" t="inlineStr">
        <is>
          <t>A 50360-2021</t>
        </is>
      </c>
      <c r="B871" s="1" t="n">
        <v>44459</v>
      </c>
      <c r="C871" s="1" t="n">
        <v>45511</v>
      </c>
      <c r="D871" t="inlineStr">
        <is>
          <t>VÄSTERNORRLANDS LÄN</t>
        </is>
      </c>
      <c r="E871" t="inlineStr">
        <is>
          <t>SOLLEFTEÅ</t>
        </is>
      </c>
      <c r="G871" t="n">
        <v>4.4</v>
      </c>
      <c r="H871" t="n">
        <v>0</v>
      </c>
      <c r="I871" t="n">
        <v>0</v>
      </c>
      <c r="J871" t="n">
        <v>0</v>
      </c>
      <c r="K871" t="n">
        <v>0</v>
      </c>
      <c r="L871" t="n">
        <v>0</v>
      </c>
      <c r="M871" t="n">
        <v>0</v>
      </c>
      <c r="N871" t="n">
        <v>0</v>
      </c>
      <c r="O871" t="n">
        <v>0</v>
      </c>
      <c r="P871" t="n">
        <v>0</v>
      </c>
      <c r="Q871" t="n">
        <v>0</v>
      </c>
      <c r="R871" s="2" t="inlineStr"/>
    </row>
    <row r="872" ht="15" customHeight="1">
      <c r="A872" t="inlineStr">
        <is>
          <t>A 51104-2021</t>
        </is>
      </c>
      <c r="B872" s="1" t="n">
        <v>44459</v>
      </c>
      <c r="C872" s="1" t="n">
        <v>45511</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51020-2021</t>
        </is>
      </c>
      <c r="B873" s="1" t="n">
        <v>44460</v>
      </c>
      <c r="C873" s="1" t="n">
        <v>45511</v>
      </c>
      <c r="D873" t="inlineStr">
        <is>
          <t>VÄSTERNORRLANDS LÄN</t>
        </is>
      </c>
      <c r="E873" t="inlineStr">
        <is>
          <t>SOLLEFTEÅ</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51029-2021</t>
        </is>
      </c>
      <c r="B874" s="1" t="n">
        <v>44461</v>
      </c>
      <c r="C874" s="1" t="n">
        <v>45511</v>
      </c>
      <c r="D874" t="inlineStr">
        <is>
          <t>VÄSTERNORRLANDS LÄN</t>
        </is>
      </c>
      <c r="E874" t="inlineStr">
        <is>
          <t>SOLLEFTEÅ</t>
        </is>
      </c>
      <c r="F874" t="inlineStr">
        <is>
          <t>SCA</t>
        </is>
      </c>
      <c r="G874" t="n">
        <v>6.9</v>
      </c>
      <c r="H874" t="n">
        <v>0</v>
      </c>
      <c r="I874" t="n">
        <v>0</v>
      </c>
      <c r="J874" t="n">
        <v>0</v>
      </c>
      <c r="K874" t="n">
        <v>0</v>
      </c>
      <c r="L874" t="n">
        <v>0</v>
      </c>
      <c r="M874" t="n">
        <v>0</v>
      </c>
      <c r="N874" t="n">
        <v>0</v>
      </c>
      <c r="O874" t="n">
        <v>0</v>
      </c>
      <c r="P874" t="n">
        <v>0</v>
      </c>
      <c r="Q874" t="n">
        <v>0</v>
      </c>
      <c r="R874" s="2" t="inlineStr"/>
    </row>
    <row r="875" ht="15" customHeight="1">
      <c r="A875" t="inlineStr">
        <is>
          <t>A 51440-2021</t>
        </is>
      </c>
      <c r="B875" s="1" t="n">
        <v>44461</v>
      </c>
      <c r="C875" s="1" t="n">
        <v>45511</v>
      </c>
      <c r="D875" t="inlineStr">
        <is>
          <t>VÄSTERNORRLANDS LÄN</t>
        </is>
      </c>
      <c r="E875" t="inlineStr">
        <is>
          <t>SOLLEFTEÅ</t>
        </is>
      </c>
      <c r="G875" t="n">
        <v>2</v>
      </c>
      <c r="H875" t="n">
        <v>0</v>
      </c>
      <c r="I875" t="n">
        <v>0</v>
      </c>
      <c r="J875" t="n">
        <v>0</v>
      </c>
      <c r="K875" t="n">
        <v>0</v>
      </c>
      <c r="L875" t="n">
        <v>0</v>
      </c>
      <c r="M875" t="n">
        <v>0</v>
      </c>
      <c r="N875" t="n">
        <v>0</v>
      </c>
      <c r="O875" t="n">
        <v>0</v>
      </c>
      <c r="P875" t="n">
        <v>0</v>
      </c>
      <c r="Q875" t="n">
        <v>0</v>
      </c>
      <c r="R875" s="2" t="inlineStr"/>
    </row>
    <row r="876" ht="15" customHeight="1">
      <c r="A876" t="inlineStr">
        <is>
          <t>A 51443-2021</t>
        </is>
      </c>
      <c r="B876" s="1" t="n">
        <v>44461</v>
      </c>
      <c r="C876" s="1" t="n">
        <v>45511</v>
      </c>
      <c r="D876" t="inlineStr">
        <is>
          <t>VÄSTERNORRLANDS LÄN</t>
        </is>
      </c>
      <c r="E876" t="inlineStr">
        <is>
          <t>SOLLEFTEÅ</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51442-2021</t>
        </is>
      </c>
      <c r="B877" s="1" t="n">
        <v>44462</v>
      </c>
      <c r="C877" s="1" t="n">
        <v>45511</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51491-2021</t>
        </is>
      </c>
      <c r="B878" s="1" t="n">
        <v>44462</v>
      </c>
      <c r="C878" s="1" t="n">
        <v>45511</v>
      </c>
      <c r="D878" t="inlineStr">
        <is>
          <t>VÄSTERNORRLANDS LÄN</t>
        </is>
      </c>
      <c r="E878" t="inlineStr">
        <is>
          <t>SOLLEFTEÅ</t>
        </is>
      </c>
      <c r="F878" t="inlineStr">
        <is>
          <t>Kyrkan</t>
        </is>
      </c>
      <c r="G878" t="n">
        <v>18</v>
      </c>
      <c r="H878" t="n">
        <v>0</v>
      </c>
      <c r="I878" t="n">
        <v>0</v>
      </c>
      <c r="J878" t="n">
        <v>0</v>
      </c>
      <c r="K878" t="n">
        <v>0</v>
      </c>
      <c r="L878" t="n">
        <v>0</v>
      </c>
      <c r="M878" t="n">
        <v>0</v>
      </c>
      <c r="N878" t="n">
        <v>0</v>
      </c>
      <c r="O878" t="n">
        <v>0</v>
      </c>
      <c r="P878" t="n">
        <v>0</v>
      </c>
      <c r="Q878" t="n">
        <v>0</v>
      </c>
      <c r="R878" s="2" t="inlineStr"/>
    </row>
    <row r="879" ht="15" customHeight="1">
      <c r="A879" t="inlineStr">
        <is>
          <t>A 51847-2021</t>
        </is>
      </c>
      <c r="B879" s="1" t="n">
        <v>44462</v>
      </c>
      <c r="C879" s="1" t="n">
        <v>45511</v>
      </c>
      <c r="D879" t="inlineStr">
        <is>
          <t>VÄSTERNORRLANDS LÄN</t>
        </is>
      </c>
      <c r="E879" t="inlineStr">
        <is>
          <t>SOLLEFTEÅ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51952-2021</t>
        </is>
      </c>
      <c r="B880" s="1" t="n">
        <v>44463</v>
      </c>
      <c r="C880" s="1" t="n">
        <v>45511</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52447-2021</t>
        </is>
      </c>
      <c r="B881" s="1" t="n">
        <v>44466</v>
      </c>
      <c r="C881" s="1" t="n">
        <v>45511</v>
      </c>
      <c r="D881" t="inlineStr">
        <is>
          <t>VÄSTERNORRLANDS LÄN</t>
        </is>
      </c>
      <c r="E881" t="inlineStr">
        <is>
          <t>SOLLEFTEÅ</t>
        </is>
      </c>
      <c r="F881" t="inlineStr">
        <is>
          <t>Holmen skog AB</t>
        </is>
      </c>
      <c r="G881" t="n">
        <v>8.9</v>
      </c>
      <c r="H881" t="n">
        <v>0</v>
      </c>
      <c r="I881" t="n">
        <v>0</v>
      </c>
      <c r="J881" t="n">
        <v>0</v>
      </c>
      <c r="K881" t="n">
        <v>0</v>
      </c>
      <c r="L881" t="n">
        <v>0</v>
      </c>
      <c r="M881" t="n">
        <v>0</v>
      </c>
      <c r="N881" t="n">
        <v>0</v>
      </c>
      <c r="O881" t="n">
        <v>0</v>
      </c>
      <c r="P881" t="n">
        <v>0</v>
      </c>
      <c r="Q881" t="n">
        <v>0</v>
      </c>
      <c r="R881" s="2" t="inlineStr"/>
    </row>
    <row r="882" ht="15" customHeight="1">
      <c r="A882" t="inlineStr">
        <is>
          <t>A 53289-2021</t>
        </is>
      </c>
      <c r="B882" s="1" t="n">
        <v>44467</v>
      </c>
      <c r="C882" s="1" t="n">
        <v>45511</v>
      </c>
      <c r="D882" t="inlineStr">
        <is>
          <t>VÄSTERNORRLANDS LÄN</t>
        </is>
      </c>
      <c r="E882" t="inlineStr">
        <is>
          <t>SOLLEFTEÅ</t>
        </is>
      </c>
      <c r="G882" t="n">
        <v>6.5</v>
      </c>
      <c r="H882" t="n">
        <v>0</v>
      </c>
      <c r="I882" t="n">
        <v>0</v>
      </c>
      <c r="J882" t="n">
        <v>0</v>
      </c>
      <c r="K882" t="n">
        <v>0</v>
      </c>
      <c r="L882" t="n">
        <v>0</v>
      </c>
      <c r="M882" t="n">
        <v>0</v>
      </c>
      <c r="N882" t="n">
        <v>0</v>
      </c>
      <c r="O882" t="n">
        <v>0</v>
      </c>
      <c r="P882" t="n">
        <v>0</v>
      </c>
      <c r="Q882" t="n">
        <v>0</v>
      </c>
      <c r="R882" s="2" t="inlineStr"/>
    </row>
    <row r="883" ht="15" customHeight="1">
      <c r="A883" t="inlineStr">
        <is>
          <t>A 53278-2021</t>
        </is>
      </c>
      <c r="B883" s="1" t="n">
        <v>44467</v>
      </c>
      <c r="C883" s="1" t="n">
        <v>45511</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53524-2021</t>
        </is>
      </c>
      <c r="B884" s="1" t="n">
        <v>44468</v>
      </c>
      <c r="C884" s="1" t="n">
        <v>45511</v>
      </c>
      <c r="D884" t="inlineStr">
        <is>
          <t>VÄSTERNORRLANDS LÄN</t>
        </is>
      </c>
      <c r="E884" t="inlineStr">
        <is>
          <t>SOLLEFTEÅ</t>
        </is>
      </c>
      <c r="F884" t="inlineStr">
        <is>
          <t>SCA</t>
        </is>
      </c>
      <c r="G884" t="n">
        <v>5.9</v>
      </c>
      <c r="H884" t="n">
        <v>0</v>
      </c>
      <c r="I884" t="n">
        <v>0</v>
      </c>
      <c r="J884" t="n">
        <v>0</v>
      </c>
      <c r="K884" t="n">
        <v>0</v>
      </c>
      <c r="L884" t="n">
        <v>0</v>
      </c>
      <c r="M884" t="n">
        <v>0</v>
      </c>
      <c r="N884" t="n">
        <v>0</v>
      </c>
      <c r="O884" t="n">
        <v>0</v>
      </c>
      <c r="P884" t="n">
        <v>0</v>
      </c>
      <c r="Q884" t="n">
        <v>0</v>
      </c>
      <c r="R884" s="2" t="inlineStr"/>
    </row>
    <row r="885" ht="15" customHeight="1">
      <c r="A885" t="inlineStr">
        <is>
          <t>A 53955-2021</t>
        </is>
      </c>
      <c r="B885" s="1" t="n">
        <v>44469</v>
      </c>
      <c r="C885" s="1" t="n">
        <v>45511</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54146-2021</t>
        </is>
      </c>
      <c r="B886" s="1" t="n">
        <v>44469</v>
      </c>
      <c r="C886" s="1" t="n">
        <v>45511</v>
      </c>
      <c r="D886" t="inlineStr">
        <is>
          <t>VÄSTERNORRLANDS LÄN</t>
        </is>
      </c>
      <c r="E886" t="inlineStr">
        <is>
          <t>SOLLEFTEÅ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54728-2021</t>
        </is>
      </c>
      <c r="B887" s="1" t="n">
        <v>44473</v>
      </c>
      <c r="C887" s="1" t="n">
        <v>45511</v>
      </c>
      <c r="D887" t="inlineStr">
        <is>
          <t>VÄSTERNORRLANDS LÄN</t>
        </is>
      </c>
      <c r="E887" t="inlineStr">
        <is>
          <t>SOLLEFTEÅ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55016-2021</t>
        </is>
      </c>
      <c r="B888" s="1" t="n">
        <v>44474</v>
      </c>
      <c r="C888" s="1" t="n">
        <v>45511</v>
      </c>
      <c r="D888" t="inlineStr">
        <is>
          <t>VÄSTERNORRLANDS LÄN</t>
        </is>
      </c>
      <c r="E888" t="inlineStr">
        <is>
          <t>SOLLEFTEÅ</t>
        </is>
      </c>
      <c r="F888" t="inlineStr">
        <is>
          <t>Övriga Aktiebolag</t>
        </is>
      </c>
      <c r="G888" t="n">
        <v>12.7</v>
      </c>
      <c r="H888" t="n">
        <v>0</v>
      </c>
      <c r="I888" t="n">
        <v>0</v>
      </c>
      <c r="J888" t="n">
        <v>0</v>
      </c>
      <c r="K888" t="n">
        <v>0</v>
      </c>
      <c r="L888" t="n">
        <v>0</v>
      </c>
      <c r="M888" t="n">
        <v>0</v>
      </c>
      <c r="N888" t="n">
        <v>0</v>
      </c>
      <c r="O888" t="n">
        <v>0</v>
      </c>
      <c r="P888" t="n">
        <v>0</v>
      </c>
      <c r="Q888" t="n">
        <v>0</v>
      </c>
      <c r="R888" s="2" t="inlineStr"/>
    </row>
    <row r="889" ht="15" customHeight="1">
      <c r="A889" t="inlineStr">
        <is>
          <t>A 55018-2021</t>
        </is>
      </c>
      <c r="B889" s="1" t="n">
        <v>44474</v>
      </c>
      <c r="C889" s="1" t="n">
        <v>45511</v>
      </c>
      <c r="D889" t="inlineStr">
        <is>
          <t>VÄSTERNORRLANDS LÄN</t>
        </is>
      </c>
      <c r="E889" t="inlineStr">
        <is>
          <t>SOLLEFTEÅ</t>
        </is>
      </c>
      <c r="F889" t="inlineStr">
        <is>
          <t>Övriga Aktiebolag</t>
        </is>
      </c>
      <c r="G889" t="n">
        <v>11.2</v>
      </c>
      <c r="H889" t="n">
        <v>0</v>
      </c>
      <c r="I889" t="n">
        <v>0</v>
      </c>
      <c r="J889" t="n">
        <v>0</v>
      </c>
      <c r="K889" t="n">
        <v>0</v>
      </c>
      <c r="L889" t="n">
        <v>0</v>
      </c>
      <c r="M889" t="n">
        <v>0</v>
      </c>
      <c r="N889" t="n">
        <v>0</v>
      </c>
      <c r="O889" t="n">
        <v>0</v>
      </c>
      <c r="P889" t="n">
        <v>0</v>
      </c>
      <c r="Q889" t="n">
        <v>0</v>
      </c>
      <c r="R889" s="2" t="inlineStr"/>
    </row>
    <row r="890" ht="15" customHeight="1">
      <c r="A890" t="inlineStr">
        <is>
          <t>A 55610-2021</t>
        </is>
      </c>
      <c r="B890" s="1" t="n">
        <v>44476</v>
      </c>
      <c r="C890" s="1" t="n">
        <v>45511</v>
      </c>
      <c r="D890" t="inlineStr">
        <is>
          <t>VÄSTERNORRLANDS LÄN</t>
        </is>
      </c>
      <c r="E890" t="inlineStr">
        <is>
          <t>SOLLEFTEÅ</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55643-2021</t>
        </is>
      </c>
      <c r="B891" s="1" t="n">
        <v>44475</v>
      </c>
      <c r="C891" s="1" t="n">
        <v>45511</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55904-2021</t>
        </is>
      </c>
      <c r="B892" s="1" t="n">
        <v>44476</v>
      </c>
      <c r="C892" s="1" t="n">
        <v>45511</v>
      </c>
      <c r="D892" t="inlineStr">
        <is>
          <t>VÄSTERNORRLANDS LÄN</t>
        </is>
      </c>
      <c r="E892" t="inlineStr">
        <is>
          <t>SOLLEFTEÅ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56211-2021</t>
        </is>
      </c>
      <c r="B893" s="1" t="n">
        <v>44478</v>
      </c>
      <c r="C893" s="1" t="n">
        <v>45511</v>
      </c>
      <c r="D893" t="inlineStr">
        <is>
          <t>VÄSTERNORRLANDS LÄN</t>
        </is>
      </c>
      <c r="E893" t="inlineStr">
        <is>
          <t>SOLLEFTEÅ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56918-2021</t>
        </is>
      </c>
      <c r="B894" s="1" t="n">
        <v>44482</v>
      </c>
      <c r="C894" s="1" t="n">
        <v>45511</v>
      </c>
      <c r="D894" t="inlineStr">
        <is>
          <t>VÄSTERNORRLANDS LÄN</t>
        </is>
      </c>
      <c r="E894" t="inlineStr">
        <is>
          <t>SOLLEFTEÅ</t>
        </is>
      </c>
      <c r="F894" t="inlineStr">
        <is>
          <t>SCA</t>
        </is>
      </c>
      <c r="G894" t="n">
        <v>13.9</v>
      </c>
      <c r="H894" t="n">
        <v>0</v>
      </c>
      <c r="I894" t="n">
        <v>0</v>
      </c>
      <c r="J894" t="n">
        <v>0</v>
      </c>
      <c r="K894" t="n">
        <v>0</v>
      </c>
      <c r="L894" t="n">
        <v>0</v>
      </c>
      <c r="M894" t="n">
        <v>0</v>
      </c>
      <c r="N894" t="n">
        <v>0</v>
      </c>
      <c r="O894" t="n">
        <v>0</v>
      </c>
      <c r="P894" t="n">
        <v>0</v>
      </c>
      <c r="Q894" t="n">
        <v>0</v>
      </c>
      <c r="R894" s="2" t="inlineStr"/>
    </row>
    <row r="895" ht="15" customHeight="1">
      <c r="A895" t="inlineStr">
        <is>
          <t>A 57007-2021</t>
        </is>
      </c>
      <c r="B895" s="1" t="n">
        <v>44482</v>
      </c>
      <c r="C895" s="1" t="n">
        <v>45511</v>
      </c>
      <c r="D895" t="inlineStr">
        <is>
          <t>VÄSTERNORRLANDS LÄN</t>
        </is>
      </c>
      <c r="E895" t="inlineStr">
        <is>
          <t>SOLLEFTEÅ</t>
        </is>
      </c>
      <c r="G895" t="n">
        <v>7.4</v>
      </c>
      <c r="H895" t="n">
        <v>0</v>
      </c>
      <c r="I895" t="n">
        <v>0</v>
      </c>
      <c r="J895" t="n">
        <v>0</v>
      </c>
      <c r="K895" t="n">
        <v>0</v>
      </c>
      <c r="L895" t="n">
        <v>0</v>
      </c>
      <c r="M895" t="n">
        <v>0</v>
      </c>
      <c r="N895" t="n">
        <v>0</v>
      </c>
      <c r="O895" t="n">
        <v>0</v>
      </c>
      <c r="P895" t="n">
        <v>0</v>
      </c>
      <c r="Q895" t="n">
        <v>0</v>
      </c>
      <c r="R895" s="2" t="inlineStr"/>
    </row>
    <row r="896" ht="15" customHeight="1">
      <c r="A896" t="inlineStr">
        <is>
          <t>A 57550-2021</t>
        </is>
      </c>
      <c r="B896" s="1" t="n">
        <v>44484</v>
      </c>
      <c r="C896" s="1" t="n">
        <v>45511</v>
      </c>
      <c r="D896" t="inlineStr">
        <is>
          <t>VÄSTERNORRLANDS LÄN</t>
        </is>
      </c>
      <c r="E896" t="inlineStr">
        <is>
          <t>SOLLEFTEÅ</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57552-2021</t>
        </is>
      </c>
      <c r="B897" s="1" t="n">
        <v>44483</v>
      </c>
      <c r="C897" s="1" t="n">
        <v>45511</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57856-2021</t>
        </is>
      </c>
      <c r="B898" s="1" t="n">
        <v>44485</v>
      </c>
      <c r="C898" s="1" t="n">
        <v>45511</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57911-2021</t>
        </is>
      </c>
      <c r="B899" s="1" t="n">
        <v>44486</v>
      </c>
      <c r="C899" s="1" t="n">
        <v>45511</v>
      </c>
      <c r="D899" t="inlineStr">
        <is>
          <t>VÄSTERNORRLANDS LÄN</t>
        </is>
      </c>
      <c r="E899" t="inlineStr">
        <is>
          <t>SOLLEFTEÅ</t>
        </is>
      </c>
      <c r="G899" t="n">
        <v>3.1</v>
      </c>
      <c r="H899" t="n">
        <v>0</v>
      </c>
      <c r="I899" t="n">
        <v>0</v>
      </c>
      <c r="J899" t="n">
        <v>0</v>
      </c>
      <c r="K899" t="n">
        <v>0</v>
      </c>
      <c r="L899" t="n">
        <v>0</v>
      </c>
      <c r="M899" t="n">
        <v>0</v>
      </c>
      <c r="N899" t="n">
        <v>0</v>
      </c>
      <c r="O899" t="n">
        <v>0</v>
      </c>
      <c r="P899" t="n">
        <v>0</v>
      </c>
      <c r="Q899" t="n">
        <v>0</v>
      </c>
      <c r="R899" s="2" t="inlineStr"/>
    </row>
    <row r="900" ht="15" customHeight="1">
      <c r="A900" t="inlineStr">
        <is>
          <t>A 58268-2021</t>
        </is>
      </c>
      <c r="B900" s="1" t="n">
        <v>44487</v>
      </c>
      <c r="C900" s="1" t="n">
        <v>45511</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58276-2021</t>
        </is>
      </c>
      <c r="B901" s="1" t="n">
        <v>44488</v>
      </c>
      <c r="C901" s="1" t="n">
        <v>45511</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58179-2021</t>
        </is>
      </c>
      <c r="B902" s="1" t="n">
        <v>44487</v>
      </c>
      <c r="C902" s="1" t="n">
        <v>45511</v>
      </c>
      <c r="D902" t="inlineStr">
        <is>
          <t>VÄSTERNORRLANDS LÄN</t>
        </is>
      </c>
      <c r="E902" t="inlineStr">
        <is>
          <t>SOLLEFTEÅ</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58478-2021</t>
        </is>
      </c>
      <c r="B903" s="1" t="n">
        <v>44488</v>
      </c>
      <c r="C903" s="1" t="n">
        <v>45511</v>
      </c>
      <c r="D903" t="inlineStr">
        <is>
          <t>VÄSTERNORRLANDS LÄN</t>
        </is>
      </c>
      <c r="E903" t="inlineStr">
        <is>
          <t>SOLLEFTEÅ</t>
        </is>
      </c>
      <c r="G903" t="n">
        <v>9.5</v>
      </c>
      <c r="H903" t="n">
        <v>0</v>
      </c>
      <c r="I903" t="n">
        <v>0</v>
      </c>
      <c r="J903" t="n">
        <v>0</v>
      </c>
      <c r="K903" t="n">
        <v>0</v>
      </c>
      <c r="L903" t="n">
        <v>0</v>
      </c>
      <c r="M903" t="n">
        <v>0</v>
      </c>
      <c r="N903" t="n">
        <v>0</v>
      </c>
      <c r="O903" t="n">
        <v>0</v>
      </c>
      <c r="P903" t="n">
        <v>0</v>
      </c>
      <c r="Q903" t="n">
        <v>0</v>
      </c>
      <c r="R903" s="2" t="inlineStr"/>
    </row>
    <row r="904" ht="15" customHeight="1">
      <c r="A904" t="inlineStr">
        <is>
          <t>A 58486-2021</t>
        </is>
      </c>
      <c r="B904" s="1" t="n">
        <v>44488</v>
      </c>
      <c r="C904" s="1" t="n">
        <v>45511</v>
      </c>
      <c r="D904" t="inlineStr">
        <is>
          <t>VÄSTERNORRLANDS LÄN</t>
        </is>
      </c>
      <c r="E904" t="inlineStr">
        <is>
          <t>SOLLEFTEÅ</t>
        </is>
      </c>
      <c r="G904" t="n">
        <v>2.4</v>
      </c>
      <c r="H904" t="n">
        <v>0</v>
      </c>
      <c r="I904" t="n">
        <v>0</v>
      </c>
      <c r="J904" t="n">
        <v>0</v>
      </c>
      <c r="K904" t="n">
        <v>0</v>
      </c>
      <c r="L904" t="n">
        <v>0</v>
      </c>
      <c r="M904" t="n">
        <v>0</v>
      </c>
      <c r="N904" t="n">
        <v>0</v>
      </c>
      <c r="O904" t="n">
        <v>0</v>
      </c>
      <c r="P904" t="n">
        <v>0</v>
      </c>
      <c r="Q904" t="n">
        <v>0</v>
      </c>
      <c r="R904" s="2" t="inlineStr"/>
    </row>
    <row r="905" ht="15" customHeight="1">
      <c r="A905" t="inlineStr">
        <is>
          <t>A 58572-2021</t>
        </is>
      </c>
      <c r="B905" s="1" t="n">
        <v>44488</v>
      </c>
      <c r="C905" s="1" t="n">
        <v>45511</v>
      </c>
      <c r="D905" t="inlineStr">
        <is>
          <t>VÄSTERNORRLANDS LÄN</t>
        </is>
      </c>
      <c r="E905" t="inlineStr">
        <is>
          <t>SOLLEFTEÅ</t>
        </is>
      </c>
      <c r="G905" t="n">
        <v>0.1</v>
      </c>
      <c r="H905" t="n">
        <v>0</v>
      </c>
      <c r="I905" t="n">
        <v>0</v>
      </c>
      <c r="J905" t="n">
        <v>0</v>
      </c>
      <c r="K905" t="n">
        <v>0</v>
      </c>
      <c r="L905" t="n">
        <v>0</v>
      </c>
      <c r="M905" t="n">
        <v>0</v>
      </c>
      <c r="N905" t="n">
        <v>0</v>
      </c>
      <c r="O905" t="n">
        <v>0</v>
      </c>
      <c r="P905" t="n">
        <v>0</v>
      </c>
      <c r="Q905" t="n">
        <v>0</v>
      </c>
      <c r="R905" s="2" t="inlineStr"/>
    </row>
    <row r="906" ht="15" customHeight="1">
      <c r="A906" t="inlineStr">
        <is>
          <t>A 58571-2021</t>
        </is>
      </c>
      <c r="B906" s="1" t="n">
        <v>44488</v>
      </c>
      <c r="C906" s="1" t="n">
        <v>45511</v>
      </c>
      <c r="D906" t="inlineStr">
        <is>
          <t>VÄSTERNORRLANDS LÄN</t>
        </is>
      </c>
      <c r="E906" t="inlineStr">
        <is>
          <t>SOLLEFTEÅ</t>
        </is>
      </c>
      <c r="G906" t="n">
        <v>2.5</v>
      </c>
      <c r="H906" t="n">
        <v>0</v>
      </c>
      <c r="I906" t="n">
        <v>0</v>
      </c>
      <c r="J906" t="n">
        <v>0</v>
      </c>
      <c r="K906" t="n">
        <v>0</v>
      </c>
      <c r="L906" t="n">
        <v>0</v>
      </c>
      <c r="M906" t="n">
        <v>0</v>
      </c>
      <c r="N906" t="n">
        <v>0</v>
      </c>
      <c r="O906" t="n">
        <v>0</v>
      </c>
      <c r="P906" t="n">
        <v>0</v>
      </c>
      <c r="Q906" t="n">
        <v>0</v>
      </c>
      <c r="R906" s="2" t="inlineStr"/>
    </row>
    <row r="907" ht="15" customHeight="1">
      <c r="A907" t="inlineStr">
        <is>
          <t>A 58573-2021</t>
        </is>
      </c>
      <c r="B907" s="1" t="n">
        <v>44488</v>
      </c>
      <c r="C907" s="1" t="n">
        <v>45511</v>
      </c>
      <c r="D907" t="inlineStr">
        <is>
          <t>VÄSTERNORRLANDS LÄN</t>
        </is>
      </c>
      <c r="E907" t="inlineStr">
        <is>
          <t>SOLLEFTEÅ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58726-2021</t>
        </is>
      </c>
      <c r="B908" s="1" t="n">
        <v>44489</v>
      </c>
      <c r="C908" s="1" t="n">
        <v>45511</v>
      </c>
      <c r="D908" t="inlineStr">
        <is>
          <t>VÄSTERNORRLANDS LÄN</t>
        </is>
      </c>
      <c r="E908" t="inlineStr">
        <is>
          <t>SOLLEFTEÅ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58742-2021</t>
        </is>
      </c>
      <c r="B909" s="1" t="n">
        <v>44489</v>
      </c>
      <c r="C909" s="1" t="n">
        <v>45511</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58755-2021</t>
        </is>
      </c>
      <c r="B910" s="1" t="n">
        <v>44489</v>
      </c>
      <c r="C910" s="1" t="n">
        <v>45511</v>
      </c>
      <c r="D910" t="inlineStr">
        <is>
          <t>VÄSTERNORRLANDS LÄN</t>
        </is>
      </c>
      <c r="E910" t="inlineStr">
        <is>
          <t>SOLLEFTEÅ</t>
        </is>
      </c>
      <c r="G910" t="n">
        <v>12.2</v>
      </c>
      <c r="H910" t="n">
        <v>0</v>
      </c>
      <c r="I910" t="n">
        <v>0</v>
      </c>
      <c r="J910" t="n">
        <v>0</v>
      </c>
      <c r="K910" t="n">
        <v>0</v>
      </c>
      <c r="L910" t="n">
        <v>0</v>
      </c>
      <c r="M910" t="n">
        <v>0</v>
      </c>
      <c r="N910" t="n">
        <v>0</v>
      </c>
      <c r="O910" t="n">
        <v>0</v>
      </c>
      <c r="P910" t="n">
        <v>0</v>
      </c>
      <c r="Q910" t="n">
        <v>0</v>
      </c>
      <c r="R910" s="2" t="inlineStr"/>
    </row>
    <row r="911" ht="15" customHeight="1">
      <c r="A911" t="inlineStr">
        <is>
          <t>A 58688-2021</t>
        </is>
      </c>
      <c r="B911" s="1" t="n">
        <v>44489</v>
      </c>
      <c r="C911" s="1" t="n">
        <v>45511</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58715-2021</t>
        </is>
      </c>
      <c r="B912" s="1" t="n">
        <v>44489</v>
      </c>
      <c r="C912" s="1" t="n">
        <v>45511</v>
      </c>
      <c r="D912" t="inlineStr">
        <is>
          <t>VÄSTERNORRLANDS LÄN</t>
        </is>
      </c>
      <c r="E912" t="inlineStr">
        <is>
          <t>SOLLEFTEÅ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59344-2021</t>
        </is>
      </c>
      <c r="B913" s="1" t="n">
        <v>44490</v>
      </c>
      <c r="C913" s="1" t="n">
        <v>45511</v>
      </c>
      <c r="D913" t="inlineStr">
        <is>
          <t>VÄSTERNORRLANDS LÄN</t>
        </is>
      </c>
      <c r="E913" t="inlineStr">
        <is>
          <t>SOLLEFTEÅ</t>
        </is>
      </c>
      <c r="G913" t="n">
        <v>6.9</v>
      </c>
      <c r="H913" t="n">
        <v>0</v>
      </c>
      <c r="I913" t="n">
        <v>0</v>
      </c>
      <c r="J913" t="n">
        <v>0</v>
      </c>
      <c r="K913" t="n">
        <v>0</v>
      </c>
      <c r="L913" t="n">
        <v>0</v>
      </c>
      <c r="M913" t="n">
        <v>0</v>
      </c>
      <c r="N913" t="n">
        <v>0</v>
      </c>
      <c r="O913" t="n">
        <v>0</v>
      </c>
      <c r="P913" t="n">
        <v>0</v>
      </c>
      <c r="Q913" t="n">
        <v>0</v>
      </c>
      <c r="R913" s="2" t="inlineStr"/>
    </row>
    <row r="914" ht="15" customHeight="1">
      <c r="A914" t="inlineStr">
        <is>
          <t>A 59309-2021</t>
        </is>
      </c>
      <c r="B914" s="1" t="n">
        <v>44491</v>
      </c>
      <c r="C914" s="1" t="n">
        <v>45511</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59343-2021</t>
        </is>
      </c>
      <c r="B915" s="1" t="n">
        <v>44490</v>
      </c>
      <c r="C915" s="1" t="n">
        <v>45511</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60324-2021</t>
        </is>
      </c>
      <c r="B916" s="1" t="n">
        <v>44496</v>
      </c>
      <c r="C916" s="1" t="n">
        <v>45511</v>
      </c>
      <c r="D916" t="inlineStr">
        <is>
          <t>VÄSTERNORRLANDS LÄN</t>
        </is>
      </c>
      <c r="E916" t="inlineStr">
        <is>
          <t>SOLLEFTEÅ</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60757-2021</t>
        </is>
      </c>
      <c r="B917" s="1" t="n">
        <v>44497</v>
      </c>
      <c r="C917" s="1" t="n">
        <v>45511</v>
      </c>
      <c r="D917" t="inlineStr">
        <is>
          <t>VÄSTERNORRLANDS LÄN</t>
        </is>
      </c>
      <c r="E917" t="inlineStr">
        <is>
          <t>SOLLEFTEÅ</t>
        </is>
      </c>
      <c r="G917" t="n">
        <v>4.4</v>
      </c>
      <c r="H917" t="n">
        <v>0</v>
      </c>
      <c r="I917" t="n">
        <v>0</v>
      </c>
      <c r="J917" t="n">
        <v>0</v>
      </c>
      <c r="K917" t="n">
        <v>0</v>
      </c>
      <c r="L917" t="n">
        <v>0</v>
      </c>
      <c r="M917" t="n">
        <v>0</v>
      </c>
      <c r="N917" t="n">
        <v>0</v>
      </c>
      <c r="O917" t="n">
        <v>0</v>
      </c>
      <c r="P917" t="n">
        <v>0</v>
      </c>
      <c r="Q917" t="n">
        <v>0</v>
      </c>
      <c r="R917" s="2" t="inlineStr"/>
    </row>
    <row r="918" ht="15" customHeight="1">
      <c r="A918" t="inlineStr">
        <is>
          <t>A 60756-2021</t>
        </is>
      </c>
      <c r="B918" s="1" t="n">
        <v>44496</v>
      </c>
      <c r="C918" s="1" t="n">
        <v>45511</v>
      </c>
      <c r="D918" t="inlineStr">
        <is>
          <t>VÄSTERNORRLANDS LÄN</t>
        </is>
      </c>
      <c r="E918" t="inlineStr">
        <is>
          <t>SOLLEFTEÅ</t>
        </is>
      </c>
      <c r="G918" t="n">
        <v>2.9</v>
      </c>
      <c r="H918" t="n">
        <v>0</v>
      </c>
      <c r="I918" t="n">
        <v>0</v>
      </c>
      <c r="J918" t="n">
        <v>0</v>
      </c>
      <c r="K918" t="n">
        <v>0</v>
      </c>
      <c r="L918" t="n">
        <v>0</v>
      </c>
      <c r="M918" t="n">
        <v>0</v>
      </c>
      <c r="N918" t="n">
        <v>0</v>
      </c>
      <c r="O918" t="n">
        <v>0</v>
      </c>
      <c r="P918" t="n">
        <v>0</v>
      </c>
      <c r="Q918" t="n">
        <v>0</v>
      </c>
      <c r="R918" s="2" t="inlineStr"/>
    </row>
    <row r="919" ht="15" customHeight="1">
      <c r="A919" t="inlineStr">
        <is>
          <t>A 61739-2021</t>
        </is>
      </c>
      <c r="B919" s="1" t="n">
        <v>44498</v>
      </c>
      <c r="C919" s="1" t="n">
        <v>45511</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61424-2021</t>
        </is>
      </c>
      <c r="B920" s="1" t="n">
        <v>44500</v>
      </c>
      <c r="C920" s="1" t="n">
        <v>45511</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61470-2021</t>
        </is>
      </c>
      <c r="B921" s="1" t="n">
        <v>44500</v>
      </c>
      <c r="C921" s="1" t="n">
        <v>45511</v>
      </c>
      <c r="D921" t="inlineStr">
        <is>
          <t>VÄSTERNORRLANDS LÄN</t>
        </is>
      </c>
      <c r="E921" t="inlineStr">
        <is>
          <t>SOLLEFTEÅ</t>
        </is>
      </c>
      <c r="F921" t="inlineStr">
        <is>
          <t>SCA</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61480-2021</t>
        </is>
      </c>
      <c r="B922" s="1" t="n">
        <v>44500</v>
      </c>
      <c r="C922" s="1" t="n">
        <v>45511</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61426-2021</t>
        </is>
      </c>
      <c r="B923" s="1" t="n">
        <v>44500</v>
      </c>
      <c r="C923" s="1" t="n">
        <v>45511</v>
      </c>
      <c r="D923" t="inlineStr">
        <is>
          <t>VÄSTERNORRLANDS LÄN</t>
        </is>
      </c>
      <c r="E923" t="inlineStr">
        <is>
          <t>SOLLEFTEÅ</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61469-2021</t>
        </is>
      </c>
      <c r="B924" s="1" t="n">
        <v>44500</v>
      </c>
      <c r="C924" s="1" t="n">
        <v>45511</v>
      </c>
      <c r="D924" t="inlineStr">
        <is>
          <t>VÄSTERNORRLANDS LÄN</t>
        </is>
      </c>
      <c r="E924" t="inlineStr">
        <is>
          <t>SOLLEFTEÅ</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61496-2021</t>
        </is>
      </c>
      <c r="B925" s="1" t="n">
        <v>44501</v>
      </c>
      <c r="C925" s="1" t="n">
        <v>45511</v>
      </c>
      <c r="D925" t="inlineStr">
        <is>
          <t>VÄSTERNORRLANDS LÄN</t>
        </is>
      </c>
      <c r="E925" t="inlineStr">
        <is>
          <t>SOLLEFTEÅ</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62214-2021</t>
        </is>
      </c>
      <c r="B926" s="1" t="n">
        <v>44502</v>
      </c>
      <c r="C926" s="1" t="n">
        <v>45511</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62210-2021</t>
        </is>
      </c>
      <c r="B927" s="1" t="n">
        <v>44502</v>
      </c>
      <c r="C927" s="1" t="n">
        <v>45511</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62418-2021</t>
        </is>
      </c>
      <c r="B928" s="1" t="n">
        <v>44503</v>
      </c>
      <c r="C928" s="1" t="n">
        <v>45511</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62790-2021</t>
        </is>
      </c>
      <c r="B929" s="1" t="n">
        <v>44503</v>
      </c>
      <c r="C929" s="1" t="n">
        <v>45511</v>
      </c>
      <c r="D929" t="inlineStr">
        <is>
          <t>VÄSTERNORRLANDS LÄN</t>
        </is>
      </c>
      <c r="E929" t="inlineStr">
        <is>
          <t>SOLLEFTEÅ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62697-2021</t>
        </is>
      </c>
      <c r="B930" s="1" t="n">
        <v>44504</v>
      </c>
      <c r="C930" s="1" t="n">
        <v>45511</v>
      </c>
      <c r="D930" t="inlineStr">
        <is>
          <t>VÄSTERNORRLANDS LÄN</t>
        </is>
      </c>
      <c r="E930" t="inlineStr">
        <is>
          <t>SOLLEFTEÅ</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62692-2021</t>
        </is>
      </c>
      <c r="B931" s="1" t="n">
        <v>44504</v>
      </c>
      <c r="C931" s="1" t="n">
        <v>45511</v>
      </c>
      <c r="D931" t="inlineStr">
        <is>
          <t>VÄSTERNORRLANDS LÄN</t>
        </is>
      </c>
      <c r="E931" t="inlineStr">
        <is>
          <t>SOLLEFTEÅ</t>
        </is>
      </c>
      <c r="F931" t="inlineStr">
        <is>
          <t>Holmen skog AB</t>
        </is>
      </c>
      <c r="G931" t="n">
        <v>2.7</v>
      </c>
      <c r="H931" t="n">
        <v>0</v>
      </c>
      <c r="I931" t="n">
        <v>0</v>
      </c>
      <c r="J931" t="n">
        <v>0</v>
      </c>
      <c r="K931" t="n">
        <v>0</v>
      </c>
      <c r="L931" t="n">
        <v>0</v>
      </c>
      <c r="M931" t="n">
        <v>0</v>
      </c>
      <c r="N931" t="n">
        <v>0</v>
      </c>
      <c r="O931" t="n">
        <v>0</v>
      </c>
      <c r="P931" t="n">
        <v>0</v>
      </c>
      <c r="Q931" t="n">
        <v>0</v>
      </c>
      <c r="R931" s="2" t="inlineStr"/>
    </row>
    <row r="932" ht="15" customHeight="1">
      <c r="A932" t="inlineStr">
        <is>
          <t>A 63710-2021</t>
        </is>
      </c>
      <c r="B932" s="1" t="n">
        <v>44504</v>
      </c>
      <c r="C932" s="1" t="n">
        <v>45511</v>
      </c>
      <c r="D932" t="inlineStr">
        <is>
          <t>VÄSTERNORRLANDS LÄN</t>
        </is>
      </c>
      <c r="E932" t="inlineStr">
        <is>
          <t>SOLLEFTEÅ</t>
        </is>
      </c>
      <c r="G932" t="n">
        <v>10.6</v>
      </c>
      <c r="H932" t="n">
        <v>0</v>
      </c>
      <c r="I932" t="n">
        <v>0</v>
      </c>
      <c r="J932" t="n">
        <v>0</v>
      </c>
      <c r="K932" t="n">
        <v>0</v>
      </c>
      <c r="L932" t="n">
        <v>0</v>
      </c>
      <c r="M932" t="n">
        <v>0</v>
      </c>
      <c r="N932" t="n">
        <v>0</v>
      </c>
      <c r="O932" t="n">
        <v>0</v>
      </c>
      <c r="P932" t="n">
        <v>0</v>
      </c>
      <c r="Q932" t="n">
        <v>0</v>
      </c>
      <c r="R932" s="2" t="inlineStr"/>
    </row>
    <row r="933" ht="15" customHeight="1">
      <c r="A933" t="inlineStr">
        <is>
          <t>A 64638-2021</t>
        </is>
      </c>
      <c r="B933" s="1" t="n">
        <v>44511</v>
      </c>
      <c r="C933" s="1" t="n">
        <v>45511</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64651-2021</t>
        </is>
      </c>
      <c r="B934" s="1" t="n">
        <v>44511</v>
      </c>
      <c r="C934" s="1" t="n">
        <v>45511</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64653-2021</t>
        </is>
      </c>
      <c r="B935" s="1" t="n">
        <v>44511</v>
      </c>
      <c r="C935" s="1" t="n">
        <v>45511</v>
      </c>
      <c r="D935" t="inlineStr">
        <is>
          <t>VÄSTERNORRLANDS LÄN</t>
        </is>
      </c>
      <c r="E935" t="inlineStr">
        <is>
          <t>SOLLEFTEÅ</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64939-2021</t>
        </is>
      </c>
      <c r="B936" s="1" t="n">
        <v>44512</v>
      </c>
      <c r="C936" s="1" t="n">
        <v>45511</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64947-2021</t>
        </is>
      </c>
      <c r="B937" s="1" t="n">
        <v>44512</v>
      </c>
      <c r="C937" s="1" t="n">
        <v>45511</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64944-2021</t>
        </is>
      </c>
      <c r="B938" s="1" t="n">
        <v>44512</v>
      </c>
      <c r="C938" s="1" t="n">
        <v>45511</v>
      </c>
      <c r="D938" t="inlineStr">
        <is>
          <t>VÄSTERNORRLANDS LÄN</t>
        </is>
      </c>
      <c r="E938" t="inlineStr">
        <is>
          <t>SOLLEFTEÅ</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65009-2021</t>
        </is>
      </c>
      <c r="B939" s="1" t="n">
        <v>44514</v>
      </c>
      <c r="C939" s="1" t="n">
        <v>45511</v>
      </c>
      <c r="D939" t="inlineStr">
        <is>
          <t>VÄSTERNORRLANDS LÄN</t>
        </is>
      </c>
      <c r="E939" t="inlineStr">
        <is>
          <t>SOLLEFTEÅ</t>
        </is>
      </c>
      <c r="G939" t="n">
        <v>17.3</v>
      </c>
      <c r="H939" t="n">
        <v>0</v>
      </c>
      <c r="I939" t="n">
        <v>0</v>
      </c>
      <c r="J939" t="n">
        <v>0</v>
      </c>
      <c r="K939" t="n">
        <v>0</v>
      </c>
      <c r="L939" t="n">
        <v>0</v>
      </c>
      <c r="M939" t="n">
        <v>0</v>
      </c>
      <c r="N939" t="n">
        <v>0</v>
      </c>
      <c r="O939" t="n">
        <v>0</v>
      </c>
      <c r="P939" t="n">
        <v>0</v>
      </c>
      <c r="Q939" t="n">
        <v>0</v>
      </c>
      <c r="R939" s="2" t="inlineStr"/>
    </row>
    <row r="940" ht="15" customHeight="1">
      <c r="A940" t="inlineStr">
        <is>
          <t>A 65419-2021</t>
        </is>
      </c>
      <c r="B940" s="1" t="n">
        <v>44515</v>
      </c>
      <c r="C940" s="1" t="n">
        <v>45511</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66178-2021</t>
        </is>
      </c>
      <c r="B941" s="1" t="n">
        <v>44517</v>
      </c>
      <c r="C941" s="1" t="n">
        <v>45511</v>
      </c>
      <c r="D941" t="inlineStr">
        <is>
          <t>VÄSTERNORRLANDS LÄN</t>
        </is>
      </c>
      <c r="E941" t="inlineStr">
        <is>
          <t>SOLLEFTEÅ</t>
        </is>
      </c>
      <c r="F941" t="inlineStr">
        <is>
          <t>SCA</t>
        </is>
      </c>
      <c r="G941" t="n">
        <v>31.7</v>
      </c>
      <c r="H941" t="n">
        <v>0</v>
      </c>
      <c r="I941" t="n">
        <v>0</v>
      </c>
      <c r="J941" t="n">
        <v>0</v>
      </c>
      <c r="K941" t="n">
        <v>0</v>
      </c>
      <c r="L941" t="n">
        <v>0</v>
      </c>
      <c r="M941" t="n">
        <v>0</v>
      </c>
      <c r="N941" t="n">
        <v>0</v>
      </c>
      <c r="O941" t="n">
        <v>0</v>
      </c>
      <c r="P941" t="n">
        <v>0</v>
      </c>
      <c r="Q941" t="n">
        <v>0</v>
      </c>
      <c r="R941" s="2" t="inlineStr"/>
    </row>
    <row r="942" ht="15" customHeight="1">
      <c r="A942" t="inlineStr">
        <is>
          <t>A 66856-2021</t>
        </is>
      </c>
      <c r="B942" s="1" t="n">
        <v>44522</v>
      </c>
      <c r="C942" s="1" t="n">
        <v>45511</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67085-2021</t>
        </is>
      </c>
      <c r="B943" s="1" t="n">
        <v>44522</v>
      </c>
      <c r="C943" s="1" t="n">
        <v>45511</v>
      </c>
      <c r="D943" t="inlineStr">
        <is>
          <t>VÄSTERNORRLANDS LÄN</t>
        </is>
      </c>
      <c r="E943" t="inlineStr">
        <is>
          <t>SOLLEFTEÅ</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67143-2021</t>
        </is>
      </c>
      <c r="B944" s="1" t="n">
        <v>44523</v>
      </c>
      <c r="C944" s="1" t="n">
        <v>45511</v>
      </c>
      <c r="D944" t="inlineStr">
        <is>
          <t>VÄSTERNORRLANDS LÄN</t>
        </is>
      </c>
      <c r="E944" t="inlineStr">
        <is>
          <t>SOLLEFTEÅ</t>
        </is>
      </c>
      <c r="G944" t="n">
        <v>19.7</v>
      </c>
      <c r="H944" t="n">
        <v>0</v>
      </c>
      <c r="I944" t="n">
        <v>0</v>
      </c>
      <c r="J944" t="n">
        <v>0</v>
      </c>
      <c r="K944" t="n">
        <v>0</v>
      </c>
      <c r="L944" t="n">
        <v>0</v>
      </c>
      <c r="M944" t="n">
        <v>0</v>
      </c>
      <c r="N944" t="n">
        <v>0</v>
      </c>
      <c r="O944" t="n">
        <v>0</v>
      </c>
      <c r="P944" t="n">
        <v>0</v>
      </c>
      <c r="Q944" t="n">
        <v>0</v>
      </c>
      <c r="R944" s="2" t="inlineStr"/>
    </row>
    <row r="945" ht="15" customHeight="1">
      <c r="A945" t="inlineStr">
        <is>
          <t>A 67136-2021</t>
        </is>
      </c>
      <c r="B945" s="1" t="n">
        <v>44523</v>
      </c>
      <c r="C945" s="1" t="n">
        <v>45511</v>
      </c>
      <c r="D945" t="inlineStr">
        <is>
          <t>VÄSTERNORRLANDS LÄN</t>
        </is>
      </c>
      <c r="E945" t="inlineStr">
        <is>
          <t>SOLLEFTEÅ</t>
        </is>
      </c>
      <c r="G945" t="n">
        <v>5.2</v>
      </c>
      <c r="H945" t="n">
        <v>0</v>
      </c>
      <c r="I945" t="n">
        <v>0</v>
      </c>
      <c r="J945" t="n">
        <v>0</v>
      </c>
      <c r="K945" t="n">
        <v>0</v>
      </c>
      <c r="L945" t="n">
        <v>0</v>
      </c>
      <c r="M945" t="n">
        <v>0</v>
      </c>
      <c r="N945" t="n">
        <v>0</v>
      </c>
      <c r="O945" t="n">
        <v>0</v>
      </c>
      <c r="P945" t="n">
        <v>0</v>
      </c>
      <c r="Q945" t="n">
        <v>0</v>
      </c>
      <c r="R945" s="2" t="inlineStr"/>
    </row>
    <row r="946" ht="15" customHeight="1">
      <c r="A946" t="inlineStr">
        <is>
          <t>A 67390-2021</t>
        </is>
      </c>
      <c r="B946" s="1" t="n">
        <v>44523</v>
      </c>
      <c r="C946" s="1" t="n">
        <v>45511</v>
      </c>
      <c r="D946" t="inlineStr">
        <is>
          <t>VÄSTERNORRLANDS LÄN</t>
        </is>
      </c>
      <c r="E946" t="inlineStr">
        <is>
          <t>SOLLEFTEÅ</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67401-2021</t>
        </is>
      </c>
      <c r="B947" s="1" t="n">
        <v>44523</v>
      </c>
      <c r="C947" s="1" t="n">
        <v>45511</v>
      </c>
      <c r="D947" t="inlineStr">
        <is>
          <t>VÄSTERNORRLANDS LÄN</t>
        </is>
      </c>
      <c r="E947" t="inlineStr">
        <is>
          <t>SOLLEFTEÅ</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67689-2021</t>
        </is>
      </c>
      <c r="B948" s="1" t="n">
        <v>44524</v>
      </c>
      <c r="C948" s="1" t="n">
        <v>45511</v>
      </c>
      <c r="D948" t="inlineStr">
        <is>
          <t>VÄSTERNORRLANDS LÄN</t>
        </is>
      </c>
      <c r="E948" t="inlineStr">
        <is>
          <t>SOLLEFTEÅ</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67702-2021</t>
        </is>
      </c>
      <c r="B949" s="1" t="n">
        <v>44524</v>
      </c>
      <c r="C949" s="1" t="n">
        <v>45511</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67822-2021</t>
        </is>
      </c>
      <c r="B950" s="1" t="n">
        <v>44525</v>
      </c>
      <c r="C950" s="1" t="n">
        <v>45511</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68317-2021</t>
        </is>
      </c>
      <c r="B951" s="1" t="n">
        <v>44526</v>
      </c>
      <c r="C951" s="1" t="n">
        <v>45511</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68792-2021</t>
        </is>
      </c>
      <c r="B952" s="1" t="n">
        <v>44529</v>
      </c>
      <c r="C952" s="1" t="n">
        <v>45511</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68843-2021</t>
        </is>
      </c>
      <c r="B953" s="1" t="n">
        <v>44530</v>
      </c>
      <c r="C953" s="1" t="n">
        <v>45511</v>
      </c>
      <c r="D953" t="inlineStr">
        <is>
          <t>VÄSTERNORRLANDS LÄN</t>
        </is>
      </c>
      <c r="E953" t="inlineStr">
        <is>
          <t>SOLLEFTEÅ</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68863-2021</t>
        </is>
      </c>
      <c r="B954" s="1" t="n">
        <v>44530</v>
      </c>
      <c r="C954" s="1" t="n">
        <v>45511</v>
      </c>
      <c r="D954" t="inlineStr">
        <is>
          <t>VÄSTERNORRLANDS LÄN</t>
        </is>
      </c>
      <c r="E954" t="inlineStr">
        <is>
          <t>SOLLEFTEÅ</t>
        </is>
      </c>
      <c r="F954" t="inlineStr">
        <is>
          <t>Holmen skog AB</t>
        </is>
      </c>
      <c r="G954" t="n">
        <v>16.8</v>
      </c>
      <c r="H954" t="n">
        <v>0</v>
      </c>
      <c r="I954" t="n">
        <v>0</v>
      </c>
      <c r="J954" t="n">
        <v>0</v>
      </c>
      <c r="K954" t="n">
        <v>0</v>
      </c>
      <c r="L954" t="n">
        <v>0</v>
      </c>
      <c r="M954" t="n">
        <v>0</v>
      </c>
      <c r="N954" t="n">
        <v>0</v>
      </c>
      <c r="O954" t="n">
        <v>0</v>
      </c>
      <c r="P954" t="n">
        <v>0</v>
      </c>
      <c r="Q954" t="n">
        <v>0</v>
      </c>
      <c r="R954" s="2" t="inlineStr"/>
    </row>
    <row r="955" ht="15" customHeight="1">
      <c r="A955" t="inlineStr">
        <is>
          <t>A 69121-2021</t>
        </is>
      </c>
      <c r="B955" s="1" t="n">
        <v>44530</v>
      </c>
      <c r="C955" s="1" t="n">
        <v>45511</v>
      </c>
      <c r="D955" t="inlineStr">
        <is>
          <t>VÄSTERNORRLANDS LÄN</t>
        </is>
      </c>
      <c r="E955" t="inlineStr">
        <is>
          <t>SOLLEFTEÅ</t>
        </is>
      </c>
      <c r="G955" t="n">
        <v>0.6</v>
      </c>
      <c r="H955" t="n">
        <v>0</v>
      </c>
      <c r="I955" t="n">
        <v>0</v>
      </c>
      <c r="J955" t="n">
        <v>0</v>
      </c>
      <c r="K955" t="n">
        <v>0</v>
      </c>
      <c r="L955" t="n">
        <v>0</v>
      </c>
      <c r="M955" t="n">
        <v>0</v>
      </c>
      <c r="N955" t="n">
        <v>0</v>
      </c>
      <c r="O955" t="n">
        <v>0</v>
      </c>
      <c r="P955" t="n">
        <v>0</v>
      </c>
      <c r="Q955" t="n">
        <v>0</v>
      </c>
      <c r="R955" s="2" t="inlineStr"/>
    </row>
    <row r="956" ht="15" customHeight="1">
      <c r="A956" t="inlineStr">
        <is>
          <t>A 69543-2021</t>
        </is>
      </c>
      <c r="B956" s="1" t="n">
        <v>44531</v>
      </c>
      <c r="C956" s="1" t="n">
        <v>45511</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69542-2021</t>
        </is>
      </c>
      <c r="B957" s="1" t="n">
        <v>44531</v>
      </c>
      <c r="C957" s="1" t="n">
        <v>45511</v>
      </c>
      <c r="D957" t="inlineStr">
        <is>
          <t>VÄSTERNORRLANDS LÄN</t>
        </is>
      </c>
      <c r="E957" t="inlineStr">
        <is>
          <t>SOLLEFTEÅ</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69919-2021</t>
        </is>
      </c>
      <c r="B958" s="1" t="n">
        <v>44532</v>
      </c>
      <c r="C958" s="1" t="n">
        <v>45511</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69916-2021</t>
        </is>
      </c>
      <c r="B959" s="1" t="n">
        <v>44532</v>
      </c>
      <c r="C959" s="1" t="n">
        <v>45511</v>
      </c>
      <c r="D959" t="inlineStr">
        <is>
          <t>VÄSTERNORRLANDS LÄN</t>
        </is>
      </c>
      <c r="E959" t="inlineStr">
        <is>
          <t>SOLLEFTEÅ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70180-2021</t>
        </is>
      </c>
      <c r="B960" s="1" t="n">
        <v>44533</v>
      </c>
      <c r="C960" s="1" t="n">
        <v>45511</v>
      </c>
      <c r="D960" t="inlineStr">
        <is>
          <t>VÄSTERNORRLANDS LÄN</t>
        </is>
      </c>
      <c r="E960" t="inlineStr">
        <is>
          <t>SOLLEFTEÅ</t>
        </is>
      </c>
      <c r="G960" t="n">
        <v>1.1</v>
      </c>
      <c r="H960" t="n">
        <v>0</v>
      </c>
      <c r="I960" t="n">
        <v>0</v>
      </c>
      <c r="J960" t="n">
        <v>0</v>
      </c>
      <c r="K960" t="n">
        <v>0</v>
      </c>
      <c r="L960" t="n">
        <v>0</v>
      </c>
      <c r="M960" t="n">
        <v>0</v>
      </c>
      <c r="N960" t="n">
        <v>0</v>
      </c>
      <c r="O960" t="n">
        <v>0</v>
      </c>
      <c r="P960" t="n">
        <v>0</v>
      </c>
      <c r="Q960" t="n">
        <v>0</v>
      </c>
      <c r="R960" s="2" t="inlineStr"/>
    </row>
    <row r="961" ht="15" customHeight="1">
      <c r="A961" t="inlineStr">
        <is>
          <t>A 70821-2021</t>
        </is>
      </c>
      <c r="B961" s="1" t="n">
        <v>44537</v>
      </c>
      <c r="C961" s="1" t="n">
        <v>45511</v>
      </c>
      <c r="D961" t="inlineStr">
        <is>
          <t>VÄSTERNORRLANDS LÄN</t>
        </is>
      </c>
      <c r="E961" t="inlineStr">
        <is>
          <t>SOLLEFTEÅ</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71080-2021</t>
        </is>
      </c>
      <c r="B962" s="1" t="n">
        <v>44538</v>
      </c>
      <c r="C962" s="1" t="n">
        <v>45511</v>
      </c>
      <c r="D962" t="inlineStr">
        <is>
          <t>VÄSTERNORRLANDS LÄN</t>
        </is>
      </c>
      <c r="E962" t="inlineStr">
        <is>
          <t>SOLLEFTEÅ</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71079-2021</t>
        </is>
      </c>
      <c r="B963" s="1" t="n">
        <v>44538</v>
      </c>
      <c r="C963" s="1" t="n">
        <v>45511</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71348-2021</t>
        </is>
      </c>
      <c r="B964" s="1" t="n">
        <v>44539</v>
      </c>
      <c r="C964" s="1" t="n">
        <v>45511</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71351-2021</t>
        </is>
      </c>
      <c r="B965" s="1" t="n">
        <v>44539</v>
      </c>
      <c r="C965" s="1" t="n">
        <v>45511</v>
      </c>
      <c r="D965" t="inlineStr">
        <is>
          <t>VÄSTERNORRLANDS LÄN</t>
        </is>
      </c>
      <c r="E965" t="inlineStr">
        <is>
          <t>SOLLEFTEÅ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71350-2021</t>
        </is>
      </c>
      <c r="B966" s="1" t="n">
        <v>44539</v>
      </c>
      <c r="C966" s="1" t="n">
        <v>45511</v>
      </c>
      <c r="D966" t="inlineStr">
        <is>
          <t>VÄSTERNORRLANDS LÄN</t>
        </is>
      </c>
      <c r="E966" t="inlineStr">
        <is>
          <t>SOLLEFTEÅ</t>
        </is>
      </c>
      <c r="G966" t="n">
        <v>0</v>
      </c>
      <c r="H966" t="n">
        <v>0</v>
      </c>
      <c r="I966" t="n">
        <v>0</v>
      </c>
      <c r="J966" t="n">
        <v>0</v>
      </c>
      <c r="K966" t="n">
        <v>0</v>
      </c>
      <c r="L966" t="n">
        <v>0</v>
      </c>
      <c r="M966" t="n">
        <v>0</v>
      </c>
      <c r="N966" t="n">
        <v>0</v>
      </c>
      <c r="O966" t="n">
        <v>0</v>
      </c>
      <c r="P966" t="n">
        <v>0</v>
      </c>
      <c r="Q966" t="n">
        <v>0</v>
      </c>
      <c r="R966" s="2" t="inlineStr"/>
    </row>
    <row r="967" ht="15" customHeight="1">
      <c r="A967" t="inlineStr">
        <is>
          <t>A 71580-2021</t>
        </is>
      </c>
      <c r="B967" s="1" t="n">
        <v>44540</v>
      </c>
      <c r="C967" s="1" t="n">
        <v>45511</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72244-2021</t>
        </is>
      </c>
      <c r="B968" s="1" t="n">
        <v>44544</v>
      </c>
      <c r="C968" s="1" t="n">
        <v>45511</v>
      </c>
      <c r="D968" t="inlineStr">
        <is>
          <t>VÄSTERNORRLANDS LÄN</t>
        </is>
      </c>
      <c r="E968" t="inlineStr">
        <is>
          <t>SOLLEFTEÅ</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72249-2021</t>
        </is>
      </c>
      <c r="B969" s="1" t="n">
        <v>44544</v>
      </c>
      <c r="C969" s="1" t="n">
        <v>45511</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72315-2021</t>
        </is>
      </c>
      <c r="B970" s="1" t="n">
        <v>44545</v>
      </c>
      <c r="C970" s="1" t="n">
        <v>45511</v>
      </c>
      <c r="D970" t="inlineStr">
        <is>
          <t>VÄSTERNORRLANDS LÄN</t>
        </is>
      </c>
      <c r="E970" t="inlineStr">
        <is>
          <t>SOLLEFTEÅ</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72485-2021</t>
        </is>
      </c>
      <c r="B971" s="1" t="n">
        <v>44545</v>
      </c>
      <c r="C971" s="1" t="n">
        <v>45511</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72496-2021</t>
        </is>
      </c>
      <c r="B972" s="1" t="n">
        <v>44545</v>
      </c>
      <c r="C972" s="1" t="n">
        <v>45511</v>
      </c>
      <c r="D972" t="inlineStr">
        <is>
          <t>VÄSTERNORRLANDS LÄN</t>
        </is>
      </c>
      <c r="E972" t="inlineStr">
        <is>
          <t>SOLLEFTEÅ</t>
        </is>
      </c>
      <c r="G972" t="n">
        <v>20</v>
      </c>
      <c r="H972" t="n">
        <v>0</v>
      </c>
      <c r="I972" t="n">
        <v>0</v>
      </c>
      <c r="J972" t="n">
        <v>0</v>
      </c>
      <c r="K972" t="n">
        <v>0</v>
      </c>
      <c r="L972" t="n">
        <v>0</v>
      </c>
      <c r="M972" t="n">
        <v>0</v>
      </c>
      <c r="N972" t="n">
        <v>0</v>
      </c>
      <c r="O972" t="n">
        <v>0</v>
      </c>
      <c r="P972" t="n">
        <v>0</v>
      </c>
      <c r="Q972" t="n">
        <v>0</v>
      </c>
      <c r="R972" s="2" t="inlineStr"/>
    </row>
    <row r="973" ht="15" customHeight="1">
      <c r="A973" t="inlineStr">
        <is>
          <t>A 72949-2021</t>
        </is>
      </c>
      <c r="B973" s="1" t="n">
        <v>44547</v>
      </c>
      <c r="C973" s="1" t="n">
        <v>45511</v>
      </c>
      <c r="D973" t="inlineStr">
        <is>
          <t>VÄSTERNORRLANDS LÄN</t>
        </is>
      </c>
      <c r="E973" t="inlineStr">
        <is>
          <t>SOLLEFTEÅ</t>
        </is>
      </c>
      <c r="G973" t="n">
        <v>0.5</v>
      </c>
      <c r="H973" t="n">
        <v>0</v>
      </c>
      <c r="I973" t="n">
        <v>0</v>
      </c>
      <c r="J973" t="n">
        <v>0</v>
      </c>
      <c r="K973" t="n">
        <v>0</v>
      </c>
      <c r="L973" t="n">
        <v>0</v>
      </c>
      <c r="M973" t="n">
        <v>0</v>
      </c>
      <c r="N973" t="n">
        <v>0</v>
      </c>
      <c r="O973" t="n">
        <v>0</v>
      </c>
      <c r="P973" t="n">
        <v>0</v>
      </c>
      <c r="Q973" t="n">
        <v>0</v>
      </c>
      <c r="R973" s="2" t="inlineStr"/>
    </row>
    <row r="974" ht="15" customHeight="1">
      <c r="A974" t="inlineStr">
        <is>
          <t>A 72958-2021</t>
        </is>
      </c>
      <c r="B974" s="1" t="n">
        <v>44547</v>
      </c>
      <c r="C974" s="1" t="n">
        <v>45511</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72977-2021</t>
        </is>
      </c>
      <c r="B975" s="1" t="n">
        <v>44548</v>
      </c>
      <c r="C975" s="1" t="n">
        <v>45511</v>
      </c>
      <c r="D975" t="inlineStr">
        <is>
          <t>VÄSTERNORRLANDS LÄN</t>
        </is>
      </c>
      <c r="E975" t="inlineStr">
        <is>
          <t>SOLLEFTEÅ</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73285-2021</t>
        </is>
      </c>
      <c r="B976" s="1" t="n">
        <v>44550</v>
      </c>
      <c r="C976" s="1" t="n">
        <v>45511</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73367-2021</t>
        </is>
      </c>
      <c r="B977" s="1" t="n">
        <v>44550</v>
      </c>
      <c r="C977" s="1" t="n">
        <v>45511</v>
      </c>
      <c r="D977" t="inlineStr">
        <is>
          <t>VÄSTERNORRLANDS LÄN</t>
        </is>
      </c>
      <c r="E977" t="inlineStr">
        <is>
          <t>SOLLEFTEÅ</t>
        </is>
      </c>
      <c r="G977" t="n">
        <v>10.8</v>
      </c>
      <c r="H977" t="n">
        <v>0</v>
      </c>
      <c r="I977" t="n">
        <v>0</v>
      </c>
      <c r="J977" t="n">
        <v>0</v>
      </c>
      <c r="K977" t="n">
        <v>0</v>
      </c>
      <c r="L977" t="n">
        <v>0</v>
      </c>
      <c r="M977" t="n">
        <v>0</v>
      </c>
      <c r="N977" t="n">
        <v>0</v>
      </c>
      <c r="O977" t="n">
        <v>0</v>
      </c>
      <c r="P977" t="n">
        <v>0</v>
      </c>
      <c r="Q977" t="n">
        <v>0</v>
      </c>
      <c r="R977" s="2" t="inlineStr"/>
    </row>
    <row r="978" ht="15" customHeight="1">
      <c r="A978" t="inlineStr">
        <is>
          <t>A 73566-2021</t>
        </is>
      </c>
      <c r="B978" s="1" t="n">
        <v>44551</v>
      </c>
      <c r="C978" s="1" t="n">
        <v>45511</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73564-2021</t>
        </is>
      </c>
      <c r="B979" s="1" t="n">
        <v>44551</v>
      </c>
      <c r="C979" s="1" t="n">
        <v>45511</v>
      </c>
      <c r="D979" t="inlineStr">
        <is>
          <t>VÄSTERNORRLANDS LÄN</t>
        </is>
      </c>
      <c r="E979" t="inlineStr">
        <is>
          <t>SOLLEFTEÅ</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73567-2021</t>
        </is>
      </c>
      <c r="B980" s="1" t="n">
        <v>44551</v>
      </c>
      <c r="C980" s="1" t="n">
        <v>45511</v>
      </c>
      <c r="D980" t="inlineStr">
        <is>
          <t>VÄSTERNORRLANDS LÄN</t>
        </is>
      </c>
      <c r="E980" t="inlineStr">
        <is>
          <t>SOLLEFTEÅ</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73886-2021</t>
        </is>
      </c>
      <c r="B981" s="1" t="n">
        <v>44553</v>
      </c>
      <c r="C981" s="1" t="n">
        <v>45511</v>
      </c>
      <c r="D981" t="inlineStr">
        <is>
          <t>VÄSTERNORRLANDS LÄN</t>
        </is>
      </c>
      <c r="E981" t="inlineStr">
        <is>
          <t>SOLLEFTEÅ</t>
        </is>
      </c>
      <c r="G981" t="n">
        <v>0.7</v>
      </c>
      <c r="H981" t="n">
        <v>0</v>
      </c>
      <c r="I981" t="n">
        <v>0</v>
      </c>
      <c r="J981" t="n">
        <v>0</v>
      </c>
      <c r="K981" t="n">
        <v>0</v>
      </c>
      <c r="L981" t="n">
        <v>0</v>
      </c>
      <c r="M981" t="n">
        <v>0</v>
      </c>
      <c r="N981" t="n">
        <v>0</v>
      </c>
      <c r="O981" t="n">
        <v>0</v>
      </c>
      <c r="P981" t="n">
        <v>0</v>
      </c>
      <c r="Q981" t="n">
        <v>0</v>
      </c>
      <c r="R981" s="2" t="inlineStr"/>
    </row>
    <row r="982" ht="15" customHeight="1">
      <c r="A982" t="inlineStr">
        <is>
          <t>A 73847-2021</t>
        </is>
      </c>
      <c r="B982" s="1" t="n">
        <v>44553</v>
      </c>
      <c r="C982" s="1" t="n">
        <v>45511</v>
      </c>
      <c r="D982" t="inlineStr">
        <is>
          <t>VÄSTERNORRLANDS LÄN</t>
        </is>
      </c>
      <c r="E982" t="inlineStr">
        <is>
          <t>SOLLEFTEÅ</t>
        </is>
      </c>
      <c r="F982" t="inlineStr">
        <is>
          <t>Övriga Aktiebolag</t>
        </is>
      </c>
      <c r="G982" t="n">
        <v>20.1</v>
      </c>
      <c r="H982" t="n">
        <v>0</v>
      </c>
      <c r="I982" t="n">
        <v>0</v>
      </c>
      <c r="J982" t="n">
        <v>0</v>
      </c>
      <c r="K982" t="n">
        <v>0</v>
      </c>
      <c r="L982" t="n">
        <v>0</v>
      </c>
      <c r="M982" t="n">
        <v>0</v>
      </c>
      <c r="N982" t="n">
        <v>0</v>
      </c>
      <c r="O982" t="n">
        <v>0</v>
      </c>
      <c r="P982" t="n">
        <v>0</v>
      </c>
      <c r="Q982" t="n">
        <v>0</v>
      </c>
      <c r="R982" s="2" t="inlineStr"/>
    </row>
    <row r="983" ht="15" customHeight="1">
      <c r="A983" t="inlineStr">
        <is>
          <t>A 2-2022</t>
        </is>
      </c>
      <c r="B983" s="1" t="n">
        <v>44562</v>
      </c>
      <c r="C983" s="1" t="n">
        <v>45511</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19-2022</t>
        </is>
      </c>
      <c r="B984" s="1" t="n">
        <v>44564</v>
      </c>
      <c r="C984" s="1" t="n">
        <v>45511</v>
      </c>
      <c r="D984" t="inlineStr">
        <is>
          <t>VÄSTERNORRLANDS LÄN</t>
        </is>
      </c>
      <c r="E984" t="inlineStr">
        <is>
          <t>SOLLEFTEÅ</t>
        </is>
      </c>
      <c r="G984" t="n">
        <v>14.9</v>
      </c>
      <c r="H984" t="n">
        <v>0</v>
      </c>
      <c r="I984" t="n">
        <v>0</v>
      </c>
      <c r="J984" t="n">
        <v>0</v>
      </c>
      <c r="K984" t="n">
        <v>0</v>
      </c>
      <c r="L984" t="n">
        <v>0</v>
      </c>
      <c r="M984" t="n">
        <v>0</v>
      </c>
      <c r="N984" t="n">
        <v>0</v>
      </c>
      <c r="O984" t="n">
        <v>0</v>
      </c>
      <c r="P984" t="n">
        <v>0</v>
      </c>
      <c r="Q984" t="n">
        <v>0</v>
      </c>
      <c r="R984" s="2" t="inlineStr"/>
    </row>
    <row r="985" ht="15" customHeight="1">
      <c r="A985" t="inlineStr">
        <is>
          <t>A 576-2022</t>
        </is>
      </c>
      <c r="B985" s="1" t="n">
        <v>44566</v>
      </c>
      <c r="C985" s="1" t="n">
        <v>45511</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1095-2022</t>
        </is>
      </c>
      <c r="B986" s="1" t="n">
        <v>44571</v>
      </c>
      <c r="C986" s="1" t="n">
        <v>45511</v>
      </c>
      <c r="D986" t="inlineStr">
        <is>
          <t>VÄSTERNORRLANDS LÄN</t>
        </is>
      </c>
      <c r="E986" t="inlineStr">
        <is>
          <t>SOLLEFTEÅ</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1094-2022</t>
        </is>
      </c>
      <c r="B987" s="1" t="n">
        <v>44571</v>
      </c>
      <c r="C987" s="1" t="n">
        <v>45511</v>
      </c>
      <c r="D987" t="inlineStr">
        <is>
          <t>VÄSTERNORRLANDS LÄN</t>
        </is>
      </c>
      <c r="E987" t="inlineStr">
        <is>
          <t>SOLLEFTEÅ</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1402-2022</t>
        </is>
      </c>
      <c r="B988" s="1" t="n">
        <v>44573</v>
      </c>
      <c r="C988" s="1" t="n">
        <v>45511</v>
      </c>
      <c r="D988" t="inlineStr">
        <is>
          <t>VÄSTERNORRLANDS LÄN</t>
        </is>
      </c>
      <c r="E988" t="inlineStr">
        <is>
          <t>SOLLEFTEÅ</t>
        </is>
      </c>
      <c r="G988" t="n">
        <v>8</v>
      </c>
      <c r="H988" t="n">
        <v>0</v>
      </c>
      <c r="I988" t="n">
        <v>0</v>
      </c>
      <c r="J988" t="n">
        <v>0</v>
      </c>
      <c r="K988" t="n">
        <v>0</v>
      </c>
      <c r="L988" t="n">
        <v>0</v>
      </c>
      <c r="M988" t="n">
        <v>0</v>
      </c>
      <c r="N988" t="n">
        <v>0</v>
      </c>
      <c r="O988" t="n">
        <v>0</v>
      </c>
      <c r="P988" t="n">
        <v>0</v>
      </c>
      <c r="Q988" t="n">
        <v>0</v>
      </c>
      <c r="R988" s="2" t="inlineStr"/>
    </row>
    <row r="989" ht="15" customHeight="1">
      <c r="A989" t="inlineStr">
        <is>
          <t>A 1987-2022</t>
        </is>
      </c>
      <c r="B989" s="1" t="n">
        <v>44575</v>
      </c>
      <c r="C989" s="1" t="n">
        <v>45511</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1997-2022</t>
        </is>
      </c>
      <c r="B990" s="1" t="n">
        <v>44575</v>
      </c>
      <c r="C990" s="1" t="n">
        <v>45511</v>
      </c>
      <c r="D990" t="inlineStr">
        <is>
          <t>VÄSTERNORRLANDS LÄN</t>
        </is>
      </c>
      <c r="E990" t="inlineStr">
        <is>
          <t>SOLLEFTEÅ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2536-2022</t>
        </is>
      </c>
      <c r="B991" s="1" t="n">
        <v>44579</v>
      </c>
      <c r="C991" s="1" t="n">
        <v>45511</v>
      </c>
      <c r="D991" t="inlineStr">
        <is>
          <t>VÄSTERNORRLANDS LÄN</t>
        </is>
      </c>
      <c r="E991" t="inlineStr">
        <is>
          <t>SOLLEFTEÅ</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2543-2022</t>
        </is>
      </c>
      <c r="B992" s="1" t="n">
        <v>44580</v>
      </c>
      <c r="C992" s="1" t="n">
        <v>45511</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2542-2022</t>
        </is>
      </c>
      <c r="B993" s="1" t="n">
        <v>44580</v>
      </c>
      <c r="C993" s="1" t="n">
        <v>45511</v>
      </c>
      <c r="D993" t="inlineStr">
        <is>
          <t>VÄSTERNORRLANDS LÄN</t>
        </is>
      </c>
      <c r="E993" t="inlineStr">
        <is>
          <t>SOLLEFTEÅ</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2541-2022</t>
        </is>
      </c>
      <c r="B994" s="1" t="n">
        <v>44580</v>
      </c>
      <c r="C994" s="1" t="n">
        <v>45511</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2747-2022</t>
        </is>
      </c>
      <c r="B995" s="1" t="n">
        <v>44580</v>
      </c>
      <c r="C995" s="1" t="n">
        <v>45511</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3001-2022</t>
        </is>
      </c>
      <c r="B996" s="1" t="n">
        <v>44581</v>
      </c>
      <c r="C996" s="1" t="n">
        <v>45511</v>
      </c>
      <c r="D996" t="inlineStr">
        <is>
          <t>VÄSTERNORRLANDS LÄN</t>
        </is>
      </c>
      <c r="E996" t="inlineStr">
        <is>
          <t>SOLLEFTEÅ</t>
        </is>
      </c>
      <c r="G996" t="n">
        <v>4.2</v>
      </c>
      <c r="H996" t="n">
        <v>0</v>
      </c>
      <c r="I996" t="n">
        <v>0</v>
      </c>
      <c r="J996" t="n">
        <v>0</v>
      </c>
      <c r="K996" t="n">
        <v>0</v>
      </c>
      <c r="L996" t="n">
        <v>0</v>
      </c>
      <c r="M996" t="n">
        <v>0</v>
      </c>
      <c r="N996" t="n">
        <v>0</v>
      </c>
      <c r="O996" t="n">
        <v>0</v>
      </c>
      <c r="P996" t="n">
        <v>0</v>
      </c>
      <c r="Q996" t="n">
        <v>0</v>
      </c>
      <c r="R996" s="2" t="inlineStr"/>
    </row>
    <row r="997" ht="15" customHeight="1">
      <c r="A997" t="inlineStr">
        <is>
          <t>A 3541-2022</t>
        </is>
      </c>
      <c r="B997" s="1" t="n">
        <v>44585</v>
      </c>
      <c r="C997" s="1" t="n">
        <v>45511</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3548-2022</t>
        </is>
      </c>
      <c r="B998" s="1" t="n">
        <v>44585</v>
      </c>
      <c r="C998" s="1" t="n">
        <v>45511</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3554-2022</t>
        </is>
      </c>
      <c r="B999" s="1" t="n">
        <v>44585</v>
      </c>
      <c r="C999" s="1" t="n">
        <v>45511</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3560-2022</t>
        </is>
      </c>
      <c r="B1000" s="1" t="n">
        <v>44585</v>
      </c>
      <c r="C1000" s="1" t="n">
        <v>45511</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3549-2022</t>
        </is>
      </c>
      <c r="B1001" s="1" t="n">
        <v>44585</v>
      </c>
      <c r="C1001" s="1" t="n">
        <v>45511</v>
      </c>
      <c r="D1001" t="inlineStr">
        <is>
          <t>VÄSTERNORRLANDS LÄN</t>
        </is>
      </c>
      <c r="E1001" t="inlineStr">
        <is>
          <t>SOLLEFTEÅ</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3551-2022</t>
        </is>
      </c>
      <c r="B1002" s="1" t="n">
        <v>44585</v>
      </c>
      <c r="C1002" s="1" t="n">
        <v>45511</v>
      </c>
      <c r="D1002" t="inlineStr">
        <is>
          <t>VÄSTERNORRLANDS LÄN</t>
        </is>
      </c>
      <c r="E1002" t="inlineStr">
        <is>
          <t>SOLLEFTEÅ</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3556-2022</t>
        </is>
      </c>
      <c r="B1003" s="1" t="n">
        <v>44585</v>
      </c>
      <c r="C1003" s="1" t="n">
        <v>45511</v>
      </c>
      <c r="D1003" t="inlineStr">
        <is>
          <t>VÄSTERNORRLANDS LÄN</t>
        </is>
      </c>
      <c r="E1003" t="inlineStr">
        <is>
          <t>SOLLEFTEÅ</t>
        </is>
      </c>
      <c r="F1003" t="inlineStr">
        <is>
          <t>SCA</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3555-2022</t>
        </is>
      </c>
      <c r="B1004" s="1" t="n">
        <v>44585</v>
      </c>
      <c r="C1004" s="1" t="n">
        <v>45511</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3552-2022</t>
        </is>
      </c>
      <c r="B1005" s="1" t="n">
        <v>44585</v>
      </c>
      <c r="C1005" s="1" t="n">
        <v>45511</v>
      </c>
      <c r="D1005" t="inlineStr">
        <is>
          <t>VÄSTERNORRLANDS LÄN</t>
        </is>
      </c>
      <c r="E1005" t="inlineStr">
        <is>
          <t>SOLLEFTEÅ</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3557-2022</t>
        </is>
      </c>
      <c r="B1006" s="1" t="n">
        <v>44585</v>
      </c>
      <c r="C1006" s="1" t="n">
        <v>45511</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3699-2022</t>
        </is>
      </c>
      <c r="B1007" s="1" t="n">
        <v>44586</v>
      </c>
      <c r="C1007" s="1" t="n">
        <v>45511</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3793-2022</t>
        </is>
      </c>
      <c r="B1008" s="1" t="n">
        <v>44586</v>
      </c>
      <c r="C1008" s="1" t="n">
        <v>45511</v>
      </c>
      <c r="D1008" t="inlineStr">
        <is>
          <t>VÄSTERNORRLANDS LÄN</t>
        </is>
      </c>
      <c r="E1008" t="inlineStr">
        <is>
          <t>SOLLEFTEÅ</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3795-2022</t>
        </is>
      </c>
      <c r="B1009" s="1" t="n">
        <v>44586</v>
      </c>
      <c r="C1009" s="1" t="n">
        <v>45511</v>
      </c>
      <c r="D1009" t="inlineStr">
        <is>
          <t>VÄSTERNORRLANDS LÄN</t>
        </is>
      </c>
      <c r="E1009" t="inlineStr">
        <is>
          <t>SOLLEFTEÅ</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4018-2022</t>
        </is>
      </c>
      <c r="B1010" s="1" t="n">
        <v>44587</v>
      </c>
      <c r="C1010" s="1" t="n">
        <v>45511</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4343-2022</t>
        </is>
      </c>
      <c r="B1011" s="1" t="n">
        <v>44588</v>
      </c>
      <c r="C1011" s="1" t="n">
        <v>45511</v>
      </c>
      <c r="D1011" t="inlineStr">
        <is>
          <t>VÄSTERNORRLANDS LÄN</t>
        </is>
      </c>
      <c r="E1011" t="inlineStr">
        <is>
          <t>SOLLEFTEÅ</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4555-2022</t>
        </is>
      </c>
      <c r="B1012" s="1" t="n">
        <v>44590</v>
      </c>
      <c r="C1012" s="1" t="n">
        <v>45511</v>
      </c>
      <c r="D1012" t="inlineStr">
        <is>
          <t>VÄSTERNORRLANDS LÄN</t>
        </is>
      </c>
      <c r="E1012" t="inlineStr">
        <is>
          <t>SOLLEFTEÅ</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5108-2022</t>
        </is>
      </c>
      <c r="B1013" s="1" t="n">
        <v>44593</v>
      </c>
      <c r="C1013" s="1" t="n">
        <v>45511</v>
      </c>
      <c r="D1013" t="inlineStr">
        <is>
          <t>VÄSTERNORRLANDS LÄN</t>
        </is>
      </c>
      <c r="E1013" t="inlineStr">
        <is>
          <t>SOLLEFTEÅ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5110-2022</t>
        </is>
      </c>
      <c r="B1014" s="1" t="n">
        <v>44593</v>
      </c>
      <c r="C1014" s="1" t="n">
        <v>45511</v>
      </c>
      <c r="D1014" t="inlineStr">
        <is>
          <t>VÄSTERNORRLANDS LÄN</t>
        </is>
      </c>
      <c r="E1014" t="inlineStr">
        <is>
          <t>SOLLEFTEÅ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5111-2022</t>
        </is>
      </c>
      <c r="B1015" s="1" t="n">
        <v>44593</v>
      </c>
      <c r="C1015" s="1" t="n">
        <v>45511</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5134-2022</t>
        </is>
      </c>
      <c r="B1016" s="1" t="n">
        <v>44594</v>
      </c>
      <c r="C1016" s="1" t="n">
        <v>45511</v>
      </c>
      <c r="D1016" t="inlineStr">
        <is>
          <t>VÄSTERNORRLANDS LÄN</t>
        </is>
      </c>
      <c r="E1016" t="inlineStr">
        <is>
          <t>SOLLEFTEÅ</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5657-2022</t>
        </is>
      </c>
      <c r="B1017" s="1" t="n">
        <v>44595</v>
      </c>
      <c r="C1017" s="1" t="n">
        <v>45511</v>
      </c>
      <c r="D1017" t="inlineStr">
        <is>
          <t>VÄSTERNORRLANDS LÄN</t>
        </is>
      </c>
      <c r="E1017" t="inlineStr">
        <is>
          <t>SOLLEFTEÅ</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5909-2022</t>
        </is>
      </c>
      <c r="B1018" s="1" t="n">
        <v>44596</v>
      </c>
      <c r="C1018" s="1" t="n">
        <v>45511</v>
      </c>
      <c r="D1018" t="inlineStr">
        <is>
          <t>VÄSTERNORRLANDS LÄN</t>
        </is>
      </c>
      <c r="E1018" t="inlineStr">
        <is>
          <t>SOLLEFTEÅ</t>
        </is>
      </c>
      <c r="F1018" t="inlineStr">
        <is>
          <t>SCA</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6121-2022</t>
        </is>
      </c>
      <c r="B1019" s="1" t="n">
        <v>44599</v>
      </c>
      <c r="C1019" s="1" t="n">
        <v>45511</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6172-2022</t>
        </is>
      </c>
      <c r="B1020" s="1" t="n">
        <v>44599</v>
      </c>
      <c r="C1020" s="1" t="n">
        <v>45511</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6170-2022</t>
        </is>
      </c>
      <c r="B1021" s="1" t="n">
        <v>44599</v>
      </c>
      <c r="C1021" s="1" t="n">
        <v>45511</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7667-2022</t>
        </is>
      </c>
      <c r="B1022" s="1" t="n">
        <v>44607</v>
      </c>
      <c r="C1022" s="1" t="n">
        <v>45511</v>
      </c>
      <c r="D1022" t="inlineStr">
        <is>
          <t>VÄSTERNORRLANDS LÄN</t>
        </is>
      </c>
      <c r="E1022" t="inlineStr">
        <is>
          <t>SOLLEFTEÅ</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7965-2022</t>
        </is>
      </c>
      <c r="B1023" s="1" t="n">
        <v>44608</v>
      </c>
      <c r="C1023" s="1" t="n">
        <v>45511</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7963-2022</t>
        </is>
      </c>
      <c r="B1024" s="1" t="n">
        <v>44608</v>
      </c>
      <c r="C1024" s="1" t="n">
        <v>45511</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7935-2022</t>
        </is>
      </c>
      <c r="B1025" s="1" t="n">
        <v>44608</v>
      </c>
      <c r="C1025" s="1" t="n">
        <v>45511</v>
      </c>
      <c r="D1025" t="inlineStr">
        <is>
          <t>VÄSTERNORRLANDS LÄN</t>
        </is>
      </c>
      <c r="E1025" t="inlineStr">
        <is>
          <t>SOLLEFTEÅ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7964-2022</t>
        </is>
      </c>
      <c r="B1026" s="1" t="n">
        <v>44608</v>
      </c>
      <c r="C1026" s="1" t="n">
        <v>45511</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8221-2022</t>
        </is>
      </c>
      <c r="B1027" s="1" t="n">
        <v>44609</v>
      </c>
      <c r="C1027" s="1" t="n">
        <v>45511</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8222-2022</t>
        </is>
      </c>
      <c r="B1028" s="1" t="n">
        <v>44609</v>
      </c>
      <c r="C1028" s="1" t="n">
        <v>45511</v>
      </c>
      <c r="D1028" t="inlineStr">
        <is>
          <t>VÄSTERNORRLANDS LÄN</t>
        </is>
      </c>
      <c r="E1028" t="inlineStr">
        <is>
          <t>SOLLEFTEÅ</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8728-2022</t>
        </is>
      </c>
      <c r="B1029" s="1" t="n">
        <v>44613</v>
      </c>
      <c r="C1029" s="1" t="n">
        <v>45511</v>
      </c>
      <c r="D1029" t="inlineStr">
        <is>
          <t>VÄSTERNORRLANDS LÄN</t>
        </is>
      </c>
      <c r="E1029" t="inlineStr">
        <is>
          <t>SOLLEFTEÅ</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8729-2022</t>
        </is>
      </c>
      <c r="B1030" s="1" t="n">
        <v>44613</v>
      </c>
      <c r="C1030" s="1" t="n">
        <v>45511</v>
      </c>
      <c r="D1030" t="inlineStr">
        <is>
          <t>VÄSTERNORRLANDS LÄN</t>
        </is>
      </c>
      <c r="E1030" t="inlineStr">
        <is>
          <t>SOLLEFTEÅ</t>
        </is>
      </c>
      <c r="F1030" t="inlineStr">
        <is>
          <t>SCA</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8734-2022</t>
        </is>
      </c>
      <c r="B1031" s="1" t="n">
        <v>44613</v>
      </c>
      <c r="C1031" s="1" t="n">
        <v>45511</v>
      </c>
      <c r="D1031" t="inlineStr">
        <is>
          <t>VÄSTERNORRLANDS LÄN</t>
        </is>
      </c>
      <c r="E1031" t="inlineStr">
        <is>
          <t>SOLLEFTEÅ</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9124-2022</t>
        </is>
      </c>
      <c r="B1032" s="1" t="n">
        <v>44615</v>
      </c>
      <c r="C1032" s="1" t="n">
        <v>45511</v>
      </c>
      <c r="D1032" t="inlineStr">
        <is>
          <t>VÄSTERNORRLANDS LÄN</t>
        </is>
      </c>
      <c r="E1032" t="inlineStr">
        <is>
          <t>SOLLEFTEÅ</t>
        </is>
      </c>
      <c r="G1032" t="n">
        <v>20.2</v>
      </c>
      <c r="H1032" t="n">
        <v>0</v>
      </c>
      <c r="I1032" t="n">
        <v>0</v>
      </c>
      <c r="J1032" t="n">
        <v>0</v>
      </c>
      <c r="K1032" t="n">
        <v>0</v>
      </c>
      <c r="L1032" t="n">
        <v>0</v>
      </c>
      <c r="M1032" t="n">
        <v>0</v>
      </c>
      <c r="N1032" t="n">
        <v>0</v>
      </c>
      <c r="O1032" t="n">
        <v>0</v>
      </c>
      <c r="P1032" t="n">
        <v>0</v>
      </c>
      <c r="Q1032" t="n">
        <v>0</v>
      </c>
      <c r="R1032" s="2" t="inlineStr"/>
    </row>
    <row r="1033" ht="15" customHeight="1">
      <c r="A1033" t="inlineStr">
        <is>
          <t>A 9487-2022</t>
        </is>
      </c>
      <c r="B1033" s="1" t="n">
        <v>44616</v>
      </c>
      <c r="C1033" s="1" t="n">
        <v>45511</v>
      </c>
      <c r="D1033" t="inlineStr">
        <is>
          <t>VÄSTERNORRLANDS LÄN</t>
        </is>
      </c>
      <c r="E1033" t="inlineStr">
        <is>
          <t>SOLLEFTEÅ</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9586-2022</t>
        </is>
      </c>
      <c r="B1034" s="1" t="n">
        <v>44617</v>
      </c>
      <c r="C1034" s="1" t="n">
        <v>45511</v>
      </c>
      <c r="D1034" t="inlineStr">
        <is>
          <t>VÄSTERNORRLANDS LÄN</t>
        </is>
      </c>
      <c r="E1034" t="inlineStr">
        <is>
          <t>SOLLEFTEÅ</t>
        </is>
      </c>
      <c r="F1034" t="inlineStr">
        <is>
          <t>Övriga Aktiebolag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10138-2022</t>
        </is>
      </c>
      <c r="B1035" s="1" t="n">
        <v>44621</v>
      </c>
      <c r="C1035" s="1" t="n">
        <v>45511</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10139-2022</t>
        </is>
      </c>
      <c r="B1036" s="1" t="n">
        <v>44621</v>
      </c>
      <c r="C1036" s="1" t="n">
        <v>45511</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10140-2022</t>
        </is>
      </c>
      <c r="B1037" s="1" t="n">
        <v>44621</v>
      </c>
      <c r="C1037" s="1" t="n">
        <v>45511</v>
      </c>
      <c r="D1037" t="inlineStr">
        <is>
          <t>VÄSTERNORRLANDS LÄN</t>
        </is>
      </c>
      <c r="E1037" t="inlineStr">
        <is>
          <t>SOLLEFTEÅ</t>
        </is>
      </c>
      <c r="F1037" t="inlineStr">
        <is>
          <t>SCA</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10141-2022</t>
        </is>
      </c>
      <c r="B1038" s="1" t="n">
        <v>44621</v>
      </c>
      <c r="C1038" s="1" t="n">
        <v>45511</v>
      </c>
      <c r="D1038" t="inlineStr">
        <is>
          <t>VÄSTERNORRLANDS LÄN</t>
        </is>
      </c>
      <c r="E1038" t="inlineStr">
        <is>
          <t>SOLLEFTEÅ</t>
        </is>
      </c>
      <c r="F1038" t="inlineStr">
        <is>
          <t>SCA</t>
        </is>
      </c>
      <c r="G1038" t="n">
        <v>15.5</v>
      </c>
      <c r="H1038" t="n">
        <v>0</v>
      </c>
      <c r="I1038" t="n">
        <v>0</v>
      </c>
      <c r="J1038" t="n">
        <v>0</v>
      </c>
      <c r="K1038" t="n">
        <v>0</v>
      </c>
      <c r="L1038" t="n">
        <v>0</v>
      </c>
      <c r="M1038" t="n">
        <v>0</v>
      </c>
      <c r="N1038" t="n">
        <v>0</v>
      </c>
      <c r="O1038" t="n">
        <v>0</v>
      </c>
      <c r="P1038" t="n">
        <v>0</v>
      </c>
      <c r="Q1038" t="n">
        <v>0</v>
      </c>
      <c r="R1038" s="2" t="inlineStr"/>
    </row>
    <row r="1039" ht="15" customHeight="1">
      <c r="A1039" t="inlineStr">
        <is>
          <t>A 10198-2022</t>
        </is>
      </c>
      <c r="B1039" s="1" t="n">
        <v>44622</v>
      </c>
      <c r="C1039" s="1" t="n">
        <v>45511</v>
      </c>
      <c r="D1039" t="inlineStr">
        <is>
          <t>VÄSTERNORRLANDS LÄN</t>
        </is>
      </c>
      <c r="E1039" t="inlineStr">
        <is>
          <t>SOLLEFTEÅ</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10242-2022</t>
        </is>
      </c>
      <c r="B1040" s="1" t="n">
        <v>44622</v>
      </c>
      <c r="C1040" s="1" t="n">
        <v>45511</v>
      </c>
      <c r="D1040" t="inlineStr">
        <is>
          <t>VÄSTERNORRLANDS LÄN</t>
        </is>
      </c>
      <c r="E1040" t="inlineStr">
        <is>
          <t>SOLLEFTEÅ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10308-2022</t>
        </is>
      </c>
      <c r="B1041" s="1" t="n">
        <v>44622</v>
      </c>
      <c r="C1041" s="1" t="n">
        <v>45511</v>
      </c>
      <c r="D1041" t="inlineStr">
        <is>
          <t>VÄSTERNORRLANDS LÄN</t>
        </is>
      </c>
      <c r="E1041" t="inlineStr">
        <is>
          <t>SOLLEFTEÅ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10250-2022</t>
        </is>
      </c>
      <c r="B1042" s="1" t="n">
        <v>44622</v>
      </c>
      <c r="C1042" s="1" t="n">
        <v>45511</v>
      </c>
      <c r="D1042" t="inlineStr">
        <is>
          <t>VÄSTERNORRLANDS LÄN</t>
        </is>
      </c>
      <c r="E1042" t="inlineStr">
        <is>
          <t>SOLLEFTEÅ</t>
        </is>
      </c>
      <c r="G1042" t="n">
        <v>17.6</v>
      </c>
      <c r="H1042" t="n">
        <v>0</v>
      </c>
      <c r="I1042" t="n">
        <v>0</v>
      </c>
      <c r="J1042" t="n">
        <v>0</v>
      </c>
      <c r="K1042" t="n">
        <v>0</v>
      </c>
      <c r="L1042" t="n">
        <v>0</v>
      </c>
      <c r="M1042" t="n">
        <v>0</v>
      </c>
      <c r="N1042" t="n">
        <v>0</v>
      </c>
      <c r="O1042" t="n">
        <v>0</v>
      </c>
      <c r="P1042" t="n">
        <v>0</v>
      </c>
      <c r="Q1042" t="n">
        <v>0</v>
      </c>
      <c r="R1042" s="2" t="inlineStr"/>
    </row>
    <row r="1043" ht="15" customHeight="1">
      <c r="A1043" t="inlineStr">
        <is>
          <t>A 10310-2022</t>
        </is>
      </c>
      <c r="B1043" s="1" t="n">
        <v>44622</v>
      </c>
      <c r="C1043" s="1" t="n">
        <v>45511</v>
      </c>
      <c r="D1043" t="inlineStr">
        <is>
          <t>VÄSTERNORRLANDS LÄN</t>
        </is>
      </c>
      <c r="E1043" t="inlineStr">
        <is>
          <t>SOLLEFTEÅ</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10307-2022</t>
        </is>
      </c>
      <c r="B1044" s="1" t="n">
        <v>44622</v>
      </c>
      <c r="C1044" s="1" t="n">
        <v>45511</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10311-2022</t>
        </is>
      </c>
      <c r="B1045" s="1" t="n">
        <v>44622</v>
      </c>
      <c r="C1045" s="1" t="n">
        <v>45511</v>
      </c>
      <c r="D1045" t="inlineStr">
        <is>
          <t>VÄSTERNORRLANDS LÄN</t>
        </is>
      </c>
      <c r="E1045" t="inlineStr">
        <is>
          <t>SOLLEFTEÅ</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10309-2022</t>
        </is>
      </c>
      <c r="B1046" s="1" t="n">
        <v>44622</v>
      </c>
      <c r="C1046" s="1" t="n">
        <v>45511</v>
      </c>
      <c r="D1046" t="inlineStr">
        <is>
          <t>VÄSTERNORRLANDS LÄN</t>
        </is>
      </c>
      <c r="E1046" t="inlineStr">
        <is>
          <t>SOLLEFTEÅ</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10314-2022</t>
        </is>
      </c>
      <c r="B1047" s="1" t="n">
        <v>44622</v>
      </c>
      <c r="C1047" s="1" t="n">
        <v>45511</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10417-2022</t>
        </is>
      </c>
      <c r="B1048" s="1" t="n">
        <v>44623</v>
      </c>
      <c r="C1048" s="1" t="n">
        <v>45511</v>
      </c>
      <c r="D1048" t="inlineStr">
        <is>
          <t>VÄSTERNORRLANDS LÄN</t>
        </is>
      </c>
      <c r="E1048" t="inlineStr">
        <is>
          <t>SOLLEFTEÅ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10924-2022</t>
        </is>
      </c>
      <c r="B1049" s="1" t="n">
        <v>44627</v>
      </c>
      <c r="C1049" s="1" t="n">
        <v>45511</v>
      </c>
      <c r="D1049" t="inlineStr">
        <is>
          <t>VÄSTERNORRLANDS LÄN</t>
        </is>
      </c>
      <c r="E1049" t="inlineStr">
        <is>
          <t>SOLLEFTEÅ</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10926-2022</t>
        </is>
      </c>
      <c r="B1050" s="1" t="n">
        <v>44627</v>
      </c>
      <c r="C1050" s="1" t="n">
        <v>45511</v>
      </c>
      <c r="D1050" t="inlineStr">
        <is>
          <t>VÄSTERNORRLANDS LÄN</t>
        </is>
      </c>
      <c r="E1050" t="inlineStr">
        <is>
          <t>SOLLEFTEÅ</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10925-2022</t>
        </is>
      </c>
      <c r="B1051" s="1" t="n">
        <v>44627</v>
      </c>
      <c r="C1051" s="1" t="n">
        <v>45511</v>
      </c>
      <c r="D1051" t="inlineStr">
        <is>
          <t>VÄSTERNORRLANDS LÄN</t>
        </is>
      </c>
      <c r="E1051" t="inlineStr">
        <is>
          <t>SOLLEFTEÅ</t>
        </is>
      </c>
      <c r="F1051" t="inlineStr">
        <is>
          <t>SCA</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10927-2022</t>
        </is>
      </c>
      <c r="B1052" s="1" t="n">
        <v>44627</v>
      </c>
      <c r="C1052" s="1" t="n">
        <v>45511</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11117-2022</t>
        </is>
      </c>
      <c r="B1053" s="1" t="n">
        <v>44628</v>
      </c>
      <c r="C1053" s="1" t="n">
        <v>45511</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11131-2022</t>
        </is>
      </c>
      <c r="B1054" s="1" t="n">
        <v>44628</v>
      </c>
      <c r="C1054" s="1" t="n">
        <v>45511</v>
      </c>
      <c r="D1054" t="inlineStr">
        <is>
          <t>VÄSTERNORRLANDS LÄN</t>
        </is>
      </c>
      <c r="E1054" t="inlineStr">
        <is>
          <t>SOLLEFTEÅ</t>
        </is>
      </c>
      <c r="F1054" t="inlineStr">
        <is>
          <t>SCA</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11133-2022</t>
        </is>
      </c>
      <c r="B1055" s="1" t="n">
        <v>44628</v>
      </c>
      <c r="C1055" s="1" t="n">
        <v>45511</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11125-2022</t>
        </is>
      </c>
      <c r="B1056" s="1" t="n">
        <v>44628</v>
      </c>
      <c r="C1056" s="1" t="n">
        <v>45511</v>
      </c>
      <c r="D1056" t="inlineStr">
        <is>
          <t>VÄSTERNORRLANDS LÄN</t>
        </is>
      </c>
      <c r="E1056" t="inlineStr">
        <is>
          <t>SOLLEFTEÅ</t>
        </is>
      </c>
      <c r="F1056" t="inlineStr">
        <is>
          <t>SCA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11241-2022</t>
        </is>
      </c>
      <c r="B1057" s="1" t="n">
        <v>44629</v>
      </c>
      <c r="C1057" s="1" t="n">
        <v>45511</v>
      </c>
      <c r="D1057" t="inlineStr">
        <is>
          <t>VÄSTERNORRLANDS LÄN</t>
        </is>
      </c>
      <c r="E1057" t="inlineStr">
        <is>
          <t>SOLLEFTEÅ</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11318-2022</t>
        </is>
      </c>
      <c r="B1058" s="1" t="n">
        <v>44629</v>
      </c>
      <c r="C1058" s="1" t="n">
        <v>45511</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11475-2022</t>
        </is>
      </c>
      <c r="B1059" s="1" t="n">
        <v>44630</v>
      </c>
      <c r="C1059" s="1" t="n">
        <v>45511</v>
      </c>
      <c r="D1059" t="inlineStr">
        <is>
          <t>VÄSTERNORRLANDS LÄN</t>
        </is>
      </c>
      <c r="E1059" t="inlineStr">
        <is>
          <t>SOLLEFTEÅ</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11484-2022</t>
        </is>
      </c>
      <c r="B1060" s="1" t="n">
        <v>44630</v>
      </c>
      <c r="C1060" s="1" t="n">
        <v>45511</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11474-2022</t>
        </is>
      </c>
      <c r="B1061" s="1" t="n">
        <v>44630</v>
      </c>
      <c r="C1061" s="1" t="n">
        <v>45511</v>
      </c>
      <c r="D1061" t="inlineStr">
        <is>
          <t>VÄSTERNORRLANDS LÄN</t>
        </is>
      </c>
      <c r="E1061" t="inlineStr">
        <is>
          <t>SOLLEFTEÅ</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11483-2022</t>
        </is>
      </c>
      <c r="B1062" s="1" t="n">
        <v>44630</v>
      </c>
      <c r="C1062" s="1" t="n">
        <v>45511</v>
      </c>
      <c r="D1062" t="inlineStr">
        <is>
          <t>VÄSTERNORRLANDS LÄN</t>
        </is>
      </c>
      <c r="E1062" t="inlineStr">
        <is>
          <t>SOLLEFTEÅ</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11652-2022</t>
        </is>
      </c>
      <c r="B1063" s="1" t="n">
        <v>44631</v>
      </c>
      <c r="C1063" s="1" t="n">
        <v>45511</v>
      </c>
      <c r="D1063" t="inlineStr">
        <is>
          <t>VÄSTERNORRLANDS LÄN</t>
        </is>
      </c>
      <c r="E1063" t="inlineStr">
        <is>
          <t>SOLLEFTEÅ</t>
        </is>
      </c>
      <c r="F1063" t="inlineStr">
        <is>
          <t>SCA</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11656-2022</t>
        </is>
      </c>
      <c r="B1064" s="1" t="n">
        <v>44631</v>
      </c>
      <c r="C1064" s="1" t="n">
        <v>45511</v>
      </c>
      <c r="D1064" t="inlineStr">
        <is>
          <t>VÄSTERNORRLANDS LÄN</t>
        </is>
      </c>
      <c r="E1064" t="inlineStr">
        <is>
          <t>SOLLEFTEÅ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11653-2022</t>
        </is>
      </c>
      <c r="B1065" s="1" t="n">
        <v>44631</v>
      </c>
      <c r="C1065" s="1" t="n">
        <v>45511</v>
      </c>
      <c r="D1065" t="inlineStr">
        <is>
          <t>VÄSTERNORRLANDS LÄN</t>
        </is>
      </c>
      <c r="E1065" t="inlineStr">
        <is>
          <t>SOLLEFTEÅ</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11677-2022</t>
        </is>
      </c>
      <c r="B1066" s="1" t="n">
        <v>44633</v>
      </c>
      <c r="C1066" s="1" t="n">
        <v>45511</v>
      </c>
      <c r="D1066" t="inlineStr">
        <is>
          <t>VÄSTERNORRLANDS LÄN</t>
        </is>
      </c>
      <c r="E1066" t="inlineStr">
        <is>
          <t>SOLLEFTEÅ</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11842-2022</t>
        </is>
      </c>
      <c r="B1067" s="1" t="n">
        <v>44634</v>
      </c>
      <c r="C1067" s="1" t="n">
        <v>45511</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11845-2022</t>
        </is>
      </c>
      <c r="B1068" s="1" t="n">
        <v>44634</v>
      </c>
      <c r="C1068" s="1" t="n">
        <v>45511</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11846-2022</t>
        </is>
      </c>
      <c r="B1069" s="1" t="n">
        <v>44634</v>
      </c>
      <c r="C1069" s="1" t="n">
        <v>45511</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11870-2022</t>
        </is>
      </c>
      <c r="B1070" s="1" t="n">
        <v>44635</v>
      </c>
      <c r="C1070" s="1" t="n">
        <v>45511</v>
      </c>
      <c r="D1070" t="inlineStr">
        <is>
          <t>VÄSTERNORRLANDS LÄN</t>
        </is>
      </c>
      <c r="E1070" t="inlineStr">
        <is>
          <t>SOLLEFTEÅ</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11874-2022</t>
        </is>
      </c>
      <c r="B1071" s="1" t="n">
        <v>44635</v>
      </c>
      <c r="C1071" s="1" t="n">
        <v>45511</v>
      </c>
      <c r="D1071" t="inlineStr">
        <is>
          <t>VÄSTERNORRLANDS LÄN</t>
        </is>
      </c>
      <c r="E1071" t="inlineStr">
        <is>
          <t>SOLLEFTEÅ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12007-2022</t>
        </is>
      </c>
      <c r="B1072" s="1" t="n">
        <v>44635</v>
      </c>
      <c r="C1072" s="1" t="n">
        <v>45511</v>
      </c>
      <c r="D1072" t="inlineStr">
        <is>
          <t>VÄSTERNORRLANDS LÄN</t>
        </is>
      </c>
      <c r="E1072" t="inlineStr">
        <is>
          <t>SOLLEFTEÅ</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12001-2022</t>
        </is>
      </c>
      <c r="B1073" s="1" t="n">
        <v>44635</v>
      </c>
      <c r="C1073" s="1" t="n">
        <v>45511</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12006-2022</t>
        </is>
      </c>
      <c r="B1074" s="1" t="n">
        <v>44635</v>
      </c>
      <c r="C1074" s="1" t="n">
        <v>45511</v>
      </c>
      <c r="D1074" t="inlineStr">
        <is>
          <t>VÄSTERNORRLANDS LÄN</t>
        </is>
      </c>
      <c r="E1074" t="inlineStr">
        <is>
          <t>SOLLEFTEÅ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12022-2022</t>
        </is>
      </c>
      <c r="B1075" s="1" t="n">
        <v>44635</v>
      </c>
      <c r="C1075" s="1" t="n">
        <v>45511</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12191-2022</t>
        </is>
      </c>
      <c r="B1076" s="1" t="n">
        <v>44636</v>
      </c>
      <c r="C1076" s="1" t="n">
        <v>45511</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12201-2022</t>
        </is>
      </c>
      <c r="B1077" s="1" t="n">
        <v>44636</v>
      </c>
      <c r="C1077" s="1" t="n">
        <v>45511</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12395-2022</t>
        </is>
      </c>
      <c r="B1078" s="1" t="n">
        <v>44637</v>
      </c>
      <c r="C1078" s="1" t="n">
        <v>45511</v>
      </c>
      <c r="D1078" t="inlineStr">
        <is>
          <t>VÄSTERNORRLANDS LÄN</t>
        </is>
      </c>
      <c r="E1078" t="inlineStr">
        <is>
          <t>SOLLEFTEÅ</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12561-2022</t>
        </is>
      </c>
      <c r="B1079" s="1" t="n">
        <v>44638</v>
      </c>
      <c r="C1079" s="1" t="n">
        <v>45511</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12565-2022</t>
        </is>
      </c>
      <c r="B1080" s="1" t="n">
        <v>44638</v>
      </c>
      <c r="C1080" s="1" t="n">
        <v>45511</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12572-2022</t>
        </is>
      </c>
      <c r="B1081" s="1" t="n">
        <v>44638</v>
      </c>
      <c r="C1081" s="1" t="n">
        <v>45511</v>
      </c>
      <c r="D1081" t="inlineStr">
        <is>
          <t>VÄSTERNORRLANDS LÄN</t>
        </is>
      </c>
      <c r="E1081" t="inlineStr">
        <is>
          <t>SOLLEFTEÅ</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12564-2022</t>
        </is>
      </c>
      <c r="B1082" s="1" t="n">
        <v>44638</v>
      </c>
      <c r="C1082" s="1" t="n">
        <v>45511</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12568-2022</t>
        </is>
      </c>
      <c r="B1083" s="1" t="n">
        <v>44638</v>
      </c>
      <c r="C1083" s="1" t="n">
        <v>45511</v>
      </c>
      <c r="D1083" t="inlineStr">
        <is>
          <t>VÄSTERNORRLANDS LÄN</t>
        </is>
      </c>
      <c r="E1083" t="inlineStr">
        <is>
          <t>SOLLEFTEÅ</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12557-2022</t>
        </is>
      </c>
      <c r="B1084" s="1" t="n">
        <v>44638</v>
      </c>
      <c r="C1084" s="1" t="n">
        <v>45511</v>
      </c>
      <c r="D1084" t="inlineStr">
        <is>
          <t>VÄSTERNORRLANDS LÄN</t>
        </is>
      </c>
      <c r="E1084" t="inlineStr">
        <is>
          <t>SOLLEFTEÅ</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12563-2022</t>
        </is>
      </c>
      <c r="B1085" s="1" t="n">
        <v>44638</v>
      </c>
      <c r="C1085" s="1" t="n">
        <v>45511</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12567-2022</t>
        </is>
      </c>
      <c r="B1086" s="1" t="n">
        <v>44638</v>
      </c>
      <c r="C1086" s="1" t="n">
        <v>45511</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12562-2022</t>
        </is>
      </c>
      <c r="B1087" s="1" t="n">
        <v>44638</v>
      </c>
      <c r="C1087" s="1" t="n">
        <v>45511</v>
      </c>
      <c r="D1087" t="inlineStr">
        <is>
          <t>VÄSTERNORRLANDS LÄN</t>
        </is>
      </c>
      <c r="E1087" t="inlineStr">
        <is>
          <t>SOLLEFTEÅ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12566-2022</t>
        </is>
      </c>
      <c r="B1088" s="1" t="n">
        <v>44638</v>
      </c>
      <c r="C1088" s="1" t="n">
        <v>45511</v>
      </c>
      <c r="D1088" t="inlineStr">
        <is>
          <t>VÄSTERNORRLANDS LÄN</t>
        </is>
      </c>
      <c r="E1088" t="inlineStr">
        <is>
          <t>SOLLEFTEÅ</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12758-2022</t>
        </is>
      </c>
      <c r="B1089" s="1" t="n">
        <v>44641</v>
      </c>
      <c r="C1089" s="1" t="n">
        <v>45511</v>
      </c>
      <c r="D1089" t="inlineStr">
        <is>
          <t>VÄSTERNORRLANDS LÄN</t>
        </is>
      </c>
      <c r="E1089" t="inlineStr">
        <is>
          <t>SOLLEFTEÅ</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12764-2022</t>
        </is>
      </c>
      <c r="B1090" s="1" t="n">
        <v>44641</v>
      </c>
      <c r="C1090" s="1" t="n">
        <v>45511</v>
      </c>
      <c r="D1090" t="inlineStr">
        <is>
          <t>VÄSTERNORRLANDS LÄN</t>
        </is>
      </c>
      <c r="E1090" t="inlineStr">
        <is>
          <t>SOLLEFTEÅ</t>
        </is>
      </c>
      <c r="F1090" t="inlineStr">
        <is>
          <t>SCA</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12774-2022</t>
        </is>
      </c>
      <c r="B1091" s="1" t="n">
        <v>44641</v>
      </c>
      <c r="C1091" s="1" t="n">
        <v>45511</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13300-2022</t>
        </is>
      </c>
      <c r="B1092" s="1" t="n">
        <v>44644</v>
      </c>
      <c r="C1092" s="1" t="n">
        <v>45511</v>
      </c>
      <c r="D1092" t="inlineStr">
        <is>
          <t>VÄSTERNORRLANDS LÄN</t>
        </is>
      </c>
      <c r="E1092" t="inlineStr">
        <is>
          <t>SOLLEFTEÅ</t>
        </is>
      </c>
      <c r="F1092" t="inlineStr">
        <is>
          <t>SCA</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13311-2022</t>
        </is>
      </c>
      <c r="B1093" s="1" t="n">
        <v>44644</v>
      </c>
      <c r="C1093" s="1" t="n">
        <v>45511</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13309-2022</t>
        </is>
      </c>
      <c r="B1094" s="1" t="n">
        <v>44644</v>
      </c>
      <c r="C1094" s="1" t="n">
        <v>45511</v>
      </c>
      <c r="D1094" t="inlineStr">
        <is>
          <t>VÄSTERNORRLANDS LÄN</t>
        </is>
      </c>
      <c r="E1094" t="inlineStr">
        <is>
          <t>SOLLEFTEÅ</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13492-2022</t>
        </is>
      </c>
      <c r="B1095" s="1" t="n">
        <v>44646</v>
      </c>
      <c r="C1095" s="1" t="n">
        <v>45511</v>
      </c>
      <c r="D1095" t="inlineStr">
        <is>
          <t>VÄSTERNORRLANDS LÄN</t>
        </is>
      </c>
      <c r="E1095" t="inlineStr">
        <is>
          <t>SOLLEFTEÅ</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13598-2022</t>
        </is>
      </c>
      <c r="B1096" s="1" t="n">
        <v>44648</v>
      </c>
      <c r="C1096" s="1" t="n">
        <v>45511</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13658-2022</t>
        </is>
      </c>
      <c r="B1097" s="1" t="n">
        <v>44648</v>
      </c>
      <c r="C1097" s="1" t="n">
        <v>45511</v>
      </c>
      <c r="D1097" t="inlineStr">
        <is>
          <t>VÄSTERNORRLANDS LÄN</t>
        </is>
      </c>
      <c r="E1097" t="inlineStr">
        <is>
          <t>SOLLEFTEÅ</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13710-2022</t>
        </is>
      </c>
      <c r="B1098" s="1" t="n">
        <v>44649</v>
      </c>
      <c r="C1098" s="1" t="n">
        <v>45511</v>
      </c>
      <c r="D1098" t="inlineStr">
        <is>
          <t>VÄSTERNORRLANDS LÄN</t>
        </is>
      </c>
      <c r="E1098" t="inlineStr">
        <is>
          <t>SOLLEFTEÅ</t>
        </is>
      </c>
      <c r="F1098" t="inlineStr">
        <is>
          <t>SCA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14061-2022</t>
        </is>
      </c>
      <c r="B1099" s="1" t="n">
        <v>44651</v>
      </c>
      <c r="C1099" s="1" t="n">
        <v>45511</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14066-2022</t>
        </is>
      </c>
      <c r="B1100" s="1" t="n">
        <v>44650</v>
      </c>
      <c r="C1100" s="1" t="n">
        <v>45511</v>
      </c>
      <c r="D1100" t="inlineStr">
        <is>
          <t>VÄSTERNORRLANDS LÄN</t>
        </is>
      </c>
      <c r="E1100" t="inlineStr">
        <is>
          <t>SOLLEFTEÅ</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14058-2022</t>
        </is>
      </c>
      <c r="B1101" s="1" t="n">
        <v>44651</v>
      </c>
      <c r="C1101" s="1" t="n">
        <v>45511</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14063-2022</t>
        </is>
      </c>
      <c r="B1102" s="1" t="n">
        <v>44651</v>
      </c>
      <c r="C1102" s="1" t="n">
        <v>45511</v>
      </c>
      <c r="D1102" t="inlineStr">
        <is>
          <t>VÄSTERNORRLANDS LÄN</t>
        </is>
      </c>
      <c r="E1102" t="inlineStr">
        <is>
          <t>SOLLEFTEÅ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14055-2022</t>
        </is>
      </c>
      <c r="B1103" s="1" t="n">
        <v>44651</v>
      </c>
      <c r="C1103" s="1" t="n">
        <v>45511</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14060-2022</t>
        </is>
      </c>
      <c r="B1104" s="1" t="n">
        <v>44651</v>
      </c>
      <c r="C1104" s="1" t="n">
        <v>45511</v>
      </c>
      <c r="D1104" t="inlineStr">
        <is>
          <t>VÄSTERNORRLANDS LÄN</t>
        </is>
      </c>
      <c r="E1104" t="inlineStr">
        <is>
          <t>SOLLEFTEÅ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14065-2022</t>
        </is>
      </c>
      <c r="B1105" s="1" t="n">
        <v>44650</v>
      </c>
      <c r="C1105" s="1" t="n">
        <v>45511</v>
      </c>
      <c r="D1105" t="inlineStr">
        <is>
          <t>VÄSTERNORRLANDS LÄN</t>
        </is>
      </c>
      <c r="E1105" t="inlineStr">
        <is>
          <t>SOLLEFTEÅ</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14059-2022</t>
        </is>
      </c>
      <c r="B1106" s="1" t="n">
        <v>44651</v>
      </c>
      <c r="C1106" s="1" t="n">
        <v>45511</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14064-2022</t>
        </is>
      </c>
      <c r="B1107" s="1" t="n">
        <v>44651</v>
      </c>
      <c r="C1107" s="1" t="n">
        <v>45511</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14276-2022</t>
        </is>
      </c>
      <c r="B1108" s="1" t="n">
        <v>44652</v>
      </c>
      <c r="C1108" s="1" t="n">
        <v>45511</v>
      </c>
      <c r="D1108" t="inlineStr">
        <is>
          <t>VÄSTERNORRLANDS LÄN</t>
        </is>
      </c>
      <c r="E1108" t="inlineStr">
        <is>
          <t>SOLLEFTEÅ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14297-2022</t>
        </is>
      </c>
      <c r="B1109" s="1" t="n">
        <v>44651</v>
      </c>
      <c r="C1109" s="1" t="n">
        <v>45511</v>
      </c>
      <c r="D1109" t="inlineStr">
        <is>
          <t>VÄSTERNORRLANDS LÄN</t>
        </is>
      </c>
      <c r="E1109" t="inlineStr">
        <is>
          <t>SOLLEFTEÅ</t>
        </is>
      </c>
      <c r="F1109" t="inlineStr">
        <is>
          <t>SCA</t>
        </is>
      </c>
      <c r="G1109" t="n">
        <v>15.2</v>
      </c>
      <c r="H1109" t="n">
        <v>0</v>
      </c>
      <c r="I1109" t="n">
        <v>0</v>
      </c>
      <c r="J1109" t="n">
        <v>0</v>
      </c>
      <c r="K1109" t="n">
        <v>0</v>
      </c>
      <c r="L1109" t="n">
        <v>0</v>
      </c>
      <c r="M1109" t="n">
        <v>0</v>
      </c>
      <c r="N1109" t="n">
        <v>0</v>
      </c>
      <c r="O1109" t="n">
        <v>0</v>
      </c>
      <c r="P1109" t="n">
        <v>0</v>
      </c>
      <c r="Q1109" t="n">
        <v>0</v>
      </c>
      <c r="R1109" s="2" t="inlineStr"/>
    </row>
    <row r="1110" ht="15" customHeight="1">
      <c r="A1110" t="inlineStr">
        <is>
          <t>A 14300-2022</t>
        </is>
      </c>
      <c r="B1110" s="1" t="n">
        <v>44652</v>
      </c>
      <c r="C1110" s="1" t="n">
        <v>45511</v>
      </c>
      <c r="D1110" t="inlineStr">
        <is>
          <t>VÄSTERNORRLANDS LÄN</t>
        </is>
      </c>
      <c r="E1110" t="inlineStr">
        <is>
          <t>SOLLEFTEÅ</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14308-2022</t>
        </is>
      </c>
      <c r="B1111" s="1" t="n">
        <v>44652</v>
      </c>
      <c r="C1111" s="1" t="n">
        <v>45511</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14275-2022</t>
        </is>
      </c>
      <c r="B1112" s="1" t="n">
        <v>44651</v>
      </c>
      <c r="C1112" s="1" t="n">
        <v>45511</v>
      </c>
      <c r="D1112" t="inlineStr">
        <is>
          <t>VÄSTERNORRLANDS LÄN</t>
        </is>
      </c>
      <c r="E1112" t="inlineStr">
        <is>
          <t>SOLLEFTEÅ</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14299-2022</t>
        </is>
      </c>
      <c r="B1113" s="1" t="n">
        <v>44652</v>
      </c>
      <c r="C1113" s="1" t="n">
        <v>45511</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14296-2022</t>
        </is>
      </c>
      <c r="B1114" s="1" t="n">
        <v>44652</v>
      </c>
      <c r="C1114" s="1" t="n">
        <v>45511</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14302-2022</t>
        </is>
      </c>
      <c r="B1115" s="1" t="n">
        <v>44651</v>
      </c>
      <c r="C1115" s="1" t="n">
        <v>45511</v>
      </c>
      <c r="D1115" t="inlineStr">
        <is>
          <t>VÄSTERNORRLANDS LÄN</t>
        </is>
      </c>
      <c r="E1115" t="inlineStr">
        <is>
          <t>SOLLEFTEÅ</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14448-2022</t>
        </is>
      </c>
      <c r="B1116" s="1" t="n">
        <v>44652</v>
      </c>
      <c r="C1116" s="1" t="n">
        <v>45511</v>
      </c>
      <c r="D1116" t="inlineStr">
        <is>
          <t>VÄSTERNORRLANDS LÄN</t>
        </is>
      </c>
      <c r="E1116" t="inlineStr">
        <is>
          <t>SOLLEFTEÅ</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14449-2022</t>
        </is>
      </c>
      <c r="B1117" s="1" t="n">
        <v>44652</v>
      </c>
      <c r="C1117" s="1" t="n">
        <v>45511</v>
      </c>
      <c r="D1117" t="inlineStr">
        <is>
          <t>VÄSTERNORRLANDS LÄN</t>
        </is>
      </c>
      <c r="E1117" t="inlineStr">
        <is>
          <t>SOLLEFTEÅ</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14450-2022</t>
        </is>
      </c>
      <c r="B1118" s="1" t="n">
        <v>44653</v>
      </c>
      <c r="C1118" s="1" t="n">
        <v>45511</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14447-2022</t>
        </is>
      </c>
      <c r="B1119" s="1" t="n">
        <v>44653</v>
      </c>
      <c r="C1119" s="1" t="n">
        <v>45511</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14477-2022</t>
        </is>
      </c>
      <c r="B1120" s="1" t="n">
        <v>44655</v>
      </c>
      <c r="C1120" s="1" t="n">
        <v>45511</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14910-2022</t>
        </is>
      </c>
      <c r="B1121" s="1" t="n">
        <v>44657</v>
      </c>
      <c r="C1121" s="1" t="n">
        <v>45511</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15090-2022</t>
        </is>
      </c>
      <c r="B1122" s="1" t="n">
        <v>44658</v>
      </c>
      <c r="C1122" s="1" t="n">
        <v>45511</v>
      </c>
      <c r="D1122" t="inlineStr">
        <is>
          <t>VÄSTERNORRLANDS LÄN</t>
        </is>
      </c>
      <c r="E1122" t="inlineStr">
        <is>
          <t>SOLLEFTEÅ</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15241-2022</t>
        </is>
      </c>
      <c r="B1123" s="1" t="n">
        <v>44659</v>
      </c>
      <c r="C1123" s="1" t="n">
        <v>45511</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15234-2022</t>
        </is>
      </c>
      <c r="B1124" s="1" t="n">
        <v>44659</v>
      </c>
      <c r="C1124" s="1" t="n">
        <v>45511</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15658-2022</t>
        </is>
      </c>
      <c r="B1125" s="1" t="n">
        <v>44663</v>
      </c>
      <c r="C1125" s="1" t="n">
        <v>45511</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15809-2022</t>
        </is>
      </c>
      <c r="B1126" s="1" t="n">
        <v>44663</v>
      </c>
      <c r="C1126" s="1" t="n">
        <v>45511</v>
      </c>
      <c r="D1126" t="inlineStr">
        <is>
          <t>VÄSTERNORRLANDS LÄN</t>
        </is>
      </c>
      <c r="E1126" t="inlineStr">
        <is>
          <t>SOLLEFTEÅ</t>
        </is>
      </c>
      <c r="F1126" t="inlineStr">
        <is>
          <t>SCA</t>
        </is>
      </c>
      <c r="G1126" t="n">
        <v>16.3</v>
      </c>
      <c r="H1126" t="n">
        <v>0</v>
      </c>
      <c r="I1126" t="n">
        <v>0</v>
      </c>
      <c r="J1126" t="n">
        <v>0</v>
      </c>
      <c r="K1126" t="n">
        <v>0</v>
      </c>
      <c r="L1126" t="n">
        <v>0</v>
      </c>
      <c r="M1126" t="n">
        <v>0</v>
      </c>
      <c r="N1126" t="n">
        <v>0</v>
      </c>
      <c r="O1126" t="n">
        <v>0</v>
      </c>
      <c r="P1126" t="n">
        <v>0</v>
      </c>
      <c r="Q1126" t="n">
        <v>0</v>
      </c>
      <c r="R1126" s="2" t="inlineStr"/>
    </row>
    <row r="1127" ht="15" customHeight="1">
      <c r="A1127" t="inlineStr">
        <is>
          <t>A 15964-2022</t>
        </is>
      </c>
      <c r="B1127" s="1" t="n">
        <v>44665</v>
      </c>
      <c r="C1127" s="1" t="n">
        <v>45511</v>
      </c>
      <c r="D1127" t="inlineStr">
        <is>
          <t>VÄSTERNORRLANDS LÄN</t>
        </is>
      </c>
      <c r="E1127" t="inlineStr">
        <is>
          <t>SOLLEFTEÅ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15974-2022</t>
        </is>
      </c>
      <c r="B1128" s="1" t="n">
        <v>44665</v>
      </c>
      <c r="C1128" s="1" t="n">
        <v>45511</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16088-2022</t>
        </is>
      </c>
      <c r="B1129" s="1" t="n">
        <v>44665</v>
      </c>
      <c r="C1129" s="1" t="n">
        <v>45511</v>
      </c>
      <c r="D1129" t="inlineStr">
        <is>
          <t>VÄSTERNORRLANDS LÄN</t>
        </is>
      </c>
      <c r="E1129" t="inlineStr">
        <is>
          <t>SOLLEFTEÅ</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16000-2022</t>
        </is>
      </c>
      <c r="B1130" s="1" t="n">
        <v>44665</v>
      </c>
      <c r="C1130" s="1" t="n">
        <v>45511</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16083-2022</t>
        </is>
      </c>
      <c r="B1131" s="1" t="n">
        <v>44665</v>
      </c>
      <c r="C1131" s="1" t="n">
        <v>45511</v>
      </c>
      <c r="D1131" t="inlineStr">
        <is>
          <t>VÄSTERNORRLANDS LÄN</t>
        </is>
      </c>
      <c r="E1131" t="inlineStr">
        <is>
          <t>SOLLEFTEÅ</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16093-2022</t>
        </is>
      </c>
      <c r="B1132" s="1" t="n">
        <v>44665</v>
      </c>
      <c r="C1132" s="1" t="n">
        <v>45511</v>
      </c>
      <c r="D1132" t="inlineStr">
        <is>
          <t>VÄSTERNORRLANDS LÄN</t>
        </is>
      </c>
      <c r="E1132" t="inlineStr">
        <is>
          <t>SOLLEFTEÅ</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16365-2022</t>
        </is>
      </c>
      <c r="B1133" s="1" t="n">
        <v>44671</v>
      </c>
      <c r="C1133" s="1" t="n">
        <v>45511</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16419-2022</t>
        </is>
      </c>
      <c r="B1134" s="1" t="n">
        <v>44671</v>
      </c>
      <c r="C1134" s="1" t="n">
        <v>45511</v>
      </c>
      <c r="D1134" t="inlineStr">
        <is>
          <t>VÄSTERNORRLANDS LÄN</t>
        </is>
      </c>
      <c r="E1134" t="inlineStr">
        <is>
          <t>SOLLEFTEÅ</t>
        </is>
      </c>
      <c r="F1134" t="inlineStr">
        <is>
          <t>Kommuner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16521-2022</t>
        </is>
      </c>
      <c r="B1135" s="1" t="n">
        <v>44671</v>
      </c>
      <c r="C1135" s="1" t="n">
        <v>45511</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16675-2022</t>
        </is>
      </c>
      <c r="B1136" s="1" t="n">
        <v>44672</v>
      </c>
      <c r="C1136" s="1" t="n">
        <v>45511</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16611-2022</t>
        </is>
      </c>
      <c r="B1137" s="1" t="n">
        <v>44672</v>
      </c>
      <c r="C1137" s="1" t="n">
        <v>45511</v>
      </c>
      <c r="D1137" t="inlineStr">
        <is>
          <t>VÄSTERNORRLANDS LÄN</t>
        </is>
      </c>
      <c r="E1137" t="inlineStr">
        <is>
          <t>SOLLEFTEÅ</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16670-2022</t>
        </is>
      </c>
      <c r="B1138" s="1" t="n">
        <v>44673</v>
      </c>
      <c r="C1138" s="1" t="n">
        <v>45511</v>
      </c>
      <c r="D1138" t="inlineStr">
        <is>
          <t>VÄSTERNORRLANDS LÄN</t>
        </is>
      </c>
      <c r="E1138" t="inlineStr">
        <is>
          <t>SOLLEFTEÅ</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17045-2022</t>
        </is>
      </c>
      <c r="B1139" s="1" t="n">
        <v>44676</v>
      </c>
      <c r="C1139" s="1" t="n">
        <v>45511</v>
      </c>
      <c r="D1139" t="inlineStr">
        <is>
          <t>VÄSTERNORRLANDS LÄN</t>
        </is>
      </c>
      <c r="E1139" t="inlineStr">
        <is>
          <t>SOLLEFTEÅ</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17049-2022</t>
        </is>
      </c>
      <c r="B1140" s="1" t="n">
        <v>44676</v>
      </c>
      <c r="C1140" s="1" t="n">
        <v>45511</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c r="U1140">
        <f>HYPERLINK("https://klasma.github.io/Logging_2283/knärot/A 17049-2022 karta knärot.png", "A 17049-2022")</f>
        <v/>
      </c>
      <c r="V1140">
        <f>HYPERLINK("https://klasma.github.io/Logging_2283/klagomål/A 17049-2022 FSC-klagomål.docx", "A 17049-2022")</f>
        <v/>
      </c>
      <c r="W1140">
        <f>HYPERLINK("https://klasma.github.io/Logging_2283/klagomålsmail/A 17049-2022 FSC-klagomål mail.docx", "A 17049-2022")</f>
        <v/>
      </c>
      <c r="X1140">
        <f>HYPERLINK("https://klasma.github.io/Logging_2283/tillsyn/A 17049-2022 tillsynsbegäran.docx", "A 17049-2022")</f>
        <v/>
      </c>
      <c r="Y1140">
        <f>HYPERLINK("https://klasma.github.io/Logging_2283/tillsynsmail/A 17049-2022 tillsynsbegäran mail.docx", "A 17049-2022")</f>
        <v/>
      </c>
    </row>
    <row r="1141" ht="15" customHeight="1">
      <c r="A1141" t="inlineStr">
        <is>
          <t>A 17344-2022</t>
        </is>
      </c>
      <c r="B1141" s="1" t="n">
        <v>44678</v>
      </c>
      <c r="C1141" s="1" t="n">
        <v>45511</v>
      </c>
      <c r="D1141" t="inlineStr">
        <is>
          <t>VÄSTERNORRLANDS LÄN</t>
        </is>
      </c>
      <c r="E1141" t="inlineStr">
        <is>
          <t>SOLLEFTEÅ</t>
        </is>
      </c>
      <c r="G1141" t="n">
        <v>34.2</v>
      </c>
      <c r="H1141" t="n">
        <v>0</v>
      </c>
      <c r="I1141" t="n">
        <v>0</v>
      </c>
      <c r="J1141" t="n">
        <v>0</v>
      </c>
      <c r="K1141" t="n">
        <v>0</v>
      </c>
      <c r="L1141" t="n">
        <v>0</v>
      </c>
      <c r="M1141" t="n">
        <v>0</v>
      </c>
      <c r="N1141" t="n">
        <v>0</v>
      </c>
      <c r="O1141" t="n">
        <v>0</v>
      </c>
      <c r="P1141" t="n">
        <v>0</v>
      </c>
      <c r="Q1141" t="n">
        <v>0</v>
      </c>
      <c r="R1141" s="2" t="inlineStr"/>
    </row>
    <row r="1142" ht="15" customHeight="1">
      <c r="A1142" t="inlineStr">
        <is>
          <t>A 17995-2022</t>
        </is>
      </c>
      <c r="B1142" s="1" t="n">
        <v>44684</v>
      </c>
      <c r="C1142" s="1" t="n">
        <v>45511</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18000-2022</t>
        </is>
      </c>
      <c r="B1143" s="1" t="n">
        <v>44684</v>
      </c>
      <c r="C1143" s="1" t="n">
        <v>45511</v>
      </c>
      <c r="D1143" t="inlineStr">
        <is>
          <t>VÄSTERNORRLANDS LÄN</t>
        </is>
      </c>
      <c r="E1143" t="inlineStr">
        <is>
          <t>SOLLEFTEÅ</t>
        </is>
      </c>
      <c r="F1143" t="inlineStr">
        <is>
          <t>SCA</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18011-2022</t>
        </is>
      </c>
      <c r="B1144" s="1" t="n">
        <v>44683</v>
      </c>
      <c r="C1144" s="1" t="n">
        <v>45511</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18015-2022</t>
        </is>
      </c>
      <c r="B1145" s="1" t="n">
        <v>44684</v>
      </c>
      <c r="C1145" s="1" t="n">
        <v>45511</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18016-2022</t>
        </is>
      </c>
      <c r="B1146" s="1" t="n">
        <v>44684</v>
      </c>
      <c r="C1146" s="1" t="n">
        <v>45511</v>
      </c>
      <c r="D1146" t="inlineStr">
        <is>
          <t>VÄSTERNORRLANDS LÄN</t>
        </is>
      </c>
      <c r="E1146" t="inlineStr">
        <is>
          <t>SOLLEFTEÅ</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17999-2022</t>
        </is>
      </c>
      <c r="B1147" s="1" t="n">
        <v>44683</v>
      </c>
      <c r="C1147" s="1" t="n">
        <v>45511</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18013-2022</t>
        </is>
      </c>
      <c r="B1148" s="1" t="n">
        <v>44684</v>
      </c>
      <c r="C1148" s="1" t="n">
        <v>45511</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18017-2022</t>
        </is>
      </c>
      <c r="B1149" s="1" t="n">
        <v>44683</v>
      </c>
      <c r="C1149" s="1" t="n">
        <v>45511</v>
      </c>
      <c r="D1149" t="inlineStr">
        <is>
          <t>VÄSTERNORRLANDS LÄN</t>
        </is>
      </c>
      <c r="E1149" t="inlineStr">
        <is>
          <t>SOLLEFTEÅ</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45511</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45511</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45511</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45511</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45511</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45511</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45511</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45511</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45511</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45511</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45511</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45511</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45511</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45511</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45511</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45511</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45511</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45511</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45511</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45511</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45511</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45511</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45511</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45511</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45511</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45511</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45511</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45511</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45511</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45511</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45511</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45511</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45511</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45511</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45511</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45511</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45511</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45511</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45511</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45511</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45511</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45511</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45511</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45511</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45511</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45511</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45511</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45511</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45511</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45511</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45511</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45511</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45511</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45511</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45511</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45511</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45511</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45511</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45511</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45511</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45511</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45511</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45511</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45511</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45511</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45511</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45511</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45511</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45511</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45511</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45511</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45511</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45511</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45511</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45511</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45511</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45511</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45511</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45511</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45511</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45511</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45511</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45511</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45511</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45511</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45511</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45511</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45511</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45511</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45511</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45511</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45511</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45511</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45511</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45511</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45511</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45511</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45511</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45511</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45511</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45511</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45511</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45511</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45511</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45511</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45511</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45511</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45511</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45511</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45511</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45511</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45511</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45511</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45511</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45511</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45511</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45511</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45511</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45511</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45511</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45511</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45511</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45511</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45511</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45511</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45511</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45511</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45511</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45511</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45511</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45511</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45511</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45511</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45511</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45511</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45511</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45511</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45511</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45511</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45511</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45511</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45511</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45511</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45511</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45511</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45511</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45511</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45511</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45511</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45511</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45511</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45511</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45511</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45511</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45511</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45511</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45511</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45511</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45511</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45511</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45511</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45511</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45511</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45511</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45511</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45511</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45511</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45511</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45511</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45511</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45511</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45511</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45511</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45511</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45511</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45511</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45511</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45511</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45511</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45511</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45511</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45511</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45511</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45511</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45511</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45511</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45511</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45511</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45511</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45511</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45511</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45511</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45511</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45511</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45511</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45511</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45511</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45511</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45511</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45511</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45511</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45511</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45511</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45511</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45511</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45511</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45511</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45511</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45511</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45511</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45511</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45511</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45511</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45511</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45511</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45511</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45511</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45511</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45511</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45511</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45511</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45511</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45511</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45511</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45511</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45511</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45511</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45511</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45511</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45511</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45511</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45511</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45511</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45511</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45511</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45511</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45511</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45511</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45511</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45511</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45511</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45511</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45511</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45511</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45511</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45511</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45511</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45511</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45511</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45511</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45511</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45511</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45511</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45511</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45511</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45511</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45511</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45511</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45511</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45511</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45511</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45511</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45511</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45511</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45511</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45511</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45511</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45511</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45511</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45511</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45511</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45511</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45511</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45511</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45511</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45511</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45511</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45511</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45511</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45511</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45511</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45511</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45511</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45511</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45511</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45511</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45511</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45511</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45511</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45511</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45511</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45511</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45511</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45511</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45511</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45511</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45511</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45511</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45511</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45511</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45511</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45511</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45511</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45511</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45511</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45511</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45511</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45511</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45511</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45511</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45511</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45511</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45511</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45511</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45511</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45511</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45511</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45511</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45511</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45511</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45511</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45511</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45511</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45511</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45511</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45511</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45511</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45511</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45511</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45511</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45511</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45511</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45511</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45511</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45511</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45511</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45511</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45511</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45511</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45511</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45511</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45511</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45511</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45511</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45511</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45511</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45511</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45511</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45511</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45511</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45511</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45511</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45511</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45511</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45511</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45511</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45511</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45511</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45511</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45511</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45511</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45511</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45511</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45511</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45511</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45511</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45511</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45511</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45511</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45511</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45511</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45511</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45511</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45511</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45511</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45511</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45511</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45511</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45511</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45511</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45511</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45511</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45511</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45511</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45511</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45511</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45511</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45511</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45511</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45511</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45511</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45511</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45511</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45511</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45511</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45511</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45511</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45511</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45511</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45511</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45511</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45511</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45511</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45511</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45511</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45511</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45511</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45511</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45511</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45511</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45511</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45511</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45511</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45511</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45511</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45511</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45511</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45511</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45511</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45511</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45511</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45511</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45511</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45511</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45511</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45511</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45511</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45511</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45511</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45511</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45511</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45511</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45511</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45511</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45511</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45511</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45511</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45511</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45511</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45511</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45511</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45511</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45511</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45511</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45511</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45511</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45511</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45511</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45511</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45511</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45511</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45511</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45511</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45511</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45511</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45511</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45511</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45511</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45511</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45511</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45511</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45511</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45511</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45511</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45511</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45511</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45511</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45511</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45511</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45511</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45511</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45511</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45511</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45511</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45511</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45511</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45511</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45511</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45511</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45511</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45511</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45511</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45511</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45511</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45511</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45511</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45511</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45511</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45511</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45511</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45511</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45511</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45511</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45511</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45511</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45511</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45511</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45511</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45511</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45511</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45511</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45511</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45511</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45511</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45511</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45511</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45511</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45511</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45511</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45511</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45511</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45511</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45511</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45511</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45511</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45511</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45511</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45511</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45511</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45511</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45511</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45511</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45511</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45511</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45511</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45511</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45511</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45511</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45511</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45511</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45511</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45511</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45511</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45511</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45511</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45511</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45511</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45511</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45511</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45511</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45511</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45511</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45511</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45511</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45511</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45511</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45511</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45511</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45511</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45511</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45511</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45511</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45511</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45511</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45511</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45511</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45511</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45511</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45511</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45511</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45511</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45511</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45511</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45511</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45511</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45511</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45511</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45511</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45511</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45511</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45511</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45511</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45511</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45511</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45511</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45511</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45511</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45511</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45511</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45511</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45511</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45511</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45511</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45511</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45511</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45511</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45511</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45511</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45511</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45511</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45511</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45511</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45511</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45511</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45511</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45511</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45511</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45511</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45511</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45511</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45511</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45511</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45511</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45511</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45511</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45511</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45511</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45511</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45511</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45511</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45511</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45511</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45511</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45511</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45511</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45511</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45511</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45511</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45511</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45511</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45511</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45511</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45511</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45511</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45511</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45511</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45511</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45511</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45511</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45511</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45511</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45511</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45511</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45511</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45511</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45511</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45511</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45511</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45511</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45511</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45511</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45511</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45511</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45511</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45511</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45511</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45511</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45511</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45511</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45511</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45511</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45511</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45511</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45511</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45511</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45511</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45511</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45511</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45511</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45511</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45511</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45511</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45511</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45511</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45511</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45511</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45511</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45511</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45511</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45511</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45511</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45511</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45511</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45511</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45511</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45511</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45511</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45511</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45511</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45511</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45511</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45511</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45511</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45511</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45511</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45511</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45511</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45511</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45511</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45511</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45511</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45511</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45511</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45511</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45511</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45511</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45511</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45511</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45511</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45511</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45511</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45511</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45511</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45511</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45511</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45511</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45511</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45511</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45511</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45511</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45511</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45511</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45511</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45511</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45511</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45511</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45511</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45511</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45511</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45511</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45511</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45511</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45511</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45511</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45511</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45511</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45511</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45511</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45511</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45511</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45511</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45511</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45511</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45511</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45511</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45511</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45511</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45511</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45511</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45511</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45511</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45511</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45511</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45511</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45511</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45511</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45511</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45511</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45511</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45511</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45511</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45511</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45511</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45511</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45511</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45511</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45511</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45511</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45511</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45511</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45511</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45511</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45511</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45511</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45511</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45511</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45511</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45511</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45511</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45511</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45511</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45511</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45511</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45511</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45511</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45511</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45511</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45511</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45511</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45511</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45511</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45511</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45511</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45511</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45511</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45511</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45511</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45511</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45511</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45511</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45511</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45511</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45511</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45511</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45511</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45511</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45511</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45511</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45511</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45511</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45511</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45511</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45511</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45511</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45511</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45511</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45511</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45511</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45511</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45511</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45511</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45511</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45511</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45511</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45511</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45511</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45511</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45511</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45511</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45511</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45511</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45511</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45511</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45511</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45511</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45511</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45511</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45511</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45511</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45511</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45511</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45511</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45511</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45511</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45511</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45511</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45511</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45511</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45511</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45511</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45511</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45511</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45511</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45511</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45511</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45511</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45511</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45511</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45511</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45511</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45511</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45511</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45511</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45511</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45511</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45511</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45511</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45511</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45511</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45511</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45511</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45511</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45511</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45511</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45511</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45511</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45511</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45511</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45511</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45511</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45511</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45511</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45511</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45511</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45511</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45511</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45511</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45511</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45511</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45511</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45511</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45511</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45511</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45511</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45511</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45511</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45511</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45511</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45511</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45511</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45511</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45511</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45511</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45511</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45511</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45511</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45511</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45511</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45511</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45511</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45511</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45511</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45511</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45511</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45511</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45511</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45511</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45511</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45511</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45511</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45511</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45511</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45511</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45511</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45511</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45511</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45511</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45511</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45511</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45511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45511</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45511</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45511</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45511</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45511</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45511</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45511</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45511</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45511</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45511</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45511</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45511</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45511</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45511</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45511</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45511</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45511</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45511</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45511</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45511</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45511</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45511</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45511</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45511</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45511</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45511</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45511</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45511</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45511</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45511</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45511</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45511</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45511</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45511</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45511</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45511</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45511</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45511</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45511</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45511</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45511</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45511</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45511</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45511</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45511</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45511</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45511</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45511</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45511</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45511</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45511</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45511</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45511</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45511</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45511</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45511</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45511</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45511</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45511</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45511</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45511</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45511</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45511</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45511</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45511</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45511</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45511</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45511</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45511</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45511</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45511</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45511</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45511</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45511</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45511</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45511</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45511</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45511</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45511</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45511</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45511</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45511</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45511</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45511</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45511</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45511</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45511</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45511</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45511</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45511</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45511</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45511</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45511</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45511</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45511</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45511</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45511</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45511</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45511</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45511</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45511</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45511</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45511</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45511</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45511</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45511</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45511</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45511</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45511</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45511</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45511</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45511</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45511</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45511</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45511</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45511</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45511</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45511</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45511</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45511</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45511</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45511</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45511</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45511</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45511</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45511</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45511</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45511</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45511</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45511</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45511</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45511</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45511</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45511</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45511</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45511</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45511</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45511</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45511</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45511</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45511</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45511</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45511</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45511</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45511</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45511</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45511</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45511</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45511</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45511</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45511</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45511</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45511</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45511</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45511</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45511</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45511</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45511</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45511</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45511</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45511</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45511</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45511</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45511</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45511</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45511</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45511</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45511</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45511</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45511</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45511</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45511</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45511</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45511</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45511</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45511</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45511</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45511</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45511</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45511</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45511</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45511</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45511</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45511</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45511</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45511</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45511</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45511</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45511</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45511</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45511</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45511</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45511</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45511</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45511</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45511</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45511</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45511</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45511</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45511</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45511</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45511</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45511</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45511</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45511</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45511</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45511</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45511</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45511</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45511</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45511</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45511</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45511</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45511</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45511</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45511</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45511</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45511</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45511</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45511</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45511</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45511</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45511</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45511</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45511</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45511</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45511</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45511</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45511</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45511</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45511</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45511</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45511</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45511</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45511</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45511</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45511</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45511</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45511</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45511</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45511</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45511</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45511</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45511</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45511</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45511</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45511</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45511</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45511</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45511</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45511</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45511</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45511</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45511</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45511</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45511</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45511</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45511</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45511</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45511</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45511</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45511</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45511</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45511</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45511</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45511</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45511</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45511</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45511</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45511</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45511</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45511</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45511</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45511</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45511</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45511</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45511</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45511</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45511</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45511</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45511</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45511</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45511</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45511</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45511</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45511</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45511</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45511</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45511</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45511</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45511</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45511</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45511</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45511</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45511</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45511</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45511</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45511</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45511</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45511</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45511</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45511</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45511</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45511</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45511</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45511</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45511</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45511</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45511</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45511</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45511</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45511</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45511</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45511</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45511</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45511</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45511</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45511</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45511</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45511</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45511</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45511</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45511</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45511</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45511</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45511</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45511</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45511</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45511</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45511</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45511</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45511</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45511</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45511</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45511</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45511</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45511</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45511</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45511</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45511</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45511</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45511</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45511</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45511</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45511</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45511</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45511</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45511</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45511</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45511</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45511</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45511</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45511</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45511</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45511</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45511</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45511</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45511</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45511</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45511</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45511</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45511</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45511</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45511</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45511</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45511</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45511</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45511</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45511</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45511</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45511</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45511</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45511</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45511</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45511</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45511</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45511</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45511</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45511</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45511</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45511</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45511</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45511</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45511</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45511</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45511</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45511</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45511</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45511</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45511</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45511</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45511</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45511</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45511</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45511</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45511</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45511</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45511</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45511</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45511</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45511</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45511</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45511</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45511</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45511</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45511</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45511</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45511</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45511</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45511</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45511</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45511</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45511</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45511</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45511</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45511</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45511</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45511</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45511</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45511</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45511</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45511</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45511</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45511</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45511</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45511</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45511</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45511</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45511</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45511</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45511</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45511</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45511</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45511</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45511</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45511</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45511</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45511</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45511</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45511</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45511</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45511</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45511</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45511</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45511</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45511</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45511</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45511</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45511</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45511</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45511</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45511</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45511</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45511</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45511</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45511</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45511</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45511</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45511</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45511</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45511</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45511</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45511</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45511</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45511</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45511</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45511</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45511</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45511</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45511</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45511</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45511</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45511</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45511</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45511</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45511</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45511</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45511</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45511</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45511</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45511</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45511</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45511</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45511</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45511</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45511</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45511</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45511</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45511</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45511</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45511</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45511</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45511</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45511</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45511</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45511</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45511</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45511</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45511</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45511</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45511</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45511</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45511</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45511</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45511</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45511</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45511</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45511</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45511</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45511</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45511</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45511</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45511</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45511</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45511</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45511</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45511</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45511</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45511</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45511</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45511</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45511</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45511</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45511</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45511</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45511</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45511</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45511</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45511</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45511</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45511</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45511</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45511</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45511</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45511</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45511</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45511</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45511</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45511</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45511</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45511</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45511</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45511</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45511</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45511</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45511</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45511</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45511</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45511</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45511</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45511</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45511</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45511</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45511</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45511</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45511</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45511</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45511</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45511</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45511</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45511</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45511</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45511</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45511</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45511</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45511</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45511</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45511</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45511</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45511</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45511</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45511</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45511</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45511</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45511</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45511</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45511</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45511</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45511</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45511</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45511</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45511</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45511</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45511</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45511</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45511</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45511</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45511</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45511</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45511</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45511</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45511</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45511</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45511</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45511</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45511</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45511</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45511</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45511</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45511</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45511</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45511</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45511</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45511</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45511</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45511</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45511</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45511</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45511</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45511</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45511</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45511</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45511</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45511</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45511</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45511</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45511</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45511</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45511</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45511</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45511</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45511</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45511</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45511</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45511</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45511</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45511</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45511</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45511</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45511</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45511</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45511</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45511</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45511</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45511</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45511</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45511</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45511</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45511</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45511</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45511</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45511</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45511</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45511</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45511</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45511</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45511</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45511</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45511</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45511</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45511</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45511</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45511</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45511</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45511</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45511</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45511</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45511</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45511</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45511</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45511</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45511</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45511</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45511</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45511</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45511</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45511</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45511</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45511</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45511</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45511</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45511</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45511</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45511</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45511</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45511</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45511</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45511</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45511</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45511</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45511</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45511</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45511</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45511</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45511</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45511</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45511</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45511</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45511</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45511</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45511</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45511</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45511</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45511</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45511</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45511</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45511</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45511</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45511</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45511</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45511</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45511</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45511</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45511</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45511</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45511</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45511</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45511</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45511</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45511</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45511</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45511</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45511</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45511</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45511</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45511</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45511</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45511</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45511</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45511</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45511</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45511</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45511</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45511</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45511</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45511</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45511</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45511</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45511</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45511</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45511</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45511</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45511</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45511</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45511</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45511</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45511</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45511</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45511</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45511</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45511</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45511</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45511</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45511</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45511</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45511</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45511</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45511</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45511</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45511</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45511</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45511</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45511</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45511</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45511</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45511</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45511</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45511</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45511</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45511</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45511</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45511</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45511</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45511</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45511</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45511</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45511</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45511</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45511</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45511</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45511</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45511</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45511</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45511</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45511</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45511</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45511</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45511</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45511</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45511</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45511</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45511</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45511</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45511</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45511</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45511</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45511</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45511</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45511</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45511</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45511</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45511</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45511</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45511</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45511</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45511</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45511</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45511</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45511</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45511</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45511</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28499-2024</t>
        </is>
      </c>
      <c r="B2871" s="1" t="n">
        <v>45478</v>
      </c>
      <c r="C2871" s="1" t="n">
        <v>45511</v>
      </c>
      <c r="D2871" t="inlineStr">
        <is>
          <t>VÄSTERNORRLANDS LÄN</t>
        </is>
      </c>
      <c r="E2871" t="inlineStr">
        <is>
          <t>SOLLEFTEÅ</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45511</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28290-2024</t>
        </is>
      </c>
      <c r="B2873" s="1" t="n">
        <v>45477</v>
      </c>
      <c r="C2873" s="1" t="n">
        <v>45511</v>
      </c>
      <c r="D2873" t="inlineStr">
        <is>
          <t>VÄSTERNORRLANDS LÄN</t>
        </is>
      </c>
      <c r="E2873" t="inlineStr">
        <is>
          <t>SOLLEFTEÅ</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45511</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45511</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45511</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28866-2024</t>
        </is>
      </c>
      <c r="B2877" s="1" t="n">
        <v>45478</v>
      </c>
      <c r="C2877" s="1" t="n">
        <v>45511</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28790-2024</t>
        </is>
      </c>
      <c r="B2878" s="1" t="n">
        <v>45478</v>
      </c>
      <c r="C2878" s="1" t="n">
        <v>45511</v>
      </c>
      <c r="D2878" t="inlineStr">
        <is>
          <t>VÄSTERNORRLANDS LÄN</t>
        </is>
      </c>
      <c r="E2878" t="inlineStr">
        <is>
          <t>SOLLEFTEÅ</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29059-2024</t>
        </is>
      </c>
      <c r="B2879" s="1" t="n">
        <v>45481</v>
      </c>
      <c r="C2879" s="1" t="n">
        <v>45511</v>
      </c>
      <c r="D2879" t="inlineStr">
        <is>
          <t>VÄSTERNORRLANDS LÄN</t>
        </is>
      </c>
      <c r="E2879" t="inlineStr">
        <is>
          <t>SOLLEFTEÅ</t>
        </is>
      </c>
      <c r="F2879" t="inlineStr">
        <is>
          <t>Kyrkan</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29055-2024</t>
        </is>
      </c>
      <c r="B2880" s="1" t="n">
        <v>45481</v>
      </c>
      <c r="C2880" s="1" t="n">
        <v>45511</v>
      </c>
      <c r="D2880" t="inlineStr">
        <is>
          <t>VÄSTERNORRLANDS LÄN</t>
        </is>
      </c>
      <c r="E2880" t="inlineStr">
        <is>
          <t>SOLLEFTEÅ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29054-2024</t>
        </is>
      </c>
      <c r="B2881" s="1" t="n">
        <v>45481</v>
      </c>
      <c r="C2881" s="1" t="n">
        <v>45511</v>
      </c>
      <c r="D2881" t="inlineStr">
        <is>
          <t>VÄSTERNORRLANDS LÄN</t>
        </is>
      </c>
      <c r="E2881" t="inlineStr">
        <is>
          <t>SOLLEFTEÅ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29211-2024</t>
        </is>
      </c>
      <c r="B2882" s="1" t="n">
        <v>45482</v>
      </c>
      <c r="C2882" s="1" t="n">
        <v>45511</v>
      </c>
      <c r="D2882" t="inlineStr">
        <is>
          <t>VÄSTERNORRLANDS LÄN</t>
        </is>
      </c>
      <c r="E2882" t="inlineStr">
        <is>
          <t>SOLLEFTEÅ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29248-2024</t>
        </is>
      </c>
      <c r="B2883" s="1" t="n">
        <v>45482</v>
      </c>
      <c r="C2883" s="1" t="n">
        <v>45511</v>
      </c>
      <c r="D2883" t="inlineStr">
        <is>
          <t>VÄSTERNORRLANDS LÄN</t>
        </is>
      </c>
      <c r="E2883" t="inlineStr">
        <is>
          <t>SOLLEFTEÅ</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29247-2024</t>
        </is>
      </c>
      <c r="B2884" s="1" t="n">
        <v>45482</v>
      </c>
      <c r="C2884" s="1" t="n">
        <v>45511</v>
      </c>
      <c r="D2884" t="inlineStr">
        <is>
          <t>VÄSTERNORRLANDS LÄN</t>
        </is>
      </c>
      <c r="E2884" t="inlineStr">
        <is>
          <t>SOLLEFTEÅ</t>
        </is>
      </c>
      <c r="F2884" t="inlineStr">
        <is>
          <t>SCA</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29258-2024</t>
        </is>
      </c>
      <c r="B2885" s="1" t="n">
        <v>45483</v>
      </c>
      <c r="C2885" s="1" t="n">
        <v>45511</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29457-2024</t>
        </is>
      </c>
      <c r="B2886" s="1" t="n">
        <v>45484</v>
      </c>
      <c r="C2886" s="1" t="n">
        <v>45511</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29459-2024</t>
        </is>
      </c>
      <c r="B2887" s="1" t="n">
        <v>45484</v>
      </c>
      <c r="C2887" s="1" t="n">
        <v>45511</v>
      </c>
      <c r="D2887" t="inlineStr">
        <is>
          <t>VÄSTERNORRLANDS LÄN</t>
        </is>
      </c>
      <c r="E2887" t="inlineStr">
        <is>
          <t>SOLLEFTEÅ</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45511</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45511</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29839-2024</t>
        </is>
      </c>
      <c r="B2890" s="1" t="n">
        <v>45485</v>
      </c>
      <c r="C2890" s="1" t="n">
        <v>45511</v>
      </c>
      <c r="D2890" t="inlineStr">
        <is>
          <t>VÄSTERNORRLANDS LÄN</t>
        </is>
      </c>
      <c r="E2890" t="inlineStr">
        <is>
          <t>SOLLEFTEÅ</t>
        </is>
      </c>
      <c r="F2890" t="inlineStr">
        <is>
          <t>Holmen skog AB</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29871-2024</t>
        </is>
      </c>
      <c r="B2891" s="1" t="n">
        <v>45486</v>
      </c>
      <c r="C2891" s="1" t="n">
        <v>45511</v>
      </c>
      <c r="D2891" t="inlineStr">
        <is>
          <t>VÄSTERNORRLANDS LÄN</t>
        </is>
      </c>
      <c r="E2891" t="inlineStr">
        <is>
          <t>SOLLEFTEÅ</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29870-2024</t>
        </is>
      </c>
      <c r="B2892" s="1" t="n">
        <v>45486</v>
      </c>
      <c r="C2892" s="1" t="n">
        <v>45511</v>
      </c>
      <c r="D2892" t="inlineStr">
        <is>
          <t>VÄSTERNORRLANDS LÄN</t>
        </is>
      </c>
      <c r="E2892" t="inlineStr">
        <is>
          <t>SOLLEFTEÅ</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29869-2024</t>
        </is>
      </c>
      <c r="B2893" s="1" t="n">
        <v>45486</v>
      </c>
      <c r="C2893" s="1" t="n">
        <v>45511</v>
      </c>
      <c r="D2893" t="inlineStr">
        <is>
          <t>VÄSTERNORRLANDS LÄN</t>
        </is>
      </c>
      <c r="E2893" t="inlineStr">
        <is>
          <t>SOLLEFTEÅ</t>
        </is>
      </c>
      <c r="F2893" t="inlineStr">
        <is>
          <t>SCA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29755-2024</t>
        </is>
      </c>
      <c r="B2894" s="1" t="n">
        <v>45485</v>
      </c>
      <c r="C2894" s="1" t="n">
        <v>45511</v>
      </c>
      <c r="D2894" t="inlineStr">
        <is>
          <t>VÄSTERNORRLANDS LÄN</t>
        </is>
      </c>
      <c r="E2894" t="inlineStr">
        <is>
          <t>SOLLEFTEÅ</t>
        </is>
      </c>
      <c r="F2894" t="inlineStr">
        <is>
          <t>Holmen skog AB</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29914-2024</t>
        </is>
      </c>
      <c r="B2895" s="1" t="n">
        <v>45488</v>
      </c>
      <c r="C2895" s="1" t="n">
        <v>45511</v>
      </c>
      <c r="D2895" t="inlineStr">
        <is>
          <t>VÄSTERNORRLANDS LÄN</t>
        </is>
      </c>
      <c r="E2895" t="inlineStr">
        <is>
          <t>SOLLEFTEÅ</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29918-2024</t>
        </is>
      </c>
      <c r="B2896" s="1" t="n">
        <v>45488</v>
      </c>
      <c r="C2896" s="1" t="n">
        <v>45511</v>
      </c>
      <c r="D2896" t="inlineStr">
        <is>
          <t>VÄSTERNORRLANDS LÄN</t>
        </is>
      </c>
      <c r="E2896" t="inlineStr">
        <is>
          <t>SOLLEFTEÅ</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29915-2024</t>
        </is>
      </c>
      <c r="B2897" s="1" t="n">
        <v>45488</v>
      </c>
      <c r="C2897" s="1" t="n">
        <v>45511</v>
      </c>
      <c r="D2897" t="inlineStr">
        <is>
          <t>VÄSTERNORRLANDS LÄN</t>
        </is>
      </c>
      <c r="E2897" t="inlineStr">
        <is>
          <t>SOLLEFTEÅ</t>
        </is>
      </c>
      <c r="G2897" t="n">
        <v>10.5</v>
      </c>
      <c r="H2897" t="n">
        <v>0</v>
      </c>
      <c r="I2897" t="n">
        <v>0</v>
      </c>
      <c r="J2897" t="n">
        <v>0</v>
      </c>
      <c r="K2897" t="n">
        <v>0</v>
      </c>
      <c r="L2897" t="n">
        <v>0</v>
      </c>
      <c r="M2897" t="n">
        <v>0</v>
      </c>
      <c r="N2897" t="n">
        <v>0</v>
      </c>
      <c r="O2897" t="n">
        <v>0</v>
      </c>
      <c r="P2897" t="n">
        <v>0</v>
      </c>
      <c r="Q2897" t="n">
        <v>0</v>
      </c>
      <c r="R2897" s="2" t="inlineStr"/>
    </row>
    <row r="2898" ht="15" customHeight="1">
      <c r="A2898" t="inlineStr">
        <is>
          <t>A 29919-2024</t>
        </is>
      </c>
      <c r="B2898" s="1" t="n">
        <v>45488</v>
      </c>
      <c r="C2898" s="1" t="n">
        <v>45511</v>
      </c>
      <c r="D2898" t="inlineStr">
        <is>
          <t>VÄSTERNORRLANDS LÄN</t>
        </is>
      </c>
      <c r="E2898" t="inlineStr">
        <is>
          <t>SOLLEFTEÅ</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29913-2024</t>
        </is>
      </c>
      <c r="B2899" s="1" t="n">
        <v>45488</v>
      </c>
      <c r="C2899" s="1" t="n">
        <v>45511</v>
      </c>
      <c r="D2899" t="inlineStr">
        <is>
          <t>VÄSTERNORRLANDS LÄN</t>
        </is>
      </c>
      <c r="E2899" t="inlineStr">
        <is>
          <t>SOLLEFTEÅ</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29917-2024</t>
        </is>
      </c>
      <c r="B2900" s="1" t="n">
        <v>45488</v>
      </c>
      <c r="C2900" s="1" t="n">
        <v>45511</v>
      </c>
      <c r="D2900" t="inlineStr">
        <is>
          <t>VÄSTERNORRLANDS LÄN</t>
        </is>
      </c>
      <c r="E2900" t="inlineStr">
        <is>
          <t>SOLLEFTEÅ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29916-2024</t>
        </is>
      </c>
      <c r="B2901" s="1" t="n">
        <v>45488</v>
      </c>
      <c r="C2901" s="1" t="n">
        <v>45511</v>
      </c>
      <c r="D2901" t="inlineStr">
        <is>
          <t>VÄSTERNORRLANDS LÄN</t>
        </is>
      </c>
      <c r="E2901" t="inlineStr">
        <is>
          <t>SOLLEFTEÅ</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30061-2024</t>
        </is>
      </c>
      <c r="B2902" s="1" t="n">
        <v>45489</v>
      </c>
      <c r="C2902" s="1" t="n">
        <v>45511</v>
      </c>
      <c r="D2902" t="inlineStr">
        <is>
          <t>VÄSTERNORRLANDS LÄN</t>
        </is>
      </c>
      <c r="E2902" t="inlineStr">
        <is>
          <t>SOLLEFTEÅ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30069-2024</t>
        </is>
      </c>
      <c r="B2903" s="1" t="n">
        <v>45489</v>
      </c>
      <c r="C2903" s="1" t="n">
        <v>45511</v>
      </c>
      <c r="D2903" t="inlineStr">
        <is>
          <t>VÄSTERNORRLANDS LÄN</t>
        </is>
      </c>
      <c r="E2903" t="inlineStr">
        <is>
          <t>SOLLEFTEÅ</t>
        </is>
      </c>
      <c r="F2903" t="inlineStr">
        <is>
          <t>SCA</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30060-2024</t>
        </is>
      </c>
      <c r="B2904" s="1" t="n">
        <v>45489</v>
      </c>
      <c r="C2904" s="1" t="n">
        <v>45511</v>
      </c>
      <c r="D2904" t="inlineStr">
        <is>
          <t>VÄSTERNORRLANDS LÄN</t>
        </is>
      </c>
      <c r="E2904" t="inlineStr">
        <is>
          <t>SOLLEFTEÅ</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30063-2024</t>
        </is>
      </c>
      <c r="B2905" s="1" t="n">
        <v>45489</v>
      </c>
      <c r="C2905" s="1" t="n">
        <v>45511</v>
      </c>
      <c r="D2905" t="inlineStr">
        <is>
          <t>VÄSTERNORRLANDS LÄN</t>
        </is>
      </c>
      <c r="E2905" t="inlineStr">
        <is>
          <t>SOLLEFTEÅ</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30068-2024</t>
        </is>
      </c>
      <c r="B2906" s="1" t="n">
        <v>45489</v>
      </c>
      <c r="C2906" s="1" t="n">
        <v>45511</v>
      </c>
      <c r="D2906" t="inlineStr">
        <is>
          <t>VÄSTERNORRLANDS LÄN</t>
        </is>
      </c>
      <c r="E2906" t="inlineStr">
        <is>
          <t>SOLLEFTEÅ</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30214-2024</t>
        </is>
      </c>
      <c r="B2907" s="1" t="n">
        <v>45490</v>
      </c>
      <c r="C2907" s="1" t="n">
        <v>45511</v>
      </c>
      <c r="D2907" t="inlineStr">
        <is>
          <t>VÄSTERNORRLANDS LÄN</t>
        </is>
      </c>
      <c r="E2907" t="inlineStr">
        <is>
          <t>SOLLEFTEÅ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30328-2024</t>
        </is>
      </c>
      <c r="B2908" s="1" t="n">
        <v>45491</v>
      </c>
      <c r="C2908" s="1" t="n">
        <v>45511</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30327-2024</t>
        </is>
      </c>
      <c r="B2909" s="1" t="n">
        <v>45491</v>
      </c>
      <c r="C2909" s="1" t="n">
        <v>45511</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30325-2024</t>
        </is>
      </c>
      <c r="B2910" s="1" t="n">
        <v>45491</v>
      </c>
      <c r="C2910" s="1" t="n">
        <v>45511</v>
      </c>
      <c r="D2910" t="inlineStr">
        <is>
          <t>VÄSTERNORRLANDS LÄN</t>
        </is>
      </c>
      <c r="E2910" t="inlineStr">
        <is>
          <t>SOLLEFTEÅ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30329-2024</t>
        </is>
      </c>
      <c r="B2911" s="1" t="n">
        <v>45491</v>
      </c>
      <c r="C2911" s="1" t="n">
        <v>45511</v>
      </c>
      <c r="D2911" t="inlineStr">
        <is>
          <t>VÄSTERNORRLANDS LÄN</t>
        </is>
      </c>
      <c r="E2911" t="inlineStr">
        <is>
          <t>SOLLEFTEÅ</t>
        </is>
      </c>
      <c r="F2911" t="inlineStr">
        <is>
          <t>SCA</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30464-2024</t>
        </is>
      </c>
      <c r="B2912" s="1" t="n">
        <v>45492</v>
      </c>
      <c r="C2912" s="1" t="n">
        <v>45511</v>
      </c>
      <c r="D2912" t="inlineStr">
        <is>
          <t>VÄSTERNORRLANDS LÄN</t>
        </is>
      </c>
      <c r="E2912" t="inlineStr">
        <is>
          <t>SOLLEFTEÅ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30476-2024</t>
        </is>
      </c>
      <c r="B2913" s="1" t="n">
        <v>45492</v>
      </c>
      <c r="C2913" s="1" t="n">
        <v>45511</v>
      </c>
      <c r="D2913" t="inlineStr">
        <is>
          <t>VÄSTERNORRLANDS LÄN</t>
        </is>
      </c>
      <c r="E2913" t="inlineStr">
        <is>
          <t>SOLLEFTEÅ</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30466-2024</t>
        </is>
      </c>
      <c r="B2914" s="1" t="n">
        <v>45492</v>
      </c>
      <c r="C2914" s="1" t="n">
        <v>45511</v>
      </c>
      <c r="D2914" t="inlineStr">
        <is>
          <t>VÄSTERNORRLANDS LÄN</t>
        </is>
      </c>
      <c r="E2914" t="inlineStr">
        <is>
          <t>SOLLEFTEÅ</t>
        </is>
      </c>
      <c r="F2914" t="inlineStr">
        <is>
          <t>SCA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45511</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45511</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31537-2024</t>
        </is>
      </c>
      <c r="B2917" s="1" t="n">
        <v>45506</v>
      </c>
      <c r="C2917" s="1" t="n">
        <v>45511</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31549-2024</t>
        </is>
      </c>
      <c r="B2918" s="1" t="n">
        <v>45506</v>
      </c>
      <c r="C2918" s="1" t="n">
        <v>45511</v>
      </c>
      <c r="D2918" t="inlineStr">
        <is>
          <t>VÄSTERNORRLANDS LÄN</t>
        </is>
      </c>
      <c r="E2918" t="inlineStr">
        <is>
          <t>SOLLEFTEÅ</t>
        </is>
      </c>
      <c r="F2918" t="inlineStr">
        <is>
          <t>SCA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31562-2024</t>
        </is>
      </c>
      <c r="B2919" s="1" t="n">
        <v>45506</v>
      </c>
      <c r="C2919" s="1" t="n">
        <v>45511</v>
      </c>
      <c r="D2919" t="inlineStr">
        <is>
          <t>VÄSTERNORRLANDS LÄN</t>
        </is>
      </c>
      <c r="E2919" t="inlineStr">
        <is>
          <t>SOLLEFTEÅ</t>
        </is>
      </c>
      <c r="F2919" t="inlineStr">
        <is>
          <t>SCA</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31482-2024</t>
        </is>
      </c>
      <c r="B2920" s="1" t="n">
        <v>45506</v>
      </c>
      <c r="C2920" s="1" t="n">
        <v>45511</v>
      </c>
      <c r="D2920" t="inlineStr">
        <is>
          <t>VÄSTERNORRLANDS LÄN</t>
        </is>
      </c>
      <c r="E2920" t="inlineStr">
        <is>
          <t>SOLLEFTEÅ</t>
        </is>
      </c>
      <c r="F2920" t="inlineStr">
        <is>
          <t>SCA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31516-2024</t>
        </is>
      </c>
      <c r="B2921" s="1" t="n">
        <v>45505</v>
      </c>
      <c r="C2921" s="1" t="n">
        <v>45511</v>
      </c>
      <c r="D2921" t="inlineStr">
        <is>
          <t>VÄSTERNORRLANDS LÄN</t>
        </is>
      </c>
      <c r="E2921" t="inlineStr">
        <is>
          <t>SOLLEFTEÅ</t>
        </is>
      </c>
      <c r="F2921" t="inlineStr">
        <is>
          <t>SCA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31520-2024</t>
        </is>
      </c>
      <c r="B2922" s="1" t="n">
        <v>45506</v>
      </c>
      <c r="C2922" s="1" t="n">
        <v>45511</v>
      </c>
      <c r="D2922" t="inlineStr">
        <is>
          <t>VÄSTERNORRLANDS LÄN</t>
        </is>
      </c>
      <c r="E2922" t="inlineStr">
        <is>
          <t>SOLLEFTEÅ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31528-2024</t>
        </is>
      </c>
      <c r="B2923" s="1" t="n">
        <v>45505</v>
      </c>
      <c r="C2923" s="1" t="n">
        <v>45511</v>
      </c>
      <c r="D2923" t="inlineStr">
        <is>
          <t>VÄSTERNORRLANDS LÄN</t>
        </is>
      </c>
      <c r="E2923" t="inlineStr">
        <is>
          <t>SOLLEFTEÅ</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31550-2024</t>
        </is>
      </c>
      <c r="B2924" s="1" t="n">
        <v>45506</v>
      </c>
      <c r="C2924" s="1" t="n">
        <v>45511</v>
      </c>
      <c r="D2924" t="inlineStr">
        <is>
          <t>VÄSTERNORRLANDS LÄN</t>
        </is>
      </c>
      <c r="E2924" t="inlineStr">
        <is>
          <t>SOLLEFTEÅ</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31554-2024</t>
        </is>
      </c>
      <c r="B2925" s="1" t="n">
        <v>45506</v>
      </c>
      <c r="C2925" s="1" t="n">
        <v>45511</v>
      </c>
      <c r="D2925" t="inlineStr">
        <is>
          <t>VÄSTERNORRLANDS LÄN</t>
        </is>
      </c>
      <c r="E2925" t="inlineStr">
        <is>
          <t>SOLLEFTEÅ</t>
        </is>
      </c>
      <c r="F2925" t="inlineStr">
        <is>
          <t>SCA</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31559-2024</t>
        </is>
      </c>
      <c r="B2926" s="1" t="n">
        <v>45506</v>
      </c>
      <c r="C2926" s="1" t="n">
        <v>45511</v>
      </c>
      <c r="D2926" t="inlineStr">
        <is>
          <t>VÄSTERNORRLANDS LÄN</t>
        </is>
      </c>
      <c r="E2926" t="inlineStr">
        <is>
          <t>SOLLEFTEÅ</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31481-2024</t>
        </is>
      </c>
      <c r="B2927" s="1" t="n">
        <v>45506</v>
      </c>
      <c r="C2927" s="1" t="n">
        <v>45511</v>
      </c>
      <c r="D2927" t="inlineStr">
        <is>
          <t>VÄSTERNORRLANDS LÄN</t>
        </is>
      </c>
      <c r="E2927" t="inlineStr">
        <is>
          <t>SOLLEFTEÅ</t>
        </is>
      </c>
      <c r="F2927" t="inlineStr">
        <is>
          <t>SCA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31477-2024</t>
        </is>
      </c>
      <c r="B2928" s="1" t="n">
        <v>45506</v>
      </c>
      <c r="C2928" s="1" t="n">
        <v>45511</v>
      </c>
      <c r="D2928" t="inlineStr">
        <is>
          <t>VÄSTERNORRLANDS LÄN</t>
        </is>
      </c>
      <c r="E2928" t="inlineStr">
        <is>
          <t>SOLLEFTEÅ</t>
        </is>
      </c>
      <c r="F2928" t="inlineStr">
        <is>
          <t>SCA</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31480-2024</t>
        </is>
      </c>
      <c r="B2929" s="1" t="n">
        <v>45506</v>
      </c>
      <c r="C2929" s="1" t="n">
        <v>45511</v>
      </c>
      <c r="D2929" t="inlineStr">
        <is>
          <t>VÄSTERNORRLANDS LÄN</t>
        </is>
      </c>
      <c r="E2929" t="inlineStr">
        <is>
          <t>SOLLEFTEÅ</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31496-2024</t>
        </is>
      </c>
      <c r="B2930" s="1" t="n">
        <v>45506</v>
      </c>
      <c r="C2930" s="1" t="n">
        <v>45511</v>
      </c>
      <c r="D2930" t="inlineStr">
        <is>
          <t>VÄSTERNORRLANDS LÄN</t>
        </is>
      </c>
      <c r="E2930" t="inlineStr">
        <is>
          <t>SOLLEFTEÅ</t>
        </is>
      </c>
      <c r="F2930" t="inlineStr">
        <is>
          <t>SCA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31548-2024</t>
        </is>
      </c>
      <c r="B2931" s="1" t="n">
        <v>45506</v>
      </c>
      <c r="C2931" s="1" t="n">
        <v>45511</v>
      </c>
      <c r="D2931" t="inlineStr">
        <is>
          <t>VÄSTERNORRLANDS LÄN</t>
        </is>
      </c>
      <c r="E2931" t="inlineStr">
        <is>
          <t>SOLLEFTEÅ</t>
        </is>
      </c>
      <c r="F2931" t="inlineStr">
        <is>
          <t>SCA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31556-2024</t>
        </is>
      </c>
      <c r="B2932" s="1" t="n">
        <v>45506</v>
      </c>
      <c r="C2932" s="1" t="n">
        <v>45511</v>
      </c>
      <c r="D2932" t="inlineStr">
        <is>
          <t>VÄSTERNORRLANDS LÄN</t>
        </is>
      </c>
      <c r="E2932" t="inlineStr">
        <is>
          <t>SOLLEFTEÅ</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31569-2024</t>
        </is>
      </c>
      <c r="B2933" s="1" t="n">
        <v>45506</v>
      </c>
      <c r="C2933" s="1" t="n">
        <v>45511</v>
      </c>
      <c r="D2933" t="inlineStr">
        <is>
          <t>VÄSTERNORRLANDS LÄN</t>
        </is>
      </c>
      <c r="E2933" t="inlineStr">
        <is>
          <t>SOLLEFTEÅ</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31521-2024</t>
        </is>
      </c>
      <c r="B2934" s="1" t="n">
        <v>45505</v>
      </c>
      <c r="C2934" s="1" t="n">
        <v>45511</v>
      </c>
      <c r="D2934" t="inlineStr">
        <is>
          <t>VÄSTERNORRLANDS LÄN</t>
        </is>
      </c>
      <c r="E2934" t="inlineStr">
        <is>
          <t>SOLLEFTEÅ</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31547-2024</t>
        </is>
      </c>
      <c r="B2935" s="1" t="n">
        <v>45506</v>
      </c>
      <c r="C2935" s="1" t="n">
        <v>45511</v>
      </c>
      <c r="D2935" t="inlineStr">
        <is>
          <t>VÄSTERNORRLANDS LÄN</t>
        </is>
      </c>
      <c r="E2935" t="inlineStr">
        <is>
          <t>SOLLEFTEÅ</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31555-2024</t>
        </is>
      </c>
      <c r="B2936" s="1" t="n">
        <v>45506</v>
      </c>
      <c r="C2936" s="1" t="n">
        <v>45511</v>
      </c>
      <c r="D2936" t="inlineStr">
        <is>
          <t>VÄSTERNORRLANDS LÄN</t>
        </is>
      </c>
      <c r="E2936" t="inlineStr">
        <is>
          <t>SOLLEFTEÅ</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31564-2024</t>
        </is>
      </c>
      <c r="B2937" s="1" t="n">
        <v>45506</v>
      </c>
      <c r="C2937" s="1" t="n">
        <v>45511</v>
      </c>
      <c r="D2937" t="inlineStr">
        <is>
          <t>VÄSTERNORRLANDS LÄN</t>
        </is>
      </c>
      <c r="E2937" t="inlineStr">
        <is>
          <t>SOLLEFTEÅ</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31661-2024</t>
        </is>
      </c>
      <c r="B2938" s="1" t="n">
        <v>45507</v>
      </c>
      <c r="C2938" s="1" t="n">
        <v>45511</v>
      </c>
      <c r="D2938" t="inlineStr">
        <is>
          <t>VÄSTERNORRLANDS LÄN</t>
        </is>
      </c>
      <c r="E2938" t="inlineStr">
        <is>
          <t>SOLLEFTEÅ</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31669-2024</t>
        </is>
      </c>
      <c r="B2939" s="1" t="n">
        <v>45507</v>
      </c>
      <c r="C2939" s="1" t="n">
        <v>45511</v>
      </c>
      <c r="D2939" t="inlineStr">
        <is>
          <t>VÄSTERNORRLANDS LÄN</t>
        </is>
      </c>
      <c r="E2939" t="inlineStr">
        <is>
          <t>SOLLEFTEÅ</t>
        </is>
      </c>
      <c r="F2939" t="inlineStr">
        <is>
          <t>SCA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31614-2024</t>
        </is>
      </c>
      <c r="B2940" s="1" t="n">
        <v>45506</v>
      </c>
      <c r="C2940" s="1" t="n">
        <v>45511</v>
      </c>
      <c r="D2940" t="inlineStr">
        <is>
          <t>VÄSTERNORRLANDS LÄN</t>
        </is>
      </c>
      <c r="E2940" t="inlineStr">
        <is>
          <t>SOLLEFTEÅ</t>
        </is>
      </c>
      <c r="F2940" t="inlineStr">
        <is>
          <t>Kommuner</t>
        </is>
      </c>
      <c r="G2940" t="n">
        <v>11.5</v>
      </c>
      <c r="H2940" t="n">
        <v>0</v>
      </c>
      <c r="I2940" t="n">
        <v>0</v>
      </c>
      <c r="J2940" t="n">
        <v>0</v>
      </c>
      <c r="K2940" t="n">
        <v>0</v>
      </c>
      <c r="L2940" t="n">
        <v>0</v>
      </c>
      <c r="M2940" t="n">
        <v>0</v>
      </c>
      <c r="N2940" t="n">
        <v>0</v>
      </c>
      <c r="O2940" t="n">
        <v>0</v>
      </c>
      <c r="P2940" t="n">
        <v>0</v>
      </c>
      <c r="Q2940" t="n">
        <v>0</v>
      </c>
      <c r="R2940" s="2" t="inlineStr"/>
    </row>
    <row r="2941" ht="15" customHeight="1">
      <c r="A2941" t="inlineStr">
        <is>
          <t>A 31658-2024</t>
        </is>
      </c>
      <c r="B2941" s="1" t="n">
        <v>45506</v>
      </c>
      <c r="C2941" s="1" t="n">
        <v>45511</v>
      </c>
      <c r="D2941" t="inlineStr">
        <is>
          <t>VÄSTERNORRLANDS LÄN</t>
        </is>
      </c>
      <c r="E2941" t="inlineStr">
        <is>
          <t>SOLLEFTEÅ</t>
        </is>
      </c>
      <c r="G2941" t="n">
        <v>15.5</v>
      </c>
      <c r="H2941" t="n">
        <v>0</v>
      </c>
      <c r="I2941" t="n">
        <v>0</v>
      </c>
      <c r="J2941" t="n">
        <v>0</v>
      </c>
      <c r="K2941" t="n">
        <v>0</v>
      </c>
      <c r="L2941" t="n">
        <v>0</v>
      </c>
      <c r="M2941" t="n">
        <v>0</v>
      </c>
      <c r="N2941" t="n">
        <v>0</v>
      </c>
      <c r="O2941" t="n">
        <v>0</v>
      </c>
      <c r="P2941" t="n">
        <v>0</v>
      </c>
      <c r="Q2941" t="n">
        <v>0</v>
      </c>
      <c r="R2941" s="2" t="inlineStr"/>
    </row>
    <row r="2942" ht="15" customHeight="1">
      <c r="A2942" t="inlineStr">
        <is>
          <t>A 31680-2024</t>
        </is>
      </c>
      <c r="B2942" s="1" t="n">
        <v>45507</v>
      </c>
      <c r="C2942" s="1" t="n">
        <v>45511</v>
      </c>
      <c r="D2942" t="inlineStr">
        <is>
          <t>VÄSTERNORRLANDS LÄN</t>
        </is>
      </c>
      <c r="E2942" t="inlineStr">
        <is>
          <t>SOLLEFTEÅ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31681-2024</t>
        </is>
      </c>
      <c r="B2943" s="1" t="n">
        <v>45507</v>
      </c>
      <c r="C2943" s="1" t="n">
        <v>45511</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31662-2024</t>
        </is>
      </c>
      <c r="B2944" s="1" t="n">
        <v>45507</v>
      </c>
      <c r="C2944" s="1" t="n">
        <v>45511</v>
      </c>
      <c r="D2944" t="inlineStr">
        <is>
          <t>VÄSTERNORRLANDS LÄN</t>
        </is>
      </c>
      <c r="E2944" t="inlineStr">
        <is>
          <t>SOLLEFTEÅ</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31670-2024</t>
        </is>
      </c>
      <c r="B2945" s="1" t="n">
        <v>45507</v>
      </c>
      <c r="C2945" s="1" t="n">
        <v>45511</v>
      </c>
      <c r="D2945" t="inlineStr">
        <is>
          <t>VÄSTERNORRLANDS LÄN</t>
        </is>
      </c>
      <c r="E2945" t="inlineStr">
        <is>
          <t>SOLLEFTEÅ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31686-2024</t>
        </is>
      </c>
      <c r="B2946" s="1" t="n">
        <v>45507</v>
      </c>
      <c r="C2946" s="1" t="n">
        <v>45511</v>
      </c>
      <c r="D2946" t="inlineStr">
        <is>
          <t>VÄSTERNORRLANDS LÄN</t>
        </is>
      </c>
      <c r="E2946" t="inlineStr">
        <is>
          <t>SOLLEFTEÅ</t>
        </is>
      </c>
      <c r="F2946" t="inlineStr">
        <is>
          <t>SCA</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31708-2024</t>
        </is>
      </c>
      <c r="B2947" s="1" t="n">
        <v>45509</v>
      </c>
      <c r="C2947" s="1" t="n">
        <v>45511</v>
      </c>
      <c r="D2947" t="inlineStr">
        <is>
          <t>VÄSTERNORRLANDS LÄN</t>
        </is>
      </c>
      <c r="E2947" t="inlineStr">
        <is>
          <t>SOLLEFTEÅ</t>
        </is>
      </c>
      <c r="F2947" t="inlineStr">
        <is>
          <t>SCA</t>
        </is>
      </c>
      <c r="G2947" t="n">
        <v>13.9</v>
      </c>
      <c r="H2947" t="n">
        <v>0</v>
      </c>
      <c r="I2947" t="n">
        <v>0</v>
      </c>
      <c r="J2947" t="n">
        <v>0</v>
      </c>
      <c r="K2947" t="n">
        <v>0</v>
      </c>
      <c r="L2947" t="n">
        <v>0</v>
      </c>
      <c r="M2947" t="n">
        <v>0</v>
      </c>
      <c r="N2947" t="n">
        <v>0</v>
      </c>
      <c r="O2947" t="n">
        <v>0</v>
      </c>
      <c r="P2947" t="n">
        <v>0</v>
      </c>
      <c r="Q2947" t="n">
        <v>0</v>
      </c>
      <c r="R2947" s="2" t="inlineStr"/>
    </row>
    <row r="2948" ht="15" customHeight="1">
      <c r="A2948" t="inlineStr">
        <is>
          <t>A 31880-2024</t>
        </is>
      </c>
      <c r="B2948" s="1" t="n">
        <v>45510</v>
      </c>
      <c r="C2948" s="1" t="n">
        <v>45511</v>
      </c>
      <c r="D2948" t="inlineStr">
        <is>
          <t>VÄSTERNORRLANDS LÄN</t>
        </is>
      </c>
      <c r="E2948" t="inlineStr">
        <is>
          <t>SOLLEFTEÅ</t>
        </is>
      </c>
      <c r="F2948" t="inlineStr">
        <is>
          <t>SCA</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31886-2024</t>
        </is>
      </c>
      <c r="B2949" s="1" t="n">
        <v>45510</v>
      </c>
      <c r="C2949" s="1" t="n">
        <v>45511</v>
      </c>
      <c r="D2949" t="inlineStr">
        <is>
          <t>VÄSTERNORRLANDS LÄN</t>
        </is>
      </c>
      <c r="E2949" t="inlineStr">
        <is>
          <t>SOLLEFTEÅ</t>
        </is>
      </c>
      <c r="F2949" t="inlineStr">
        <is>
          <t>SCA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31807-2024</t>
        </is>
      </c>
      <c r="B2950" s="1" t="n">
        <v>45509</v>
      </c>
      <c r="C2950" s="1" t="n">
        <v>45511</v>
      </c>
      <c r="D2950" t="inlineStr">
        <is>
          <t>VÄSTERNORRLANDS LÄN</t>
        </is>
      </c>
      <c r="E2950" t="inlineStr">
        <is>
          <t>SOLLEFTEÅ</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31881-2024</t>
        </is>
      </c>
      <c r="B2951" s="1" t="n">
        <v>45510</v>
      </c>
      <c r="C2951" s="1" t="n">
        <v>45511</v>
      </c>
      <c r="D2951" t="inlineStr">
        <is>
          <t>VÄSTERNORRLANDS LÄN</t>
        </is>
      </c>
      <c r="E2951" t="inlineStr">
        <is>
          <t>SOLLEFTEÅ</t>
        </is>
      </c>
      <c r="F2951" t="inlineStr">
        <is>
          <t>SCA</t>
        </is>
      </c>
      <c r="G2951" t="n">
        <v>10.3</v>
      </c>
      <c r="H2951" t="n">
        <v>0</v>
      </c>
      <c r="I2951" t="n">
        <v>0</v>
      </c>
      <c r="J2951" t="n">
        <v>0</v>
      </c>
      <c r="K2951" t="n">
        <v>0</v>
      </c>
      <c r="L2951" t="n">
        <v>0</v>
      </c>
      <c r="M2951" t="n">
        <v>0</v>
      </c>
      <c r="N2951" t="n">
        <v>0</v>
      </c>
      <c r="O2951" t="n">
        <v>0</v>
      </c>
      <c r="P2951" t="n">
        <v>0</v>
      </c>
      <c r="Q2951" t="n">
        <v>0</v>
      </c>
      <c r="R2951" s="2" t="inlineStr"/>
    </row>
    <row r="2952" ht="15" customHeight="1">
      <c r="A2952" t="inlineStr">
        <is>
          <t>A 31885-2024</t>
        </is>
      </c>
      <c r="B2952" s="1" t="n">
        <v>45510</v>
      </c>
      <c r="C2952" s="1" t="n">
        <v>45511</v>
      </c>
      <c r="D2952" t="inlineStr">
        <is>
          <t>VÄSTERNORRLANDS LÄN</t>
        </is>
      </c>
      <c r="E2952" t="inlineStr">
        <is>
          <t>SOLLEFTEÅ</t>
        </is>
      </c>
      <c r="F2952" t="inlineStr">
        <is>
          <t>SCA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31889-2024</t>
        </is>
      </c>
      <c r="B2953" s="1" t="n">
        <v>45510</v>
      </c>
      <c r="C2953" s="1" t="n">
        <v>45511</v>
      </c>
      <c r="D2953" t="inlineStr">
        <is>
          <t>VÄSTERNORRLANDS LÄN</t>
        </is>
      </c>
      <c r="E2953" t="inlineStr">
        <is>
          <t>SOLLEFTEÅ</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32052-2024</t>
        </is>
      </c>
      <c r="B2954" s="1" t="n">
        <v>45511</v>
      </c>
      <c r="C2954" s="1" t="n">
        <v>45511</v>
      </c>
      <c r="D2954" t="inlineStr">
        <is>
          <t>VÄSTERNORRLANDS LÄN</t>
        </is>
      </c>
      <c r="E2954" t="inlineStr">
        <is>
          <t>SOLLEFTEÅ</t>
        </is>
      </c>
      <c r="F2954" t="inlineStr">
        <is>
          <t>SCA</t>
        </is>
      </c>
      <c r="G2954" t="n">
        <v>8</v>
      </c>
      <c r="H2954" t="n">
        <v>0</v>
      </c>
      <c r="I2954" t="n">
        <v>0</v>
      </c>
      <c r="J2954" t="n">
        <v>0</v>
      </c>
      <c r="K2954" t="n">
        <v>0</v>
      </c>
      <c r="L2954" t="n">
        <v>0</v>
      </c>
      <c r="M2954" t="n">
        <v>0</v>
      </c>
      <c r="N2954" t="n">
        <v>0</v>
      </c>
      <c r="O2954" t="n">
        <v>0</v>
      </c>
      <c r="P2954" t="n">
        <v>0</v>
      </c>
      <c r="Q2954" t="n">
        <v>0</v>
      </c>
      <c r="R2954" s="2" t="inlineStr"/>
    </row>
    <row r="2955">
      <c r="A2955" t="inlineStr">
        <is>
          <t>A 32071-2024</t>
        </is>
      </c>
      <c r="B2955" s="1" t="n">
        <v>45511</v>
      </c>
      <c r="C2955" s="1" t="n">
        <v>45511</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2024-08-07T10:38:23Z</dcterms:created>
  <dcterms:modified xmlns:dcterms="http://purl.org/dc/terms/" xmlns:xsi="http://www.w3.org/2001/XMLSchema-instance" xsi:type="dcterms:W3CDTF">2024-08-07T10:38:26Z</dcterms:modified>
</cp:coreProperties>
</file>